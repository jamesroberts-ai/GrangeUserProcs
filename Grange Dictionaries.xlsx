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tweglobal.sharepoint.com/sites/SupplyTechnology2025GamePlan/Shared Documents/Tech Initiative Updates/Supply Tech AI Knowledge Helper Agent resources/Grange/"/>
    </mc:Choice>
  </mc:AlternateContent>
  <xr:revisionPtr revIDLastSave="0" documentId="13_ncr:1_{FBE5EBEA-C945-4773-AC49-1F6E132B8982}" xr6:coauthVersionLast="47" xr6:coauthVersionMax="47" xr10:uidLastSave="{00000000-0000-0000-0000-000000000000}"/>
  <bookViews>
    <workbookView xWindow="28680" yWindow="-120" windowWidth="29040" windowHeight="15720" tabRatio="785" firstSheet="5" activeTab="16" xr2:uid="{7ABE90FA-CF67-4C7D-A07E-A2FF391AB9D0}"/>
  </bookViews>
  <sheets>
    <sheet name="MTANK" sheetId="1" r:id="rId1"/>
    <sheet name="DIPTABLE" sheetId="3" r:id="rId2"/>
    <sheet name="BARREL.GROUP" sheetId="17" r:id="rId3"/>
    <sheet name="MBLEND" sheetId="4" r:id="rId4"/>
    <sheet name="MBATCH" sheetId="5" r:id="rId5"/>
    <sheet name="WINE.STATUS" sheetId="6" r:id="rId6"/>
    <sheet name="BWALLOC" sheetId="7" r:id="rId7"/>
    <sheet name="SUMCOMP.TANK" sheetId="8" r:id="rId8"/>
    <sheet name="GRAPERECPT" sheetId="9" r:id="rId9"/>
    <sheet name="MGROWER" sheetId="10" r:id="rId10"/>
    <sheet name="VINTINTAKE" sheetId="11" r:id="rId11"/>
    <sheet name="MBLOCKS" sheetId="12" r:id="rId12"/>
    <sheet name="WINE.DB" sheetId="13" r:id="rId13"/>
    <sheet name="BLEND.PROP" sheetId="14" r:id="rId14"/>
    <sheet name="OPSMOVE" sheetId="15" r:id="rId15"/>
    <sheet name="CHIT" sheetId="20" r:id="rId16"/>
    <sheet name="BW.STD.CST.OPS" sheetId="19" r:id="rId17"/>
    <sheet name="CHEM" sheetId="18" r:id="rId18"/>
  </sheets>
  <definedNames>
    <definedName name="_xlnm._FilterDatabase" localSheetId="2" hidden="1">BARREL.GROUP!$A$3:$M$3</definedName>
    <definedName name="_xlnm._FilterDatabase" localSheetId="13" hidden="1">BLEND.PROP!$A$3:$M$3</definedName>
    <definedName name="_xlnm._FilterDatabase" localSheetId="16" hidden="1">'BW.STD.CST.OPS'!$A$3:$M$3</definedName>
    <definedName name="_xlnm._FilterDatabase" localSheetId="6" hidden="1">BWALLOC!$A$3:$M$3</definedName>
    <definedName name="_xlnm._FilterDatabase" localSheetId="17" hidden="1">CHEM!$A$3:$M$3</definedName>
    <definedName name="_xlnm._FilterDatabase" localSheetId="15" hidden="1">CHIT!$A$3:$M$3</definedName>
    <definedName name="_xlnm._FilterDatabase" localSheetId="1" hidden="1">DIPTABLE!$A$3:$M$3</definedName>
    <definedName name="_xlnm._FilterDatabase" localSheetId="8" hidden="1">GRAPERECPT!$A$3:$M$3</definedName>
    <definedName name="_xlnm._FilterDatabase" localSheetId="4" hidden="1">MBATCH!$A$3:$M$3</definedName>
    <definedName name="_xlnm._FilterDatabase" localSheetId="3" hidden="1">MBLEND!$A$3:$M$3</definedName>
    <definedName name="_xlnm._FilterDatabase" localSheetId="11" hidden="1">MBLOCKS!$A$3:$M$3</definedName>
    <definedName name="_xlnm._FilterDatabase" localSheetId="9" hidden="1">MGROWER!$A$3:$M$3</definedName>
    <definedName name="_xlnm._FilterDatabase" localSheetId="0" hidden="1">MTANK!$A$3:$M$3</definedName>
    <definedName name="_xlnm._FilterDatabase" localSheetId="14" hidden="1">OPSMOVE!$A$3:$M$3</definedName>
    <definedName name="_xlnm._FilterDatabase" localSheetId="7" hidden="1">SUMCOMP.TANK!$A$3:$M$3</definedName>
    <definedName name="_xlnm._FilterDatabase" localSheetId="10" hidden="1">VINTINTAKE!$A$3:$M$3</definedName>
    <definedName name="_xlnm._FilterDatabase" localSheetId="12" hidden="1">WINE.DB!$A$3:$M$3</definedName>
    <definedName name="_xlnm._FilterDatabase" localSheetId="5" hidden="1">WINE.STATUS!$A$3:$M$3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20" l="1"/>
  <c r="A2" i="20"/>
  <c r="C2" i="20"/>
  <c r="J1" i="19"/>
  <c r="A2" i="19"/>
  <c r="C2" i="19"/>
  <c r="J1" i="18"/>
  <c r="A2" i="18"/>
  <c r="C2" i="18"/>
  <c r="A2" i="17"/>
  <c r="C2" i="17"/>
  <c r="A2" i="15" l="1"/>
  <c r="C2" i="15"/>
  <c r="A2" i="14"/>
  <c r="C2" i="14"/>
  <c r="A2" i="13"/>
  <c r="C2" i="13"/>
  <c r="A2" i="12"/>
  <c r="C2" i="12"/>
  <c r="A2" i="11"/>
  <c r="C2" i="11"/>
  <c r="A2" i="10"/>
  <c r="C2" i="10"/>
  <c r="A2" i="9"/>
  <c r="C2" i="9"/>
  <c r="A2" i="8"/>
  <c r="C2" i="8"/>
  <c r="A2" i="7"/>
  <c r="C2" i="7"/>
  <c r="A2" i="6"/>
  <c r="C2" i="6"/>
  <c r="A2" i="5"/>
  <c r="C2" i="5"/>
  <c r="A2" i="4"/>
  <c r="C2" i="4"/>
  <c r="A2" i="3"/>
  <c r="C2" i="3"/>
  <c r="A2" i="1"/>
  <c r="C2" i="1"/>
</calcChain>
</file>

<file path=xl/sharedStrings.xml><?xml version="1.0" encoding="utf-8"?>
<sst xmlns="http://schemas.openxmlformats.org/spreadsheetml/2006/main" count="52062" uniqueCount="18494">
  <si>
    <t>X</t>
  </si>
  <si>
    <t>DEFINE.NEXT.ATTR</t>
  </si>
  <si>
    <t>COMPARE.RECS field definitions</t>
  </si>
  <si>
    <t>S</t>
  </si>
  <si>
    <t>1T</t>
  </si>
  <si>
    <t>TACTIV</t>
  </si>
  <si>
    <t>@COMPARE</t>
  </si>
  <si>
    <t>WINE.TYPE WINE.TYPE.DESC WINE.TYPE.VOL</t>
  </si>
  <si>
    <t>PH</t>
  </si>
  <si>
    <t>WTYPE</t>
  </si>
  <si>
    <t>All available tank prefixes excluding small wood</t>
  </si>
  <si>
    <t>WITH AVAIL.TPREFIX AND WITH NO SW.TYPE AND WITH TTABLE = "TIR" AND WITH (LITF # ""</t>
  </si>
  <si>
    <t>TIR.EXCL.SW</t>
  </si>
  <si>
    <t>Chemistry reading numbers and values</t>
  </si>
  <si>
    <t>TREADINGNO TREADVALUE</t>
  </si>
  <si>
    <t>TCHEM</t>
  </si>
  <si>
    <t>Tank Useage Summary by Day</t>
  </si>
  <si>
    <t>TUGROUP TUCUST TUOPP</t>
  </si>
  <si>
    <t>TANK.USAGE</t>
  </si>
  <si>
    <t>Association of history on tank &amp; operations for the last ?? operations     NOTE::</t>
  </si>
  <si>
    <t>TANKHIST TANKHISTOP</t>
  </si>
  <si>
    <t>TANK.HIST</t>
  </si>
  <si>
    <t>Operation Codes</t>
  </si>
  <si>
    <t>TASCNOTES OP.MOPCD OP.MRDATE OP.MFTANK OP.MTTANK</t>
  </si>
  <si>
    <t>OP</t>
  </si>
  <si>
    <t>14/7/93 NEVER IMPLEMENTED Association of future tanks</t>
  </si>
  <si>
    <t>TFDATE TFGROUP TFCUST TFOPP TFCNOTE</t>
  </si>
  <si>
    <t>NOUSE.TANK.FUTURE</t>
  </si>
  <si>
    <t>All available tank prefixes including small wood</t>
  </si>
  <si>
    <t>WITH AVAIL.TPREFIX</t>
  </si>
  <si>
    <t>INCL.SW</t>
  </si>
  <si>
    <t>All available spirit tanks</t>
  </si>
  <si>
    <t>WITH SPIRIT.TANK = "Y"</t>
  </si>
  <si>
    <t>INCL.SPIRIT</t>
  </si>
  <si>
    <t>GENERIC1 GEN.DESC1 LITRES1</t>
  </si>
  <si>
    <t>GENER</t>
  </si>
  <si>
    <t>WITH AVAIL.TPREFIX AND WITH NO SW.TYPE AND WITH TTABLE = "TIR"</t>
  </si>
  <si>
    <t>EXCL.SW.TIR</t>
  </si>
  <si>
    <t>All available tank prefixes excluding small wood including Barrel groups</t>
  </si>
  <si>
    <t>WITH AVAIL.TPREFIX AND WITH ((SW.TYPE = "" AND TTABLE # "TIR") OR TTABLE = "BG")</t>
  </si>
  <si>
    <t>EXCL.SW.INCL.BG</t>
  </si>
  <si>
    <t>WITH AVAIL.TPREFIX AND WITH SW.TYPE = "" AND WITH TTABLE # "BG" AND WITH TTABLE #</t>
  </si>
  <si>
    <t>EXCL.SW.BG</t>
  </si>
  <si>
    <t>WITH AVAIL.TPREFIX AND WITH NO SW.TYPE</t>
  </si>
  <si>
    <t>EXCL.SW</t>
  </si>
  <si>
    <t>All available costed tanks excluding small wood</t>
  </si>
  <si>
    <t>WITH AVAIL.TPREFIX AND STD.COST = "B"</t>
  </si>
  <si>
    <t>CST.INCL.SW</t>
  </si>
  <si>
    <t>O/S CHEMNOTES file details</t>
  </si>
  <si>
    <t>CHEMNOTES CH.CRDATE CH.CDATE CH.CBLEND CH.WIND.READ</t>
  </si>
  <si>
    <t>CH</t>
  </si>
  <si>
    <t>All parts of Audit Key</t>
  </si>
  <si>
    <t>AUD.SEQNO AUD.DATE AUD.TIME AUD.KEY AUD.DESC AUD.BREAK ID.SUP</t>
  </si>
  <si>
    <t>AUD.ALL</t>
  </si>
  <si>
    <t>GENERIC LITRES QUALITY</t>
  </si>
  <si>
    <t>ALLOC</t>
  </si>
  <si>
    <t>BY TANK TAVAIL TTABLE TCONTENT TDESCP TDIP TBLEND WITH TACTIV NE 'D'</t>
  </si>
  <si>
    <t>@LPTR</t>
  </si>
  <si>
    <t>FOR ENTRO DEFAULT FIELD LIST CREATED 16:02:48 03 FEB 1984</t>
  </si>
  <si>
    <t>TANK TACTIV TAVAIL TTABLE TCONTENT TDESCP TSPECIF TCOMMENT TDIP TBLEND TBATCHNO</t>
  </si>
  <si>
    <t>@ENTRO</t>
  </si>
  <si>
    <t>TO LIST SOME 'D' TYPE FIELDS  26.10.92</t>
  </si>
  <si>
    <t>BEGMTH.BLEND BEGMTH.LTRS BEGMTH.STR BEGMTH.TEMP</t>
  </si>
  <si>
    <t>*D7</t>
  </si>
  <si>
    <t>MCOMMENT TSUGAR</t>
  </si>
  <si>
    <t>*D6</t>
  </si>
  <si>
    <t>TREADINGNO TREADVALUE TBLENDASS TTEMP T.VOLUME LOCATION TDIW</t>
  </si>
  <si>
    <t>*D5</t>
  </si>
  <si>
    <t>TSTATUS TASCNOTES TFGROUP TFCUST TFOPP TFCNOTE TCLASS TSTRENGTH TFRUITBE</t>
  </si>
  <si>
    <t>*D4</t>
  </si>
  <si>
    <t>TUGROUP TUCUST TUOPP TANKHIST TANKHISTOP TCUST TRELTANKS</t>
  </si>
  <si>
    <t>*D3</t>
  </si>
  <si>
    <t>TTABLE TDIP TBLEND TBATCHNO TCHEMNO TCNOTE TOPCD TCHEMSTD</t>
  </si>
  <si>
    <t>*D2</t>
  </si>
  <si>
    <t>TACTIV TAVAIL TTABLE TCONTENT TDESCP TSPECIF</t>
  </si>
  <si>
    <t>*D1</t>
  </si>
  <si>
    <t>TO LIST ALL 'D' TYPE FIELDS  14.04.92</t>
  </si>
  <si>
    <t>TACTIV TAVAIL TTABLE TCONTENT TDESCP TSPECIF TCOMMENT TDIP TBLEND TBATCHNO TCHEMNO</t>
  </si>
  <si>
    <t>*D</t>
  </si>
  <si>
    <t>Used for bulk wine purchases as additional selection for BWOS tanks</t>
  </si>
  <si>
    <t>2L</t>
  </si>
  <si>
    <t>Extra</t>
  </si>
  <si>
    <t>@ID[2,2]</t>
  </si>
  <si>
    <t>I</t>
  </si>
  <si>
    <t>XTRA.TANK.SEL</t>
  </si>
  <si>
    <t>Original IBM blend code</t>
  </si>
  <si>
    <t>14L</t>
  </si>
  <si>
    <t>IBM CODE</t>
  </si>
  <si>
    <t>TRANS(BW.CODE.XLATE,TBLEND,@ID,'X')</t>
  </si>
  <si>
    <t>XLATE.OLDCODE</t>
  </si>
  <si>
    <t>Subroutine call for calculation of Volume from Dip</t>
  </si>
  <si>
    <t>10R</t>
  </si>
  <si>
    <t>Volume</t>
  </si>
  <si>
    <t>MD00P</t>
  </si>
  <si>
    <t>IF @ID[2,1] = '#' THEN TDIP ELSE SUBR("*PBWZ171",TTABLE,TDIP,"V")+0</t>
  </si>
  <si>
    <t>WTOTVOLUME</t>
  </si>
  <si>
    <t>Calculation of Ullage</t>
  </si>
  <si>
    <t>Ullage</t>
  </si>
  <si>
    <t>TCAPACITY - TVOLUME</t>
  </si>
  <si>
    <t>WTOTULLAGE</t>
  </si>
  <si>
    <t>Tank Capacity from dip table except for intransit tanks when</t>
  </si>
  <si>
    <t>Capacity</t>
  </si>
  <si>
    <t>IF @ID[2,1] = '#' THEN TDIP ELSE TRANS(DIPTABLE,TTABLE,DCAP,'X')</t>
  </si>
  <si>
    <t>WTODCAP</t>
  </si>
  <si>
    <t>The tank has wood in it - for Wine tank Optimisation</t>
  </si>
  <si>
    <t>1L</t>
  </si>
  <si>
    <t>Tank</t>
  </si>
  <si>
    <t>TRANS(WOODMAT.TANK,@ID,WOODIN,'X');IF @1 # '' THEN 'Y' ELSE ''</t>
  </si>
  <si>
    <t>WTO.WOODIN</t>
  </si>
  <si>
    <t>If the winery location is interfaced to Wine Tank Optimisation value</t>
  </si>
  <si>
    <t>WTO</t>
  </si>
  <si>
    <t>SUBR('*PZZI211','LOCPOS',WINERY.LOCATION,RAISE(CTRL.WINERY),'',''); IF @1 THEN</t>
  </si>
  <si>
    <t>WTO.WINERY</t>
  </si>
  <si>
    <t>Blend vintage to 4 digit for tank optimisation, null if NV</t>
  </si>
  <si>
    <t>4L</t>
  </si>
  <si>
    <t>TRANS('SALES.DESCRIPTION','CUTOFF.YR',F1,'X') ;IF NUM(TBLEND[2,2]) THEN IF BVINTAGE</t>
  </si>
  <si>
    <t>WTO.VINTAGE</t>
  </si>
  <si>
    <t>Blend variety for tank optimisation</t>
  </si>
  <si>
    <t>3L</t>
  </si>
  <si>
    <t>IF LEN(TBLEND) &gt; 10 THEN TBLEND[5,3] ELSE ''</t>
  </si>
  <si>
    <t>WTO.VARIETY</t>
  </si>
  <si>
    <t>Blend code of wine in tank</t>
  </si>
  <si>
    <t>12L</t>
  </si>
  <si>
    <t>Blend</t>
  </si>
  <si>
    <t>IF TBLEND # 'MT' THEN TBLEND ELSE ''</t>
  </si>
  <si>
    <t>WTO.TBLEND</t>
  </si>
  <si>
    <t>Blend source for tank optimisation</t>
  </si>
  <si>
    <t>IF LEN(TBLEND) &gt; 10 THEN TBLEND[8,3] ELSE ''</t>
  </si>
  <si>
    <t>WTO.SOURCE</t>
  </si>
  <si>
    <t>Quality as used in tank optimisation</t>
  </si>
  <si>
    <t>GRADE.LEVEL[1,1];IF @1 = 'I' THEN 7 ELSE IF @1 = 'A' THEN 6 ELSE IF @1 = 'B' THEN 5</t>
  </si>
  <si>
    <t>WTO.QUALITY</t>
  </si>
  <si>
    <t>Tank is on ullage - used for WTO benefit measure</t>
  </si>
  <si>
    <t>IF OCONV(TVOLUME,'MD00P') &gt; 0 AND OCONV(TVOLUME,'MD00P') &lt; OCONV(DCAP,'MD00P') THEN</t>
  </si>
  <si>
    <t>WTO.ON.ULLAGE</t>
  </si>
  <si>
    <t>Allocated litres for tank optimisation including unallocated</t>
  </si>
  <si>
    <t>WTO.GENERIC</t>
  </si>
  <si>
    <t>M</t>
  </si>
  <si>
    <t>MD10P</t>
  </si>
  <si>
    <t>IF TOTAL.ALLOC = 0 THEN TVOLUME ELSE IF TVOLUME = TOTAL.ALLOC THEN LITRES ELSE</t>
  </si>
  <si>
    <t>WTO.LITRES</t>
  </si>
  <si>
    <t>Inventory level - 1st char of blend code - for Wine Tank</t>
  </si>
  <si>
    <t>Inv</t>
  </si>
  <si>
    <t>IF TBLEND # 'MT' THEN TBLEND[1,1] ELSE ''</t>
  </si>
  <si>
    <t>WTO.ILEVEL</t>
  </si>
  <si>
    <t>Allocated generic for tank optimisation including unallocated</t>
  </si>
  <si>
    <t>IF TVOLUME = TOTAL.ALLOC THEN GENERIC ELSE GENERIC:@VM</t>
  </si>
  <si>
    <t>Date when wood was inserted</t>
  </si>
  <si>
    <t>8R</t>
  </si>
  <si>
    <t>Date Wood</t>
  </si>
  <si>
    <t>D2/</t>
  </si>
  <si>
    <t>TRANS(WOODMAT.TANK,TANK,'WOODIN','X')</t>
  </si>
  <si>
    <t>WOODIN</t>
  </si>
  <si>
    <t>VY:Weighnote or Purchase chit or * (Unknown)</t>
  </si>
  <si>
    <t>ORGCD</t>
  </si>
  <si>
    <t>11L</t>
  </si>
  <si>
    <t>Weighnote</t>
  </si>
  <si>
    <t>TRANS(TANK.ORIGIN,TANK,WNOTE,'X')</t>
  </si>
  <si>
    <t>WNOTE</t>
  </si>
  <si>
    <t>Date wood inserted into the tank</t>
  </si>
  <si>
    <t>Date of</t>
  </si>
  <si>
    <t>RAISE(TRANS(WOODMAT.TANK,@ID,WOODIN,'X'))</t>
  </si>
  <si>
    <t>WM.WOODIN</t>
  </si>
  <si>
    <t>Wood type</t>
  </si>
  <si>
    <t>WM.WOOD</t>
  </si>
  <si>
    <t>Wood</t>
  </si>
  <si>
    <t>SUBR('!SUBSTRINGS',WM.MATUR.TYPE,1,3)</t>
  </si>
  <si>
    <t>WM.WOOD.TYPE</t>
  </si>
  <si>
    <t>Quantity of wood actually in the tank now</t>
  </si>
  <si>
    <t>WOODINTANK</t>
  </si>
  <si>
    <t>6L</t>
  </si>
  <si>
    <t>SUBR("*GZZI417",WM.MATUR.QTY,WM.MATUR.QTY)</t>
  </si>
  <si>
    <t>WM.WOOD.QTY.TANK</t>
  </si>
  <si>
    <t>4R</t>
  </si>
  <si>
    <t>Wood Qty</t>
  </si>
  <si>
    <t>TRANS(WOODMAT.TANK,@ID,QTY,'X')</t>
  </si>
  <si>
    <t>WM.WOOD.QTY</t>
  </si>
  <si>
    <t>Wood actually in the tank now</t>
  </si>
  <si>
    <t>SUBR("*GZZI417",WM.MATUR.QTY,WM.MATUR.TYPE)</t>
  </si>
  <si>
    <t>WM.WOOD.IN.TANK</t>
  </si>
  <si>
    <t>Volume for wood maturation types</t>
  </si>
  <si>
    <t>9R</t>
  </si>
  <si>
    <t>Matur.</t>
  </si>
  <si>
    <t>TRANS(WOODMAT.TANK,@ID,VOLUME,'X')</t>
  </si>
  <si>
    <t>WM.VOLUME</t>
  </si>
  <si>
    <t>Total volume for wood maturation types</t>
  </si>
  <si>
    <t>SUM(RAISE(TRANS(WOODMAT.TANK,@ID,VOLUME,'X')))</t>
  </si>
  <si>
    <t>WM.TOT.VOLUME</t>
  </si>
  <si>
    <t>No. of</t>
  </si>
  <si>
    <t>RAISE(TRANS(WOODMAT.TANK,@ID,MATUR.TYPE,'X'));DCOUNT(@,@VM)</t>
  </si>
  <si>
    <t>WM.TOT.MAT</t>
  </si>
  <si>
    <t>Wood maturation type</t>
  </si>
  <si>
    <t>RAISE(TRANS(WOODMAT.TANK,@ID,MATUR.TYPE,'X'))</t>
  </si>
  <si>
    <t>WM.MATUR.TYPE</t>
  </si>
  <si>
    <t>Bags for chips, bundles for planks</t>
  </si>
  <si>
    <t>7R</t>
  </si>
  <si>
    <t>RAISE(TRANS(WOODMAT.TANK,@ID,QTY,'X'))</t>
  </si>
  <si>
    <t>WM.MATUR.QTY</t>
  </si>
  <si>
    <t>Wood fill number</t>
  </si>
  <si>
    <t>1R</t>
  </si>
  <si>
    <t>SUBR('!SUBSTRINGS',WM.MATUR.TYPE,4,1 )</t>
  </si>
  <si>
    <t>WM.FILL.NO</t>
  </si>
  <si>
    <t>Days on wood for wood actually in the tank now</t>
  </si>
  <si>
    <t>Days</t>
  </si>
  <si>
    <t>SUBR("*TANK.DOW",0)</t>
  </si>
  <si>
    <t>WM.DOW.TANK</t>
  </si>
  <si>
    <t>Days wine is/was on wood</t>
  </si>
  <si>
    <t>5R</t>
  </si>
  <si>
    <t>Days Wine</t>
  </si>
  <si>
    <t>RAISE(TRANS(WOODMAT.TANK,@ID,DAYS.ON.WOOD,'X'))</t>
  </si>
  <si>
    <t>WM.DAYS.ON.WOOD</t>
  </si>
  <si>
    <t>Date wood actually in the tank now</t>
  </si>
  <si>
    <t>Date</t>
  </si>
  <si>
    <t>D4/E</t>
  </si>
  <si>
    <t>SUBR("*GZZI417",WM.MATUR.QTY,WM.WOODIN)</t>
  </si>
  <si>
    <t>WM.DATE.WOODIN.E</t>
  </si>
  <si>
    <t>WM.DATE.WOODIN</t>
  </si>
  <si>
    <t>winery locatin end use</t>
  </si>
  <si>
    <t>TRANS(BW.STYLE,TBLEND[4,1],VP.ENDUSE,'X') ; IF @1#'' THEN @1 ELSE 'O';</t>
  </si>
  <si>
    <t>WLE</t>
  </si>
  <si>
    <t>'Y' if winery location is uncosted</t>
  </si>
  <si>
    <t>TRANS(WINERY.LOCATION,WINERY.LOCATION,UNCOSTED,'X')</t>
  </si>
  <si>
    <t>WINERY.UNCOSTED</t>
  </si>
  <si>
    <t>Winery Location Description</t>
  </si>
  <si>
    <t>30L</t>
  </si>
  <si>
    <t>Winery Location</t>
  </si>
  <si>
    <t>TRANS(WINERY.LOCATION,WINERY.LOCATION,DESC,'X')</t>
  </si>
  <si>
    <t>WINERY.LOCATION.DESC</t>
  </si>
  <si>
    <t>Winery Category Short Description</t>
  </si>
  <si>
    <t>10L</t>
  </si>
  <si>
    <t>Winery Category</t>
  </si>
  <si>
    <t>RAISE(TRANS(CONTROL,'WINERY.CATEGORY',1, 'X'));</t>
  </si>
  <si>
    <t>WINERY.CAT.SDESC</t>
  </si>
  <si>
    <t>Winery Category Description</t>
  </si>
  <si>
    <t>25L</t>
  </si>
  <si>
    <t>WINERY.CAT.DESC</t>
  </si>
  <si>
    <t>Winery Category Code</t>
  </si>
  <si>
    <t>Winery</t>
  </si>
  <si>
    <t>TRANS(WINERY.LOCATION,WINERY.LOCATION,'WINERY.CAT.CODE','X')</t>
  </si>
  <si>
    <t>WINERY.CAT.CODE</t>
  </si>
  <si>
    <t>Wine</t>
  </si>
  <si>
    <t>TRANS(WINERY.LOCATION,WINERY.LOCATION,WINERY.ACCT,'X')</t>
  </si>
  <si>
    <t>WINERY.ACCT</t>
  </si>
  <si>
    <t>Wine Type Percentage for Blend Breakdown</t>
  </si>
  <si>
    <t>WINE TYPE</t>
  </si>
  <si>
    <t>(WINE.TYPE.PER * REUSE(TVOLUME) ) / REUSE(100) ; SUBR("!OCONVS",@,'MD10P')</t>
  </si>
  <si>
    <t>WINE.TYPE.VOL</t>
  </si>
  <si>
    <t>MD0</t>
  </si>
  <si>
    <t>TRANS(MASTER.BLEND,TBLEND,WINE.TYPE.PER,'X')</t>
  </si>
  <si>
    <t>WINE.TYPE.PER</t>
  </si>
  <si>
    <t>Wine Type Code Description</t>
  </si>
  <si>
    <t>WINE TYPE DESCRIPTION</t>
  </si>
  <si>
    <t>TRANS(VALID.WINE.TYPES,WINE.TYPE,NAME,'X')</t>
  </si>
  <si>
    <t>WINE.TYPE.DESC</t>
  </si>
  <si>
    <t>Wine Type Code From Master Blend File</t>
  </si>
  <si>
    <t>8T</t>
  </si>
  <si>
    <t>TRANS(MASTER.BLEND,TBLEND,WINE.TYPE,'X')</t>
  </si>
  <si>
    <t>WINE.TYPE</t>
  </si>
  <si>
    <t>WIM winery code</t>
  </si>
  <si>
    <t>WIM</t>
  </si>
  <si>
    <t>TRANS(WINERY.LOCATION,WINERY.LOCATION,'WIM.WINERY','X')</t>
  </si>
  <si>
    <t>WIM.WINERY</t>
  </si>
  <si>
    <t>WIM Variety code</t>
  </si>
  <si>
    <t>LASTCALC</t>
  </si>
  <si>
    <t>TRANS(MVARIETY,SUMCOMP.VARIETY,'WIM.VARIETY','X') ;SUBR("!IFS",@1,@1,REUSE('UNK'))</t>
  </si>
  <si>
    <t>WIM.VARIETY</t>
  </si>
  <si>
    <t>Chemistry reg shortid regardless of which local CHEM file it's in</t>
  </si>
  <si>
    <t>Chem</t>
  </si>
  <si>
    <t>SUBR('*WIM.RSHORT.ID',@ID,@RECORD)</t>
  </si>
  <si>
    <t>WIM.RSHORT.ID</t>
  </si>
  <si>
    <t>IF JUICE.TYPE MATCHES 1:@VM:2:@VM:3:@VM:9 THEN JUICE.TYPE ELSE 0</t>
  </si>
  <si>
    <t>WIM.PRESS.FRACT</t>
  </si>
  <si>
    <t>WIM.PRESS.FRACT:STYLE</t>
  </si>
  <si>
    <t>WIM.PF.USE</t>
  </si>
  <si>
    <t>WIM vintage EUR including the EUR for unallocated</t>
  </si>
  <si>
    <t>WIM.EUR</t>
  </si>
  <si>
    <t>9L</t>
  </si>
  <si>
    <t>IF TVOLUME = TOTAL.ALLOC THEN WIM.EUR ELSE WIM.EUR:@VM:'ZZUNUNK';</t>
  </si>
  <si>
    <t>WIM.EUR.VINT</t>
  </si>
  <si>
    <t>WIM EUR Code</t>
  </si>
  <si>
    <t>WIM EUR</t>
  </si>
  <si>
    <t>TRANS(GENERIC.FILE,GENERIC,'WIM.EUR','X')</t>
  </si>
  <si>
    <t>WIM DIP CHART CODE</t>
  </si>
  <si>
    <t>8L</t>
  </si>
  <si>
    <t>WIM DIP</t>
  </si>
  <si>
    <t>WIM.WINERY[1,3];TTABLE[1,3];IF @2 = 'SVR' THEN TTABLE[4,9] ELSE</t>
  </si>
  <si>
    <t>WIM.CODE</t>
  </si>
  <si>
    <t>Chemistry CDATE regardless of which local CHEM file it's in</t>
  </si>
  <si>
    <t>D4/</t>
  </si>
  <si>
    <t>SUBR('*WIM.CHEM.CDATE',@ID,@RECORD)</t>
  </si>
  <si>
    <t>WIM.CHEM.CDATE</t>
  </si>
  <si>
    <t>Return a text string to indicate to WIM if the result is blended.</t>
  </si>
  <si>
    <t>WIM Text</t>
  </si>
  <si>
    <t>SUBR('!IFS',SUBR('!EQS',TCHEMPERC,REUSE('100.00')),REUSE('GR TEST'),REUSE('GR</t>
  </si>
  <si>
    <t>WIM.BLENDED</t>
  </si>
  <si>
    <t>WIM Appellation</t>
  </si>
  <si>
    <t>TRANS(SOURCE,SUMCOMP.SOURCE,'WIM.APELLATION','X');SUBR("!IFS",@1,@1,REUSE('UNK'))</t>
  </si>
  <si>
    <t>WIM.APPELLATION</t>
  </si>
  <si>
    <t>allocation percentage for WIM conversion.</t>
  </si>
  <si>
    <t>MD40P</t>
  </si>
  <si>
    <t>IF TVOLUME &gt; 0 THEN SUBR('!DIVS',WIM.ALLOC.LITRES,REUSE(TVOLUME)) ELSE 0</t>
  </si>
  <si>
    <t>WIM.ALLOC.PERCENT</t>
  </si>
  <si>
    <t>WIM allocated litres, includes unallocated amount</t>
  </si>
  <si>
    <t>14R</t>
  </si>
  <si>
    <t>IF TOTAL.ALLOC = TVOLUME THEN LITRES ELSE LITRES:@VM:TVOLUME-TOTAL.ALLOC</t>
  </si>
  <si>
    <t>WIM.ALLOC.LITRES</t>
  </si>
  <si>
    <t>use code for VinoEz</t>
  </si>
  <si>
    <t>VinoEz</t>
  </si>
  <si>
    <t>TRANS(BWALLOC,TANK,GENERIC,'X') ; FIELD(@1,@SM,1);TRANS(GENERIC.FILE,@2,VP.USE,'X')</t>
  </si>
  <si>
    <t>VZ.VP.USE</t>
  </si>
  <si>
    <t>Tank last chemistry test date for VinoEz</t>
  </si>
  <si>
    <t>Chem Test</t>
  </si>
  <si>
    <t>TRANS(CHEM,TCHEMNO,CDATE,'X');OCONV(@1,'D4/');@2[4]:'-':@2[4,2]:'-':@2[1,2]</t>
  </si>
  <si>
    <t>VZ.TCHEM.CDATE</t>
  </si>
  <si>
    <t>Generic code (MPF) concatenated with 2 digit vintage for VinoEz.</t>
  </si>
  <si>
    <t>5L</t>
  </si>
  <si>
    <t>MPF</t>
  </si>
  <si>
    <t>SUBR("!CATS",GENERIC,SUBR(SUBR.PENBW:'VZ.GEN.VINT',BWALLOC.VINT))</t>
  </si>
  <si>
    <t>VZ.GEN.VINT</t>
  </si>
  <si>
    <t>VinoEz First date of wine in tank</t>
  </si>
  <si>
    <t>First Date</t>
  </si>
  <si>
    <t>SUBR("*DATE.WINE.IN.TANK",'FIRST',@ID);OCONV(@1,'D4/')[4]:OCONV(@1,'D4/')[4,2]:OCONV</t>
  </si>
  <si>
    <t>VZ.FIRST.DTE.WINE</t>
  </si>
  <si>
    <t>Tank is a fermenter - flag for VinoEz</t>
  </si>
  <si>
    <t>Fermenter</t>
  </si>
  <si>
    <t>TRANS(TANK.FORM,TANK.FORM,FERMENTER,'X')</t>
  </si>
  <si>
    <t>VZ.FERMENTER</t>
  </si>
  <si>
    <t>category code for VinoEz</t>
  </si>
  <si>
    <t>2R</t>
  </si>
  <si>
    <t>TRANS(BWALLOC,TANK,GENERIC,'X') ;</t>
  </si>
  <si>
    <t>VZ.CATEGORY</t>
  </si>
  <si>
    <t>VOLUME</t>
  </si>
  <si>
    <t>TRANS(MJS.TEMP,@ID,VOLUME,'X')</t>
  </si>
  <si>
    <t>Subroutine call for calculation of Volume at bottom of neck</t>
  </si>
  <si>
    <t>Volume at Bot of Neck</t>
  </si>
  <si>
    <t>IF DIPHBOTNECK THEN SUBR(SUBR.PENBW:"PBWZ171",TTABLE,DIPHBOTNECK,"V")+0 ELSE ''</t>
  </si>
  <si>
    <t>VOLBOTNECK1</t>
  </si>
  <si>
    <t>VOLBOTNECK</t>
  </si>
  <si>
    <t>Calculated</t>
  </si>
  <si>
    <t>SUBR("*PBWZ171",TTABLE,@USER1,"V")</t>
  </si>
  <si>
    <t>VOL.CALC</t>
  </si>
  <si>
    <t>Vintage Use Description</t>
  </si>
  <si>
    <t>TRANS(TANK.USE,VINTAGE.USE,DESC,'X')</t>
  </si>
  <si>
    <t>VINTAGE.USE.DESC</t>
  </si>
  <si>
    <t>Vintage including unallocated</t>
  </si>
  <si>
    <t>Vintage</t>
  </si>
  <si>
    <t>IF LITRES THEN VINT ELSE VINT:@VM</t>
  </si>
  <si>
    <t>VINT.INCL.UNALL</t>
  </si>
  <si>
    <t>RAISE(TRANS(BWALLOC,BWALLOC.ID,VINT,'X'))</t>
  </si>
  <si>
    <t>VINT</t>
  </si>
  <si>
    <t>Vessel Class</t>
  </si>
  <si>
    <t>IF TTABLE = 'BG' THEN 'V' ELSE 'T'</t>
  </si>
  <si>
    <t>VINOEZ.CLASS</t>
  </si>
  <si>
    <t>VINTAGE CODE INDICTOR</t>
  </si>
  <si>
    <t>VINTAGE</t>
  </si>
  <si>
    <t>IF LEN(TBLEND) &gt; 8 THEN 1 ELSE 0</t>
  </si>
  <si>
    <t>VINCODE</t>
  </si>
  <si>
    <t>20T</t>
  </si>
  <si>
    <t>DESCRIPTION</t>
  </si>
  <si>
    <t>TRANS(MVARIETY,TVARIETY,VARDESCP,'X')</t>
  </si>
  <si>
    <t>VARDESCP</t>
  </si>
  <si>
    <t>ADDN</t>
  </si>
  <si>
    <t>TRANS(ADD.NOTICE,TOUTSADDN,"@ID",'X') ; TRANS(CHIT,TOUTSADDN,"@ID",'X') ;</t>
  </si>
  <si>
    <t>VALID.TOUTSADDN</t>
  </si>
  <si>
    <t>Wine value per litre.</t>
  </si>
  <si>
    <t>Wine value</t>
  </si>
  <si>
    <t>SUBR(SUBR.PENBW:'PBWI1108','VAL.LTR',TVOLUME,TBLEND,TSTRENGTH,BWA$REC)</t>
  </si>
  <si>
    <t>VAL.LTR</t>
  </si>
  <si>
    <t>MD20P</t>
  </si>
  <si>
    <t>SUBR("*VANAL",TREADINGNO,TREADVALUE)</t>
  </si>
  <si>
    <t>VA</t>
  </si>
  <si>
    <t>Record update count for BWALLOC used by GBW35</t>
  </si>
  <si>
    <t>UPDCNT</t>
  </si>
  <si>
    <t>TRANS(BWALLOC,TANK,'UPDCNT','X')</t>
  </si>
  <si>
    <t>Unknown Litres on Tank</t>
  </si>
  <si>
    <t>Unknown</t>
  </si>
  <si>
    <t>TVOLUME-SUM(GD.VOL)</t>
  </si>
  <si>
    <t>UNKNOWN.LITRES</t>
  </si>
  <si>
    <t>Y/'' to indicate the winery location is an 'uncosted' location</t>
  </si>
  <si>
    <t>Uncosted</t>
  </si>
  <si>
    <t>TRANS(WINERY.LOCATION,WINERY.LOCATION,'UNCOSTED','X')</t>
  </si>
  <si>
    <t>UNCOSTED</t>
  </si>
  <si>
    <t>6R</t>
  </si>
  <si>
    <t>IF TVOLUME THEN (UNALLOCATED/TVOLUME)*100 ELSE ''</t>
  </si>
  <si>
    <t>UNALLOCATED.PERCENT</t>
  </si>
  <si>
    <t>Volume unallocated</t>
  </si>
  <si>
    <t>Unallocated</t>
  </si>
  <si>
    <t>TVOLUME-TOTALLOC</t>
  </si>
  <si>
    <t>UNALLOCATED</t>
  </si>
  <si>
    <t>TVOLUME-SUM(TRANS(BWALLOC,BWALLOC.ID,LITRES,'X'))</t>
  </si>
  <si>
    <t>UNALLOC.LITRES</t>
  </si>
  <si>
    <t>Uppercase lot description</t>
  </si>
  <si>
    <t>ADD.LOT</t>
  </si>
  <si>
    <t>40L</t>
  </si>
  <si>
    <t>Add Lot Description</t>
  </si>
  <si>
    <t>upcase(TRANS(LOT,ADD.LOT,'DESC','X'))</t>
  </si>
  <si>
    <t>ULOT.DESC</t>
  </si>
  <si>
    <t>ULLAGE</t>
  </si>
  <si>
    <t>IF ULLAGE.DATE # '' THEN DATE() - ULLAGE.DATE ELSE ''</t>
  </si>
  <si>
    <t>ULLAGE.DAYS</t>
  </si>
  <si>
    <t>SUBR("*TANK.ULLAGE.DATE",@ID)</t>
  </si>
  <si>
    <t>ULLAGE.DATE</t>
  </si>
  <si>
    <t>Volume below which tank is considered on ullage</t>
  </si>
  <si>
    <t>11R</t>
  </si>
  <si>
    <t>MD00P,</t>
  </si>
  <si>
    <t>IF VOLBOTNECK THEN VOLBOTNECK ELSE DCAP</t>
  </si>
  <si>
    <t>ULLAGE.CUTOFF</t>
  </si>
  <si>
    <t>Uppercase Additive description</t>
  </si>
  <si>
    <t>ADD</t>
  </si>
  <si>
    <t>Additive</t>
  </si>
  <si>
    <t>UPCASE(TRANS(MADD,ADD.CODE,ADDESCP,'X'))</t>
  </si>
  <si>
    <t>UADDESCP</t>
  </si>
  <si>
    <t>Reg. Date of ^Hue reading</t>
  </si>
  <si>
    <t>^Hue</t>
  </si>
  <si>
    <t>SUBR(SUBR.PENBW:"PBWZ206","186G")</t>
  </si>
  <si>
    <t>T^HUEDATEREG</t>
  </si>
  <si>
    <t>Date of ^Hue reading</t>
  </si>
  <si>
    <t>SUBR(SUBR.PENBW:"PBWZ206","186D")</t>
  </si>
  <si>
    <t>T^HUEDATE</t>
  </si>
  <si>
    <t>Locate ^Hue Reading from Chemistry</t>
  </si>
  <si>
    <t>SUBR(SUBR.PENBW:"PBWI714",TREADINGNO,TREADVALUE,"186")</t>
  </si>
  <si>
    <t>T^HUE</t>
  </si>
  <si>
    <t>Last three Zn results</t>
  </si>
  <si>
    <t>ZNLAST3</t>
  </si>
  <si>
    <t>Last 3</t>
  </si>
  <si>
    <t>SUBR("*GCAZ206","25/6/L3")</t>
  </si>
  <si>
    <t>TZNLAST3</t>
  </si>
  <si>
    <t>Last three Zn dates</t>
  </si>
  <si>
    <t>SUBR("*GCAZ206","25DL3")</t>
  </si>
  <si>
    <t>TZNDLAST3</t>
  </si>
  <si>
    <t>Reg. Date of Zn reading</t>
  </si>
  <si>
    <t>Zn</t>
  </si>
  <si>
    <t>SUBR("*GCAZ206","25G")</t>
  </si>
  <si>
    <t>TZNDATEREG</t>
  </si>
  <si>
    <t>Date of Zn reading</t>
  </si>
  <si>
    <t>SUBR("*GCAZ206","25D")</t>
  </si>
  <si>
    <t>TZNDATE</t>
  </si>
  <si>
    <t>All Zn Dates</t>
  </si>
  <si>
    <t>ZNALL</t>
  </si>
  <si>
    <t>SUBR("*GCAZ206","25DA")</t>
  </si>
  <si>
    <t>TZNDALL</t>
  </si>
  <si>
    <t>All Zn Results</t>
  </si>
  <si>
    <t>SUBR("*GCAZ206","25RA")</t>
  </si>
  <si>
    <t>TZNALL</t>
  </si>
  <si>
    <t>Locate Zn Reading from Chemistry</t>
  </si>
  <si>
    <t>SUBR("*GCAI714",TREADINGNO,TREADVALUE,"25")</t>
  </si>
  <si>
    <t>TZN</t>
  </si>
  <si>
    <t>Last three Yst results</t>
  </si>
  <si>
    <t>YSTLAST3</t>
  </si>
  <si>
    <t>SUBR("*GCAZ206","58/6/L3")</t>
  </si>
  <si>
    <t>TYSTLAST3</t>
  </si>
  <si>
    <t>Last three Yst dates</t>
  </si>
  <si>
    <t>SUBR("*GCAZ206","58DL3")</t>
  </si>
  <si>
    <t>TYSTDLAST3</t>
  </si>
  <si>
    <t>Reg. Date of Yst reading</t>
  </si>
  <si>
    <t>Yst</t>
  </si>
  <si>
    <t>SUBR("*GCAZ206","58G")</t>
  </si>
  <si>
    <t>TYSTDATEREG</t>
  </si>
  <si>
    <t>Date of Yst reading</t>
  </si>
  <si>
    <t>SUBR("*GCAZ206","58D")</t>
  </si>
  <si>
    <t>TYSTDATE</t>
  </si>
  <si>
    <t>All Yst Dates</t>
  </si>
  <si>
    <t>YSTALL</t>
  </si>
  <si>
    <t>SUBR("*GCAZ206","58DA")</t>
  </si>
  <si>
    <t>TYSTDALL</t>
  </si>
  <si>
    <t>All Yst Results</t>
  </si>
  <si>
    <t>SUBR("*GCAZ206","58RA")</t>
  </si>
  <si>
    <t>TYSTALL</t>
  </si>
  <si>
    <t>Locate Yst Reading from Chemistry</t>
  </si>
  <si>
    <t>SUBR("*GCAI714",TREADINGNO,TREADVALUE,"58")</t>
  </si>
  <si>
    <t>TYST</t>
  </si>
  <si>
    <t>Translate to the Product file for type code</t>
  </si>
  <si>
    <t>TYPE</t>
  </si>
  <si>
    <t>TRANS(ITEM.MSTR,PRODNO,13,'X')</t>
  </si>
  <si>
    <t>TYPE.CODE</t>
  </si>
  <si>
    <t>2L##</t>
  </si>
  <si>
    <t>IF F1[1,1]='P' THEN F1[1,2] ELSE F1[1,1]</t>
  </si>
  <si>
    <t>Last three YeastV100 results</t>
  </si>
  <si>
    <t>YEASTV100LA</t>
  </si>
  <si>
    <t>SUBR("*GCAZ206","210/6/L3")</t>
  </si>
  <si>
    <t>TYEASTV100LAST3</t>
  </si>
  <si>
    <t>Last three YeastV100 dates</t>
  </si>
  <si>
    <t>SUBR("*GCAZ206","210DL3")</t>
  </si>
  <si>
    <t>TYEASTV100DLAST3</t>
  </si>
  <si>
    <t>Reg. Date of YeastV100 reading</t>
  </si>
  <si>
    <t>YeastV100</t>
  </si>
  <si>
    <t>SUBR("*GCAZ206","210G")</t>
  </si>
  <si>
    <t>TYEASTV100DATEREG</t>
  </si>
  <si>
    <t>Date of YeastV100 reading</t>
  </si>
  <si>
    <t>SUBR("*GCAZ206","210D")</t>
  </si>
  <si>
    <t>TYEASTV100DATE</t>
  </si>
  <si>
    <t>All YeastV100 Dates</t>
  </si>
  <si>
    <t>YEASTV100AL</t>
  </si>
  <si>
    <t>SUBR("*GCAZ206","210DA")</t>
  </si>
  <si>
    <t>TYEASTV100DALL</t>
  </si>
  <si>
    <t>All YeastV100 Results</t>
  </si>
  <si>
    <t>SUBR("*GCAZ206","210RA")</t>
  </si>
  <si>
    <t>TYEASTV100ALL</t>
  </si>
  <si>
    <t>Locate YeastV100 Reading from Chemistry</t>
  </si>
  <si>
    <t>SUBR("*GCAI714",TREADINGNO,TREADVALUE,"210")</t>
  </si>
  <si>
    <t>TYEASTV100</t>
  </si>
  <si>
    <t>Locate Yeast Reading from Chemistry Analysis</t>
  </si>
  <si>
    <t>6T</t>
  </si>
  <si>
    <t>YEAST</t>
  </si>
  <si>
    <t>SUBR("*PBWI714",TREADINGNO,TREADVALUE,'20')</t>
  </si>
  <si>
    <t>TYEASTREAD</t>
  </si>
  <si>
    <t>Last three Yeast results</t>
  </si>
  <si>
    <t>YEASTLAST3</t>
  </si>
  <si>
    <t>SUBR("*GCAZ206","20/6/L3")</t>
  </si>
  <si>
    <t>TYEASTLAST3</t>
  </si>
  <si>
    <t>Last three Yeast dates</t>
  </si>
  <si>
    <t>SUBR("*GCAZ206","20DL3")</t>
  </si>
  <si>
    <t>TYEASTDLAST3</t>
  </si>
  <si>
    <t>Reg. Date of Yeast reading</t>
  </si>
  <si>
    <t>Yeast</t>
  </si>
  <si>
    <t>SUBR("*GCAZ206","20G")</t>
  </si>
  <si>
    <t>TYEASTDATEREG</t>
  </si>
  <si>
    <t>Date of Yeast reading</t>
  </si>
  <si>
    <t>SUBR("*GCAZ206","20D")</t>
  </si>
  <si>
    <t>TYEASTDATE</t>
  </si>
  <si>
    <t>All Yeast Dates</t>
  </si>
  <si>
    <t>YEASTALL</t>
  </si>
  <si>
    <t>SUBR("*GCAZ206","20DA")</t>
  </si>
  <si>
    <t>TYEASTDALL</t>
  </si>
  <si>
    <t>All Yeast Results</t>
  </si>
  <si>
    <t>SUBR("*GCAZ206","20RA")</t>
  </si>
  <si>
    <t>TYEASTALL</t>
  </si>
  <si>
    <t>Locate Yeast Reading from Chemistry</t>
  </si>
  <si>
    <t>SUBR("*GCAI714",TREADINGNO,TREADVALUE,"20")</t>
  </si>
  <si>
    <t>TYEAST</t>
  </si>
  <si>
    <t>Last three YAN results</t>
  </si>
  <si>
    <t>YANLAST3</t>
  </si>
  <si>
    <t>SUBR("*GCAZ206","147/6/L3")</t>
  </si>
  <si>
    <t>TYANLAST3</t>
  </si>
  <si>
    <t>Last three YAN dates</t>
  </si>
  <si>
    <t>SUBR("*GCAZ206","147DL3")</t>
  </si>
  <si>
    <t>TYANDLAST3</t>
  </si>
  <si>
    <t>Reg. Date of YAN reading</t>
  </si>
  <si>
    <t>YAN</t>
  </si>
  <si>
    <t>SUBR("*GCAZ206","147G")</t>
  </si>
  <si>
    <t>TYANDATEREG</t>
  </si>
  <si>
    <t>Date of YAN reading</t>
  </si>
  <si>
    <t>SUBR("*GCAZ206","147D")</t>
  </si>
  <si>
    <t>TYANDATE</t>
  </si>
  <si>
    <t>All YAN Dates</t>
  </si>
  <si>
    <t>YANALL</t>
  </si>
  <si>
    <t>SUBR("*GCAZ206","147DA")</t>
  </si>
  <si>
    <t>TYANDALL</t>
  </si>
  <si>
    <t>All YAN Results</t>
  </si>
  <si>
    <t>SUBR("*GCAZ206","147RA")</t>
  </si>
  <si>
    <t>TYANALL</t>
  </si>
  <si>
    <t>Locate YAN Reading from Chemistry</t>
  </si>
  <si>
    <t>SUBR("*GCAI714",TREADINGNO,TREADVALUE,"147")</t>
  </si>
  <si>
    <t>TYAN</t>
  </si>
  <si>
    <t>Last three xxx results</t>
  </si>
  <si>
    <t>XXXLAST3</t>
  </si>
  <si>
    <t>SUBR("*GCAZ206","/6/L3")</t>
  </si>
  <si>
    <t>TXXXLAST3</t>
  </si>
  <si>
    <t>Last three xxx dates</t>
  </si>
  <si>
    <t>SUBR("*GCAZ206","DL3")</t>
  </si>
  <si>
    <t>TXXXDLAST3</t>
  </si>
  <si>
    <t>Reg. Date of xxx reading</t>
  </si>
  <si>
    <t>xxx</t>
  </si>
  <si>
    <t>SUBR(SUBR.PENBW:"PBWZ206","205G")</t>
  </si>
  <si>
    <t>TXXXDATEREG</t>
  </si>
  <si>
    <t>Date of xxx reading</t>
  </si>
  <si>
    <t>SUBR(SUBR.PENBW:"PBWZ206","205D")</t>
  </si>
  <si>
    <t>TXXXDATE</t>
  </si>
  <si>
    <t>All xxx Dates</t>
  </si>
  <si>
    <t>XXXALL</t>
  </si>
  <si>
    <t>SUBR("*GCAZ206","DA")</t>
  </si>
  <si>
    <t>TXXXDALL</t>
  </si>
  <si>
    <t>All xxx Results</t>
  </si>
  <si>
    <t>SUBR("*GCAZ206","RA")</t>
  </si>
  <si>
    <t>TXXXALL</t>
  </si>
  <si>
    <t>Locate xxx Reading from Chemistry</t>
  </si>
  <si>
    <t>SUBR(SUBR.PENBW:"PBWI714",TREADINGNO,TREADVALUE,"205")</t>
  </si>
  <si>
    <t>TXXX</t>
  </si>
  <si>
    <t>Last three Xtals results</t>
  </si>
  <si>
    <t>XTALSLAST3</t>
  </si>
  <si>
    <t>SUBR("*GCAZ206","63/6/L3")</t>
  </si>
  <si>
    <t>TXTALSLAST3</t>
  </si>
  <si>
    <t>Last three Xtals dates</t>
  </si>
  <si>
    <t>SUBR("*GCAZ206","63DL3")</t>
  </si>
  <si>
    <t>TXTALSDLAST3</t>
  </si>
  <si>
    <t>Reg. Date of Xtals reading</t>
  </si>
  <si>
    <t>Xtals</t>
  </si>
  <si>
    <t>SUBR("*GCAZ206","63G")</t>
  </si>
  <si>
    <t>TXTALSDATEREG</t>
  </si>
  <si>
    <t>Date of Xtals reading</t>
  </si>
  <si>
    <t>SUBR("*GCAZ206","63D")</t>
  </si>
  <si>
    <t>TXTALSDATE</t>
  </si>
  <si>
    <t>All Xtals Dates</t>
  </si>
  <si>
    <t>XTALSALL</t>
  </si>
  <si>
    <t>SUBR("*GCAZ206","63DA")</t>
  </si>
  <si>
    <t>TXTALSDALL</t>
  </si>
  <si>
    <t>All Xtals Results</t>
  </si>
  <si>
    <t>SUBR("*GCAZ206","63RA")</t>
  </si>
  <si>
    <t>TXTALSALL</t>
  </si>
  <si>
    <t>Locate Xtals Reading from Chemistry</t>
  </si>
  <si>
    <t>SUBR("*GCAI714",TREADINGNO,TREADVALUE,"63")</t>
  </si>
  <si>
    <t>TXTALS</t>
  </si>
  <si>
    <t>Last three x results</t>
  </si>
  <si>
    <t>XLAST3</t>
  </si>
  <si>
    <t>TXLAST3</t>
  </si>
  <si>
    <t>Last three x dates</t>
  </si>
  <si>
    <t>TXDLAST3</t>
  </si>
  <si>
    <t>Reg. Date of x reading</t>
  </si>
  <si>
    <t>x</t>
  </si>
  <si>
    <t>SUBR("*GCAZ206","G")</t>
  </si>
  <si>
    <t>TXDATEREG</t>
  </si>
  <si>
    <t>Date of x reading</t>
  </si>
  <si>
    <t>SUBR("*GCAZ206","D")</t>
  </si>
  <si>
    <t>TXDATE</t>
  </si>
  <si>
    <t>All x Dates</t>
  </si>
  <si>
    <t>XALL</t>
  </si>
  <si>
    <t>TXDALL</t>
  </si>
  <si>
    <t>All x Results</t>
  </si>
  <si>
    <t>TXALL</t>
  </si>
  <si>
    <t>Locate x Reading from Chemistry</t>
  </si>
  <si>
    <t>SUBR("*GCAI714",TREADINGNO,TREADVALUE,"")</t>
  </si>
  <si>
    <t>TX</t>
  </si>
  <si>
    <t>Last three WSVA results</t>
  </si>
  <si>
    <t>WSVALAST3</t>
  </si>
  <si>
    <t>SUBR("*GCAZ206","152/6/L3")</t>
  </si>
  <si>
    <t>TWSVALAST3</t>
  </si>
  <si>
    <t>Last three WSVA dates</t>
  </si>
  <si>
    <t>SUBR("*GCAZ206","152DL3")</t>
  </si>
  <si>
    <t>TWSVADLAST3</t>
  </si>
  <si>
    <t>Reg. Date of WSVA reading</t>
  </si>
  <si>
    <t>WSVA</t>
  </si>
  <si>
    <t>SUBR("*GCAZ206","152G")</t>
  </si>
  <si>
    <t>TWSVADATEREG</t>
  </si>
  <si>
    <t>Date of WSVA reading</t>
  </si>
  <si>
    <t>SUBR("*GCAZ206","152D")</t>
  </si>
  <si>
    <t>TWSVADATE</t>
  </si>
  <si>
    <t>All WSVA Dates</t>
  </si>
  <si>
    <t>WSVAALL</t>
  </si>
  <si>
    <t>SUBR("*GCAZ206","152DA")</t>
  </si>
  <si>
    <t>TWSVADALL</t>
  </si>
  <si>
    <t>All WSVA Results</t>
  </si>
  <si>
    <t>SUBR("*GCAZ206","152RA")</t>
  </si>
  <si>
    <t>TWSVAALL</t>
  </si>
  <si>
    <t>Locate WSVA Reading from Chemistry</t>
  </si>
  <si>
    <t>SUBR("*GCAI714",TREADINGNO,TREADVALUE,"152")</t>
  </si>
  <si>
    <t>TWSVA</t>
  </si>
  <si>
    <t>Last three WSMALO results</t>
  </si>
  <si>
    <t>WSMALOLAST3</t>
  </si>
  <si>
    <t>SUBR("*GCAZ206","155/6/L3")</t>
  </si>
  <si>
    <t>TWSMALOLAST3</t>
  </si>
  <si>
    <t>Last three WSMALO dates</t>
  </si>
  <si>
    <t>SUBR("*GCAZ206","155DL3")</t>
  </si>
  <si>
    <t>TWSMALODLAST3</t>
  </si>
  <si>
    <t>Reg. Date of WSMALO reading</t>
  </si>
  <si>
    <t>WSMALO</t>
  </si>
  <si>
    <t>SUBR("*GCAZ206","155G")</t>
  </si>
  <si>
    <t>TWSMALODATEREG</t>
  </si>
  <si>
    <t>Date of WSMALO reading</t>
  </si>
  <si>
    <t>SUBR("*GCAZ206","155D")</t>
  </si>
  <si>
    <t>TWSMALODATE</t>
  </si>
  <si>
    <t>All WSMALO Dates</t>
  </si>
  <si>
    <t>WSMALOALL</t>
  </si>
  <si>
    <t>SUBR("*GCAZ206","155DA")</t>
  </si>
  <si>
    <t>TWSMALODALL</t>
  </si>
  <si>
    <t>All WSMALO times</t>
  </si>
  <si>
    <t>MTS</t>
  </si>
  <si>
    <t>SUBR(SUBR.PENBW:"PBWZ206","155TA")</t>
  </si>
  <si>
    <t>TWSMALOALLT</t>
  </si>
  <si>
    <t>All WSMALO Results</t>
  </si>
  <si>
    <t>SUBR("*GCAZ206","155RA")</t>
  </si>
  <si>
    <t>TWSMALOALL</t>
  </si>
  <si>
    <t>Locate WSMALO Reading from Chemistry</t>
  </si>
  <si>
    <t>SUBR("*GCAI714",TREADINGNO,TREADVALUE,"155")</t>
  </si>
  <si>
    <t>TWSMALO</t>
  </si>
  <si>
    <t>Last three Weight results</t>
  </si>
  <si>
    <t>WEIGHTLAST3</t>
  </si>
  <si>
    <t>SUBR("*GCAZ206","78/6/L3")</t>
  </si>
  <si>
    <t>TWEIGHTLAST3</t>
  </si>
  <si>
    <t>Last three Weight dates</t>
  </si>
  <si>
    <t>SUBR("*GCAZ206","78DL3")</t>
  </si>
  <si>
    <t>TWEIGHTDLAST3</t>
  </si>
  <si>
    <t>Reg. Date of Weight reading</t>
  </si>
  <si>
    <t>Weight</t>
  </si>
  <si>
    <t>SUBR("*GCAZ206","78G")</t>
  </si>
  <si>
    <t>TWEIGHTDATEREG</t>
  </si>
  <si>
    <t>Date of Weight reading</t>
  </si>
  <si>
    <t>SUBR("*GCAZ206","78D")</t>
  </si>
  <si>
    <t>TWEIGHTDATE</t>
  </si>
  <si>
    <t>All Weight Dates</t>
  </si>
  <si>
    <t>WEIGHTALL</t>
  </si>
  <si>
    <t>SUBR("*GCAZ206","78DA")</t>
  </si>
  <si>
    <t>TWEIGHTDALL</t>
  </si>
  <si>
    <t>All Weight Results</t>
  </si>
  <si>
    <t>SUBR("*GCAZ206","78RA")</t>
  </si>
  <si>
    <t>TWEIGHTALL</t>
  </si>
  <si>
    <t>Locate Weight Reading from Chemistry</t>
  </si>
  <si>
    <t>SUBR("*GCAI714",TREADINGNO,TREADVALUE,"78")</t>
  </si>
  <si>
    <t>TWEIGHT</t>
  </si>
  <si>
    <t>SUBR("*PBWZ171",TTABLE,TDIP,"V")</t>
  </si>
  <si>
    <t>TVOLUME1</t>
  </si>
  <si>
    <t>SUBR("*PBWZ171",TTABLE,TDIP,"V")+0</t>
  </si>
  <si>
    <t>TVOLUME0</t>
  </si>
  <si>
    <t>12R</t>
  </si>
  <si>
    <t>TVOLUME.MJS</t>
  </si>
  <si>
    <t>IF @ID[2,1] = '#' THEN TDIP ELSE SUBR("*GBWZ171",TTABLE,TDIP,"V")+0</t>
  </si>
  <si>
    <t>TVOLUME</t>
  </si>
  <si>
    <t>Formatted TVOLUME</t>
  </si>
  <si>
    <t>MD00,</t>
  </si>
  <si>
    <t>TVOL</t>
  </si>
  <si>
    <t>Last three Visual results</t>
  </si>
  <si>
    <t>VISUALLAST3</t>
  </si>
  <si>
    <t>SUBR("*GCAZ206","13/6/L3")</t>
  </si>
  <si>
    <t>TVISUALLAST3</t>
  </si>
  <si>
    <t>Last three Visual dates</t>
  </si>
  <si>
    <t>SUBR("*GCAZ206","13DL3")</t>
  </si>
  <si>
    <t>TVISUALDLAST3</t>
  </si>
  <si>
    <t>Reg. Date of Visual reading</t>
  </si>
  <si>
    <t>Visual</t>
  </si>
  <si>
    <t>SUBR("*GCAZ206","13G")</t>
  </si>
  <si>
    <t>TVISUALDATEREG</t>
  </si>
  <si>
    <t>Date of Visual reading</t>
  </si>
  <si>
    <t>SUBR("*GCAZ206","13D")</t>
  </si>
  <si>
    <t>TVISUALDATE</t>
  </si>
  <si>
    <t>All Visual Dates</t>
  </si>
  <si>
    <t>VISUALALL</t>
  </si>
  <si>
    <t>SUBR("*GCAZ206","13DA")</t>
  </si>
  <si>
    <t>TVISUALDALL</t>
  </si>
  <si>
    <t>All Visual Results</t>
  </si>
  <si>
    <t>SUBR("*GCAZ206","13RA")</t>
  </si>
  <si>
    <t>TVISUALALL</t>
  </si>
  <si>
    <t>Locate Visual Reading from Chemistry</t>
  </si>
  <si>
    <t>SUBR("*GCAI714",TREADINGNO,TREADVALUE,"13")</t>
  </si>
  <si>
    <t>TVISUAL</t>
  </si>
  <si>
    <t>Last three Viscos results</t>
  </si>
  <si>
    <t>VISCOSLAST3</t>
  </si>
  <si>
    <t>SUBR("*GCAZ206","80/6/L3")</t>
  </si>
  <si>
    <t>TVISCOSLAST3</t>
  </si>
  <si>
    <t>Last three Viscos dates</t>
  </si>
  <si>
    <t>SUBR("*GCAZ206","80DL3")</t>
  </si>
  <si>
    <t>TVISCOSDLAST3</t>
  </si>
  <si>
    <t>Reg. Date of Viscos reading</t>
  </si>
  <si>
    <t>Viscos</t>
  </si>
  <si>
    <t>SUBR("*GCAZ206","80G")</t>
  </si>
  <si>
    <t>TVISCOSDATEREG</t>
  </si>
  <si>
    <t>Date of Viscos reading</t>
  </si>
  <si>
    <t>SUBR("*GCAZ206","80D")</t>
  </si>
  <si>
    <t>TVISCOSDATE</t>
  </si>
  <si>
    <t>All Viscos Dates</t>
  </si>
  <si>
    <t>VISCOSALL</t>
  </si>
  <si>
    <t>SUBR("*GCAZ206","80DA")</t>
  </si>
  <si>
    <t>TVISCOSDALL</t>
  </si>
  <si>
    <t>All Viscos Results</t>
  </si>
  <si>
    <t>SUBR("*GCAZ206","80RA")</t>
  </si>
  <si>
    <t>TVISCOSALL</t>
  </si>
  <si>
    <t>Locate Viscos Reading from Chemistry</t>
  </si>
  <si>
    <t>SUBR("*GCAI714",TREADINGNO,TREADVALUE,"80")</t>
  </si>
  <si>
    <t>TVISCOS</t>
  </si>
  <si>
    <t>Extract Vintage from blend code</t>
  </si>
  <si>
    <t>TBLEND[2,2]</t>
  </si>
  <si>
    <t>TVINTAGE</t>
  </si>
  <si>
    <t>Last three VATop results</t>
  </si>
  <si>
    <t>VATOPLAST3</t>
  </si>
  <si>
    <t>SUBR("*GCAZ206","169/6/L3")</t>
  </si>
  <si>
    <t>TVATOPLAST3</t>
  </si>
  <si>
    <t>Last three VATop dates</t>
  </si>
  <si>
    <t>SUBR("*GCAZ206","169DL3")</t>
  </si>
  <si>
    <t>TVATOPDLAST3</t>
  </si>
  <si>
    <t>Reg. Date of VATop reading</t>
  </si>
  <si>
    <t>VATop</t>
  </si>
  <si>
    <t>SUBR("*GCAZ206","169G")</t>
  </si>
  <si>
    <t>TVATOPDATEREG</t>
  </si>
  <si>
    <t>Date of VATop reading</t>
  </si>
  <si>
    <t>SUBR("*GCAZ206","169D")</t>
  </si>
  <si>
    <t>TVATOPDATE</t>
  </si>
  <si>
    <t>All VATop Dates</t>
  </si>
  <si>
    <t>VATOPALL</t>
  </si>
  <si>
    <t>SUBR("*GCAZ206","169DA")</t>
  </si>
  <si>
    <t>TVATOPDALL</t>
  </si>
  <si>
    <t>All VATop Results</t>
  </si>
  <si>
    <t>SUBR("*GCAZ206","169RA")</t>
  </si>
  <si>
    <t>TVATOPALL</t>
  </si>
  <si>
    <t>Locate VATop Reading from Chemistry</t>
  </si>
  <si>
    <t>SUBR("*GCAI714",TREADINGNO,TREADVALUE,"169")</t>
  </si>
  <si>
    <t>TVATOP</t>
  </si>
  <si>
    <t>VARIETY</t>
  </si>
  <si>
    <t>IF LEN(TBLEND)="7" OR LEN(TBLEND)="8" THEN</t>
  </si>
  <si>
    <t>TVARIETY.OR.VARTYPE</t>
  </si>
  <si>
    <t>Extract Variety from blend code</t>
  </si>
  <si>
    <t>TBLEND[5,3]</t>
  </si>
  <si>
    <t>TVARIETY.OLD</t>
  </si>
  <si>
    <t>TVARIETY</t>
  </si>
  <si>
    <t>Last three VAmeq results</t>
  </si>
  <si>
    <t>VAMEQLAST3</t>
  </si>
  <si>
    <t>SUBR("*GCAZ206","206/6/L3")</t>
  </si>
  <si>
    <t>TVAMEQLAST3</t>
  </si>
  <si>
    <t>Last three VAmeq dates</t>
  </si>
  <si>
    <t>SUBR("*GCAZ206","206DL3")</t>
  </si>
  <si>
    <t>TVAMEQDLAST3</t>
  </si>
  <si>
    <t>Reg. Date of VAmeq reading</t>
  </si>
  <si>
    <t>VAmeq</t>
  </si>
  <si>
    <t>SUBR("*GCAZ206","206G")</t>
  </si>
  <si>
    <t>TVAMEQDATEREG</t>
  </si>
  <si>
    <t>Date of VAmeq reading</t>
  </si>
  <si>
    <t>SUBR("*GCAZ206","206D")</t>
  </si>
  <si>
    <t>TVAMEQDATE</t>
  </si>
  <si>
    <t>All VAmeq Dates</t>
  </si>
  <si>
    <t>VAMEQALL</t>
  </si>
  <si>
    <t>SUBR("*GCAZ206","206DA")</t>
  </si>
  <si>
    <t>TVAMEQDALL</t>
  </si>
  <si>
    <t>All VAmeq Results</t>
  </si>
  <si>
    <t>SUBR("*GCAZ206","206RA")</t>
  </si>
  <si>
    <t>TVAMEQALL</t>
  </si>
  <si>
    <t>Locate VAmeq Reading from Chemistry</t>
  </si>
  <si>
    <t>SUBR("*GCAI714",TREADINGNO,TREADVALUE,"206")</t>
  </si>
  <si>
    <t>TVAMEQ</t>
  </si>
  <si>
    <t>Last three VA results</t>
  </si>
  <si>
    <t>VALAST3</t>
  </si>
  <si>
    <t>SUBR("*GCAZ206","10/6/L3")</t>
  </si>
  <si>
    <t>TVALAST3</t>
  </si>
  <si>
    <t>Last three VA dates</t>
  </si>
  <si>
    <t>SUBR("*GCAZ206","10DL3")</t>
  </si>
  <si>
    <t>TVADLAST3</t>
  </si>
  <si>
    <t>Reg. Date of VA reading</t>
  </si>
  <si>
    <t>SUBR("*GCAZ206","10G")</t>
  </si>
  <si>
    <t>TVADATEREG</t>
  </si>
  <si>
    <t>Date of VA reading</t>
  </si>
  <si>
    <t>SUBR("*GCAZ206","10D")</t>
  </si>
  <si>
    <t>TVADATE</t>
  </si>
  <si>
    <t>All VA Dates</t>
  </si>
  <si>
    <t>VAALL</t>
  </si>
  <si>
    <t>SUBR("*GCAZ206","10DA")</t>
  </si>
  <si>
    <t>TVADALL</t>
  </si>
  <si>
    <t>All VA Results</t>
  </si>
  <si>
    <t>SUBR("*GCAZ206","10RA")</t>
  </si>
  <si>
    <t>TVAALL</t>
  </si>
  <si>
    <t>Increase in latest VA reading over average of previous 2 readings</t>
  </si>
  <si>
    <t>VA Change</t>
  </si>
  <si>
    <t>TVALAST3&lt;1,1,1&gt;; TVALAST3&lt;1,2,1&gt;; TVALAST3&lt;1,3,1&gt;; IF @2&gt;0 THEN 1 ELSE 0; IF @3&gt;0</t>
  </si>
  <si>
    <t>TVA.CHANGE</t>
  </si>
  <si>
    <t>Locate VA Reading from Chemistry</t>
  </si>
  <si>
    <t>SUBR("*GCAI714",TREADINGNO,TREADVALUE,"10")</t>
  </si>
  <si>
    <t>TVA</t>
  </si>
  <si>
    <t>Calculation of Ullage or full</t>
  </si>
  <si>
    <t>IF (OCONV(TCAPACITY,'MD00P')-(OCONV(TCAPACITY,'MD00P')-OCONV(TVOLUME,'MD00P'))) #</t>
  </si>
  <si>
    <t>TULLAGE.EXCL.EMPTY</t>
  </si>
  <si>
    <t>Calculated ullage volume</t>
  </si>
  <si>
    <t>IF TBLEND = 'MT' THEN 0 ELSE IF HBOTNECK THEN VOLBOTNECK - TVOLUME ELSE</t>
  </si>
  <si>
    <t>TULLAGE</t>
  </si>
  <si>
    <t>SUBR(SUBR.PENBW:'PBWZ206','10D')</t>
  </si>
  <si>
    <t>TUADATE</t>
  </si>
  <si>
    <t>Locate UA Reading from Chemistry</t>
  </si>
  <si>
    <t>SUBR("*PBWI714",TREADINGNO,TREADVALUE,"10")</t>
  </si>
  <si>
    <t>TUA</t>
  </si>
  <si>
    <t>Last three Turb results</t>
  </si>
  <si>
    <t>TURBLAST3</t>
  </si>
  <si>
    <t>SUBR("*GCAZ206","34/6/L3")</t>
  </si>
  <si>
    <t>TTURBLAST3</t>
  </si>
  <si>
    <t>Last three Turb dates</t>
  </si>
  <si>
    <t>SUBR("*GCAZ206","34DL3")</t>
  </si>
  <si>
    <t>TTURBDLAST3</t>
  </si>
  <si>
    <t>Reg. Date of Turb reading</t>
  </si>
  <si>
    <t>Turb</t>
  </si>
  <si>
    <t>SUBR("*GCAZ206","34G")</t>
  </si>
  <si>
    <t>TTURBDATEREG</t>
  </si>
  <si>
    <t>Date of Turb reading</t>
  </si>
  <si>
    <t>SUBR("*GCAZ206","34D")</t>
  </si>
  <si>
    <t>TTURBDATE</t>
  </si>
  <si>
    <t>All Turb Dates</t>
  </si>
  <si>
    <t>TURBALL</t>
  </si>
  <si>
    <t>SUBR("*GCAZ206","34DA")</t>
  </si>
  <si>
    <t>TTURBDALL</t>
  </si>
  <si>
    <t>All Turb Results</t>
  </si>
  <si>
    <t>SUBR("*GCAZ206","34RA")</t>
  </si>
  <si>
    <t>TTURBALL</t>
  </si>
  <si>
    <t>Locate Turb Reading from Chemistry</t>
  </si>
  <si>
    <t>SUBR("*GCAI714",TREADINGNO,TREADVALUE,"34")</t>
  </si>
  <si>
    <t>TTURB</t>
  </si>
  <si>
    <t>Last three TSO2 Times</t>
  </si>
  <si>
    <t>TSO2LAST3</t>
  </si>
  <si>
    <t>SUBR(SUBR.PENBW:"PBWZ206","6/14/L3")</t>
  </si>
  <si>
    <t>TTSO2TIMELAST3</t>
  </si>
  <si>
    <t>Last three TSO2 Tanks</t>
  </si>
  <si>
    <t>23L</t>
  </si>
  <si>
    <t>SUBR(SUBR.PENBW:"PBWZ206","6/1/L3")</t>
  </si>
  <si>
    <t>TTSO2TANKLAST3</t>
  </si>
  <si>
    <t>Last three TSO2 results</t>
  </si>
  <si>
    <t>SUBR(SUBR.PENBW:"PBWZ206","6/6/L3")</t>
  </si>
  <si>
    <t>TTSO2LAST3</t>
  </si>
  <si>
    <t>Last three TSO2 dates</t>
  </si>
  <si>
    <t>SUBR(SUBR.PENBW:"PBWZ206","6DL3")</t>
  </si>
  <si>
    <t>TTSO2DLAST3</t>
  </si>
  <si>
    <t>Date of TSO2 reading</t>
  </si>
  <si>
    <t>TSO2</t>
  </si>
  <si>
    <t>SUBR(SUBR.PENBW:'PBWZ206','6D')</t>
  </si>
  <si>
    <t>TTSO2DATE</t>
  </si>
  <si>
    <t>Last three TSO2 Batches</t>
  </si>
  <si>
    <t>7L</t>
  </si>
  <si>
    <t>SUBR(SUBR.PENBW:"PBWZ206","6/15/L3")</t>
  </si>
  <si>
    <t>TTSO2BATCHLAST3</t>
  </si>
  <si>
    <t>Locate TSO2 Reading from Chemistry</t>
  </si>
  <si>
    <t>SUBR("*PBWI714",TREADINGNO,TREADVALUE,"6")</t>
  </si>
  <si>
    <t>TTSO2</t>
  </si>
  <si>
    <t>Last three TSAT results</t>
  </si>
  <si>
    <t>TSATLAST3</t>
  </si>
  <si>
    <t>SUBR("*GCAZ206","181/6/L3")</t>
  </si>
  <si>
    <t>TTSATLAST3</t>
  </si>
  <si>
    <t>Last three TSAT dates</t>
  </si>
  <si>
    <t>SUBR("*GCAZ206","181DL3")</t>
  </si>
  <si>
    <t>TTSATDLAST3</t>
  </si>
  <si>
    <t>Reg. Date of TSAT reading</t>
  </si>
  <si>
    <t>TSAT</t>
  </si>
  <si>
    <t>SUBR("*GCAZ206","181G")</t>
  </si>
  <si>
    <t>TTSATDATEREG</t>
  </si>
  <si>
    <t>Date of TSAT reading</t>
  </si>
  <si>
    <t>SUBR("*GCAZ206","181D")</t>
  </si>
  <si>
    <t>TTSATDATE</t>
  </si>
  <si>
    <t>All TSAT Dates</t>
  </si>
  <si>
    <t>TSATALL</t>
  </si>
  <si>
    <t>SUBR("*GCAZ206","181DA")</t>
  </si>
  <si>
    <t>TTSATDALL</t>
  </si>
  <si>
    <t>All TSAT Results</t>
  </si>
  <si>
    <t>SUBR("*GCAZ206","181RA")</t>
  </si>
  <si>
    <t>TTSATALL</t>
  </si>
  <si>
    <t>Locate TSAT Reading from Chemistry</t>
  </si>
  <si>
    <t>SUBR("*GCAI714",TREADINGNO,TREADVALUE,"181")</t>
  </si>
  <si>
    <t>TTSAT</t>
  </si>
  <si>
    <t>Last three TS02 results</t>
  </si>
  <si>
    <t>TS02LAST3</t>
  </si>
  <si>
    <t>SUBR("*GCAZ206","6/6/L3")</t>
  </si>
  <si>
    <t>TTS02LAST3</t>
  </si>
  <si>
    <t>Last three TS02 dates</t>
  </si>
  <si>
    <t>SUBR("*GCAZ206","6DL3")</t>
  </si>
  <si>
    <t>TTS02DLAST3</t>
  </si>
  <si>
    <t>Reg. Date of TS02 reading</t>
  </si>
  <si>
    <t>TS02</t>
  </si>
  <si>
    <t>SUBR("*GCAZ206","6G")</t>
  </si>
  <si>
    <t>TTS02DATEREG</t>
  </si>
  <si>
    <t>Date of TS02 reading</t>
  </si>
  <si>
    <t>SUBR("*GCAZ206","6D")</t>
  </si>
  <si>
    <t>TTS02DATE</t>
  </si>
  <si>
    <t>All TS02 Dates</t>
  </si>
  <si>
    <t>TS02ALL</t>
  </si>
  <si>
    <t>SUBR("*GCAZ206","6DA")</t>
  </si>
  <si>
    <t>TTS02DALL</t>
  </si>
  <si>
    <t>All TS02 Results</t>
  </si>
  <si>
    <t>SUBR("*GCAZ206","6RA")</t>
  </si>
  <si>
    <t>TTS02ALL</t>
  </si>
  <si>
    <t>Locate TS02 Reading from Chemistry</t>
  </si>
  <si>
    <t>SUBR("*GCAI714",TREADINGNO,TREADVALUE,"6")</t>
  </si>
  <si>
    <t>TTS02</t>
  </si>
  <si>
    <t>Last three TotalAlc results</t>
  </si>
  <si>
    <t>TOTALALCLAS</t>
  </si>
  <si>
    <t>SUBR("*GCAZ206","205/6/L3")</t>
  </si>
  <si>
    <t>TTOTALALCLAST3</t>
  </si>
  <si>
    <t>Last three TotalAlc dates</t>
  </si>
  <si>
    <t>SUBR("*GCAZ206","205DL3")</t>
  </si>
  <si>
    <t>TTOTALALCDLAST3</t>
  </si>
  <si>
    <t>Reg. Date of TotalAlc reading</t>
  </si>
  <si>
    <t>TotalAlc</t>
  </si>
  <si>
    <t>SUBR("*GCAZ206","205G")</t>
  </si>
  <si>
    <t>TTOTALALCDATEREG</t>
  </si>
  <si>
    <t>Date of TotalAlc reading</t>
  </si>
  <si>
    <t>SUBR("*GCAZ206","205D")</t>
  </si>
  <si>
    <t>TTOTALALCDATE</t>
  </si>
  <si>
    <t>All TotalAlc Dates</t>
  </si>
  <si>
    <t>TOTALALCALL</t>
  </si>
  <si>
    <t>SUBR("*GCAZ206","205DA")</t>
  </si>
  <si>
    <t>TTOTALALCDALL</t>
  </si>
  <si>
    <t>All TotalAlc Results</t>
  </si>
  <si>
    <t>SUBR("*GCAZ206","205RA")</t>
  </si>
  <si>
    <t>TTOTALALCALL</t>
  </si>
  <si>
    <t>Locate TotalAlc Reading from Chemistry</t>
  </si>
  <si>
    <t>SUBR("*GCAI714",TREADINGNO,TREADVALUE,"205")</t>
  </si>
  <si>
    <t>TTOTALALC</t>
  </si>
  <si>
    <t>Last three Total Alc results</t>
  </si>
  <si>
    <t>TOTAL.ALCLA</t>
  </si>
  <si>
    <t>TTOTAL.ALCLAST3</t>
  </si>
  <si>
    <t>Last three Total Alc dates</t>
  </si>
  <si>
    <t>TTOTAL.ALCDLAST3</t>
  </si>
  <si>
    <t>Reg. Date of Total Alc reading</t>
  </si>
  <si>
    <t>Total Alc</t>
  </si>
  <si>
    <t>TTOTAL.ALCDATEREG</t>
  </si>
  <si>
    <t>Date of Total Alc reading</t>
  </si>
  <si>
    <t>TTOTAL.ALCDATE</t>
  </si>
  <si>
    <t>All Total Alc Dates</t>
  </si>
  <si>
    <t>TOTAL.ALCAL</t>
  </si>
  <si>
    <t>TTOTAL.ALCDALL</t>
  </si>
  <si>
    <t>All Total Alc Results</t>
  </si>
  <si>
    <t>TTOTAL.ALCALL</t>
  </si>
  <si>
    <t>Locate Total Alc Reading from Chemistry</t>
  </si>
  <si>
    <t>TTOTAL.ALC</t>
  </si>
  <si>
    <t>Last three Tot Ph results</t>
  </si>
  <si>
    <t>TOT.PHLAST3</t>
  </si>
  <si>
    <t>SUBR("*GCAZ206","53/6/L3")</t>
  </si>
  <si>
    <t>TTOT.PHLAST3</t>
  </si>
  <si>
    <t>Last three Tot Ph dates</t>
  </si>
  <si>
    <t>SUBR("*GCAZ206","53DL3")</t>
  </si>
  <si>
    <t>TTOT.PHDLAST3</t>
  </si>
  <si>
    <t>Reg. Date of Tot Ph reading</t>
  </si>
  <si>
    <t>Tot Ph</t>
  </si>
  <si>
    <t>SUBR("*GCAZ206","53G")</t>
  </si>
  <si>
    <t>TTOT.PHDATEREG</t>
  </si>
  <si>
    <t>Date of Tot Ph reading</t>
  </si>
  <si>
    <t>SUBR("*GCAZ206","53D")</t>
  </si>
  <si>
    <t>TTOT.PHDATE</t>
  </si>
  <si>
    <t>All Tot Ph Dates</t>
  </si>
  <si>
    <t>TOT.PHALL</t>
  </si>
  <si>
    <t>SUBR("*GCAZ206","53DA")</t>
  </si>
  <si>
    <t>TTOT.PHDALL</t>
  </si>
  <si>
    <t>All Tot Ph Results</t>
  </si>
  <si>
    <t>SUBR("*GCAZ206","53RA")</t>
  </si>
  <si>
    <t>TTOT.PHALL</t>
  </si>
  <si>
    <t>Locate Tot Ph Reading from Chemistry</t>
  </si>
  <si>
    <t>SUBR("*GCAI714",TREADINGNO,TREADVALUE,"53")</t>
  </si>
  <si>
    <t>TTOT.PH</t>
  </si>
  <si>
    <t>Last three Tot An results</t>
  </si>
  <si>
    <t>TOT.ANLAST3</t>
  </si>
  <si>
    <t>SUBR("*GCAZ206","51/6/L3")</t>
  </si>
  <si>
    <t>TTOT.ANLAST3</t>
  </si>
  <si>
    <t>Last three Tot An dates</t>
  </si>
  <si>
    <t>SUBR("*GCAZ206","51DL3")</t>
  </si>
  <si>
    <t>TTOT.ANDLAST3</t>
  </si>
  <si>
    <t>Reg. Date of Tot An reading</t>
  </si>
  <si>
    <t>Tot An</t>
  </si>
  <si>
    <t>SUBR("*GCAZ206","51G")</t>
  </si>
  <si>
    <t>TTOT.ANDATEREG</t>
  </si>
  <si>
    <t>Date of Tot An reading</t>
  </si>
  <si>
    <t>SUBR("*GCAZ206","51D")</t>
  </si>
  <si>
    <t>TTOT.ANDATE</t>
  </si>
  <si>
    <t>All Tot An Dates</t>
  </si>
  <si>
    <t>TOT.ANALL</t>
  </si>
  <si>
    <t>SUBR("*GCAZ206","51DA")</t>
  </si>
  <si>
    <t>TTOT.ANDALL</t>
  </si>
  <si>
    <t>All Tot An Results</t>
  </si>
  <si>
    <t>SUBR("*GCAZ206","51RA")</t>
  </si>
  <si>
    <t>TTOT.ANALL</t>
  </si>
  <si>
    <t>Locate Tot An Reading from Chemistry</t>
  </si>
  <si>
    <t>SUBR("*GCAI714",TREADINGNO,TREADVALUE,"51")</t>
  </si>
  <si>
    <t>TTOT.AN</t>
  </si>
  <si>
    <t>Last three TOPMAL results</t>
  </si>
  <si>
    <t>TOPMALLAST3</t>
  </si>
  <si>
    <t>SUBR("*GCAZ206","182/6/L3")</t>
  </si>
  <si>
    <t>TTOPMALLAST3</t>
  </si>
  <si>
    <t>Last three TOPMAL dates</t>
  </si>
  <si>
    <t>SUBR("*GCAZ206","182DL3")</t>
  </si>
  <si>
    <t>TTOPMALDLAST3</t>
  </si>
  <si>
    <t>Reg. Date of TOPMAL reading</t>
  </si>
  <si>
    <t>TOPMAL</t>
  </si>
  <si>
    <t>SUBR("*GCAZ206","182G")</t>
  </si>
  <si>
    <t>TTOPMALDATEREG</t>
  </si>
  <si>
    <t>Date of TOPMAL reading</t>
  </si>
  <si>
    <t>SUBR("*GCAZ206","182D")</t>
  </si>
  <si>
    <t>TTOPMALDATE</t>
  </si>
  <si>
    <t>All TOPMAL Dates</t>
  </si>
  <si>
    <t>TOPMALALL</t>
  </si>
  <si>
    <t>SUBR("*GCAZ206","182DA")</t>
  </si>
  <si>
    <t>TTOPMALDALL</t>
  </si>
  <si>
    <t>All TOPMAL Results</t>
  </si>
  <si>
    <t>SUBR("*GCAZ206","182RA")</t>
  </si>
  <si>
    <t>TTOPMALALL</t>
  </si>
  <si>
    <t>Locate TOPMAL Reading from Chemistry</t>
  </si>
  <si>
    <t>SUBR("*GCAI714",TREADINGNO,TREADVALUE,"182")</t>
  </si>
  <si>
    <t>TTOPMAL</t>
  </si>
  <si>
    <t>Locate FSO2 Reading from Chemistry</t>
  </si>
  <si>
    <t>18L</t>
  </si>
  <si>
    <t>FSO2</t>
  </si>
  <si>
    <t>SUBR("*PBWZ206","7")</t>
  </si>
  <si>
    <t>TTFSO2</t>
  </si>
  <si>
    <t>Last three TERP results</t>
  </si>
  <si>
    <t>TERPLAST3</t>
  </si>
  <si>
    <t>SUBR("*GCAZ206","123/6/L3")</t>
  </si>
  <si>
    <t>TTERPLAST3</t>
  </si>
  <si>
    <t>Last three TERP dates</t>
  </si>
  <si>
    <t>SUBR("*GCAZ206","123DL3")</t>
  </si>
  <si>
    <t>TTERPDLAST3</t>
  </si>
  <si>
    <t>Reg. Date of TERP reading</t>
  </si>
  <si>
    <t>TERP</t>
  </si>
  <si>
    <t>SUBR("*GCAZ206","123G")</t>
  </si>
  <si>
    <t>TTERPDATEREG</t>
  </si>
  <si>
    <t>Date of TERP reading</t>
  </si>
  <si>
    <t>SUBR("*GCAZ206","123D")</t>
  </si>
  <si>
    <t>TTERPDATE</t>
  </si>
  <si>
    <t>All TERP Dates</t>
  </si>
  <si>
    <t>TERPALL</t>
  </si>
  <si>
    <t>SUBR("*GCAZ206","123DA")</t>
  </si>
  <si>
    <t>TTERPDALL</t>
  </si>
  <si>
    <t>All TERP Results</t>
  </si>
  <si>
    <t>SUBR("*GCAZ206","123RA")</t>
  </si>
  <si>
    <t>TTERPALL</t>
  </si>
  <si>
    <t>Locate TERP Reading from Chemistry</t>
  </si>
  <si>
    <t>SUBR("*GCAI714",TREADINGNO,TREADVALUE,"123")</t>
  </si>
  <si>
    <t>TTERP</t>
  </si>
  <si>
    <t>Locate Temperature Reading from Chemistry Analysis</t>
  </si>
  <si>
    <t>18T</t>
  </si>
  <si>
    <t>TEMP</t>
  </si>
  <si>
    <t>SUBR("*PBWZ206",'1')</t>
  </si>
  <si>
    <t>TTEMPREAD</t>
  </si>
  <si>
    <t>Last three Temp results</t>
  </si>
  <si>
    <t>TEMPLAST3</t>
  </si>
  <si>
    <t>SUBR("*GCAZ206","1/6/L3")</t>
  </si>
  <si>
    <t>TTEMPLAST3</t>
  </si>
  <si>
    <t>Last three Temp dates</t>
  </si>
  <si>
    <t>SUBR("*GCAZ206","1DL3")</t>
  </si>
  <si>
    <t>TTEMPDLAST3</t>
  </si>
  <si>
    <t>Reg. Date of Temp reading</t>
  </si>
  <si>
    <t>Temp</t>
  </si>
  <si>
    <t>SUBR("*GCAZ206","1G")</t>
  </si>
  <si>
    <t>TTEMPDATEREG</t>
  </si>
  <si>
    <t>Date of Temp reading</t>
  </si>
  <si>
    <t>SUBR("*GCAZ206","1D")</t>
  </si>
  <si>
    <t>TTEMPDATE</t>
  </si>
  <si>
    <t>All Temp Dates</t>
  </si>
  <si>
    <t>TEMPALL</t>
  </si>
  <si>
    <t>SUBR("*GCAZ206","1DA")</t>
  </si>
  <si>
    <t>TTEMPDALL</t>
  </si>
  <si>
    <t>All Temp Results</t>
  </si>
  <si>
    <t>SUBR("*GCAZ206","1RA")</t>
  </si>
  <si>
    <t>TTEMPALL</t>
  </si>
  <si>
    <t>Locate Temp Reading from Chemistry</t>
  </si>
  <si>
    <t>SUBR("*GCAI714",TREADINGNO,TREADVALUE,"1")</t>
  </si>
  <si>
    <t>TTEMP</t>
  </si>
  <si>
    <t>Last three temp results (associate with Be for wine in tank)</t>
  </si>
  <si>
    <t>BELAST3</t>
  </si>
  <si>
    <t>SUBR(SUBR.PENBW:"PBWZ206","1/6/L3")</t>
  </si>
  <si>
    <t>TTELAST3</t>
  </si>
  <si>
    <t>SUBR(SUBR.PENBW:"PBWZ206","1DL3")</t>
  </si>
  <si>
    <t>TTEDLAST3</t>
  </si>
  <si>
    <t>BEALL</t>
  </si>
  <si>
    <t>SUBR(SUBR.PENBW:"PBWZ206","1DA")</t>
  </si>
  <si>
    <t>TTEDALL</t>
  </si>
  <si>
    <t>All Temp times</t>
  </si>
  <si>
    <t>SUBR(SUBR.PENBW:"PBWZ206","1TA")</t>
  </si>
  <si>
    <t>TTEALLT</t>
  </si>
  <si>
    <t>All Temp results</t>
  </si>
  <si>
    <t>SUBR(SUBR.PENBW:"PBWZ206","1RA")</t>
  </si>
  <si>
    <t>TTEALL</t>
  </si>
  <si>
    <t>Last three TDE results</t>
  </si>
  <si>
    <t>TDELAST3</t>
  </si>
  <si>
    <t>SUBR("*GCAZ206","193/6/L3")</t>
  </si>
  <si>
    <t>TTDELAST3</t>
  </si>
  <si>
    <t>Last three TDE dates</t>
  </si>
  <si>
    <t>SUBR("*GCAZ206","193DL3")</t>
  </si>
  <si>
    <t>TTDEDLAST3</t>
  </si>
  <si>
    <t>Reg. Date of TDE reading</t>
  </si>
  <si>
    <t>TDE</t>
  </si>
  <si>
    <t>SUBR("*GCAZ206","193G")</t>
  </si>
  <si>
    <t>TTDEDATEREG</t>
  </si>
  <si>
    <t>Date of TDE reading</t>
  </si>
  <si>
    <t>SUBR("*GCAZ206","193D")</t>
  </si>
  <si>
    <t>TTDEDATE</t>
  </si>
  <si>
    <t>All TDE Dates</t>
  </si>
  <si>
    <t>TDEALL</t>
  </si>
  <si>
    <t>SUBR("*GCAZ206","193DA")</t>
  </si>
  <si>
    <t>TTDEDALL</t>
  </si>
  <si>
    <t>All TDE Results</t>
  </si>
  <si>
    <t>SUBR("*GCAZ206","193RA")</t>
  </si>
  <si>
    <t>TTDEALL</t>
  </si>
  <si>
    <t>Locate TDE Reading from Chemistry</t>
  </si>
  <si>
    <t>SUBR("*GCAI714",TREADINGNO,TREADVALUE,"193")</t>
  </si>
  <si>
    <t>TTDE</t>
  </si>
  <si>
    <t>Last three TCA results</t>
  </si>
  <si>
    <t>TCALAST3</t>
  </si>
  <si>
    <t>SUBR("*GCAZ206","163/6/L3")</t>
  </si>
  <si>
    <t>TTCALAST3</t>
  </si>
  <si>
    <t>Last three TCA dates</t>
  </si>
  <si>
    <t>SUBR("*GCAZ206","163DL3")</t>
  </si>
  <si>
    <t>TTCADLAST3</t>
  </si>
  <si>
    <t>Reg. Date of TCA reading</t>
  </si>
  <si>
    <t>TCA</t>
  </si>
  <si>
    <t>SUBR("*GCAZ206","163G")</t>
  </si>
  <si>
    <t>TTCADATEREG</t>
  </si>
  <si>
    <t>Date of TCA reading</t>
  </si>
  <si>
    <t>SUBR("*GCAZ206","163D")</t>
  </si>
  <si>
    <t>TTCADATE</t>
  </si>
  <si>
    <t>All TCA Dates</t>
  </si>
  <si>
    <t>TCAALL</t>
  </si>
  <si>
    <t>SUBR("*GCAZ206","163DA")</t>
  </si>
  <si>
    <t>TTCADALL</t>
  </si>
  <si>
    <t>All TCA Results</t>
  </si>
  <si>
    <t>SUBR("*GCAZ206","163RA")</t>
  </si>
  <si>
    <t>TTCAALL</t>
  </si>
  <si>
    <t>Locate TCA Reading from Chemistry</t>
  </si>
  <si>
    <t>SUBR("*GCAI714",TREADINGNO,TREADVALUE,"163")</t>
  </si>
  <si>
    <t>TTCA</t>
  </si>
  <si>
    <t>Last three TBA results</t>
  </si>
  <si>
    <t>TBALAST3</t>
  </si>
  <si>
    <t>SUBR("*GCAZ206","188/6/L3")</t>
  </si>
  <si>
    <t>TTBALAST3</t>
  </si>
  <si>
    <t>Last three TBA dates</t>
  </si>
  <si>
    <t>SUBR("*GCAZ206","188DL3")</t>
  </si>
  <si>
    <t>TTBADLAST3</t>
  </si>
  <si>
    <t>Reg. Date of TBA reading</t>
  </si>
  <si>
    <t>TBA</t>
  </si>
  <si>
    <t>SUBR("*GCAZ206","188G")</t>
  </si>
  <si>
    <t>TTBADATEREG</t>
  </si>
  <si>
    <t>Date of TBA reading</t>
  </si>
  <si>
    <t>SUBR("*GCAZ206","188D")</t>
  </si>
  <si>
    <t>TTBADATE</t>
  </si>
  <si>
    <t>All TBA Dates</t>
  </si>
  <si>
    <t>TBAALL</t>
  </si>
  <si>
    <t>SUBR("*GCAZ206","188DA")</t>
  </si>
  <si>
    <t>TTBADALL</t>
  </si>
  <si>
    <t>All TBA Results</t>
  </si>
  <si>
    <t>SUBR("*GCAZ206","188RA")</t>
  </si>
  <si>
    <t>TTBAALL</t>
  </si>
  <si>
    <t>Locate TBA Reading from Chemistry</t>
  </si>
  <si>
    <t>SUBR("*GCAI714",TREADINGNO,TREADVALUE,"188")</t>
  </si>
  <si>
    <t>TTBA</t>
  </si>
  <si>
    <t>Last three TAT results</t>
  </si>
  <si>
    <t>TATLAST3</t>
  </si>
  <si>
    <t>SUBR("*GCAZ206","114/6/L3")</t>
  </si>
  <si>
    <t>TTATLAST3</t>
  </si>
  <si>
    <t>Last three TA Times</t>
  </si>
  <si>
    <t>TALAST3</t>
  </si>
  <si>
    <t>SUBR(SUBR.PENBW:"PBWZ206","9/14/L3")</t>
  </si>
  <si>
    <t>TTATIMELAST3</t>
  </si>
  <si>
    <t>Last three TAT dates</t>
  </si>
  <si>
    <t>SUBR("*GCAZ206","114DL3")</t>
  </si>
  <si>
    <t>TTATDLAST3</t>
  </si>
  <si>
    <t>Reg. Date of TAT reading</t>
  </si>
  <si>
    <t>TAT</t>
  </si>
  <si>
    <t>SUBR("*GCAZ206","114G")</t>
  </si>
  <si>
    <t>TTATDATEREG</t>
  </si>
  <si>
    <t>Date of TAT reading</t>
  </si>
  <si>
    <t>SUBR("*GCAZ206","114D")</t>
  </si>
  <si>
    <t>TTATDATE</t>
  </si>
  <si>
    <t>All TAT Dates</t>
  </si>
  <si>
    <t>TATALL</t>
  </si>
  <si>
    <t>SUBR("*GCAZ206","114DA")</t>
  </si>
  <si>
    <t>TTATDALL</t>
  </si>
  <si>
    <t>Last three TA Tanks</t>
  </si>
  <si>
    <t>SUBR(SUBR.PENBW:"PBWZ206","9/1/L3")</t>
  </si>
  <si>
    <t>TTATANKLAST3</t>
  </si>
  <si>
    <t>All TAT Results</t>
  </si>
  <si>
    <t>SUBR("*GCAZ206","114RA")</t>
  </si>
  <si>
    <t>TTATALL</t>
  </si>
  <si>
    <t>Locate TAT Reading from Chemistry</t>
  </si>
  <si>
    <t>SUBR("*GCAI714",TREADINGNO,TREADVALUE,"114")</t>
  </si>
  <si>
    <t>TTAT</t>
  </si>
  <si>
    <t>Last three Taste results</t>
  </si>
  <si>
    <t>TASTELAST3</t>
  </si>
  <si>
    <t>SUBR("*GCAZ206","15/6/L3")</t>
  </si>
  <si>
    <t>TTASTELAST3</t>
  </si>
  <si>
    <t>Last three Taste dates</t>
  </si>
  <si>
    <t>SUBR("*GCAZ206","15DL3")</t>
  </si>
  <si>
    <t>TTASTEDLAST3</t>
  </si>
  <si>
    <t>Reg. Date of Taste reading</t>
  </si>
  <si>
    <t>Taste</t>
  </si>
  <si>
    <t>SUBR("*GCAZ206","15G")</t>
  </si>
  <si>
    <t>TTASTEDATEREG</t>
  </si>
  <si>
    <t>Date of Taste reading</t>
  </si>
  <si>
    <t>SUBR("*GCAZ206","15D")</t>
  </si>
  <si>
    <t>TTASTEDATE</t>
  </si>
  <si>
    <t>All Taste Dates</t>
  </si>
  <si>
    <t>TASTEALL</t>
  </si>
  <si>
    <t>SUBR("*GCAZ206","15DA")</t>
  </si>
  <si>
    <t>TTASTEDALL</t>
  </si>
  <si>
    <t>All Taste Results</t>
  </si>
  <si>
    <t>SUBR("*GCAZ206","15RA")</t>
  </si>
  <si>
    <t>TTASTEALL</t>
  </si>
  <si>
    <t>Locate Taste Reading from Chemistry</t>
  </si>
  <si>
    <t>SUBR("*GCAI714",TREADINGNO,TREADVALUE,"15")</t>
  </si>
  <si>
    <t>TTASTE</t>
  </si>
  <si>
    <t>Last three Tart results</t>
  </si>
  <si>
    <t>TARTLAST3</t>
  </si>
  <si>
    <t>SUBR("*GCAZ206","30/6/L3")</t>
  </si>
  <si>
    <t>TTARTLAST3</t>
  </si>
  <si>
    <t>Last three Tart dates</t>
  </si>
  <si>
    <t>SUBR("*GCAZ206","30DL3")</t>
  </si>
  <si>
    <t>TTARTDLAST3</t>
  </si>
  <si>
    <t>Reg. Date of Tart reading</t>
  </si>
  <si>
    <t>Tart</t>
  </si>
  <si>
    <t>SUBR("*GCAZ206","30G")</t>
  </si>
  <si>
    <t>TTARTDATEREG</t>
  </si>
  <si>
    <t>Date of Tart reading</t>
  </si>
  <si>
    <t>SUBR("*GCAZ206","30D")</t>
  </si>
  <si>
    <t>TTARTDATE</t>
  </si>
  <si>
    <t>All Tart Dates</t>
  </si>
  <si>
    <t>TARTALL</t>
  </si>
  <si>
    <t>SUBR("*GCAZ206","30DA")</t>
  </si>
  <si>
    <t>TTARTDALL</t>
  </si>
  <si>
    <t>All Tart Results</t>
  </si>
  <si>
    <t>SUBR("*GCAZ206","30RA")</t>
  </si>
  <si>
    <t>TTARTALL</t>
  </si>
  <si>
    <t>Locate Tart Reading from Chemistry</t>
  </si>
  <si>
    <t>SUBR("*GCAI714",TREADINGNO,TREADVALUE,"30")</t>
  </si>
  <si>
    <t>TTART</t>
  </si>
  <si>
    <t>Last three TanninsCE results</t>
  </si>
  <si>
    <t>TANNINSCELA</t>
  </si>
  <si>
    <t>SUBR("*GCAZ206","213/6/L3")</t>
  </si>
  <si>
    <t>TTANNINSCELAST3</t>
  </si>
  <si>
    <t>Last three TanninsCE dates</t>
  </si>
  <si>
    <t>SUBR("*GCAZ206","213DL3")</t>
  </si>
  <si>
    <t>TTANNINSCEDLAST3</t>
  </si>
  <si>
    <t>Reg. Date of TanninsCE reading</t>
  </si>
  <si>
    <t>TanninsCE</t>
  </si>
  <si>
    <t>SUBR("*GCAZ206","213G")</t>
  </si>
  <si>
    <t>TTANNINSCEDATEREG</t>
  </si>
  <si>
    <t>Date of TanninsCE reading</t>
  </si>
  <si>
    <t>SUBR("*GCAZ206","213D")</t>
  </si>
  <si>
    <t>TTANNINSCEDATE</t>
  </si>
  <si>
    <t>All TanninsCE Dates</t>
  </si>
  <si>
    <t>TANNINSCEAL</t>
  </si>
  <si>
    <t>SUBR("*GCAZ206","213DA")</t>
  </si>
  <si>
    <t>TTANNINSCEDALL</t>
  </si>
  <si>
    <t>All TanninsCE Results</t>
  </si>
  <si>
    <t>SUBR("*GCAZ206","213RA")</t>
  </si>
  <si>
    <t>TTANNINSCEALL</t>
  </si>
  <si>
    <t>Locate TanninsCE Reading from Chemistry</t>
  </si>
  <si>
    <t>SUBR("*GCAI714",TREADINGNO,TREADVALUE,"213")</t>
  </si>
  <si>
    <t>TTANNINSCE</t>
  </si>
  <si>
    <t>Last three TANNIN results</t>
  </si>
  <si>
    <t>TANNINLAST3</t>
  </si>
  <si>
    <t>SUBR("*GCAZ206","120/6/L3")</t>
  </si>
  <si>
    <t>TTANNINLAST3</t>
  </si>
  <si>
    <t>Last three TANNIN dates</t>
  </si>
  <si>
    <t>SUBR("*GCAZ206","120DL3")</t>
  </si>
  <si>
    <t>TTANNINDLAST3</t>
  </si>
  <si>
    <t>Reg. Date of TANNIN reading</t>
  </si>
  <si>
    <t>TANNIN</t>
  </si>
  <si>
    <t>SUBR("*GCAZ206","120G")</t>
  </si>
  <si>
    <t>TTANNINDATEREG</t>
  </si>
  <si>
    <t>Date of TANNIN reading</t>
  </si>
  <si>
    <t>SUBR("*GCAZ206","120D")</t>
  </si>
  <si>
    <t>TTANNINDATE</t>
  </si>
  <si>
    <t>All TANNIN Dates</t>
  </si>
  <si>
    <t>TANNINALL</t>
  </si>
  <si>
    <t>SUBR("*GCAZ206","120DA")</t>
  </si>
  <si>
    <t>TTANNINDALL</t>
  </si>
  <si>
    <t>All TANNIN Results</t>
  </si>
  <si>
    <t>SUBR("*GCAZ206","120RA")</t>
  </si>
  <si>
    <t>TTANNINALL</t>
  </si>
  <si>
    <t>Locate TANNIN Reading from Chemistry</t>
  </si>
  <si>
    <t>SUBR("*GCAI714",TREADINGNO,TREADVALUE,"120")</t>
  </si>
  <si>
    <t>TTANNIN</t>
  </si>
  <si>
    <t>Last three TA results</t>
  </si>
  <si>
    <t>SUBR("*GCAZ206","9/6/L3")</t>
  </si>
  <si>
    <t>TTALAST3</t>
  </si>
  <si>
    <t>Last three TA dates</t>
  </si>
  <si>
    <t>SUBR("*GCAZ206","9DL3")</t>
  </si>
  <si>
    <t>TTADLAST3</t>
  </si>
  <si>
    <t>Reg. Date of TA reading</t>
  </si>
  <si>
    <t>TA</t>
  </si>
  <si>
    <t>SUBR("*GCAZ206","9G")</t>
  </si>
  <si>
    <t>TTADATEREG</t>
  </si>
  <si>
    <t>Date of TA reading</t>
  </si>
  <si>
    <t>SUBR("*GCAZ206","9D")</t>
  </si>
  <si>
    <t>TTADATE</t>
  </si>
  <si>
    <t>All TA Dates</t>
  </si>
  <si>
    <t>TAALL</t>
  </si>
  <si>
    <t>SUBR("*GCAZ206","9DA")</t>
  </si>
  <si>
    <t>TTADALL</t>
  </si>
  <si>
    <t>Last three TA Batches</t>
  </si>
  <si>
    <t>SUBR(SUBR.PENBW:"PBWZ206","9/15/L3")</t>
  </si>
  <si>
    <t>TTABATCHLAST3</t>
  </si>
  <si>
    <t>All TA times</t>
  </si>
  <si>
    <t>SUBR(SUBR.PENBW:"PBWZ206","9TA")</t>
  </si>
  <si>
    <t>TTAALLT</t>
  </si>
  <si>
    <t>All TA Results</t>
  </si>
  <si>
    <t>SUBR("*GCAZ206","9RA")</t>
  </si>
  <si>
    <t>TTAALL</t>
  </si>
  <si>
    <t>Locate TA Reading from Chemistry</t>
  </si>
  <si>
    <t>SUBR("*GCAI714",TREADINGNO,TREADVALUE,"9")</t>
  </si>
  <si>
    <t>TTA</t>
  </si>
  <si>
    <t>Last three T Tan results</t>
  </si>
  <si>
    <t>T.TANLAST3</t>
  </si>
  <si>
    <t>SUBR("*GCAZ206","174/6/L3")</t>
  </si>
  <si>
    <t>TT.TANLAST3</t>
  </si>
  <si>
    <t>Last three T Tan dates</t>
  </si>
  <si>
    <t>SUBR("*GCAZ206","174DL3")</t>
  </si>
  <si>
    <t>TT.TANDLAST3</t>
  </si>
  <si>
    <t>Reg. Date of T Tan reading</t>
  </si>
  <si>
    <t>T Tan</t>
  </si>
  <si>
    <t>SUBR("*GCAZ206","174G")</t>
  </si>
  <si>
    <t>TT.TANDATEREG</t>
  </si>
  <si>
    <t>Date of T Tan reading</t>
  </si>
  <si>
    <t>SUBR("*GCAZ206","174D")</t>
  </si>
  <si>
    <t>TT.TANDATE</t>
  </si>
  <si>
    <t>All T Tan Dates</t>
  </si>
  <si>
    <t>T.TANALL</t>
  </si>
  <si>
    <t>SUBR("*GCAZ206","174DA")</t>
  </si>
  <si>
    <t>TT.TANDALL</t>
  </si>
  <si>
    <t>All T Tan Results</t>
  </si>
  <si>
    <t>SUBR("*GCAZ206","174RA")</t>
  </si>
  <si>
    <t>TT.TANALL</t>
  </si>
  <si>
    <t>Locate T Tan Reading from Chemistry</t>
  </si>
  <si>
    <t>SUBR("*GCAI714",TREADINGNO,TREADVALUE,"174")</t>
  </si>
  <si>
    <t>TT.TAN</t>
  </si>
  <si>
    <t>Last three T Pig results</t>
  </si>
  <si>
    <t>T.PIGLAST3</t>
  </si>
  <si>
    <t>SUBR("*GCAZ206","172/6/L3")</t>
  </si>
  <si>
    <t>TT.PIGLAST3</t>
  </si>
  <si>
    <t>Last three T Pig dates</t>
  </si>
  <si>
    <t>SUBR("*GCAZ206","172DL3")</t>
  </si>
  <si>
    <t>TT.PIGDLAST3</t>
  </si>
  <si>
    <t>Reg. Date of T Pig reading</t>
  </si>
  <si>
    <t>T Pig</t>
  </si>
  <si>
    <t>SUBR("*GCAZ206","172G")</t>
  </si>
  <si>
    <t>TT.PIGDATEREG</t>
  </si>
  <si>
    <t>Date of T Pig reading</t>
  </si>
  <si>
    <t>SUBR("*GCAZ206","172D")</t>
  </si>
  <si>
    <t>TT.PIGDATE</t>
  </si>
  <si>
    <t>All T Pig Dates</t>
  </si>
  <si>
    <t>T.PIGALL</t>
  </si>
  <si>
    <t>SUBR("*GCAZ206","172DA")</t>
  </si>
  <si>
    <t>TT.PIGDALL</t>
  </si>
  <si>
    <t>All T Pig Results</t>
  </si>
  <si>
    <t>SUBR("*GCAZ206","172RA")</t>
  </si>
  <si>
    <t>TT.PIGALL</t>
  </si>
  <si>
    <t>Locate T Pig Reading from Chemistry</t>
  </si>
  <si>
    <t>SUBR("*GCAI714",TREADINGNO,TREADVALUE,"172")</t>
  </si>
  <si>
    <t>TT.PIG</t>
  </si>
  <si>
    <t>Last three T Phen results</t>
  </si>
  <si>
    <t>T.PHENLAST3</t>
  </si>
  <si>
    <t>SUBR("*GCAZ206","173/6/L3")</t>
  </si>
  <si>
    <t>TT.PHENLAST3</t>
  </si>
  <si>
    <t>Last three T Phen dates</t>
  </si>
  <si>
    <t>SUBR("*GCAZ206","173DL3")</t>
  </si>
  <si>
    <t>TT.PHENDLAST3</t>
  </si>
  <si>
    <t>Reg. Date of T Phen reading</t>
  </si>
  <si>
    <t>T Phen</t>
  </si>
  <si>
    <t>SUBR("*GCAZ206","173G")</t>
  </si>
  <si>
    <t>TT.PHENDATEREG</t>
  </si>
  <si>
    <t>Date of T Phen reading</t>
  </si>
  <si>
    <t>SUBR("*GCAZ206","173D")</t>
  </si>
  <si>
    <t>TT.PHENDATE</t>
  </si>
  <si>
    <t>All T Phen Dates</t>
  </si>
  <si>
    <t>T.PHENALL</t>
  </si>
  <si>
    <t>SUBR("*GCAZ206","173DA")</t>
  </si>
  <si>
    <t>TT.PHENDALL</t>
  </si>
  <si>
    <t>All T Phen Results</t>
  </si>
  <si>
    <t>SUBR("*GCAZ206","173RA")</t>
  </si>
  <si>
    <t>TT.PHENALL</t>
  </si>
  <si>
    <t>Locate T Phen Reading from Chemistry</t>
  </si>
  <si>
    <t>SUBR("*GCAI714",TREADINGNO,TREADVALUE,"173")</t>
  </si>
  <si>
    <t>TT.PHEN</t>
  </si>
  <si>
    <t>Reg. Date of T Anth reading</t>
  </si>
  <si>
    <t>T Anth</t>
  </si>
  <si>
    <t>SUBR(SUBR.PENBW:"PBWZ206","172G")</t>
  </si>
  <si>
    <t>TT.ANTHDATEREG</t>
  </si>
  <si>
    <t>Date of T Anth reading</t>
  </si>
  <si>
    <t>SUBR(SUBR.PENBW:"PBWZ206","172D")</t>
  </si>
  <si>
    <t>TT.ANTHDATE</t>
  </si>
  <si>
    <t>Locate T Anth Reading from Chemistry</t>
  </si>
  <si>
    <t>SUBR(SUBR.PENBW:"PBWI714",TREADINGNO,TREADVALUE,"172")</t>
  </si>
  <si>
    <t>TT.ANTH</t>
  </si>
  <si>
    <t>Last three SUGF results</t>
  </si>
  <si>
    <t>SUGFLAST3</t>
  </si>
  <si>
    <t>SUBR("*GCAZ206","143/6/L3")</t>
  </si>
  <si>
    <t>TSUGFLAST3</t>
  </si>
  <si>
    <t>Last three SUGF dates</t>
  </si>
  <si>
    <t>SUBR("*GCAZ206","143DL3")</t>
  </si>
  <si>
    <t>TSUGFDLAST3</t>
  </si>
  <si>
    <t>Reg. Date of SUGF reading</t>
  </si>
  <si>
    <t>SUGF</t>
  </si>
  <si>
    <t>SUBR("*GCAZ206","143G")</t>
  </si>
  <si>
    <t>TSUGFDATEREG</t>
  </si>
  <si>
    <t>Date of SUGF reading</t>
  </si>
  <si>
    <t>SUBR("*GCAZ206","143D")</t>
  </si>
  <si>
    <t>TSUGFDATE</t>
  </si>
  <si>
    <t>All SUGF Dates</t>
  </si>
  <si>
    <t>SUGFALL</t>
  </si>
  <si>
    <t>SUBR("*GCAZ206","143DA")</t>
  </si>
  <si>
    <t>TSUGFDALL</t>
  </si>
  <si>
    <t>All SUGF Results</t>
  </si>
  <si>
    <t>SUBR("*GCAZ206","143RA")</t>
  </si>
  <si>
    <t>TSUGFALL</t>
  </si>
  <si>
    <t>Locate SUGF Reading from Chemistry</t>
  </si>
  <si>
    <t>SUBR("*GCAI714",TREADINGNO,TREADVALUE,"143")</t>
  </si>
  <si>
    <t>TSUGF</t>
  </si>
  <si>
    <t>Last three SUCC results</t>
  </si>
  <si>
    <t>SUCCLAST3</t>
  </si>
  <si>
    <t>SUBR("*GCAZ206","159/6/L3")</t>
  </si>
  <si>
    <t>TSUCCLAST3</t>
  </si>
  <si>
    <t>Last three SUCC dates</t>
  </si>
  <si>
    <t>SUBR("*GCAZ206","159DL3")</t>
  </si>
  <si>
    <t>TSUCCDLAST3</t>
  </si>
  <si>
    <t>Reg. Date of SUCC reading</t>
  </si>
  <si>
    <t>SUCC</t>
  </si>
  <si>
    <t>SUBR("*GCAZ206","159G")</t>
  </si>
  <si>
    <t>TSUCCDATEREG</t>
  </si>
  <si>
    <t>Date of SUCC reading</t>
  </si>
  <si>
    <t>SUBR("*GCAZ206","159D")</t>
  </si>
  <si>
    <t>TSUCCDATE</t>
  </si>
  <si>
    <t>All SUCC Dates</t>
  </si>
  <si>
    <t>SUCCALL</t>
  </si>
  <si>
    <t>SUBR("*GCAZ206","159DA")</t>
  </si>
  <si>
    <t>TSUCCDALL</t>
  </si>
  <si>
    <t>All SUCC Results</t>
  </si>
  <si>
    <t>SUBR("*GCAZ206","159RA")</t>
  </si>
  <si>
    <t>TSUCCALL</t>
  </si>
  <si>
    <t>Locate SUCC Reading from Chemistry</t>
  </si>
  <si>
    <t>SUBR("*GCAI714",TREADINGNO,TREADVALUE,"159")</t>
  </si>
  <si>
    <t>TSUCC</t>
  </si>
  <si>
    <t>Date of Alcohol reading</t>
  </si>
  <si>
    <t>STR</t>
  </si>
  <si>
    <t>SUBR(SUBR.PENBW:'PBWZ206','5D')</t>
  </si>
  <si>
    <t>TSTRDATE</t>
  </si>
  <si>
    <t>Locate Strength Reading from Chemistry</t>
  </si>
  <si>
    <t>HYD</t>
  </si>
  <si>
    <t>SUBR("*PBWI714",TREADINGNO,TREADVALUE,"5")</t>
  </si>
  <si>
    <t>TSTR</t>
  </si>
  <si>
    <t>Last three Steril results</t>
  </si>
  <si>
    <t>STERILLAST3</t>
  </si>
  <si>
    <t>SUBR("*GCAZ206","73/6/L3")</t>
  </si>
  <si>
    <t>TSTERILLAST3</t>
  </si>
  <si>
    <t>Last three Steril dates</t>
  </si>
  <si>
    <t>SUBR("*GCAZ206","73DL3")</t>
  </si>
  <si>
    <t>TSTERILDLAST3</t>
  </si>
  <si>
    <t>Reg. Date of Steril reading</t>
  </si>
  <si>
    <t>Steril</t>
  </si>
  <si>
    <t>SUBR("*GCAZ206","73G")</t>
  </si>
  <si>
    <t>TSTERILDATEREG</t>
  </si>
  <si>
    <t>Date of Steril reading</t>
  </si>
  <si>
    <t>SUBR("*GCAZ206","73D")</t>
  </si>
  <si>
    <t>TSTERILDATE</t>
  </si>
  <si>
    <t>All Steril Dates</t>
  </si>
  <si>
    <t>STERILALL</t>
  </si>
  <si>
    <t>SUBR("*GCAZ206","73DA")</t>
  </si>
  <si>
    <t>TSTERILDALL</t>
  </si>
  <si>
    <t>All Steril Results</t>
  </si>
  <si>
    <t>SUBR("*GCAZ206","73RA")</t>
  </si>
  <si>
    <t>TSTERILALL</t>
  </si>
  <si>
    <t>Locate Steril Reading from Chemistry</t>
  </si>
  <si>
    <t>SUBR("*GCAI714",TREADINGNO,TREADVALUE,"73")</t>
  </si>
  <si>
    <t>TSTERIL</t>
  </si>
  <si>
    <t>Blend status after operation is completed</t>
  </si>
  <si>
    <t>3T</t>
  </si>
  <si>
    <t>ST</t>
  </si>
  <si>
    <t>TSTATUS</t>
  </si>
  <si>
    <t>TSTATUS3</t>
  </si>
  <si>
    <t>Status description used in PS.TANK.SELECTION</t>
  </si>
  <si>
    <t>TANKS</t>
  </si>
  <si>
    <t>Status</t>
  </si>
  <si>
    <t>TRANS(WINE.STATUS,TSTATUSES,DESC,'X')</t>
  </si>
  <si>
    <t>TSTATUS.DESCS</t>
  </si>
  <si>
    <t>Status description</t>
  </si>
  <si>
    <t>TRANS(WINE.STATUS,TSTATUS,DESC,'X')</t>
  </si>
  <si>
    <t>TSTATUS.DESC</t>
  </si>
  <si>
    <t>Locate ST Reading from Chemistry</t>
  </si>
  <si>
    <t>TST</t>
  </si>
  <si>
    <t>Tank Specification</t>
  </si>
  <si>
    <t>25T</t>
  </si>
  <si>
    <t>TANK SPECIFICATION</t>
  </si>
  <si>
    <t>OCONV(TSPECIF,'MCU')</t>
  </si>
  <si>
    <t>TSPECIF.UC</t>
  </si>
  <si>
    <t>Reg. Date of Spare reading</t>
  </si>
  <si>
    <t>Spare</t>
  </si>
  <si>
    <t>TSPAREDATEREG</t>
  </si>
  <si>
    <t>Date of Spare reading</t>
  </si>
  <si>
    <t>TSPAREDATE</t>
  </si>
  <si>
    <t>Locate Spare Reading from Chemistry</t>
  </si>
  <si>
    <t>TSPARE</t>
  </si>
  <si>
    <t>Extract source code from blend</t>
  </si>
  <si>
    <t>BLEND</t>
  </si>
  <si>
    <t>TBLEND[8,3]</t>
  </si>
  <si>
    <t>TSOURCE</t>
  </si>
  <si>
    <t>Last three Sorbitol results</t>
  </si>
  <si>
    <t>SORBITOLLAS</t>
  </si>
  <si>
    <t>SUBR("*GCAZ206","216/6/L3")</t>
  </si>
  <si>
    <t>TSORBITOLLAST3</t>
  </si>
  <si>
    <t>Last three Sorbitol dates</t>
  </si>
  <si>
    <t>SUBR("*GCAZ206","216DL3")</t>
  </si>
  <si>
    <t>TSORBITOLDLAST3</t>
  </si>
  <si>
    <t>Reg. Date of Sorbitol reading</t>
  </si>
  <si>
    <t>Sorbitol</t>
  </si>
  <si>
    <t>SUBR("*GCAZ206","216G")</t>
  </si>
  <si>
    <t>TSORBITOLDATEREG</t>
  </si>
  <si>
    <t>Date of Sorbitol reading</t>
  </si>
  <si>
    <t>SUBR("*GCAZ206","216D")</t>
  </si>
  <si>
    <t>TSORBITOLDATE</t>
  </si>
  <si>
    <t>All Sorbitol Dates</t>
  </si>
  <si>
    <t>SORBITOLALL</t>
  </si>
  <si>
    <t>SUBR("*GCAZ206","216DA")</t>
  </si>
  <si>
    <t>TSORBITOLDALL</t>
  </si>
  <si>
    <t>All Sorbitol Results</t>
  </si>
  <si>
    <t>SUBR("*GCAZ206","216RA")</t>
  </si>
  <si>
    <t>TSORBITOLALL</t>
  </si>
  <si>
    <t>Locate Sorbitol Reading from Chemistry</t>
  </si>
  <si>
    <t>SUBR("*GCAI714",TREADINGNO,TREADVALUE,"216")</t>
  </si>
  <si>
    <t>TSORBITOL</t>
  </si>
  <si>
    <t>Last three Sorbic results</t>
  </si>
  <si>
    <t>SORBICLAST3</t>
  </si>
  <si>
    <t>SUBR("*GCAZ206","45/6/L3")</t>
  </si>
  <si>
    <t>TSORBICLAST3</t>
  </si>
  <si>
    <t>Last three Sorbic dates</t>
  </si>
  <si>
    <t>SUBR("*GCAZ206","45DL3")</t>
  </si>
  <si>
    <t>TSORBICDLAST3</t>
  </si>
  <si>
    <t>Reg. Date of Sorbic reading</t>
  </si>
  <si>
    <t>Sorbic</t>
  </si>
  <si>
    <t>SUBR("*GCAZ206","45G")</t>
  </si>
  <si>
    <t>TSORBICDATEREG</t>
  </si>
  <si>
    <t>Date of Sorbic reading</t>
  </si>
  <si>
    <t>SUBR("*GCAZ206","45D")</t>
  </si>
  <si>
    <t>TSORBICDATE</t>
  </si>
  <si>
    <t>All Sorbic Dates</t>
  </si>
  <si>
    <t>SORBICALL</t>
  </si>
  <si>
    <t>SUBR("*GCAZ206","45DA")</t>
  </si>
  <si>
    <t>TSORBICDALL</t>
  </si>
  <si>
    <t>All Sorbic Results</t>
  </si>
  <si>
    <t>SUBR("*GCAZ206","45RA")</t>
  </si>
  <si>
    <t>TSORBICALL</t>
  </si>
  <si>
    <t>Locate Sorbic Reading from Chemistry</t>
  </si>
  <si>
    <t>SUBR("*GCAI714",TREADINGNO,TREADVALUE,"45")</t>
  </si>
  <si>
    <t>TSORBIC</t>
  </si>
  <si>
    <t>Last three SG results</t>
  </si>
  <si>
    <t>SGLAST3</t>
  </si>
  <si>
    <t>SUBR("*GCAZ206","3/6/L3")</t>
  </si>
  <si>
    <t>TSGLAST3</t>
  </si>
  <si>
    <t>Last three SG dates</t>
  </si>
  <si>
    <t>SUBR("*GCAZ206","3DL3")</t>
  </si>
  <si>
    <t>TSGDLAST3</t>
  </si>
  <si>
    <t>Reg. Date of SG reading</t>
  </si>
  <si>
    <t>SG</t>
  </si>
  <si>
    <t>SUBR("*GCAZ206","3G")</t>
  </si>
  <si>
    <t>TSGDATEREG</t>
  </si>
  <si>
    <t>Date of SG reading</t>
  </si>
  <si>
    <t>SUBR("*GCAZ206","3D")</t>
  </si>
  <si>
    <t>TSGDATE</t>
  </si>
  <si>
    <t>All SG Dates</t>
  </si>
  <si>
    <t>SGALL</t>
  </si>
  <si>
    <t>SUBR("*GCAZ206","3DA")</t>
  </si>
  <si>
    <t>TSGDALL</t>
  </si>
  <si>
    <t>All SG Results</t>
  </si>
  <si>
    <t>SUBR("*GCAZ206","3RA")</t>
  </si>
  <si>
    <t>TSGALL</t>
  </si>
  <si>
    <t>Locate SG Reading from Chemistry</t>
  </si>
  <si>
    <t>SUBR("*GCAI714",TREADINGNO,TREADVALUE,"3")</t>
  </si>
  <si>
    <t>TSG</t>
  </si>
  <si>
    <t>Date of Sat reading</t>
  </si>
  <si>
    <t>Sat</t>
  </si>
  <si>
    <t>TSAT.DATE</t>
  </si>
  <si>
    <t>Locate Saturation (Sat) Reading from Chemistry</t>
  </si>
  <si>
    <t>SUBR(SUBR.PENBW:"PBWI714",TREADINGNO,TREADVALUE,"181")</t>
  </si>
  <si>
    <t>Last three SALI results</t>
  </si>
  <si>
    <t>SALILAST3</t>
  </si>
  <si>
    <t>SUBR("*GCAZ206","105/6/L3")</t>
  </si>
  <si>
    <t>TSALILAST3</t>
  </si>
  <si>
    <t>Last three SALI dates</t>
  </si>
  <si>
    <t>SUBR("*GCAZ206","105DL3")</t>
  </si>
  <si>
    <t>TSALIDLAST3</t>
  </si>
  <si>
    <t>Reg. Date of SALI reading</t>
  </si>
  <si>
    <t>SALI</t>
  </si>
  <si>
    <t>SUBR("*GCAZ206","105G")</t>
  </si>
  <si>
    <t>TSALIDATEREG</t>
  </si>
  <si>
    <t>Date of SALI reading</t>
  </si>
  <si>
    <t>SUBR("*GCAZ206","105D")</t>
  </si>
  <si>
    <t>TSALIDATE</t>
  </si>
  <si>
    <t>All SALI Dates</t>
  </si>
  <si>
    <t>SALIALL</t>
  </si>
  <si>
    <t>SUBR("*GCAZ206","105DA")</t>
  </si>
  <si>
    <t>TSALIDALL</t>
  </si>
  <si>
    <t>All SALI Results</t>
  </si>
  <si>
    <t>SUBR("*GCAZ206","105RA")</t>
  </si>
  <si>
    <t>TSALIALL</t>
  </si>
  <si>
    <t>Locate SALI Reading from Chemistry</t>
  </si>
  <si>
    <t>SUBR("*GCAI714",TREADINGNO,TREADVALUE,"105")</t>
  </si>
  <si>
    <t>TSALI</t>
  </si>
  <si>
    <t>TT</t>
  </si>
  <si>
    <t>IF @ID[2,1] = '#' THEN 1 ELSE 0</t>
  </si>
  <si>
    <t>TRUCK.TANK</t>
  </si>
  <si>
    <t>Last three RSTop results</t>
  </si>
  <si>
    <t>RSTOPLAST3</t>
  </si>
  <si>
    <t>SUBR("*GCAZ206","192/6/L3")</t>
  </si>
  <si>
    <t>TRSTOPLAST3</t>
  </si>
  <si>
    <t>Last three RSTop dates</t>
  </si>
  <si>
    <t>SUBR("*GCAZ206","192DL3")</t>
  </si>
  <si>
    <t>TRSTOPDLAST3</t>
  </si>
  <si>
    <t>Reg. Date of RSTop reading</t>
  </si>
  <si>
    <t>RSTop</t>
  </si>
  <si>
    <t>SUBR("*GCAZ206","192G")</t>
  </si>
  <si>
    <t>TRSTOPDATEREG</t>
  </si>
  <si>
    <t>Date of RSTop reading</t>
  </si>
  <si>
    <t>SUBR("*GCAZ206","192D")</t>
  </si>
  <si>
    <t>TRSTOPDATE</t>
  </si>
  <si>
    <t>All RSTop Dates</t>
  </si>
  <si>
    <t>RSTOPALL</t>
  </si>
  <si>
    <t>SUBR("*GCAZ206","192DA")</t>
  </si>
  <si>
    <t>TRSTOPDALL</t>
  </si>
  <si>
    <t>All RSTop Results</t>
  </si>
  <si>
    <t>SUBR("*GCAZ206","192RA")</t>
  </si>
  <si>
    <t>TRSTOPALL</t>
  </si>
  <si>
    <t>Locate RSTop Reading from Chemistry</t>
  </si>
  <si>
    <t>SUBR("*GCAI714",TREADINGNO,TREADVALUE,"192")</t>
  </si>
  <si>
    <t>TRSTOP</t>
  </si>
  <si>
    <t>Last three RS Times</t>
  </si>
  <si>
    <t>RSLAST3</t>
  </si>
  <si>
    <t>SUBR(SUBR.PENBW:"PBWZ206","12/14/L3")</t>
  </si>
  <si>
    <t>TRSTIMELAST3</t>
  </si>
  <si>
    <t>Last three RS Tanks</t>
  </si>
  <si>
    <t>SUBR(SUBR.PENBW:"PBWZ206","12/1/L3")</t>
  </si>
  <si>
    <t>TRSTANKLAST3</t>
  </si>
  <si>
    <t>Last three RS results</t>
  </si>
  <si>
    <t>SUBR("*GCAZ206","12/6/L3")</t>
  </si>
  <si>
    <t>TRSLAST3</t>
  </si>
  <si>
    <t>Last three RS dates</t>
  </si>
  <si>
    <t>SUBR("*GCAZ206","12DL3")</t>
  </si>
  <si>
    <t>TRSDLAST3</t>
  </si>
  <si>
    <t>Reg. Date of RS reading</t>
  </si>
  <si>
    <t>RS</t>
  </si>
  <si>
    <t>SUBR("*GCAZ206","12G")</t>
  </si>
  <si>
    <t>TRSDATEREG</t>
  </si>
  <si>
    <t>Date of RS reading</t>
  </si>
  <si>
    <t>SUBR("*GCAZ206","12D")</t>
  </si>
  <si>
    <t>TRSDATE</t>
  </si>
  <si>
    <t>All RS Dates</t>
  </si>
  <si>
    <t>RSALL</t>
  </si>
  <si>
    <t>SUBR("*GCAZ206","12DA")</t>
  </si>
  <si>
    <t>TRSDALL</t>
  </si>
  <si>
    <t>Last three RS Batches</t>
  </si>
  <si>
    <t>SUBR(SUBR.PENBW:"PBWZ206","12/15/L3")</t>
  </si>
  <si>
    <t>TRSBATCHLAST3</t>
  </si>
  <si>
    <t>All RS times</t>
  </si>
  <si>
    <t>SUBR(SUBR.PENBW:"PBWZ206","12TA")</t>
  </si>
  <si>
    <t>TRSALLT</t>
  </si>
  <si>
    <t>All RS Results</t>
  </si>
  <si>
    <t>SUBR("*GCAZ206","12RA")</t>
  </si>
  <si>
    <t>TRSALL</t>
  </si>
  <si>
    <t>Locate RS Reading from Chemistry</t>
  </si>
  <si>
    <t>SUBR("*GCAI714",TREADINGNO,TREADVALUE,"12")</t>
  </si>
  <si>
    <t>TRS</t>
  </si>
  <si>
    <t>Last three RefInx results</t>
  </si>
  <si>
    <t>REFINXLAST3</t>
  </si>
  <si>
    <t>SUBR("*GCAZ206","175/6/L3")</t>
  </si>
  <si>
    <t>TREFINXLAST3</t>
  </si>
  <si>
    <t>Last three RefInx dates</t>
  </si>
  <si>
    <t>SUBR("*GCAZ206","175DL3")</t>
  </si>
  <si>
    <t>TREFINXDLAST3</t>
  </si>
  <si>
    <t>Reg. Date of RefInx reading</t>
  </si>
  <si>
    <t>RefInx</t>
  </si>
  <si>
    <t>SUBR("*GCAZ206","175G")</t>
  </si>
  <si>
    <t>TREFINXDATEREG</t>
  </si>
  <si>
    <t>Date of RefInx reading</t>
  </si>
  <si>
    <t>SUBR("*GCAZ206","175D")</t>
  </si>
  <si>
    <t>TREFINXDATE</t>
  </si>
  <si>
    <t>All RefInx Dates</t>
  </si>
  <si>
    <t>REFINXALL</t>
  </si>
  <si>
    <t>SUBR("*GCAZ206","175DA")</t>
  </si>
  <si>
    <t>TREFINXDALL</t>
  </si>
  <si>
    <t>All RefInx Results</t>
  </si>
  <si>
    <t>SUBR("*GCAZ206","175RA")</t>
  </si>
  <si>
    <t>TREFINXALL</t>
  </si>
  <si>
    <t>Locate RefInx Reading from Chemistry</t>
  </si>
  <si>
    <t>SUBR("*GCAI714",TREADINGNO,TREADVALUE,"175")</t>
  </si>
  <si>
    <t>TREFINX</t>
  </si>
  <si>
    <t>Last three REB results</t>
  </si>
  <si>
    <t>REBLAST3</t>
  </si>
  <si>
    <t>SUBR("*GCAZ206","158/6/L3")</t>
  </si>
  <si>
    <t>TREBLAST3</t>
  </si>
  <si>
    <t>Last three REB dates</t>
  </si>
  <si>
    <t>SUBR("*GCAZ206","158DL3")</t>
  </si>
  <si>
    <t>TREBDLAST3</t>
  </si>
  <si>
    <t>Reg. Date of REB reading</t>
  </si>
  <si>
    <t>REB</t>
  </si>
  <si>
    <t>SUBR("*GCAZ206","158G")</t>
  </si>
  <si>
    <t>TREBDATEREG</t>
  </si>
  <si>
    <t>Date of REB reading</t>
  </si>
  <si>
    <t>SUBR("*GCAZ206","158D")</t>
  </si>
  <si>
    <t>TREBDATE</t>
  </si>
  <si>
    <t>All REB Dates</t>
  </si>
  <si>
    <t>REBALL</t>
  </si>
  <si>
    <t>SUBR("*GCAZ206","158DA")</t>
  </si>
  <si>
    <t>TREBDALL</t>
  </si>
  <si>
    <t>All REB Results</t>
  </si>
  <si>
    <t>SUBR("*GCAZ206","158RA")</t>
  </si>
  <si>
    <t>TREBALL</t>
  </si>
  <si>
    <t>Locate REB Reading from Chemistry</t>
  </si>
  <si>
    <t>SUBR("*GCAI714",TREADINGNO,TREADVALUE,"158")</t>
  </si>
  <si>
    <t>TREB</t>
  </si>
  <si>
    <t>Tank reading unit of measure</t>
  </si>
  <si>
    <t>Reading</t>
  </si>
  <si>
    <t>SUBR('*PBWI549P',TREADINGNO,6)</t>
  </si>
  <si>
    <t>TREADUOM</t>
  </si>
  <si>
    <t>Tank reading description</t>
  </si>
  <si>
    <t>SUBR('*PBWI549',TREADINGNO)</t>
  </si>
  <si>
    <t>TREADDESC</t>
  </si>
  <si>
    <t>Results date for each current chem reading</t>
  </si>
  <si>
    <t>Chem Results</t>
  </si>
  <si>
    <t>SUBR('*GZZI001',TFROMCHEM.CDATE,'S','MAX')</t>
  </si>
  <si>
    <t>TREAD.CDATE</t>
  </si>
  <si>
    <t>Tirage litres in cases</t>
  </si>
  <si>
    <t>TIR</t>
  </si>
  <si>
    <t>Quantity</t>
  </si>
  <si>
    <t>MD0P</t>
  </si>
  <si>
    <t>TRANS(TIR.STORAGE,@ID,QTY.BOT,'X')</t>
  </si>
  <si>
    <t>TQTY.BOT</t>
  </si>
  <si>
    <t>Last three Pvt results</t>
  </si>
  <si>
    <t>PVTLAST3</t>
  </si>
  <si>
    <t>SUBR("*GCAZ206","76/6/L3")</t>
  </si>
  <si>
    <t>TPVTLAST3</t>
  </si>
  <si>
    <t>Last three Pvt dates</t>
  </si>
  <si>
    <t>SUBR("*GCAZ206","76DL3")</t>
  </si>
  <si>
    <t>TPVTDLAST3</t>
  </si>
  <si>
    <t>Reg. Date of Pvt reading</t>
  </si>
  <si>
    <t>Pvt</t>
  </si>
  <si>
    <t>SUBR("*GCAZ206","76G")</t>
  </si>
  <si>
    <t>TPVTDATEREG</t>
  </si>
  <si>
    <t>Date of Pvt reading</t>
  </si>
  <si>
    <t>SUBR("*GCAZ206","76D")</t>
  </si>
  <si>
    <t>TPVTDATE</t>
  </si>
  <si>
    <t>All Pvt Dates</t>
  </si>
  <si>
    <t>PVTALL</t>
  </si>
  <si>
    <t>SUBR("*GCAZ206","76DA")</t>
  </si>
  <si>
    <t>TPVTDALL</t>
  </si>
  <si>
    <t>All Pvt Results</t>
  </si>
  <si>
    <t>SUBR("*GCAZ206","76RA")</t>
  </si>
  <si>
    <t>TPVTALL</t>
  </si>
  <si>
    <t>Locate Pvt Reading from Chemistry</t>
  </si>
  <si>
    <t>SUBR("*GCAI714",TREADINGNO,TREADVALUE,"76")</t>
  </si>
  <si>
    <t>TPVT</t>
  </si>
  <si>
    <t>Locate % VIAB Reading from Chemistry</t>
  </si>
  <si>
    <t>% VIAB</t>
  </si>
  <si>
    <t>SUBR("*PBWI714",TREADINGNO,TREADVALUE,"59")</t>
  </si>
  <si>
    <t>TPVIA</t>
  </si>
  <si>
    <t>Last three PVF results</t>
  </si>
  <si>
    <t>PVFLAST3</t>
  </si>
  <si>
    <t>SUBR("*GCAZ206","111/6/L3")</t>
  </si>
  <si>
    <t>TPVFLAST3</t>
  </si>
  <si>
    <t>Last three PVF dates</t>
  </si>
  <si>
    <t>SUBR("*GCAZ206","111DL3")</t>
  </si>
  <si>
    <t>TPVFDLAST3</t>
  </si>
  <si>
    <t>Reg. Date of PVF reading</t>
  </si>
  <si>
    <t>PVF</t>
  </si>
  <si>
    <t>SUBR("*GCAZ206","111G")</t>
  </si>
  <si>
    <t>TPVFDATEREG</t>
  </si>
  <si>
    <t>Date of PVF reading</t>
  </si>
  <si>
    <t>SUBR("*GCAZ206","111D")</t>
  </si>
  <si>
    <t>TPVFDATE</t>
  </si>
  <si>
    <t>All PVF Dates</t>
  </si>
  <si>
    <t>PVFALL</t>
  </si>
  <si>
    <t>SUBR("*GCAZ206","111DA")</t>
  </si>
  <si>
    <t>TPVFDALL</t>
  </si>
  <si>
    <t>All PVF Results</t>
  </si>
  <si>
    <t>SUBR("*GCAZ206","111RA")</t>
  </si>
  <si>
    <t>TPVFALL</t>
  </si>
  <si>
    <t>Locate PVF Reading from Chemistry</t>
  </si>
  <si>
    <t>SUBR("*GCAI714",TREADINGNO,TREADVALUE,"111")</t>
  </si>
  <si>
    <t>TPVF</t>
  </si>
  <si>
    <t>Last three Press results</t>
  </si>
  <si>
    <t>PRESSLAST3</t>
  </si>
  <si>
    <t>SUBR("*GCAZ206","65/6/L3")</t>
  </si>
  <si>
    <t>TPRESSLAST3</t>
  </si>
  <si>
    <t>Last three Press dates</t>
  </si>
  <si>
    <t>SUBR("*GCAZ206","65DL3")</t>
  </si>
  <si>
    <t>TPRESSDLAST3</t>
  </si>
  <si>
    <t>Reg. Date of Press reading</t>
  </si>
  <si>
    <t>Press</t>
  </si>
  <si>
    <t>SUBR("*GCAZ206","65G")</t>
  </si>
  <si>
    <t>TPRESSDATEREG</t>
  </si>
  <si>
    <t>Date of Press reading</t>
  </si>
  <si>
    <t>SUBR("*GCAZ206","65D")</t>
  </si>
  <si>
    <t>TPRESSDATE</t>
  </si>
  <si>
    <t>All Press Dates</t>
  </si>
  <si>
    <t>PRESSALL</t>
  </si>
  <si>
    <t>SUBR("*GCAZ206","65DA")</t>
  </si>
  <si>
    <t>TPRESSDALL</t>
  </si>
  <si>
    <t>All Press Results</t>
  </si>
  <si>
    <t>SUBR("*GCAZ206","65RA")</t>
  </si>
  <si>
    <t>TPRESSALL</t>
  </si>
  <si>
    <t>Last three Press(psi) results</t>
  </si>
  <si>
    <t>PRESS(PSI)L</t>
  </si>
  <si>
    <t>SUBR("*GCAZ206","88/6/L3")</t>
  </si>
  <si>
    <t>TPRESS(PSI)LAST3</t>
  </si>
  <si>
    <t>Last three Press(psi) dates</t>
  </si>
  <si>
    <t>SUBR("*GCAZ206","88DL3")</t>
  </si>
  <si>
    <t>TPRESS(PSI)DLAST3</t>
  </si>
  <si>
    <t>Reg. Date of Press(psi) reading</t>
  </si>
  <si>
    <t>Press(psi)</t>
  </si>
  <si>
    <t>SUBR("*GCAZ206","88G")</t>
  </si>
  <si>
    <t>TPRESS(PSI)DATEREG</t>
  </si>
  <si>
    <t>Date of Press(psi) reading</t>
  </si>
  <si>
    <t>SUBR("*GCAZ206","88D")</t>
  </si>
  <si>
    <t>TPRESS(PSI)DATE</t>
  </si>
  <si>
    <t>All Press(psi) Dates</t>
  </si>
  <si>
    <t>PRESS(PSI)A</t>
  </si>
  <si>
    <t>SUBR("*GCAZ206","88DA")</t>
  </si>
  <si>
    <t>TPRESS(PSI)DALL</t>
  </si>
  <si>
    <t>All Press(psi) Results</t>
  </si>
  <si>
    <t>SUBR("*GCAZ206","88RA")</t>
  </si>
  <si>
    <t>TPRESS(PSI)ALL</t>
  </si>
  <si>
    <t>Locate Press(psi) Reading from Chemistry</t>
  </si>
  <si>
    <t>SUBR("*GCAI714",TREADINGNO,TREADVALUE,"88")</t>
  </si>
  <si>
    <t>TPRESS(PSI)</t>
  </si>
  <si>
    <t>Locate Press Reading from Chemistry</t>
  </si>
  <si>
    <t>SUBR("*GCAI714",TREADINGNO,TREADVALUE,"65")</t>
  </si>
  <si>
    <t>TPRESS</t>
  </si>
  <si>
    <t>Last three P results</t>
  </si>
  <si>
    <t>PLAST3</t>
  </si>
  <si>
    <t>SUBR("*GCAZ206","92/6/L3")</t>
  </si>
  <si>
    <t>TPLAST3</t>
  </si>
  <si>
    <t>Last three PINK P results</t>
  </si>
  <si>
    <t>PINK.PLAST3</t>
  </si>
  <si>
    <t>SUBR("*GCAZ206","122/6/L3")</t>
  </si>
  <si>
    <t>TPINK.PLAST3</t>
  </si>
  <si>
    <t>Last three PINK P dates</t>
  </si>
  <si>
    <t>SUBR("*GCAZ206","122DL3")</t>
  </si>
  <si>
    <t>TPINK.PDLAST3</t>
  </si>
  <si>
    <t>Reg. Date of PINK P reading</t>
  </si>
  <si>
    <t>PINK P</t>
  </si>
  <si>
    <t>SUBR("*GCAZ206","122G")</t>
  </si>
  <si>
    <t>TPINK.PDATEREG</t>
  </si>
  <si>
    <t>Date of PINK P reading</t>
  </si>
  <si>
    <t>SUBR("*GCAZ206","122D")</t>
  </si>
  <si>
    <t>TPINK.PDATE</t>
  </si>
  <si>
    <t>All PINK P Dates</t>
  </si>
  <si>
    <t>PINK.PALL</t>
  </si>
  <si>
    <t>SUBR("*GCAZ206","122DA")</t>
  </si>
  <si>
    <t>TPINK.PDALL</t>
  </si>
  <si>
    <t>All PINK P Results</t>
  </si>
  <si>
    <t>SUBR("*GCAZ206","122RA")</t>
  </si>
  <si>
    <t>TPINK.PALL</t>
  </si>
  <si>
    <t>Locate PINK P Reading from Chemistry</t>
  </si>
  <si>
    <t>SUBR("*GCAI714",TREADINGNO,TREADVALUE,"122")</t>
  </si>
  <si>
    <t>TPINK.P</t>
  </si>
  <si>
    <t>Last three PH Times</t>
  </si>
  <si>
    <t>PHLAST3</t>
  </si>
  <si>
    <t>SUBR(SUBR.PENBW:"PBWZ206","11/14/L3")</t>
  </si>
  <si>
    <t>TPHTIMELAST3</t>
  </si>
  <si>
    <t>Last three PH Tanks</t>
  </si>
  <si>
    <t>SUBR(SUBR.PENBW:"PBWZ206","11/1/L3")</t>
  </si>
  <si>
    <t>TPHTANKLAST3</t>
  </si>
  <si>
    <t>Last three pH results</t>
  </si>
  <si>
    <t>SUBR("*GCAZ206","11/6/L3")</t>
  </si>
  <si>
    <t>TPHLAST3</t>
  </si>
  <si>
    <t>Last three Phenol results</t>
  </si>
  <si>
    <t>PHENOLLAST3</t>
  </si>
  <si>
    <t>SUBR("*GCAZ206","18/6/L3")</t>
  </si>
  <si>
    <t>TPHENOLLAST3</t>
  </si>
  <si>
    <t>Last three Phenol dates</t>
  </si>
  <si>
    <t>SUBR("*GCAZ206","18DL3")</t>
  </si>
  <si>
    <t>TPHENOLDLAST3</t>
  </si>
  <si>
    <t>Reg. Date of Phenol reading</t>
  </si>
  <si>
    <t>Phenol</t>
  </si>
  <si>
    <t>SUBR("*GCAZ206","18G")</t>
  </si>
  <si>
    <t>TPHENOLDATEREG</t>
  </si>
  <si>
    <t>Date of Phenol reading</t>
  </si>
  <si>
    <t>SUBR("*GCAZ206","18D")</t>
  </si>
  <si>
    <t>TPHENOLDATE</t>
  </si>
  <si>
    <t>All Phenol Dates</t>
  </si>
  <si>
    <t>PHENOLALL</t>
  </si>
  <si>
    <t>SUBR("*GCAZ206","18DA")</t>
  </si>
  <si>
    <t>TPHENOLDALL</t>
  </si>
  <si>
    <t>All Phenol Results</t>
  </si>
  <si>
    <t>SUBR("*GCAZ206","18RA")</t>
  </si>
  <si>
    <t>TPHENOLALL</t>
  </si>
  <si>
    <t>Locate Phenol Reading from Chemistry</t>
  </si>
  <si>
    <t>SUBR("*GCAI714",TREADINGNO,TREADVALUE,"18")</t>
  </si>
  <si>
    <t>TPHENOL</t>
  </si>
  <si>
    <t>Last three pH dates</t>
  </si>
  <si>
    <t>SUBR("*GCAZ206","11DL3")</t>
  </si>
  <si>
    <t>TPHDLAST3</t>
  </si>
  <si>
    <t>Reg. Date of pH reading</t>
  </si>
  <si>
    <t>pH</t>
  </si>
  <si>
    <t>SUBR("*GCAZ206","11G")</t>
  </si>
  <si>
    <t>TPHDATEREG</t>
  </si>
  <si>
    <t>Date of PH reading</t>
  </si>
  <si>
    <t>SUBR(SUBR.PENBW:'PBWZ206.NEW','11D')</t>
  </si>
  <si>
    <t>TPHDATE.NEW</t>
  </si>
  <si>
    <t>Date of pH reading</t>
  </si>
  <si>
    <t>SUBR("*GCAZ206","11D")</t>
  </si>
  <si>
    <t>TPHDATE</t>
  </si>
  <si>
    <t>All pH Dates</t>
  </si>
  <si>
    <t>PHALL</t>
  </si>
  <si>
    <t>SUBR("*GCAZ206","11DA")</t>
  </si>
  <si>
    <t>TPHDALL</t>
  </si>
  <si>
    <t>Last three pHCHue results</t>
  </si>
  <si>
    <t>PHCHUELAST3</t>
  </si>
  <si>
    <t>SUBR("*GCAZ206","164/6/L3")</t>
  </si>
  <si>
    <t>TPHCHUELAST3</t>
  </si>
  <si>
    <t>Last three pHCHue dates</t>
  </si>
  <si>
    <t>SUBR("*GCAZ206","164DL3")</t>
  </si>
  <si>
    <t>TPHCHUEDLAST3</t>
  </si>
  <si>
    <t>Reg. Date of pHCHue reading</t>
  </si>
  <si>
    <t>pHCHue</t>
  </si>
  <si>
    <t>SUBR(SUBR.PENBW:"PBWZ206","164G")</t>
  </si>
  <si>
    <t>TPHCHUEDATEREG</t>
  </si>
  <si>
    <t>Date of pHCHue reading</t>
  </si>
  <si>
    <t>SUBR(SUBR.PENBW:"PBWZ206","164D")</t>
  </si>
  <si>
    <t>TPHCHUEDATE</t>
  </si>
  <si>
    <t>All pHCHue Dates</t>
  </si>
  <si>
    <t>PHCHUEALL</t>
  </si>
  <si>
    <t>SUBR("*GCAZ206","164DA")</t>
  </si>
  <si>
    <t>TPHCHUEDALL</t>
  </si>
  <si>
    <t>All pHCHue Results</t>
  </si>
  <si>
    <t>SUBR("*GCAZ206","164RA")</t>
  </si>
  <si>
    <t>TPHCHUEALL</t>
  </si>
  <si>
    <t>Locate pHCHue Reading from Chemistry</t>
  </si>
  <si>
    <t>SUBR(SUBR.PENBW:"PBWI714",TREADINGNO,TREADVALUE,"164")</t>
  </si>
  <si>
    <t>TPHCHUE</t>
  </si>
  <si>
    <t>Last three pHCDen results</t>
  </si>
  <si>
    <t>PHCDENLAST3</t>
  </si>
  <si>
    <t>SUBR("*GCAZ206","165/6/L3")</t>
  </si>
  <si>
    <t>TPHCDENLAST3</t>
  </si>
  <si>
    <t>Last three pHCDen dates</t>
  </si>
  <si>
    <t>SUBR("*GCAZ206","165DL3")</t>
  </si>
  <si>
    <t>TPHCDENDLAST3</t>
  </si>
  <si>
    <t>Reg. Date of pHCDen reading</t>
  </si>
  <si>
    <t>pHCDen</t>
  </si>
  <si>
    <t>SUBR(SUBR.PENBW:"PBWZ206","165G")</t>
  </si>
  <si>
    <t>TPHCDENDATEREG</t>
  </si>
  <si>
    <t>Date of pHCDen reading</t>
  </si>
  <si>
    <t>SUBR(SUBR.PENBW:"PBWZ206","165D")</t>
  </si>
  <si>
    <t>TPHCDENDATE</t>
  </si>
  <si>
    <t>All pHCDen Dates</t>
  </si>
  <si>
    <t>PHCDENALL</t>
  </si>
  <si>
    <t>SUBR("*GCAZ206","165DA")</t>
  </si>
  <si>
    <t>TPHCDENDALL</t>
  </si>
  <si>
    <t>All pHCDen Results</t>
  </si>
  <si>
    <t>SUBR("*GCAZ206","165RA")</t>
  </si>
  <si>
    <t>TPHCDENALL</t>
  </si>
  <si>
    <t>Locate pHCDen Reading from Chemistry</t>
  </si>
  <si>
    <t>SUBR(SUBR.PENBW:"PBWI714",TREADINGNO,TREADVALUE,"165")</t>
  </si>
  <si>
    <t>TPHCDEN</t>
  </si>
  <si>
    <t>Last three PH Batches</t>
  </si>
  <si>
    <t>SUBR(SUBR.PENBW:"PBWZ206","11/15/L3")</t>
  </si>
  <si>
    <t>TPHBATCHLAST3</t>
  </si>
  <si>
    <t>All Ph times</t>
  </si>
  <si>
    <t>Ph</t>
  </si>
  <si>
    <t>SUBR(SUBR.PENBW:"PBWZ206","11TA")</t>
  </si>
  <si>
    <t>TPHALLT</t>
  </si>
  <si>
    <t>All pH Results</t>
  </si>
  <si>
    <t>SUBR("*GCAZ206","11RA")</t>
  </si>
  <si>
    <t>TPHALL</t>
  </si>
  <si>
    <t>Last three Phage results</t>
  </si>
  <si>
    <t>PHAGELAST3</t>
  </si>
  <si>
    <t>SUBR("*GCAZ206","94/6/L3")</t>
  </si>
  <si>
    <t>TPHAGELAST3</t>
  </si>
  <si>
    <t>Last three Phage dates</t>
  </si>
  <si>
    <t>SUBR("*GCAZ206","94DL3")</t>
  </si>
  <si>
    <t>TPHAGEDLAST3</t>
  </si>
  <si>
    <t>Reg. Date of Phage reading</t>
  </si>
  <si>
    <t>Phage</t>
  </si>
  <si>
    <t>SUBR("*GCAZ206","94G")</t>
  </si>
  <si>
    <t>TPHAGEDATEREG</t>
  </si>
  <si>
    <t>Date of Phage reading</t>
  </si>
  <si>
    <t>SUBR("*GCAZ206","94D")</t>
  </si>
  <si>
    <t>TPHAGEDATE</t>
  </si>
  <si>
    <t>All Phage Dates</t>
  </si>
  <si>
    <t>PHAGEALL</t>
  </si>
  <si>
    <t>SUBR("*GCAZ206","94DA")</t>
  </si>
  <si>
    <t>TPHAGEDALL</t>
  </si>
  <si>
    <t>All Phage Results</t>
  </si>
  <si>
    <t>SUBR("*GCAZ206","94RA")</t>
  </si>
  <si>
    <t>TPHAGEALL</t>
  </si>
  <si>
    <t>Locate Phage Reading from Chemistry</t>
  </si>
  <si>
    <t>SUBR("*GCAI714",TREADINGNO,TREADVALUE,"94")</t>
  </si>
  <si>
    <t>TPHAGE</t>
  </si>
  <si>
    <t>Last three PHADJ results</t>
  </si>
  <si>
    <t>PHADJLAST3</t>
  </si>
  <si>
    <t>SUBR("*GCAZ206","113/6/L3")</t>
  </si>
  <si>
    <t>TPHADJLAST3</t>
  </si>
  <si>
    <t>Last three PHADJ dates</t>
  </si>
  <si>
    <t>SUBR("*GCAZ206","113DL3")</t>
  </si>
  <si>
    <t>TPHADJDLAST3</t>
  </si>
  <si>
    <t>Reg. Date of PHADJ reading</t>
  </si>
  <si>
    <t>PHADJ</t>
  </si>
  <si>
    <t>SUBR("*GCAZ206","113G")</t>
  </si>
  <si>
    <t>TPHADJDATEREG</t>
  </si>
  <si>
    <t>Date of PHADJ reading</t>
  </si>
  <si>
    <t>SUBR("*GCAZ206","113D")</t>
  </si>
  <si>
    <t>TPHADJDATE</t>
  </si>
  <si>
    <t>All PHADJ Dates</t>
  </si>
  <si>
    <t>PHADJALL</t>
  </si>
  <si>
    <t>SUBR("*GCAZ206","113DA")</t>
  </si>
  <si>
    <t>TPHADJDALL</t>
  </si>
  <si>
    <t>All PHADJ Results</t>
  </si>
  <si>
    <t>SUBR("*GCAZ206","113RA")</t>
  </si>
  <si>
    <t>TPHADJALL</t>
  </si>
  <si>
    <t>Locate PHADJ Reading from Chemistry</t>
  </si>
  <si>
    <t>SUBR("*GCAI714",TREADINGNO,TREADVALUE,"113")</t>
  </si>
  <si>
    <t>TPHADJ</t>
  </si>
  <si>
    <t>Locate pH Reading from Chemistry</t>
  </si>
  <si>
    <t>SUBR("*GCAI714",TREADINGNO,TREADVALUE,"11")</t>
  </si>
  <si>
    <t>TPH</t>
  </si>
  <si>
    <t>Last three PEST results</t>
  </si>
  <si>
    <t>PESTLAST3</t>
  </si>
  <si>
    <t>SUBR("*GCAZ206","136/6/L3")</t>
  </si>
  <si>
    <t>TPESTLAST3</t>
  </si>
  <si>
    <t>Last three PEST dates</t>
  </si>
  <si>
    <t>SUBR("*GCAZ206","136DL3")</t>
  </si>
  <si>
    <t>TPESTDLAST3</t>
  </si>
  <si>
    <t>Reg. Date of PEST reading</t>
  </si>
  <si>
    <t>PEST</t>
  </si>
  <si>
    <t>SUBR("*GCAZ206","136G")</t>
  </si>
  <si>
    <t>TPESTDATEREG</t>
  </si>
  <si>
    <t>Date of PEST reading</t>
  </si>
  <si>
    <t>SUBR("*GCAZ206","136D")</t>
  </si>
  <si>
    <t>TPESTDATE</t>
  </si>
  <si>
    <t>All PEST Dates</t>
  </si>
  <si>
    <t>PESTALL</t>
  </si>
  <si>
    <t>SUBR("*GCAZ206","136DA")</t>
  </si>
  <si>
    <t>TPESTDALL</t>
  </si>
  <si>
    <t>All PEST Results</t>
  </si>
  <si>
    <t>SUBR("*GCAZ206","136RA")</t>
  </si>
  <si>
    <t>TPESTALL</t>
  </si>
  <si>
    <t>Locate PEST Reading from Chemistry</t>
  </si>
  <si>
    <t>SUBR("*GCAI714",TREADINGNO,TREADVALUE,"136")</t>
  </si>
  <si>
    <t>TPEST</t>
  </si>
  <si>
    <t>Last three Pectin results</t>
  </si>
  <si>
    <t>PECTINLAST3</t>
  </si>
  <si>
    <t>SUBR("*GCAZ206","16/6/L3")</t>
  </si>
  <si>
    <t>TPECTINLAST3</t>
  </si>
  <si>
    <t>Last three Pectin dates</t>
  </si>
  <si>
    <t>SUBR("*GCAZ206","16DL3")</t>
  </si>
  <si>
    <t>TPECTINDLAST3</t>
  </si>
  <si>
    <t>Reg. Date of Pectin reading</t>
  </si>
  <si>
    <t>Pectin</t>
  </si>
  <si>
    <t>SUBR("*GCAZ206","16G")</t>
  </si>
  <si>
    <t>TPECTINDATEREG</t>
  </si>
  <si>
    <t>Date of Pectin reading</t>
  </si>
  <si>
    <t>SUBR("*GCAZ206","16D")</t>
  </si>
  <si>
    <t>TPECTINDATE</t>
  </si>
  <si>
    <t>All Pectin Dates</t>
  </si>
  <si>
    <t>PECTINALL</t>
  </si>
  <si>
    <t>SUBR("*GCAZ206","16DA")</t>
  </si>
  <si>
    <t>TPECTINDALL</t>
  </si>
  <si>
    <t>All Pectin Results</t>
  </si>
  <si>
    <t>SUBR("*GCAZ206","16RA")</t>
  </si>
  <si>
    <t>TPECTINALL</t>
  </si>
  <si>
    <t>Locate Pectin Reading from Chemistry</t>
  </si>
  <si>
    <t>SUBR("*GCAI714",TREADINGNO,TREADVALUE,"16")</t>
  </si>
  <si>
    <t>TPECTIN</t>
  </si>
  <si>
    <t>Last three P dates</t>
  </si>
  <si>
    <t>SUBR("*GCAZ206","92DL3")</t>
  </si>
  <si>
    <t>TPDLAST3</t>
  </si>
  <si>
    <t>Reg. Date of P reading</t>
  </si>
  <si>
    <t>P</t>
  </si>
  <si>
    <t>SUBR("*GCAZ206","92G")</t>
  </si>
  <si>
    <t>TPDATEREG</t>
  </si>
  <si>
    <t>Date of P reading</t>
  </si>
  <si>
    <t>SUBR("*GCAZ206","92D")</t>
  </si>
  <si>
    <t>TPDATE</t>
  </si>
  <si>
    <t>All P Dates</t>
  </si>
  <si>
    <t>PALL</t>
  </si>
  <si>
    <t>SUBR("*GCAZ206","92DA")</t>
  </si>
  <si>
    <t>TPDALL</t>
  </si>
  <si>
    <t>Last three Pb results</t>
  </si>
  <si>
    <t>PBLAST3</t>
  </si>
  <si>
    <t>SUBR("*GCAZ206","24/6/L3")</t>
  </si>
  <si>
    <t>TPBLAST3</t>
  </si>
  <si>
    <t>Last three Pb dates</t>
  </si>
  <si>
    <t>SUBR("*GCAZ206","24DL3")</t>
  </si>
  <si>
    <t>TPBDLAST3</t>
  </si>
  <si>
    <t>Reg. Date of Pb reading</t>
  </si>
  <si>
    <t>Pb</t>
  </si>
  <si>
    <t>SUBR("*GCAZ206","24G")</t>
  </si>
  <si>
    <t>TPBDATEREG</t>
  </si>
  <si>
    <t>Date of Pb reading</t>
  </si>
  <si>
    <t>SUBR("*GCAZ206","24D")</t>
  </si>
  <si>
    <t>TPBDATE</t>
  </si>
  <si>
    <t>All Pb Dates</t>
  </si>
  <si>
    <t>PBALL</t>
  </si>
  <si>
    <t>SUBR("*GCAZ206","24DA")</t>
  </si>
  <si>
    <t>TPBDALL</t>
  </si>
  <si>
    <t>All Pb Results</t>
  </si>
  <si>
    <t>SUBR("*GCAZ206","24RA")</t>
  </si>
  <si>
    <t>TPBALL</t>
  </si>
  <si>
    <t>Locate Pb Reading from Chemistry</t>
  </si>
  <si>
    <t>SUBR("*GCAI714",TREADINGNO,TREADVALUE,"24")</t>
  </si>
  <si>
    <t>TPB</t>
  </si>
  <si>
    <t>All P Results</t>
  </si>
  <si>
    <t>SUBR("*GCAZ206","92RA")</t>
  </si>
  <si>
    <t>TPALL</t>
  </si>
  <si>
    <t>Last three pAlc results</t>
  </si>
  <si>
    <t>PALCLAST3</t>
  </si>
  <si>
    <t>SUBR("*GCAZ206","217/6/L3")</t>
  </si>
  <si>
    <t>TPALCLAST3</t>
  </si>
  <si>
    <t>Last three pAlc dates</t>
  </si>
  <si>
    <t>SUBR("*GCAZ206","217DL3")</t>
  </si>
  <si>
    <t>TPALCDLAST3</t>
  </si>
  <si>
    <t>Reg. Date of pAlc reading</t>
  </si>
  <si>
    <t>pAlc</t>
  </si>
  <si>
    <t>SUBR("*GCAZ206","217G")</t>
  </si>
  <si>
    <t>TPALCDATEREG</t>
  </si>
  <si>
    <t>Date of pAlc reading</t>
  </si>
  <si>
    <t>SUBR("*GCAZ206","217D")</t>
  </si>
  <si>
    <t>TPALCDATE</t>
  </si>
  <si>
    <t>All pAlc Dates</t>
  </si>
  <si>
    <t>PALCALL</t>
  </si>
  <si>
    <t>SUBR("*GCAZ206","217DA")</t>
  </si>
  <si>
    <t>TPALCDALL</t>
  </si>
  <si>
    <t>All pAlc Results</t>
  </si>
  <si>
    <t>SUBR("*GCAZ206","217RA")</t>
  </si>
  <si>
    <t>TPALCALL</t>
  </si>
  <si>
    <t>Locate pAlc Reading from Chemistry</t>
  </si>
  <si>
    <t>SUBR("*GCAI714",TREADINGNO,TREADVALUE,"217")</t>
  </si>
  <si>
    <t>TPALC</t>
  </si>
  <si>
    <t>Last three P.SORB results</t>
  </si>
  <si>
    <t>P.SORBLAST3</t>
  </si>
  <si>
    <t>SUBR("*GCAZ206","116/6/L3")</t>
  </si>
  <si>
    <t>TP.SORBLAST3</t>
  </si>
  <si>
    <t>Last three P.SORB dates</t>
  </si>
  <si>
    <t>SUBR("*GCAZ206","116DL3")</t>
  </si>
  <si>
    <t>TP.SORBDLAST3</t>
  </si>
  <si>
    <t>Reg. Date of P.SORB reading</t>
  </si>
  <si>
    <t>P.SORB</t>
  </si>
  <si>
    <t>SUBR("*GCAZ206","116G")</t>
  </si>
  <si>
    <t>TP.SORBDATEREG</t>
  </si>
  <si>
    <t>Date of P.SORB reading</t>
  </si>
  <si>
    <t>SUBR("*GCAZ206","116D")</t>
  </si>
  <si>
    <t>TP.SORBDATE</t>
  </si>
  <si>
    <t>All P.SORB Dates</t>
  </si>
  <si>
    <t>P.SORBALL</t>
  </si>
  <si>
    <t>SUBR("*GCAZ206","116DA")</t>
  </si>
  <si>
    <t>TP.SORBDALL</t>
  </si>
  <si>
    <t>All P.SORB Results</t>
  </si>
  <si>
    <t>SUBR("*GCAZ206","116RA")</t>
  </si>
  <si>
    <t>TP.SORBALL</t>
  </si>
  <si>
    <t>Locate P.SORB Reading from Chemistry</t>
  </si>
  <si>
    <t>SUBR("*GCAI714",TREADINGNO,TREADVALUE,"116")</t>
  </si>
  <si>
    <t>TP.SORB</t>
  </si>
  <si>
    <t>Locate P Reading from Chemistry</t>
  </si>
  <si>
    <t>SUBR("*GCAI714",TREADINGNO,TREADVALUE,"92")</t>
  </si>
  <si>
    <t>TP</t>
  </si>
  <si>
    <t>Total volume allocated</t>
  </si>
  <si>
    <t>Total</t>
  </si>
  <si>
    <t>SUM(LITRES)</t>
  </si>
  <si>
    <t>TOTALLOC</t>
  </si>
  <si>
    <t>Source volume of grapes or juice</t>
  </si>
  <si>
    <t>SOURCE</t>
  </si>
  <si>
    <t>SUM(TRANS(SUMCOMP.TANK,TANK,SVOLUME,'X'))</t>
  </si>
  <si>
    <t>TOTAL.SVOLUME</t>
  </si>
  <si>
    <t>Total allocated litres</t>
  </si>
  <si>
    <t>TOTAL.ALLOC</t>
  </si>
  <si>
    <t>SUM(TRANS(WOODMAT.TANK,@ID,'QTY','X'))</t>
  </si>
  <si>
    <t>TOT.WOOD.QTY</t>
  </si>
  <si>
    <t>Tank Account for s/w &amp; tanks</t>
  </si>
  <si>
    <t>TANK ACC</t>
  </si>
  <si>
    <t>IF FIELD(@ID,'*',1) # 'SW' THEN TRANS(FIN.WH.CODE,@ID[1,1],ACC,'X') ELSE</t>
  </si>
  <si>
    <t>TOT.TANK.ACC</t>
  </si>
  <si>
    <t>Total Number of Barrels</t>
  </si>
  <si>
    <t>BN</t>
  </si>
  <si>
    <t>Tot No</t>
  </si>
  <si>
    <t>SUM(TRANS(BARREL.GROUP,@ID,NO.OF.BARRELS,'X'))</t>
  </si>
  <si>
    <t>TOT.NO.OF.BARRELS</t>
  </si>
  <si>
    <t>SUM(BN.TOTVOL)</t>
  </si>
  <si>
    <t>TOT.BG.VOL</t>
  </si>
  <si>
    <t>Days since last topping</t>
  </si>
  <si>
    <t>TOPPING</t>
  </si>
  <si>
    <t>IF TOPPING.DATE # '' THEN DATE() - TOPPING.DATE ELSE ''</t>
  </si>
  <si>
    <t>TOPPING.DAYS</t>
  </si>
  <si>
    <t>Last Topping Date</t>
  </si>
  <si>
    <t>SUBR("*TANK.TOPPING.DATE",@ID)</t>
  </si>
  <si>
    <t>TOPPING.DATE</t>
  </si>
  <si>
    <t>Description of Last Operation Code</t>
  </si>
  <si>
    <t>Last Operation</t>
  </si>
  <si>
    <t>TRANS(MOPS,TOPCD,ODESCP,'X')</t>
  </si>
  <si>
    <t>TOPCD.DESC</t>
  </si>
  <si>
    <t>Todays date used for Data Warehouse Extracts</t>
  </si>
  <si>
    <t>AS AT DATE</t>
  </si>
  <si>
    <t>OCONV(DATE(),"D4Y"):OCONV(DATE(),"DM"):OCONV(DATE(),"DD")</t>
  </si>
  <si>
    <t>TODAY</t>
  </si>
  <si>
    <t>Last three Obscur results</t>
  </si>
  <si>
    <t>OBSCURLAST3</t>
  </si>
  <si>
    <t>SUBR("*GCAZ206","49/6/L3")</t>
  </si>
  <si>
    <t>TOBSCURLAST3</t>
  </si>
  <si>
    <t>Last three Obscur dates</t>
  </si>
  <si>
    <t>SUBR("*GCAZ206","49DL3")</t>
  </si>
  <si>
    <t>TOBSCURDLAST3</t>
  </si>
  <si>
    <t>Reg. Date of Obscur reading</t>
  </si>
  <si>
    <t>Obscur</t>
  </si>
  <si>
    <t>SUBR("*GCAZ206","49G")</t>
  </si>
  <si>
    <t>TOBSCURDATEREG</t>
  </si>
  <si>
    <t>Date of Obscur reading</t>
  </si>
  <si>
    <t>SUBR("*GCAZ206","49D")</t>
  </si>
  <si>
    <t>TOBSCURDATE</t>
  </si>
  <si>
    <t>All Obscur Dates</t>
  </si>
  <si>
    <t>OBSCURALL</t>
  </si>
  <si>
    <t>SUBR("*GCAZ206","49DA")</t>
  </si>
  <si>
    <t>TOBSCURDALL</t>
  </si>
  <si>
    <t>All Obscur Results</t>
  </si>
  <si>
    <t>SUBR("*GCAZ206","49RA")</t>
  </si>
  <si>
    <t>TOBSCURALL</t>
  </si>
  <si>
    <t>Locate Obscur Reading from Chemistry</t>
  </si>
  <si>
    <t>SUBR("*GCAI714",TREADINGNO,TREADVALUE,"49")</t>
  </si>
  <si>
    <t>TOBSCUR</t>
  </si>
  <si>
    <t>Tank origin volumes</t>
  </si>
  <si>
    <t>TRANS(TANK.ORIGIN,TANK,LITRES,'X')</t>
  </si>
  <si>
    <t>TO.VOL</t>
  </si>
  <si>
    <t>Last three NOTE results</t>
  </si>
  <si>
    <t>NOTELAST3</t>
  </si>
  <si>
    <t>SUBR("*GCAZ206","183/6/L3")</t>
  </si>
  <si>
    <t>TNOTELAST3</t>
  </si>
  <si>
    <t>Last three NOTE dates</t>
  </si>
  <si>
    <t>SUBR("*GCAZ206","183DL3")</t>
  </si>
  <si>
    <t>TNOTEDLAST3</t>
  </si>
  <si>
    <t>Reg. Date of NOTE reading</t>
  </si>
  <si>
    <t>NOTE</t>
  </si>
  <si>
    <t>SUBR("*GCAZ206","183G")</t>
  </si>
  <si>
    <t>TNOTEDATEREG</t>
  </si>
  <si>
    <t>Date of NOTE reading</t>
  </si>
  <si>
    <t>SUBR("*GCAZ206","183D")</t>
  </si>
  <si>
    <t>TNOTEDATE</t>
  </si>
  <si>
    <t>All NOTE Dates</t>
  </si>
  <si>
    <t>NOTEALL</t>
  </si>
  <si>
    <t>SUBR("*GCAZ206","183DA")</t>
  </si>
  <si>
    <t>TNOTEDALL</t>
  </si>
  <si>
    <t>All NOTE Results</t>
  </si>
  <si>
    <t>SUBR("*GCAZ206","183RA")</t>
  </si>
  <si>
    <t>TNOTEALL</t>
  </si>
  <si>
    <t>Locate NOTE Reading from Chemistry</t>
  </si>
  <si>
    <t>SUBR("*GCAI714",TREADINGNO,TREADVALUE,"183")</t>
  </si>
  <si>
    <t>TNOTE</t>
  </si>
  <si>
    <t>Last three N results</t>
  </si>
  <si>
    <t>NLAST3</t>
  </si>
  <si>
    <t>SUBR("*GCAZ206","91/6/L3")</t>
  </si>
  <si>
    <t>TNLAST3</t>
  </si>
  <si>
    <t>Date and AM/PM when tank is next available (empty)</t>
  </si>
  <si>
    <t>13L</t>
  </si>
  <si>
    <t>SUBR('*TNK.AVAIL.ON',TASCNOTES.MRDATE,TASCNOTES.MRTIME,TASCNOTES.MFVOLA,'AO')</t>
  </si>
  <si>
    <t>TNK.AVAIL.ON</t>
  </si>
  <si>
    <t>Last three Nh4+ results</t>
  </si>
  <si>
    <t>NH4LAST3</t>
  </si>
  <si>
    <t>SUBR("*GCAZ206","42/6/L3")</t>
  </si>
  <si>
    <t>TNH4LAST3</t>
  </si>
  <si>
    <t>Last three Nh4+ dates</t>
  </si>
  <si>
    <t>SUBR("*GCAZ206","42DL3")</t>
  </si>
  <si>
    <t>TNH4DLAST3</t>
  </si>
  <si>
    <t>Reg. Date of Nh4+ reading</t>
  </si>
  <si>
    <t>Nh4+</t>
  </si>
  <si>
    <t>SUBR("*GCAZ206","42G")</t>
  </si>
  <si>
    <t>TNH4DATEREG</t>
  </si>
  <si>
    <t>Date of Nh4+ reading</t>
  </si>
  <si>
    <t>SUBR("*GCAZ206","42D")</t>
  </si>
  <si>
    <t>TNH4DATE</t>
  </si>
  <si>
    <t>All Nh4+ Dates</t>
  </si>
  <si>
    <t>NH4ALL</t>
  </si>
  <si>
    <t>SUBR("*GCAZ206","42DA")</t>
  </si>
  <si>
    <t>TNH4DALL</t>
  </si>
  <si>
    <t>All Nh4+ Results</t>
  </si>
  <si>
    <t>SUBR("*GCAZ206","42RA")</t>
  </si>
  <si>
    <t>TNH4ALL</t>
  </si>
  <si>
    <t>Locate Nh4+ Reading from Chemistry</t>
  </si>
  <si>
    <t>SUBR("*GCAI714",TREADINGNO,TREADVALUE,"42")</t>
  </si>
  <si>
    <t>TNH4</t>
  </si>
  <si>
    <t>Last three Nekle results</t>
  </si>
  <si>
    <t>NEKLELAST3</t>
  </si>
  <si>
    <t>SUBR("*GCAZ206","83/6/L3")</t>
  </si>
  <si>
    <t>TNEKLELAST3</t>
  </si>
  <si>
    <t>Last three Nekle dates</t>
  </si>
  <si>
    <t>SUBR("*GCAZ206","83DL3")</t>
  </si>
  <si>
    <t>TNEKLEDLAST3</t>
  </si>
  <si>
    <t>Reg. Date of Nekle reading</t>
  </si>
  <si>
    <t>Nekle</t>
  </si>
  <si>
    <t>SUBR("*GCAZ206","83G")</t>
  </si>
  <si>
    <t>TNEKLEDATEREG</t>
  </si>
  <si>
    <t>Date of Nekle reading</t>
  </si>
  <si>
    <t>SUBR("*GCAZ206","83D")</t>
  </si>
  <si>
    <t>TNEKLEDATE</t>
  </si>
  <si>
    <t>All Nekle Dates</t>
  </si>
  <si>
    <t>NEKLEALL</t>
  </si>
  <si>
    <t>SUBR("*GCAZ206","83DA")</t>
  </si>
  <si>
    <t>TNEKLEDALL</t>
  </si>
  <si>
    <t>All Nekle Results</t>
  </si>
  <si>
    <t>SUBR("*GCAZ206","83RA")</t>
  </si>
  <si>
    <t>TNEKLEALL</t>
  </si>
  <si>
    <t>Locate Nekle Reading from Chemistry</t>
  </si>
  <si>
    <t>SUBR("*GCAI714",TREADINGNO,TREADVALUE,"83")</t>
  </si>
  <si>
    <t>TNEKLE</t>
  </si>
  <si>
    <t>Last three Nekdi results</t>
  </si>
  <si>
    <t>NEKDILAST3</t>
  </si>
  <si>
    <t>SUBR("*GCAZ206","82/6/L3")</t>
  </si>
  <si>
    <t>TNEKDILAST3</t>
  </si>
  <si>
    <t>Last three Nekdi dates</t>
  </si>
  <si>
    <t>SUBR("*GCAZ206","82DL3")</t>
  </si>
  <si>
    <t>TNEKDIDLAST3</t>
  </si>
  <si>
    <t>Reg. Date of Nekdi reading</t>
  </si>
  <si>
    <t>Nekdi</t>
  </si>
  <si>
    <t>SUBR("*GCAZ206","82G")</t>
  </si>
  <si>
    <t>TNEKDIDATEREG</t>
  </si>
  <si>
    <t>Date of Nekdi reading</t>
  </si>
  <si>
    <t>SUBR("*GCAZ206","82D")</t>
  </si>
  <si>
    <t>TNEKDIDATE</t>
  </si>
  <si>
    <t>All Nekdi Dates</t>
  </si>
  <si>
    <t>NEKDIALL</t>
  </si>
  <si>
    <t>SUBR("*GCAZ206","82DA")</t>
  </si>
  <si>
    <t>TNEKDIDALL</t>
  </si>
  <si>
    <t>All Nekdi Results</t>
  </si>
  <si>
    <t>SUBR("*GCAZ206","82RA")</t>
  </si>
  <si>
    <t>TNEKDIALL</t>
  </si>
  <si>
    <t>Locate Nekdi Reading from Chemistry</t>
  </si>
  <si>
    <t>SUBR("*GCAI714",TREADINGNO,TREADVALUE,"82")</t>
  </si>
  <si>
    <t>TNEKDI</t>
  </si>
  <si>
    <t>Last three N dates</t>
  </si>
  <si>
    <t>SUBR("*GCAZ206","91DL3")</t>
  </si>
  <si>
    <t>TNDLAST3</t>
  </si>
  <si>
    <t>Reg. Date of N reading</t>
  </si>
  <si>
    <t>N</t>
  </si>
  <si>
    <t>SUBR("*GCAZ206","91G")</t>
  </si>
  <si>
    <t>TNDATEREG</t>
  </si>
  <si>
    <t>Date of N reading</t>
  </si>
  <si>
    <t>SUBR("*GCAZ206","91D")</t>
  </si>
  <si>
    <t>TNDATE</t>
  </si>
  <si>
    <t>All N Dates</t>
  </si>
  <si>
    <t>NALL</t>
  </si>
  <si>
    <t>SUBR("*GCAZ206","91DA")</t>
  </si>
  <si>
    <t>TNDALL</t>
  </si>
  <si>
    <t>All N Results</t>
  </si>
  <si>
    <t>SUBR("*GCAZ206","91RA")</t>
  </si>
  <si>
    <t>TNALL</t>
  </si>
  <si>
    <t>Last three Na results</t>
  </si>
  <si>
    <t>NALAST3</t>
  </si>
  <si>
    <t>SUBR("*GCAZ206","27/6/L3")</t>
  </si>
  <si>
    <t>TNALAST3</t>
  </si>
  <si>
    <t>Last three Na dates</t>
  </si>
  <si>
    <t>SUBR("*GCAZ206","27DL3")</t>
  </si>
  <si>
    <t>TNADLAST3</t>
  </si>
  <si>
    <t>Reg. Date of Na reading</t>
  </si>
  <si>
    <t>Na</t>
  </si>
  <si>
    <t>SUBR("*GCAZ206","27G")</t>
  </si>
  <si>
    <t>TNADATEREG</t>
  </si>
  <si>
    <t>Date of Na reading</t>
  </si>
  <si>
    <t>SUBR("*GCAZ206","27D")</t>
  </si>
  <si>
    <t>TNADATE</t>
  </si>
  <si>
    <t>All Na Dates</t>
  </si>
  <si>
    <t>NAALL</t>
  </si>
  <si>
    <t>SUBR("*GCAZ206","27DA")</t>
  </si>
  <si>
    <t>TNADALL</t>
  </si>
  <si>
    <t>Last three Nacl results</t>
  </si>
  <si>
    <t>NACLLAST3</t>
  </si>
  <si>
    <t>SUBR("*GCAZ206","36/6/L3")</t>
  </si>
  <si>
    <t>TNACLLAST3</t>
  </si>
  <si>
    <t>Last three Nacl dates</t>
  </si>
  <si>
    <t>SUBR("*GCAZ206","36DL3")</t>
  </si>
  <si>
    <t>TNACLDLAST3</t>
  </si>
  <si>
    <t>Reg. Date of Nacl reading</t>
  </si>
  <si>
    <t>Nacl</t>
  </si>
  <si>
    <t>SUBR("*GCAZ206","36G")</t>
  </si>
  <si>
    <t>TNACLDATEREG</t>
  </si>
  <si>
    <t>Date of Nacl reading</t>
  </si>
  <si>
    <t>SUBR("*GCAZ206","36D")</t>
  </si>
  <si>
    <t>TNACLDATE</t>
  </si>
  <si>
    <t>All Nacl Dates</t>
  </si>
  <si>
    <t>NACLALL</t>
  </si>
  <si>
    <t>SUBR("*GCAZ206","36DA")</t>
  </si>
  <si>
    <t>TNACLDALL</t>
  </si>
  <si>
    <t>All Nacl Results</t>
  </si>
  <si>
    <t>SUBR("*GCAZ206","36RA")</t>
  </si>
  <si>
    <t>TNACLALL</t>
  </si>
  <si>
    <t>Locate Nacl Reading from Chemistry</t>
  </si>
  <si>
    <t>SUBR("*GCAI714",TREADINGNO,TREADVALUE,"36")</t>
  </si>
  <si>
    <t>TNACL</t>
  </si>
  <si>
    <t>All Na Results</t>
  </si>
  <si>
    <t>SUBR("*GCAZ206","27RA")</t>
  </si>
  <si>
    <t>TNAALL</t>
  </si>
  <si>
    <t>Locate Na Reading from Chemistry</t>
  </si>
  <si>
    <t>SUBR("*GCAI714",TREADINGNO,TREADVALUE,"27")</t>
  </si>
  <si>
    <t>TNA</t>
  </si>
  <si>
    <t>Locate N Reading from Chemistry</t>
  </si>
  <si>
    <t>SUBR("*GCAI714",TREADINGNO,TREADVALUE,"91")</t>
  </si>
  <si>
    <t>TN</t>
  </si>
  <si>
    <t>TRANSLATE TO BLEND MASTER &amp; TO BLEND GROUP FILE FOR STANDARD COST</t>
  </si>
  <si>
    <t>STANDARD</t>
  </si>
  <si>
    <t>TRANS(MBLEND,TBLEND,BTYPECODE,'X');TRANS(MBLENDGP,@1,TMSTD,'X')</t>
  </si>
  <si>
    <t>TMSTD</t>
  </si>
  <si>
    <t>Last three mSO2 results</t>
  </si>
  <si>
    <t>MSO2LAST3</t>
  </si>
  <si>
    <t>SUBR("*GCAZ206","187/6/L3")</t>
  </si>
  <si>
    <t>TMSO2LAST3</t>
  </si>
  <si>
    <t>Last three mSO2 dates</t>
  </si>
  <si>
    <t>SUBR("*GCAZ206","187DL3")</t>
  </si>
  <si>
    <t>TMSO2DLAST3</t>
  </si>
  <si>
    <t>Reg. Date of mSO2 reading</t>
  </si>
  <si>
    <t>mSO2</t>
  </si>
  <si>
    <t>SUBR("*GCAZ206","187G")</t>
  </si>
  <si>
    <t>TMSO2DATEREG</t>
  </si>
  <si>
    <t>Date of mSO2 reading</t>
  </si>
  <si>
    <t>SUBR("*GCAZ206","187D")</t>
  </si>
  <si>
    <t>TMSO2DATE</t>
  </si>
  <si>
    <t>All mSO2 Dates</t>
  </si>
  <si>
    <t>MSO2ALL</t>
  </si>
  <si>
    <t>SUBR("*GCAZ206","187DA")</t>
  </si>
  <si>
    <t>TMSO2DALL</t>
  </si>
  <si>
    <t>All mSO2 Results</t>
  </si>
  <si>
    <t>SUBR("*GCAZ206","187RA")</t>
  </si>
  <si>
    <t>TMSO2ALL</t>
  </si>
  <si>
    <t>Locate mSO2 Reading from Chemistry</t>
  </si>
  <si>
    <t>SUBR("*GCAI714",TREADINGNO,TREADVALUE,"187")</t>
  </si>
  <si>
    <t>TMSO2</t>
  </si>
  <si>
    <t>Last three Motile results</t>
  </si>
  <si>
    <t>MOTILELAST3</t>
  </si>
  <si>
    <t>SUBR("*GCAZ206","68/6/L3")</t>
  </si>
  <si>
    <t>TMOTILELAST3</t>
  </si>
  <si>
    <t>Last three Motile dates</t>
  </si>
  <si>
    <t>SUBR("*GCAZ206","68DL3")</t>
  </si>
  <si>
    <t>TMOTILEDLAST3</t>
  </si>
  <si>
    <t>Reg. Date of Motile reading</t>
  </si>
  <si>
    <t>Motile</t>
  </si>
  <si>
    <t>SUBR("*GCAZ206","68G")</t>
  </si>
  <si>
    <t>TMOTILEDATEREG</t>
  </si>
  <si>
    <t>Date of Motile reading</t>
  </si>
  <si>
    <t>SUBR("*GCAZ206","68D")</t>
  </si>
  <si>
    <t>TMOTILEDATE</t>
  </si>
  <si>
    <t>All Motile Dates</t>
  </si>
  <si>
    <t>MOTILEALL</t>
  </si>
  <si>
    <t>SUBR("*GCAZ206","68DA")</t>
  </si>
  <si>
    <t>TMOTILEDALL</t>
  </si>
  <si>
    <t>All Motile Results</t>
  </si>
  <si>
    <t>SUBR("*GCAZ206","68RA")</t>
  </si>
  <si>
    <t>TMOTILEALL</t>
  </si>
  <si>
    <t>Locate Motile Reading from Chemistry</t>
  </si>
  <si>
    <t>SUBR("*GCAI714",TREADINGNO,TREADVALUE,"68")</t>
  </si>
  <si>
    <t>TMOTILE</t>
  </si>
  <si>
    <t>Last three MolSO2 results</t>
  </si>
  <si>
    <t>MOLSO2LAST3</t>
  </si>
  <si>
    <t>SUBR("*GCAZ206","148/6/L3")</t>
  </si>
  <si>
    <t>TMOLSO2LAST3</t>
  </si>
  <si>
    <t>Last three MolSO2 dates</t>
  </si>
  <si>
    <t>SUBR("*GCAZ206","148DL3")</t>
  </si>
  <si>
    <t>TMOLSO2DLAST3</t>
  </si>
  <si>
    <t>Reg. Date of MolSO2 reading</t>
  </si>
  <si>
    <t>MolSO2</t>
  </si>
  <si>
    <t>SUBR("*GCAZ206","148G")</t>
  </si>
  <si>
    <t>TMOLSO2DATEREG</t>
  </si>
  <si>
    <t>Date of MolSO2 reading</t>
  </si>
  <si>
    <t>SUBR("*GCAZ206","148D")</t>
  </si>
  <si>
    <t>TMOLSO2DATE</t>
  </si>
  <si>
    <t>All MolSO2 Dates</t>
  </si>
  <si>
    <t>MOLSO2ALL</t>
  </si>
  <si>
    <t>SUBR("*GCAZ206","148DA")</t>
  </si>
  <si>
    <t>TMOLSO2DALL</t>
  </si>
  <si>
    <t>All MolSO2 Results</t>
  </si>
  <si>
    <t>SUBR("*GCAZ206","148RA")</t>
  </si>
  <si>
    <t>TMOLSO2ALL</t>
  </si>
  <si>
    <t>Locate MolSO2 Reading from Chemistry</t>
  </si>
  <si>
    <t>SUBR("*GCAI714",TREADINGNO,TREADVALUE,"148")</t>
  </si>
  <si>
    <t>TMOLSO2</t>
  </si>
  <si>
    <t>Last three Mn results</t>
  </si>
  <si>
    <t>MNLAST3</t>
  </si>
  <si>
    <t>SUBR("*GCAZ206","85/6/L3")</t>
  </si>
  <si>
    <t>TMNLAST3</t>
  </si>
  <si>
    <t>Last three Mn dates</t>
  </si>
  <si>
    <t>SUBR("*GCAZ206","85DL3")</t>
  </si>
  <si>
    <t>TMNDLAST3</t>
  </si>
  <si>
    <t>Reg. Date of Mn reading</t>
  </si>
  <si>
    <t>Mn</t>
  </si>
  <si>
    <t>SUBR("*GCAZ206","85G")</t>
  </si>
  <si>
    <t>TMNDATEREG</t>
  </si>
  <si>
    <t>Date of Mn reading</t>
  </si>
  <si>
    <t>SUBR("*GCAZ206","85D")</t>
  </si>
  <si>
    <t>TMNDATE</t>
  </si>
  <si>
    <t>All Mn Dates</t>
  </si>
  <si>
    <t>MNALL</t>
  </si>
  <si>
    <t>SUBR("*GCAZ206","85DA")</t>
  </si>
  <si>
    <t>TMNDALL</t>
  </si>
  <si>
    <t>All Mn Results</t>
  </si>
  <si>
    <t>SUBR("*GCAZ206","85RA")</t>
  </si>
  <si>
    <t>TMNALL</t>
  </si>
  <si>
    <t>Locate Mn Reading from Chemistry</t>
  </si>
  <si>
    <t>SUBR("*GCAI714",TREADINGNO,TREADVALUE,"85")</t>
  </si>
  <si>
    <t>TMN</t>
  </si>
  <si>
    <t>Last three MLF results</t>
  </si>
  <si>
    <t>MLFLAST3</t>
  </si>
  <si>
    <t>SUBR("*GCAZ206","21/6/L3")</t>
  </si>
  <si>
    <t>TMLFLAST3</t>
  </si>
  <si>
    <t>Last three MLF dates</t>
  </si>
  <si>
    <t>SUBR("*GCAZ206","21DL3")</t>
  </si>
  <si>
    <t>TMLFDLAST3</t>
  </si>
  <si>
    <t>Reg. Date of MLF reading</t>
  </si>
  <si>
    <t>MLF</t>
  </si>
  <si>
    <t>SUBR("*GCAZ206","21G")</t>
  </si>
  <si>
    <t>TMLFDATEREG</t>
  </si>
  <si>
    <t>Date of MLF reading</t>
  </si>
  <si>
    <t>SUBR("*GCAZ206","21D")</t>
  </si>
  <si>
    <t>TMLFDATE</t>
  </si>
  <si>
    <t>All MLF Dates</t>
  </si>
  <si>
    <t>MLFALL</t>
  </si>
  <si>
    <t>SUBR("*GCAZ206","21DA")</t>
  </si>
  <si>
    <t>TMLFDALL</t>
  </si>
  <si>
    <t>All MLF Results</t>
  </si>
  <si>
    <t>SUBR("*GCAZ206","21RA")</t>
  </si>
  <si>
    <t>TMLFALL</t>
  </si>
  <si>
    <t>Locate MLF Reading from Chemistry</t>
  </si>
  <si>
    <t>SUBR("*GCAI714",TREADINGNO,TREADVALUE,"21")</t>
  </si>
  <si>
    <t>TMLF</t>
  </si>
  <si>
    <t>Last three Milk results</t>
  </si>
  <si>
    <t>MILKLAST3</t>
  </si>
  <si>
    <t>SUBR("*GCAZ206","171/6/L3")</t>
  </si>
  <si>
    <t>TMILKLAST3</t>
  </si>
  <si>
    <t>Last three Milk dates</t>
  </si>
  <si>
    <t>SUBR("*GCAZ206","171DL3")</t>
  </si>
  <si>
    <t>TMILKDLAST3</t>
  </si>
  <si>
    <t>Reg. Date of Milk reading</t>
  </si>
  <si>
    <t>Milk</t>
  </si>
  <si>
    <t>SUBR("*GCAZ206","171G")</t>
  </si>
  <si>
    <t>TMILKDATEREG</t>
  </si>
  <si>
    <t>Date of Milk reading</t>
  </si>
  <si>
    <t>SUBR("*GCAZ206","171D")</t>
  </si>
  <si>
    <t>TMILKDATE</t>
  </si>
  <si>
    <t>All Milk Dates</t>
  </si>
  <si>
    <t>MILKALL</t>
  </si>
  <si>
    <t>SUBR("*GCAZ206","171DA")</t>
  </si>
  <si>
    <t>TMILKDALL</t>
  </si>
  <si>
    <t>All Milk Results</t>
  </si>
  <si>
    <t>SUBR("*GCAZ206","171RA")</t>
  </si>
  <si>
    <t>TMILKALL</t>
  </si>
  <si>
    <t>Locate Milk Reading from Chemistry</t>
  </si>
  <si>
    <t>SUBR("*GCAI714",TREADINGNO,TREADVALUE,"171")</t>
  </si>
  <si>
    <t>TMILK</t>
  </si>
  <si>
    <t>Last three MILF results</t>
  </si>
  <si>
    <t>MILFLAST3</t>
  </si>
  <si>
    <t>SUBR("*GCAZ206","110/6/L3")</t>
  </si>
  <si>
    <t>TMILFLAST3</t>
  </si>
  <si>
    <t>Last three MILF dates</t>
  </si>
  <si>
    <t>SUBR("*GCAZ206","110DL3")</t>
  </si>
  <si>
    <t>TMILFDLAST3</t>
  </si>
  <si>
    <t>Reg. Date of MILF reading</t>
  </si>
  <si>
    <t>MILF</t>
  </si>
  <si>
    <t>SUBR("*GCAZ206","110G")</t>
  </si>
  <si>
    <t>TMILFDATEREG</t>
  </si>
  <si>
    <t>Date of MILF reading</t>
  </si>
  <si>
    <t>SUBR("*GCAZ206","110D")</t>
  </si>
  <si>
    <t>TMILFDATE</t>
  </si>
  <si>
    <t>All MILF Dates</t>
  </si>
  <si>
    <t>MILFALL</t>
  </si>
  <si>
    <t>SUBR("*GCAZ206","110DA")</t>
  </si>
  <si>
    <t>TMILFDALL</t>
  </si>
  <si>
    <t>All MILF Results</t>
  </si>
  <si>
    <t>SUBR("*GCAZ206","110RA")</t>
  </si>
  <si>
    <t>TMILFALL</t>
  </si>
  <si>
    <t>Locate MILF Reading from Chemistry</t>
  </si>
  <si>
    <t>SUBR("*GCAI714",TREADINGNO,TREADVALUE,"110")</t>
  </si>
  <si>
    <t>TMILF</t>
  </si>
  <si>
    <t>Last three Micro results</t>
  </si>
  <si>
    <t>MICROLAST3</t>
  </si>
  <si>
    <t>SUBR("*GCAZ206","93/6/L3")</t>
  </si>
  <si>
    <t>TMICROLAST3</t>
  </si>
  <si>
    <t>Last three Micro dates</t>
  </si>
  <si>
    <t>SUBR("*GCAZ206","93DL3")</t>
  </si>
  <si>
    <t>TMICRODLAST3</t>
  </si>
  <si>
    <t>Reg. Date of Micro reading</t>
  </si>
  <si>
    <t>Micro</t>
  </si>
  <si>
    <t>SUBR("*GCAZ206","93G")</t>
  </si>
  <si>
    <t>TMICRODATEREG</t>
  </si>
  <si>
    <t>Date of Micro reading</t>
  </si>
  <si>
    <t>SUBR("*GCAZ206","93D")</t>
  </si>
  <si>
    <t>TMICRODATE</t>
  </si>
  <si>
    <t>All Micro Dates</t>
  </si>
  <si>
    <t>MICROALL</t>
  </si>
  <si>
    <t>SUBR("*GCAZ206","93DA")</t>
  </si>
  <si>
    <t>TMICRODALL</t>
  </si>
  <si>
    <t>All Micro Results</t>
  </si>
  <si>
    <t>SUBR("*GCAZ206","93RA")</t>
  </si>
  <si>
    <t>TMICROALL</t>
  </si>
  <si>
    <t>Locate Micro Reading from Chemistry</t>
  </si>
  <si>
    <t>SUBR("*GCAI714",TREADINGNO,TREADVALUE,"93")</t>
  </si>
  <si>
    <t>TMICRO</t>
  </si>
  <si>
    <t>Last three Mg results</t>
  </si>
  <si>
    <t>MGLAST3</t>
  </si>
  <si>
    <t>SUBR("*GCAZ206","48/6/L3")</t>
  </si>
  <si>
    <t>TMGLAST3</t>
  </si>
  <si>
    <t>Last three Mg dates</t>
  </si>
  <si>
    <t>SUBR("*GCAZ206","48DL3")</t>
  </si>
  <si>
    <t>TMGDLAST3</t>
  </si>
  <si>
    <t>Reg. Date of Mg reading</t>
  </si>
  <si>
    <t>Mg</t>
  </si>
  <si>
    <t>SUBR("*GCAZ206","48G")</t>
  </si>
  <si>
    <t>TMGDATEREG</t>
  </si>
  <si>
    <t>Date of Mg reading</t>
  </si>
  <si>
    <t>SUBR("*GCAZ206","48D")</t>
  </si>
  <si>
    <t>TMGDATE</t>
  </si>
  <si>
    <t>All Mg Dates</t>
  </si>
  <si>
    <t>MGALL</t>
  </si>
  <si>
    <t>SUBR("*GCAZ206","48DA")</t>
  </si>
  <si>
    <t>TMGDALL</t>
  </si>
  <si>
    <t>All Mg Results</t>
  </si>
  <si>
    <t>SUBR("*GCAZ206","48RA")</t>
  </si>
  <si>
    <t>TMGALL</t>
  </si>
  <si>
    <t>Locate Mg Reading from Chemistry</t>
  </si>
  <si>
    <t>SUBR("*GCAI714",TREADINGNO,TREADVALUE,"48")</t>
  </si>
  <si>
    <t>TMG</t>
  </si>
  <si>
    <t>Lookup of 'from blends' in OPSMOVE</t>
  </si>
  <si>
    <t>12T</t>
  </si>
  <si>
    <t>TMF BLEND</t>
  </si>
  <si>
    <t>TRANS(OPSMOVE,@ID,MFBLEND,'X')</t>
  </si>
  <si>
    <t>TMFBLEND</t>
  </si>
  <si>
    <t>Last three METHO results</t>
  </si>
  <si>
    <t>METHOLAST3</t>
  </si>
  <si>
    <t>SUBR("*GCAZ206","104/6/L3")</t>
  </si>
  <si>
    <t>TMETHOLAST3</t>
  </si>
  <si>
    <t>Last three METHO dates</t>
  </si>
  <si>
    <t>SUBR("*GCAZ206","104DL3")</t>
  </si>
  <si>
    <t>TMETHODLAST3</t>
  </si>
  <si>
    <t>Reg. Date of METHO reading</t>
  </si>
  <si>
    <t>METHO</t>
  </si>
  <si>
    <t>SUBR("*GCAZ206","104G")</t>
  </si>
  <si>
    <t>TMETHODATEREG</t>
  </si>
  <si>
    <t>Date of METHO reading</t>
  </si>
  <si>
    <t>SUBR("*GCAZ206","104D")</t>
  </si>
  <si>
    <t>TMETHODATE</t>
  </si>
  <si>
    <t>All METHO Dates</t>
  </si>
  <si>
    <t>METHOALL</t>
  </si>
  <si>
    <t>SUBR("*GCAZ206","104DA")</t>
  </si>
  <si>
    <t>TMETHODALL</t>
  </si>
  <si>
    <t>All METHO Results</t>
  </si>
  <si>
    <t>SUBR("*GCAZ206","104RA")</t>
  </si>
  <si>
    <t>TMETHOALL</t>
  </si>
  <si>
    <t>Locate METHO Reading from Chemistry</t>
  </si>
  <si>
    <t>SUBR("*GCAI714",TREADINGNO,TREADVALUE,"104")</t>
  </si>
  <si>
    <t>TMETHO</t>
  </si>
  <si>
    <t>Last three MeOH results</t>
  </si>
  <si>
    <t>MEOHLAST3</t>
  </si>
  <si>
    <t>SUBR("*GCAZ206","196/6/L3")</t>
  </si>
  <si>
    <t>TMEOHLAST3</t>
  </si>
  <si>
    <t>Last three MeOH dates</t>
  </si>
  <si>
    <t>SUBR("*GCAZ206","196DL3")</t>
  </si>
  <si>
    <t>TMEOHDLAST3</t>
  </si>
  <si>
    <t>Reg. Date of MeOH reading</t>
  </si>
  <si>
    <t>MeOH</t>
  </si>
  <si>
    <t>SUBR("*GCAZ206","196G")</t>
  </si>
  <si>
    <t>TMEOHDATEREG</t>
  </si>
  <si>
    <t>Date of MeOH reading</t>
  </si>
  <si>
    <t>SUBR("*GCAZ206","196D")</t>
  </si>
  <si>
    <t>TMEOHDATE</t>
  </si>
  <si>
    <t>All MeOH Dates</t>
  </si>
  <si>
    <t>MEOHALL</t>
  </si>
  <si>
    <t>SUBR("*GCAZ206","196DA")</t>
  </si>
  <si>
    <t>TMEOHDALL</t>
  </si>
  <si>
    <t>All MeOH Results</t>
  </si>
  <si>
    <t>SUBR("*GCAZ206","196RA")</t>
  </si>
  <si>
    <t>TMEOHALL</t>
  </si>
  <si>
    <t>Locate MeOH Reading from Chemistry</t>
  </si>
  <si>
    <t>SUBR("*GCAI714",TREADINGNO,TREADVALUE,"196")</t>
  </si>
  <si>
    <t>TMEOH</t>
  </si>
  <si>
    <t>Last three MDG results</t>
  </si>
  <si>
    <t>MDGLAST3</t>
  </si>
  <si>
    <t>SUBR("*GCAZ206","119/6/L3")</t>
  </si>
  <si>
    <t>TMDGLAST3</t>
  </si>
  <si>
    <t>Last three MDG dates</t>
  </si>
  <si>
    <t>SUBR("*GCAZ206","119DL3")</t>
  </si>
  <si>
    <t>TMDGDLAST3</t>
  </si>
  <si>
    <t>Reg. Date of MDG reading</t>
  </si>
  <si>
    <t>MDG</t>
  </si>
  <si>
    <t>SUBR("*GCAZ206","119G")</t>
  </si>
  <si>
    <t>TMDGDATEREG</t>
  </si>
  <si>
    <t>Date of MDG reading</t>
  </si>
  <si>
    <t>SUBR("*GCAZ206","119D")</t>
  </si>
  <si>
    <t>TMDGDATE</t>
  </si>
  <si>
    <t>All MDG Dates</t>
  </si>
  <si>
    <t>MDGALL</t>
  </si>
  <si>
    <t>SUBR("*GCAZ206","119DA")</t>
  </si>
  <si>
    <t>TMDGDALL</t>
  </si>
  <si>
    <t>All MDG Results</t>
  </si>
  <si>
    <t>SUBR("*GCAZ206","119RA")</t>
  </si>
  <si>
    <t>TMDGALL</t>
  </si>
  <si>
    <t>Locate MDG Reading from Chemistry</t>
  </si>
  <si>
    <t>SUBR("*GCAI714",TREADINGNO,TREADVALUE,"119")</t>
  </si>
  <si>
    <t>TMDG</t>
  </si>
  <si>
    <t>Last three MAT results</t>
  </si>
  <si>
    <t>MATLAST3</t>
  </si>
  <si>
    <t>SUBR("*GCAZ206","124/6/L3")</t>
  </si>
  <si>
    <t>TMATLAST3</t>
  </si>
  <si>
    <t>Last three MAT dates</t>
  </si>
  <si>
    <t>SUBR("*GCAZ206","124DL3")</t>
  </si>
  <si>
    <t>TMATDLAST3</t>
  </si>
  <si>
    <t>Reg. Date of MAT reading</t>
  </si>
  <si>
    <t>MAT</t>
  </si>
  <si>
    <t>SUBR("*GCAZ206","124G")</t>
  </si>
  <si>
    <t>TMATDATEREG</t>
  </si>
  <si>
    <t>Date of MAT reading</t>
  </si>
  <si>
    <t>SUBR("*GCAZ206","124D")</t>
  </si>
  <si>
    <t>TMATDATE</t>
  </si>
  <si>
    <t>All MAT Dates</t>
  </si>
  <si>
    <t>MATALL</t>
  </si>
  <si>
    <t>SUBR("*GCAZ206","124DA")</t>
  </si>
  <si>
    <t>TMATDALL</t>
  </si>
  <si>
    <t>All MAT Results</t>
  </si>
  <si>
    <t>SUBR("*GCAZ206","124RA")</t>
  </si>
  <si>
    <t>TMATALL</t>
  </si>
  <si>
    <t>Locate MAT Reading from Chemistry</t>
  </si>
  <si>
    <t>SUBR("*GCAI714",TREADINGNO,TREADVALUE,"124")</t>
  </si>
  <si>
    <t>TMAT</t>
  </si>
  <si>
    <t>Last three MaloV results</t>
  </si>
  <si>
    <t>MALOVLAST3</t>
  </si>
  <si>
    <t>SUBR("*GCAZ206","176/6/L3")</t>
  </si>
  <si>
    <t>TMALOVLAST3</t>
  </si>
  <si>
    <t>Last three MaloV dates</t>
  </si>
  <si>
    <t>SUBR("*GCAZ206","176DL3")</t>
  </si>
  <si>
    <t>TMALOVDLAST3</t>
  </si>
  <si>
    <t>Reg. Date of MaloV reading</t>
  </si>
  <si>
    <t>MaloV</t>
  </si>
  <si>
    <t>SUBR("*GCAZ206","176G")</t>
  </si>
  <si>
    <t>TMALOVDATEREG</t>
  </si>
  <si>
    <t>Date of MaloV reading</t>
  </si>
  <si>
    <t>SUBR("*GCAZ206","176D")</t>
  </si>
  <si>
    <t>TMALOVDATE</t>
  </si>
  <si>
    <t>All MaloV Dates</t>
  </si>
  <si>
    <t>MALOVALL</t>
  </si>
  <si>
    <t>SUBR("*GCAZ206","176DA")</t>
  </si>
  <si>
    <t>TMALOVDALL</t>
  </si>
  <si>
    <t>All MaloV Results</t>
  </si>
  <si>
    <t>SUBR("*GCAZ206","176RA")</t>
  </si>
  <si>
    <t>TMALOVALL</t>
  </si>
  <si>
    <t>Locate MaloV Reading from Chemistry</t>
  </si>
  <si>
    <t>SUBR("*GCAI714",TREADINGNO,TREADVALUE,"176")</t>
  </si>
  <si>
    <t>TMALOV</t>
  </si>
  <si>
    <t>Last three Malate results</t>
  </si>
  <si>
    <t>MALATELAST3</t>
  </si>
  <si>
    <t>SUBR("*GCAZ206","47/6/L3")</t>
  </si>
  <si>
    <t>TMALATELAST3</t>
  </si>
  <si>
    <t>Last three Malate dates</t>
  </si>
  <si>
    <t>SUBR("*GCAZ206","47DL3")</t>
  </si>
  <si>
    <t>TMALATEDLAST3</t>
  </si>
  <si>
    <t>Reg. Date of Malate reading</t>
  </si>
  <si>
    <t>Malate</t>
  </si>
  <si>
    <t>SUBR("*GCAZ206","47G")</t>
  </si>
  <si>
    <t>TMALATEDATEREG</t>
  </si>
  <si>
    <t>Date of Malate reading</t>
  </si>
  <si>
    <t>SUBR("*GCAZ206","47D")</t>
  </si>
  <si>
    <t>TMALATEDATE</t>
  </si>
  <si>
    <t>All Malate Dates</t>
  </si>
  <si>
    <t>MALATEALL</t>
  </si>
  <si>
    <t>SUBR("*GCAZ206","47DA")</t>
  </si>
  <si>
    <t>TMALATEDALL</t>
  </si>
  <si>
    <t>All MALATE times</t>
  </si>
  <si>
    <t>SUBR(SUBR.PENBW:"PBWZ206","47TA")</t>
  </si>
  <si>
    <t>TMALATEALLT</t>
  </si>
  <si>
    <t>All Malate Results</t>
  </si>
  <si>
    <t>SUBR("*GCAZ206","47RA")</t>
  </si>
  <si>
    <t>TMALATEALL</t>
  </si>
  <si>
    <t>Increase in latest Malate reading over previous reading</t>
  </si>
  <si>
    <t>Malate Change</t>
  </si>
  <si>
    <t>TMALATELAST3&lt;1,1,1&gt;; TMALATELAST3&lt;1,2,1&gt;; IF @2&gt;=0 THEN @1 - @2 ELSE '-'</t>
  </si>
  <si>
    <t>TMALATE.CHANGE</t>
  </si>
  <si>
    <t>Locate Malate Reading from Chemistry</t>
  </si>
  <si>
    <t>SUBR("*GCAI714",TREADINGNO,TREADVALUE,"47")</t>
  </si>
  <si>
    <t>TMALATE</t>
  </si>
  <si>
    <t>LAL'S at 20c</t>
  </si>
  <si>
    <t>LALS 20C</t>
  </si>
  <si>
    <t>((SUBR("*PBWZ383",TVOLUME,TTEMP,TSTRENGTH)) * TSTRENGTH)/100</t>
  </si>
  <si>
    <t>TLALS20CALC</t>
  </si>
  <si>
    <t>SUBR("*PBWZ383",TVOLUME,TTEMP,TSTRENGTH);(@ * TSTRENGTH)/100</t>
  </si>
  <si>
    <t>TLALS20</t>
  </si>
  <si>
    <t>LALS</t>
  </si>
  <si>
    <t>SUBR("*PBWZ202",TVOLUME,TREADINGNO,TREADVALUE)</t>
  </si>
  <si>
    <t>TLALS</t>
  </si>
  <si>
    <t>Last three L/Alc results</t>
  </si>
  <si>
    <t>LALCLAST3</t>
  </si>
  <si>
    <t>SUBR("*GCAZ206","132/6/L3")</t>
  </si>
  <si>
    <t>TLALCLAST3</t>
  </si>
  <si>
    <t>Last three L/Alc dates</t>
  </si>
  <si>
    <t>SUBR("*GCAZ206","132DL3")</t>
  </si>
  <si>
    <t>TLALCDLAST3</t>
  </si>
  <si>
    <t>Reg. Date of L/Alc reading</t>
  </si>
  <si>
    <t>L/Alc</t>
  </si>
  <si>
    <t>SUBR("*GCAZ206","132G")</t>
  </si>
  <si>
    <t>TLALCDATEREG</t>
  </si>
  <si>
    <t>Date of L/Alc reading</t>
  </si>
  <si>
    <t>SUBR("*GCAZ206","132D")</t>
  </si>
  <si>
    <t>TLALCDATE</t>
  </si>
  <si>
    <t>All L/Alc Dates</t>
  </si>
  <si>
    <t>LALCALL</t>
  </si>
  <si>
    <t>SUBR("*GCAZ206","132DA")</t>
  </si>
  <si>
    <t>TLALCDALL</t>
  </si>
  <si>
    <t>All L/Alc Results</t>
  </si>
  <si>
    <t>SUBR("*GCAZ206","132RA")</t>
  </si>
  <si>
    <t>TLALCALL</t>
  </si>
  <si>
    <t>Locate L/Alc Reading from Chemistry</t>
  </si>
  <si>
    <t>SUBR("*GCAI714",TREADINGNO,TREADVALUE,"132")</t>
  </si>
  <si>
    <t>TLALC</t>
  </si>
  <si>
    <t>Last three Lag results</t>
  </si>
  <si>
    <t>LAGLAST3</t>
  </si>
  <si>
    <t>SUBR("*GCAZ206","69/6/L3")</t>
  </si>
  <si>
    <t>TLAGLAST3</t>
  </si>
  <si>
    <t>Last three Lag dates</t>
  </si>
  <si>
    <t>SUBR("*GCAZ206","69DL3")</t>
  </si>
  <si>
    <t>TLAGDLAST3</t>
  </si>
  <si>
    <t>Reg. Date of Lag reading</t>
  </si>
  <si>
    <t>Lag</t>
  </si>
  <si>
    <t>SUBR("*GCAZ206","69G")</t>
  </si>
  <si>
    <t>TLAGDATEREG</t>
  </si>
  <si>
    <t>Date of Lag reading</t>
  </si>
  <si>
    <t>SUBR("*GCAZ206","69D")</t>
  </si>
  <si>
    <t>TLAGDATE</t>
  </si>
  <si>
    <t>All Lag Dates</t>
  </si>
  <si>
    <t>LAGALL</t>
  </si>
  <si>
    <t>SUBR("*GCAZ206","69DA")</t>
  </si>
  <si>
    <t>TLAGDALL</t>
  </si>
  <si>
    <t>All Lag Results</t>
  </si>
  <si>
    <t>SUBR("*GCAZ206","69RA")</t>
  </si>
  <si>
    <t>TLAGALL</t>
  </si>
  <si>
    <t>Locate Lag Reading from Chemistry</t>
  </si>
  <si>
    <t>SUBR("*GCAI714",TREADINGNO,TREADVALUE,"69")</t>
  </si>
  <si>
    <t>TLAG</t>
  </si>
  <si>
    <t>Last three LACTIC results</t>
  </si>
  <si>
    <t>LACTICLAST3</t>
  </si>
  <si>
    <t>SUBR("*GCAZ206","103/6/L3")</t>
  </si>
  <si>
    <t>TLACTICLAST3</t>
  </si>
  <si>
    <t>Last three LACTIC dates</t>
  </si>
  <si>
    <t>SUBR("*GCAZ206","103DL3")</t>
  </si>
  <si>
    <t>TLACTICDLAST3</t>
  </si>
  <si>
    <t>Reg. Date of LACTIC reading</t>
  </si>
  <si>
    <t>LACTIC</t>
  </si>
  <si>
    <t>SUBR("*GCAZ206","103G")</t>
  </si>
  <si>
    <t>TLACTICDATEREG</t>
  </si>
  <si>
    <t>Date of LACTIC reading</t>
  </si>
  <si>
    <t>SUBR("*GCAZ206","103D")</t>
  </si>
  <si>
    <t>TLACTICDATE</t>
  </si>
  <si>
    <t>All LACTIC Dates</t>
  </si>
  <si>
    <t>LACTICALL</t>
  </si>
  <si>
    <t>SUBR("*GCAZ206","103DA")</t>
  </si>
  <si>
    <t>TLACTICDALL</t>
  </si>
  <si>
    <t>All LACTIC Results</t>
  </si>
  <si>
    <t>SUBR("*GCAZ206","103RA")</t>
  </si>
  <si>
    <t>TLACTICALL</t>
  </si>
  <si>
    <t>Locate LACTIC Reading from Chemistry</t>
  </si>
  <si>
    <t>SUBR("*GCAI714",TREADINGNO,TREADVALUE,"103")</t>
  </si>
  <si>
    <t>TLACTIC</t>
  </si>
  <si>
    <t>Last three LACASE results</t>
  </si>
  <si>
    <t>LACASELAST3</t>
  </si>
  <si>
    <t>SUBR("*GCAZ206","96/6/L3")</t>
  </si>
  <si>
    <t>TLACASELAST3</t>
  </si>
  <si>
    <t>Last three LACASE dates</t>
  </si>
  <si>
    <t>SUBR("*GCAZ206","96DL3")</t>
  </si>
  <si>
    <t>TLACASEDLAST3</t>
  </si>
  <si>
    <t>Reg. Date of LACASE reading</t>
  </si>
  <si>
    <t>LACASE</t>
  </si>
  <si>
    <t>SUBR("*GCAZ206","96G")</t>
  </si>
  <si>
    <t>TLACASEDATEREG</t>
  </si>
  <si>
    <t>Date of LACASE reading</t>
  </si>
  <si>
    <t>SUBR("*GCAZ206","96D")</t>
  </si>
  <si>
    <t>TLACASEDATE</t>
  </si>
  <si>
    <t>All LACASE Dates</t>
  </si>
  <si>
    <t>LACASEALL</t>
  </si>
  <si>
    <t>SUBR("*GCAZ206","96DA")</t>
  </si>
  <si>
    <t>TLACASEDALL</t>
  </si>
  <si>
    <t>All LACASE Results</t>
  </si>
  <si>
    <t>SUBR("*GCAZ206","96RA")</t>
  </si>
  <si>
    <t>TLACASEALL</t>
  </si>
  <si>
    <t>Locate LACASE Reading from Chemistry</t>
  </si>
  <si>
    <t>SUBR("*GCAI714",TREADINGNO,TREADVALUE,"96")</t>
  </si>
  <si>
    <t>TLACASE</t>
  </si>
  <si>
    <t>Last three KspKht results</t>
  </si>
  <si>
    <t>KSPKHTLAST3</t>
  </si>
  <si>
    <t>SUBR("*GCAZ206","90/6/L3")</t>
  </si>
  <si>
    <t>TKSPKHTLAST3</t>
  </si>
  <si>
    <t>Last three KspKht dates</t>
  </si>
  <si>
    <t>SUBR("*GCAZ206","90DL3")</t>
  </si>
  <si>
    <t>TKSPKHTDLAST3</t>
  </si>
  <si>
    <t>Reg. Date of KspKht reading</t>
  </si>
  <si>
    <t>KspKht</t>
  </si>
  <si>
    <t>SUBR("*GCAZ206","90G")</t>
  </si>
  <si>
    <t>TKSPKHTDATEREG</t>
  </si>
  <si>
    <t>Date of KspKht reading</t>
  </si>
  <si>
    <t>SUBR("*GCAZ206","90D")</t>
  </si>
  <si>
    <t>TKSPKHTDATE</t>
  </si>
  <si>
    <t>All KspKht Dates</t>
  </si>
  <si>
    <t>KSPKHTALL</t>
  </si>
  <si>
    <t>SUBR("*GCAZ206","90DA")</t>
  </si>
  <si>
    <t>TKSPKHTDALL</t>
  </si>
  <si>
    <t>All KspKht Results</t>
  </si>
  <si>
    <t>SUBR("*GCAZ206","90RA")</t>
  </si>
  <si>
    <t>TKSPKHTALL</t>
  </si>
  <si>
    <t>Locate KspKht Reading from Chemistry</t>
  </si>
  <si>
    <t>SUBR("*GCAI714",TREADINGNO,TREADVALUE,"90")</t>
  </si>
  <si>
    <t>TKSPKHT</t>
  </si>
  <si>
    <t>Last three K results</t>
  </si>
  <si>
    <t>KLAST3</t>
  </si>
  <si>
    <t>SUBR("*GCAZ206","26/6/L3")</t>
  </si>
  <si>
    <t>TKLAST3</t>
  </si>
  <si>
    <t>Last three K dates</t>
  </si>
  <si>
    <t>SUBR("*GCAZ206","26DL3")</t>
  </si>
  <si>
    <t>TKDLAST3</t>
  </si>
  <si>
    <t>Reg. Date of K reading</t>
  </si>
  <si>
    <t>K</t>
  </si>
  <si>
    <t>SUBR("*GCAZ206","26G")</t>
  </si>
  <si>
    <t>TKDATEREG</t>
  </si>
  <si>
    <t>Date of K reading</t>
  </si>
  <si>
    <t>SUBR("*GCAZ206","26D")</t>
  </si>
  <si>
    <t>TKDATE</t>
  </si>
  <si>
    <t>All K Dates</t>
  </si>
  <si>
    <t>KALL</t>
  </si>
  <si>
    <t>SUBR("*GCAZ206","26DA")</t>
  </si>
  <si>
    <t>TKDALL</t>
  </si>
  <si>
    <t>All K Results</t>
  </si>
  <si>
    <t>SUBR("*GCAZ206","26RA")</t>
  </si>
  <si>
    <t>TKALL</t>
  </si>
  <si>
    <t>Last three K2S04 results</t>
  </si>
  <si>
    <t>K2S04LAST3</t>
  </si>
  <si>
    <t>SUBR("*GCAZ206","29/6/L3")</t>
  </si>
  <si>
    <t>TK2S04LAST3</t>
  </si>
  <si>
    <t>Last three K2S04 dates</t>
  </si>
  <si>
    <t>SUBR("*GCAZ206","29DL3")</t>
  </si>
  <si>
    <t>TK2S04DLAST3</t>
  </si>
  <si>
    <t>Reg. Date of K2S04 reading</t>
  </si>
  <si>
    <t>K2S04</t>
  </si>
  <si>
    <t>SUBR("*GCAZ206","29G")</t>
  </si>
  <si>
    <t>TK2S04DATEREG</t>
  </si>
  <si>
    <t>Date of K2S04 reading</t>
  </si>
  <si>
    <t>SUBR("*GCAZ206","29D")</t>
  </si>
  <si>
    <t>TK2S04DATE</t>
  </si>
  <si>
    <t>All K2S04 Dates</t>
  </si>
  <si>
    <t>K2S04ALL</t>
  </si>
  <si>
    <t>SUBR("*GCAZ206","29DA")</t>
  </si>
  <si>
    <t>TK2S04DALL</t>
  </si>
  <si>
    <t>All K2S04 Results</t>
  </si>
  <si>
    <t>SUBR("*GCAZ206","29RA")</t>
  </si>
  <si>
    <t>TK2S04ALL</t>
  </si>
  <si>
    <t>Locate K2S04 Reading from Chemistry</t>
  </si>
  <si>
    <t>SUBR("*GCAI714",TREADINGNO,TREADVALUE,"29")</t>
  </si>
  <si>
    <t>TK2S04</t>
  </si>
  <si>
    <t>Locate K Reading from Chemistry</t>
  </si>
  <si>
    <t>SUBR("*GCAI714",TREADINGNO,TREADVALUE,"26")</t>
  </si>
  <si>
    <t>TK</t>
  </si>
  <si>
    <t>Last three JMET results</t>
  </si>
  <si>
    <t>JMETLAST3</t>
  </si>
  <si>
    <t>SUBR("*GCAZ206","157/6/L3")</t>
  </si>
  <si>
    <t>TJMETLAST3</t>
  </si>
  <si>
    <t>Last three JMET dates</t>
  </si>
  <si>
    <t>SUBR("*GCAZ206","157DL3")</t>
  </si>
  <si>
    <t>TJMETDLAST3</t>
  </si>
  <si>
    <t>Reg. Date of JMET reading</t>
  </si>
  <si>
    <t>JMET</t>
  </si>
  <si>
    <t>SUBR("*GCAZ206","157G")</t>
  </si>
  <si>
    <t>TJMETDATEREG</t>
  </si>
  <si>
    <t>Date of JMET reading</t>
  </si>
  <si>
    <t>SUBR("*GCAZ206","157D")</t>
  </si>
  <si>
    <t>TJMETDATE</t>
  </si>
  <si>
    <t>All JMET Dates</t>
  </si>
  <si>
    <t>JMETALL</t>
  </si>
  <si>
    <t>SUBR("*GCAZ206","157DA")</t>
  </si>
  <si>
    <t>TJMETDALL</t>
  </si>
  <si>
    <t>All JMET Results</t>
  </si>
  <si>
    <t>SUBR("*GCAZ206","157RA")</t>
  </si>
  <si>
    <t>TJMETALL</t>
  </si>
  <si>
    <t>Locate JMET Reading from Chemistry</t>
  </si>
  <si>
    <t>SUBR("*GCAI714",TREADINGNO,TREADVALUE,"157")</t>
  </si>
  <si>
    <t>TJMET</t>
  </si>
  <si>
    <t>Last three IRP results</t>
  </si>
  <si>
    <t>IRPLAST3</t>
  </si>
  <si>
    <t>SUBR("*GCAZ206","214/6/L3")</t>
  </si>
  <si>
    <t>TIRPLAST3</t>
  </si>
  <si>
    <t>Last three IRP dates</t>
  </si>
  <si>
    <t>SUBR("*GCAZ206","214DL3")</t>
  </si>
  <si>
    <t>TIRPDLAST3</t>
  </si>
  <si>
    <t>Reg. Date of IRP reading</t>
  </si>
  <si>
    <t>IRP</t>
  </si>
  <si>
    <t>SUBR("*GCAZ206","214G")</t>
  </si>
  <si>
    <t>TIRPDATEREG</t>
  </si>
  <si>
    <t>Date of IRP reading</t>
  </si>
  <si>
    <t>SUBR("*GCAZ206","214D")</t>
  </si>
  <si>
    <t>TIRPDATE</t>
  </si>
  <si>
    <t>All IRP Dates</t>
  </si>
  <si>
    <t>IRPALL</t>
  </si>
  <si>
    <t>SUBR("*GCAZ206","214DA")</t>
  </si>
  <si>
    <t>TIRPDALL</t>
  </si>
  <si>
    <t>All IRP Results</t>
  </si>
  <si>
    <t>SUBR("*GCAZ206","214RA")</t>
  </si>
  <si>
    <t>TIRPALL</t>
  </si>
  <si>
    <t>Locate IRP Reading from Chemistry</t>
  </si>
  <si>
    <t>SUBR("*GCAI714",TREADINGNO,TREADVALUE,"214")</t>
  </si>
  <si>
    <t>TIRP</t>
  </si>
  <si>
    <t>Tank is a tirage tank</t>
  </si>
  <si>
    <t>Tirage</t>
  </si>
  <si>
    <t>IF TTABLE = 'TIR' THEN 1 ELSE 0</t>
  </si>
  <si>
    <t>TIRAGE</t>
  </si>
  <si>
    <t>Subroutine call for calculation of Volume from Dip - use for tirage</t>
  </si>
  <si>
    <t>MD30P</t>
  </si>
  <si>
    <t>TIR.VOLUME</t>
  </si>
  <si>
    <t>15L</t>
  </si>
  <si>
    <t>TIR.STORAGE</t>
  </si>
  <si>
    <t>TRANS(TIR.STORAGE,@ID,ST.BATCH,"X")</t>
  </si>
  <si>
    <t>TIR.STORE</t>
  </si>
  <si>
    <t>TRANS(TIR.STORAGE,@ID,6,'X'); SUM(SUM(@))</t>
  </si>
  <si>
    <t>TIR.STORAGE.VOL</t>
  </si>
  <si>
    <t>Sum of Litres in Tirage Tanks</t>
  </si>
  <si>
    <t>TRANS(TIR.STORAGE,@ID,QTY.LTR,'X'); SUM(@)</t>
  </si>
  <si>
    <t>TIR.QTY.LTRS</t>
  </si>
  <si>
    <t>Sum of dozens in tirage tanks</t>
  </si>
  <si>
    <t>SUBR("*PZZZ018",TIR.QTY.BOTS)</t>
  </si>
  <si>
    <t>TIR.QTY.DOZS</t>
  </si>
  <si>
    <t>Sum of Bottles in Tirage Tank</t>
  </si>
  <si>
    <t>SUM(TRANS(TIR.STORAGE,@ID,QTY.BOT,'X'))</t>
  </si>
  <si>
    <t>TIR.QTY.BOTS</t>
  </si>
  <si>
    <t>Last Cellar Note Operation MONTH</t>
  </si>
  <si>
    <t>OCONV(TIR.BOT.DATE,'D2.')[4,2]</t>
  </si>
  <si>
    <t>TIR.BOT.MTH</t>
  </si>
  <si>
    <t>Last Cellar Note Operation Date</t>
  </si>
  <si>
    <t>TRANS(OPSMOVE,LAST.CNOTE,MADATE,'X')</t>
  </si>
  <si>
    <t>TIR.BOT.DATE</t>
  </si>
  <si>
    <t>Last three Ion An results</t>
  </si>
  <si>
    <t>ION.ANLAST3</t>
  </si>
  <si>
    <t>SUBR("*GCAZ206","52/6/L3")</t>
  </si>
  <si>
    <t>TION.ANLAST3</t>
  </si>
  <si>
    <t>Last three Ion An dates</t>
  </si>
  <si>
    <t>SUBR("*GCAZ206","52DL3")</t>
  </si>
  <si>
    <t>TION.ANDLAST3</t>
  </si>
  <si>
    <t>Reg. Date of Ion An reading</t>
  </si>
  <si>
    <t>Ion An</t>
  </si>
  <si>
    <t>SUBR("*GCAZ206","52G")</t>
  </si>
  <si>
    <t>TION.ANDATEREG</t>
  </si>
  <si>
    <t>Date of Ion An reading</t>
  </si>
  <si>
    <t>SUBR("*GCAZ206","52D")</t>
  </si>
  <si>
    <t>TION.ANDATE</t>
  </si>
  <si>
    <t>All Ion An Dates</t>
  </si>
  <si>
    <t>ION.ANALL</t>
  </si>
  <si>
    <t>SUBR("*GCAZ206","52DA")</t>
  </si>
  <si>
    <t>TION.ANDALL</t>
  </si>
  <si>
    <t>All Ion An Results</t>
  </si>
  <si>
    <t>SUBR("*GCAZ206","52RA")</t>
  </si>
  <si>
    <t>TION.ANALL</t>
  </si>
  <si>
    <t>Locate Ion An Reading from Chemistry</t>
  </si>
  <si>
    <t>SUBR("*GCAI714",TREADINGNO,TREADVALUE,"52")</t>
  </si>
  <si>
    <t>TION.AN</t>
  </si>
  <si>
    <t>IF @ID[1,3]='SW*' THEN FIELD(@ID,'*',4) ELSE FIELD(@ID,'*',3)</t>
  </si>
  <si>
    <t>TIME.DELETED</t>
  </si>
  <si>
    <t>Last three IBMP results</t>
  </si>
  <si>
    <t>IBMPLAST3</t>
  </si>
  <si>
    <t>SUBR("*GCAZ206","185/6/L3")</t>
  </si>
  <si>
    <t>TIBMPLAST3</t>
  </si>
  <si>
    <t>Last three IBMP dates</t>
  </si>
  <si>
    <t>SUBR("*GCAZ206","185DL3")</t>
  </si>
  <si>
    <t>TIBMPDLAST3</t>
  </si>
  <si>
    <t>Reg. Date of IBMP reading</t>
  </si>
  <si>
    <t>IBMP</t>
  </si>
  <si>
    <t>SUBR("*GCAZ206","185G")</t>
  </si>
  <si>
    <t>TIBMPDATEREG</t>
  </si>
  <si>
    <t>Date of IBMP reading</t>
  </si>
  <si>
    <t>SUBR("*GCAZ206","185D")</t>
  </si>
  <si>
    <t>TIBMPDATE</t>
  </si>
  <si>
    <t>All IBMP Dates</t>
  </si>
  <si>
    <t>IBMPALL</t>
  </si>
  <si>
    <t>SUBR("*GCAZ206","185DA")</t>
  </si>
  <si>
    <t>TIBMPDALL</t>
  </si>
  <si>
    <t>All IBMP Results</t>
  </si>
  <si>
    <t>SUBR("*GCAZ206","185RA")</t>
  </si>
  <si>
    <t>TIBMPALL</t>
  </si>
  <si>
    <t>Locate IBMP Reading from Chemistry</t>
  </si>
  <si>
    <t>SUBR("*GCAI714",TREADINGNO,TREADVALUE,"185")</t>
  </si>
  <si>
    <t>TIBMP</t>
  </si>
  <si>
    <t>Locate Obscuration Reading from Chemistry</t>
  </si>
  <si>
    <t>OBS</t>
  </si>
  <si>
    <t>SUBR("*PBWI714",TREADINGNO,TREADVALUE,"49")</t>
  </si>
  <si>
    <t>THYD</t>
  </si>
  <si>
    <t>Last three /Hue results</t>
  </si>
  <si>
    <t>HUELAST3</t>
  </si>
  <si>
    <t>SUBR("*GCAZ206","186/6/L3")</t>
  </si>
  <si>
    <t>THUELAST3</t>
  </si>
  <si>
    <t>Last three /Hue dates</t>
  </si>
  <si>
    <t>SUBR("*GCAZ206","186DL3")</t>
  </si>
  <si>
    <t>THUEDLAST3</t>
  </si>
  <si>
    <t>Reg. Date of /Hue reading</t>
  </si>
  <si>
    <t>/Hue</t>
  </si>
  <si>
    <t>SUBR("*GCAZ206","186G")</t>
  </si>
  <si>
    <t>THUEDATEREG</t>
  </si>
  <si>
    <t>Date of /Hue reading</t>
  </si>
  <si>
    <t>SUBR("*GCAZ206","186D")</t>
  </si>
  <si>
    <t>THUEDATE</t>
  </si>
  <si>
    <t>All /Hue Dates</t>
  </si>
  <si>
    <t>HUEALL</t>
  </si>
  <si>
    <t>SUBR("*GCAZ206","186DA")</t>
  </si>
  <si>
    <t>THUEDALL</t>
  </si>
  <si>
    <t>All /Hue Results</t>
  </si>
  <si>
    <t>SUBR("*GCAZ206","186RA")</t>
  </si>
  <si>
    <t>THUEALL</t>
  </si>
  <si>
    <t>Locate /Hue Reading from Chemistry</t>
  </si>
  <si>
    <t>SUBR("*GCAI714",TREADINGNO,TREADVALUE,"186")</t>
  </si>
  <si>
    <t>THUE</t>
  </si>
  <si>
    <t>Last three HOLDBK results</t>
  </si>
  <si>
    <t>HOLDBKLAST3</t>
  </si>
  <si>
    <t>SUBR("*GCAZ206","179/6/L3")</t>
  </si>
  <si>
    <t>THOLDBKLAST3</t>
  </si>
  <si>
    <t>Last three HOLDBK dates</t>
  </si>
  <si>
    <t>SUBR("*GCAZ206","179DL3")</t>
  </si>
  <si>
    <t>THOLDBKDLAST3</t>
  </si>
  <si>
    <t>Reg. Date of HOLDBK reading</t>
  </si>
  <si>
    <t>HOLDBK</t>
  </si>
  <si>
    <t>SUBR("*GCAZ206","179G")</t>
  </si>
  <si>
    <t>THOLDBKDATEREG</t>
  </si>
  <si>
    <t>Date of HOLDBK reading</t>
  </si>
  <si>
    <t>SUBR("*GCAZ206","179D")</t>
  </si>
  <si>
    <t>THOLDBKDATE</t>
  </si>
  <si>
    <t>All HOLDBK Dates</t>
  </si>
  <si>
    <t>HOLDBKALL</t>
  </si>
  <si>
    <t>SUBR("*GCAZ206","179DA")</t>
  </si>
  <si>
    <t>THOLDBKDALL</t>
  </si>
  <si>
    <t>All HOLDBK Results</t>
  </si>
  <si>
    <t>SUBR("*GCAZ206","179RA")</t>
  </si>
  <si>
    <t>THOLDBKALL</t>
  </si>
  <si>
    <t>Locate HOLDBK Reading from Chemistry</t>
  </si>
  <si>
    <t>SUBR("*GCAI714",TREADINGNO,TREADVALUE,"179")</t>
  </si>
  <si>
    <t>THOLDBK</t>
  </si>
  <si>
    <t>Last three HMETAL results</t>
  </si>
  <si>
    <t>HMETALLAST3</t>
  </si>
  <si>
    <t>SUBR("*GCAZ206","141/6/L3")</t>
  </si>
  <si>
    <t>THMETALLAST3</t>
  </si>
  <si>
    <t>Last three HMETAL dates</t>
  </si>
  <si>
    <t>SUBR("*GCAZ206","141DL3")</t>
  </si>
  <si>
    <t>THMETALDLAST3</t>
  </si>
  <si>
    <t>Reg. Date of HMETAL reading</t>
  </si>
  <si>
    <t>HMETAL</t>
  </si>
  <si>
    <t>SUBR("*GCAZ206","141G")</t>
  </si>
  <si>
    <t>THMETALDATEREG</t>
  </si>
  <si>
    <t>Date of HMETAL reading</t>
  </si>
  <si>
    <t>SUBR("*GCAZ206","141D")</t>
  </si>
  <si>
    <t>THMETALDATE</t>
  </si>
  <si>
    <t>All HMETAL Dates</t>
  </si>
  <si>
    <t>HMETALALL</t>
  </si>
  <si>
    <t>SUBR("*GCAZ206","141DA")</t>
  </si>
  <si>
    <t>THMETALDALL</t>
  </si>
  <si>
    <t>All HMETAL Results</t>
  </si>
  <si>
    <t>SUBR("*GCAZ206","141RA")</t>
  </si>
  <si>
    <t>THMETALALL</t>
  </si>
  <si>
    <t>Locate HMETAL Reading from Chemistry</t>
  </si>
  <si>
    <t>SUBR("*GCAI714",TREADINGNO,TREADVALUE,"141")</t>
  </si>
  <si>
    <t>THMETAL</t>
  </si>
  <si>
    <t>Last three Heat/V results</t>
  </si>
  <si>
    <t>HEATVLAST3</t>
  </si>
  <si>
    <t>SUBR("*GCAZ206","131/6/L3")</t>
  </si>
  <si>
    <t>THEATVLAST3</t>
  </si>
  <si>
    <t>Last three Heat/V dates</t>
  </si>
  <si>
    <t>SUBR("*GCAZ206","131DL3")</t>
  </si>
  <si>
    <t>THEATVDLAST3</t>
  </si>
  <si>
    <t>Reg. Date of Heat/V reading</t>
  </si>
  <si>
    <t>Heat/V</t>
  </si>
  <si>
    <t>SUBR("*GCAZ206","131G")</t>
  </si>
  <si>
    <t>THEATVDATEREG</t>
  </si>
  <si>
    <t>Date of Heat/V reading</t>
  </si>
  <si>
    <t>SUBR("*GCAZ206","131D")</t>
  </si>
  <si>
    <t>THEATVDATE</t>
  </si>
  <si>
    <t>All Heat/V Dates</t>
  </si>
  <si>
    <t>HEATVALL</t>
  </si>
  <si>
    <t>SUBR("*GCAZ206","131DA")</t>
  </si>
  <si>
    <t>THEATVDALL</t>
  </si>
  <si>
    <t>All Heat/V Results</t>
  </si>
  <si>
    <t>SUBR("*GCAZ206","131RA")</t>
  </si>
  <si>
    <t>THEATVALL</t>
  </si>
  <si>
    <t>Locate Heat/V Reading from Chemistry</t>
  </si>
  <si>
    <t>SUBR("*GCAI714",TREADINGNO,TREADVALUE,"131")</t>
  </si>
  <si>
    <t>THEATV</t>
  </si>
  <si>
    <t>Last three Heat/T results</t>
  </si>
  <si>
    <t>HEATTLAST3</t>
  </si>
  <si>
    <t>SUBR("*GCAZ206","130/6/L3")</t>
  </si>
  <si>
    <t>THEATTLAST3</t>
  </si>
  <si>
    <t>Last three Heat/T dates</t>
  </si>
  <si>
    <t>SUBR("*GCAZ206","130DL3")</t>
  </si>
  <si>
    <t>THEATTDLAST3</t>
  </si>
  <si>
    <t>Reg. Date of Heat/T reading</t>
  </si>
  <si>
    <t>Heat/T</t>
  </si>
  <si>
    <t>SUBR("*GCAZ206","130G")</t>
  </si>
  <si>
    <t>THEATTDATEREG</t>
  </si>
  <si>
    <t>Date of Heat/T reading</t>
  </si>
  <si>
    <t>SUBR("*GCAZ206","130D")</t>
  </si>
  <si>
    <t>THEATTDATE</t>
  </si>
  <si>
    <t>All Heat/T Dates</t>
  </si>
  <si>
    <t>HEATTALL</t>
  </si>
  <si>
    <t>SUBR("*GCAZ206","130DA")</t>
  </si>
  <si>
    <t>THEATTDALL</t>
  </si>
  <si>
    <t>All Heat/T Results</t>
  </si>
  <si>
    <t>SUBR("*GCAZ206","130RA")</t>
  </si>
  <si>
    <t>THEATTALL</t>
  </si>
  <si>
    <t>Locate Heat/T Reading from Chemistry</t>
  </si>
  <si>
    <t>SUBR("*GCAI714",TREADINGNO,TREADVALUE,"130")</t>
  </si>
  <si>
    <t>THEATT</t>
  </si>
  <si>
    <t>Last three Heat results</t>
  </si>
  <si>
    <t>HEATLAST3</t>
  </si>
  <si>
    <t>SUBR("*GCAZ206","31/6/L3")</t>
  </si>
  <si>
    <t>THEATLAST3</t>
  </si>
  <si>
    <t>Last three Heat dates</t>
  </si>
  <si>
    <t>SUBR("*GCAZ206","31DL3")</t>
  </si>
  <si>
    <t>THEATDLAST3</t>
  </si>
  <si>
    <t>Reg. Date of Heat reading</t>
  </si>
  <si>
    <t>Heat</t>
  </si>
  <si>
    <t>SUBR("*GCAZ206","31G")</t>
  </si>
  <si>
    <t>THEATDATEREG</t>
  </si>
  <si>
    <t>Date of Heat reading</t>
  </si>
  <si>
    <t>SUBR("*GCAZ206","31D")</t>
  </si>
  <si>
    <t>THEATDATE</t>
  </si>
  <si>
    <t>All Heat Dates</t>
  </si>
  <si>
    <t>HEATALL</t>
  </si>
  <si>
    <t>SUBR("*GCAZ206","31DA")</t>
  </si>
  <si>
    <t>THEATDALL</t>
  </si>
  <si>
    <t>All Heat Results</t>
  </si>
  <si>
    <t>SUBR("*GCAZ206","31RA")</t>
  </si>
  <si>
    <t>THEATALL</t>
  </si>
  <si>
    <t>Locate Heat Reading from Chemistry</t>
  </si>
  <si>
    <t>SUBR("*GCAI714",TREADINGNO,TREADVALUE,"31")</t>
  </si>
  <si>
    <t>THEAT</t>
  </si>
  <si>
    <t>Last three H2S results</t>
  </si>
  <si>
    <t>H2SLAST3</t>
  </si>
  <si>
    <t>SUBR("*GCAZ206","74/6/L3")</t>
  </si>
  <si>
    <t>TH2SLAST3</t>
  </si>
  <si>
    <t>Last three H2S dates</t>
  </si>
  <si>
    <t>SUBR("*GCAZ206","74DL3")</t>
  </si>
  <si>
    <t>TH2SDLAST3</t>
  </si>
  <si>
    <t>Reg. Date of H2S reading</t>
  </si>
  <si>
    <t>H2S</t>
  </si>
  <si>
    <t>SUBR("*GCAZ206","74G")</t>
  </si>
  <si>
    <t>TH2SDATEREG</t>
  </si>
  <si>
    <t>Date of H2S reading</t>
  </si>
  <si>
    <t>SUBR("*GCAZ206","74D")</t>
  </si>
  <si>
    <t>TH2SDATE</t>
  </si>
  <si>
    <t>All H2S Dates</t>
  </si>
  <si>
    <t>H2SALL</t>
  </si>
  <si>
    <t>SUBR("*GCAZ206","74DA")</t>
  </si>
  <si>
    <t>TH2SDALL</t>
  </si>
  <si>
    <t>All H2S Results</t>
  </si>
  <si>
    <t>SUBR("*GCAZ206","74RA")</t>
  </si>
  <si>
    <t>TH2SALL</t>
  </si>
  <si>
    <t>Locate H2S Reading from Chemistry</t>
  </si>
  <si>
    <t>SUBR("*GCAI714",TREADINGNO,TREADVALUE,"74")</t>
  </si>
  <si>
    <t>TH2S</t>
  </si>
  <si>
    <t>Last three GUAIACOL results</t>
  </si>
  <si>
    <t>GUAIACOLLAS</t>
  </si>
  <si>
    <t>SUBR("*GCAZ206","161/6/L3")</t>
  </si>
  <si>
    <t>TGUAIACOLLAST3</t>
  </si>
  <si>
    <t>Last three GUAIACOL dates</t>
  </si>
  <si>
    <t>SUBR("*GCAZ206","161DL3")</t>
  </si>
  <si>
    <t>TGUAIACOLDLAST3</t>
  </si>
  <si>
    <t>Reg. Date of GUAIACOL reading</t>
  </si>
  <si>
    <t>GUAIACOL</t>
  </si>
  <si>
    <t>SUBR("*GCAZ206","161G")</t>
  </si>
  <si>
    <t>TGUAIACOLDATEREG</t>
  </si>
  <si>
    <t>Date of GUAIACOL reading</t>
  </si>
  <si>
    <t>SUBR("*GCAZ206","161D")</t>
  </si>
  <si>
    <t>TGUAIACOLDATE</t>
  </si>
  <si>
    <t>All GUAIACOL Dates</t>
  </si>
  <si>
    <t>GUAIACOLALL</t>
  </si>
  <si>
    <t>SUBR("*GCAZ206","161DA")</t>
  </si>
  <si>
    <t>TGUAIACOLDALL</t>
  </si>
  <si>
    <t>All GUAIACOL Results</t>
  </si>
  <si>
    <t>SUBR("*GCAZ206","161RA")</t>
  </si>
  <si>
    <t>TGUAIACOLALL</t>
  </si>
  <si>
    <t>Locate GUAIACOL Reading from Chemistry</t>
  </si>
  <si>
    <t>SUBR("*GCAI714",TREADINGNO,TREADVALUE,"161")</t>
  </si>
  <si>
    <t>TGUAIACOL</t>
  </si>
  <si>
    <t>Last three GUACOL results</t>
  </si>
  <si>
    <t>GUACOLLAST3</t>
  </si>
  <si>
    <t>TGUACOLLAST3</t>
  </si>
  <si>
    <t>Last three GUACOL dates</t>
  </si>
  <si>
    <t>TGUACOLDLAST3</t>
  </si>
  <si>
    <t>Reg. Date of GUACOL reading</t>
  </si>
  <si>
    <t>GUACOL</t>
  </si>
  <si>
    <t>TGUACOLDATEREG</t>
  </si>
  <si>
    <t>Date of GUACOL reading</t>
  </si>
  <si>
    <t>TGUACOLDATE</t>
  </si>
  <si>
    <t>All GUACOL Dates</t>
  </si>
  <si>
    <t>GUACOLALL</t>
  </si>
  <si>
    <t>TGUACOLDALL</t>
  </si>
  <si>
    <t>All GUACOL Results</t>
  </si>
  <si>
    <t>TGUACOLALL</t>
  </si>
  <si>
    <t>Locate GUACOL Reading from Chemistry</t>
  </si>
  <si>
    <t>TGUACOL</t>
  </si>
  <si>
    <t>Last three Gram results</t>
  </si>
  <si>
    <t>GRAMLAST3</t>
  </si>
  <si>
    <t>SUBR("*GCAZ206","56/6/L3")</t>
  </si>
  <si>
    <t>TGRAMLAST3</t>
  </si>
  <si>
    <t>Last three Gram dates</t>
  </si>
  <si>
    <t>SUBR("*GCAZ206","56DL3")</t>
  </si>
  <si>
    <t>TGRAMDLAST3</t>
  </si>
  <si>
    <t>Reg. Date of Gram reading</t>
  </si>
  <si>
    <t>Gram</t>
  </si>
  <si>
    <t>SUBR("*GCAZ206","56G")</t>
  </si>
  <si>
    <t>TGRAMDATEREG</t>
  </si>
  <si>
    <t>Date of Gram reading</t>
  </si>
  <si>
    <t>SUBR("*GCAZ206","56D")</t>
  </si>
  <si>
    <t>TGRAMDATE</t>
  </si>
  <si>
    <t>All Gram Dates</t>
  </si>
  <si>
    <t>GRAMALL</t>
  </si>
  <si>
    <t>SUBR("*GCAZ206","56DA")</t>
  </si>
  <si>
    <t>TGRAMDALL</t>
  </si>
  <si>
    <t>All Gram Results</t>
  </si>
  <si>
    <t>SUBR("*GCAZ206","56RA")</t>
  </si>
  <si>
    <t>TGRAMALL</t>
  </si>
  <si>
    <t>Locate Gram Reading from Chemistry</t>
  </si>
  <si>
    <t>SUBR("*GCAI714",TREADINGNO,TREADVALUE,"56")</t>
  </si>
  <si>
    <t>TGRAM</t>
  </si>
  <si>
    <t>Last three Glyc results</t>
  </si>
  <si>
    <t>GLYCLAST3</t>
  </si>
  <si>
    <t>SUBR("*GCAZ206","67/6/L3")</t>
  </si>
  <si>
    <t>TGLYCLAST3</t>
  </si>
  <si>
    <t>Last three Glyc dates</t>
  </si>
  <si>
    <t>SUBR("*GCAZ206","67DL3")</t>
  </si>
  <si>
    <t>TGLYCDLAST3</t>
  </si>
  <si>
    <t>Reg. Date of Glyc reading</t>
  </si>
  <si>
    <t>Glyc</t>
  </si>
  <si>
    <t>SUBR("*GCAZ206","67G")</t>
  </si>
  <si>
    <t>TGLYCDATEREG</t>
  </si>
  <si>
    <t>Date of Glyc reading</t>
  </si>
  <si>
    <t>SUBR("*GCAZ206","67D")</t>
  </si>
  <si>
    <t>TGLYCDATE</t>
  </si>
  <si>
    <t>All Glyc Dates</t>
  </si>
  <si>
    <t>GLYCALL</t>
  </si>
  <si>
    <t>SUBR("*GCAZ206","67DA")</t>
  </si>
  <si>
    <t>TGLYCDALL</t>
  </si>
  <si>
    <t>All Glyc Results</t>
  </si>
  <si>
    <t>SUBR("*GCAZ206","67RA")</t>
  </si>
  <si>
    <t>TGLYCALL</t>
  </si>
  <si>
    <t>Locate Glyc Reading from Chemistry</t>
  </si>
  <si>
    <t>SUBR("*GCAI714",TREADINGNO,TREADVALUE,"67")</t>
  </si>
  <si>
    <t>TGLYC</t>
  </si>
  <si>
    <t>Last three Gluconic results</t>
  </si>
  <si>
    <t>GLUCONICLAS</t>
  </si>
  <si>
    <t>SUBR("*GCAZ206","215/6/L3")</t>
  </si>
  <si>
    <t>TGLUCONICLAST3</t>
  </si>
  <si>
    <t>Last three Gluconic dates</t>
  </si>
  <si>
    <t>SUBR("*GCAZ206","215DL3")</t>
  </si>
  <si>
    <t>TGLUCONICDLAST3</t>
  </si>
  <si>
    <t>Reg. Date of Gluconic reading</t>
  </si>
  <si>
    <t>Gluconic</t>
  </si>
  <si>
    <t>SUBR("*GCAZ206","215G")</t>
  </si>
  <si>
    <t>TGLUCONICDATEREG</t>
  </si>
  <si>
    <t>Date of Gluconic reading</t>
  </si>
  <si>
    <t>SUBR("*GCAZ206","215D")</t>
  </si>
  <si>
    <t>TGLUCONICDATE</t>
  </si>
  <si>
    <t>All Gluconic Dates</t>
  </si>
  <si>
    <t>GLUCONICALL</t>
  </si>
  <si>
    <t>SUBR("*GCAZ206","215DA")</t>
  </si>
  <si>
    <t>TGLUCONICDALL</t>
  </si>
  <si>
    <t>All Gluconic Results</t>
  </si>
  <si>
    <t>SUBR("*GCAZ206","215RA")</t>
  </si>
  <si>
    <t>TGLUCONICALL</t>
  </si>
  <si>
    <t>Locate Gluconic Reading from Chemistry</t>
  </si>
  <si>
    <t>SUBR("*GCAI714",TREADINGNO,TREADVALUE,"215")</t>
  </si>
  <si>
    <t>TGLUCONIC</t>
  </si>
  <si>
    <t>Last three Gluc results</t>
  </si>
  <si>
    <t>GLUCLAST3</t>
  </si>
  <si>
    <t>SUBR("*GCAZ206","66/6/L3")</t>
  </si>
  <si>
    <t>TGLUCLAST3</t>
  </si>
  <si>
    <t>Last three Gluc dates</t>
  </si>
  <si>
    <t>SUBR("*GCAZ206","66DL3")</t>
  </si>
  <si>
    <t>TGLUCDLAST3</t>
  </si>
  <si>
    <t>Reg. Date of Gluc reading</t>
  </si>
  <si>
    <t>Gluc</t>
  </si>
  <si>
    <t>SUBR("*GCAZ206","66G")</t>
  </si>
  <si>
    <t>TGLUCDATEREG</t>
  </si>
  <si>
    <t>Date of Gluc reading</t>
  </si>
  <si>
    <t>SUBR("*GCAZ206","66D")</t>
  </si>
  <si>
    <t>TGLUCDATE</t>
  </si>
  <si>
    <t>All Gluc Dates</t>
  </si>
  <si>
    <t>GLUCALL</t>
  </si>
  <si>
    <t>SUBR("*GCAZ206","66DA")</t>
  </si>
  <si>
    <t>TGLUCDALL</t>
  </si>
  <si>
    <t>Last three Glucan results</t>
  </si>
  <si>
    <t>GLUCANLAST3</t>
  </si>
  <si>
    <t>SUBR("*GCAZ206","180/6/L3")</t>
  </si>
  <si>
    <t>TGLUCANLAST3</t>
  </si>
  <si>
    <t>Last three Glucan dates</t>
  </si>
  <si>
    <t>SUBR("*GCAZ206","180DL3")</t>
  </si>
  <si>
    <t>TGLUCANDLAST3</t>
  </si>
  <si>
    <t>Reg. Date of Glucan reading</t>
  </si>
  <si>
    <t>Glucan</t>
  </si>
  <si>
    <t>SUBR("*GCAZ206","180G")</t>
  </si>
  <si>
    <t>TGLUCANDATEREG</t>
  </si>
  <si>
    <t>Date of Glucan reading</t>
  </si>
  <si>
    <t>SUBR("*GCAZ206","180D")</t>
  </si>
  <si>
    <t>TGLUCANDATE</t>
  </si>
  <si>
    <t>All Glucan Dates</t>
  </si>
  <si>
    <t>GLUCANALL</t>
  </si>
  <si>
    <t>SUBR("*GCAZ206","180DA")</t>
  </si>
  <si>
    <t>TGLUCANDALL</t>
  </si>
  <si>
    <t>All Glucan Results</t>
  </si>
  <si>
    <t>SUBR("*GCAZ206","180RA")</t>
  </si>
  <si>
    <t>TGLUCANALL</t>
  </si>
  <si>
    <t>Locate Glucan Reading from Chemistry</t>
  </si>
  <si>
    <t>SUBR("*GCAI714",TREADINGNO,TREADVALUE,"180")</t>
  </si>
  <si>
    <t>TGLUCAN</t>
  </si>
  <si>
    <t>All Gluc Results</t>
  </si>
  <si>
    <t>SUBR("*GCAZ206","66RA")</t>
  </si>
  <si>
    <t>TGLUCALL</t>
  </si>
  <si>
    <t>Locate Gluc Reading from Chemistry</t>
  </si>
  <si>
    <t>SUBR("*GCAI714",TREADINGNO,TREADVALUE,"66")</t>
  </si>
  <si>
    <t>TGLUC</t>
  </si>
  <si>
    <t>Last three GFS results</t>
  </si>
  <si>
    <t>GFSLAST3</t>
  </si>
  <si>
    <t>SUBR("*GCAZ206","184/6/L3")</t>
  </si>
  <si>
    <t>TGFSLAST3</t>
  </si>
  <si>
    <t>Last three GFS dates</t>
  </si>
  <si>
    <t>SUBR("*GCAZ206","184DL3")</t>
  </si>
  <si>
    <t>TGFSDLAST3</t>
  </si>
  <si>
    <t>Reg. Date of GFS reading</t>
  </si>
  <si>
    <t>GFS</t>
  </si>
  <si>
    <t>SUBR("*GCAZ206","184G")</t>
  </si>
  <si>
    <t>TGFSDATEREG</t>
  </si>
  <si>
    <t>Date of GFS reading</t>
  </si>
  <si>
    <t>SUBR("*GCAZ206","184D")</t>
  </si>
  <si>
    <t>TGFSDATE</t>
  </si>
  <si>
    <t>All GFS Dates</t>
  </si>
  <si>
    <t>GFSALL</t>
  </si>
  <si>
    <t>SUBR("*GCAZ206","184DA")</t>
  </si>
  <si>
    <t>TGFSDALL</t>
  </si>
  <si>
    <t>All GFS Results</t>
  </si>
  <si>
    <t>SUBR("*GCAZ206","184RA")</t>
  </si>
  <si>
    <t>TGFSALL</t>
  </si>
  <si>
    <t>Locate GFS Reading from Chemistry</t>
  </si>
  <si>
    <t>SUBR("*GCAI714",TREADINGNO,TREADVALUE,"184")</t>
  </si>
  <si>
    <t>TGFS</t>
  </si>
  <si>
    <t>Last three G/F results</t>
  </si>
  <si>
    <t>GFLAST3</t>
  </si>
  <si>
    <t>SUBR("*GCAZ206","146/6/L3")</t>
  </si>
  <si>
    <t>TGFLAST3</t>
  </si>
  <si>
    <t>Last three G/F dates</t>
  </si>
  <si>
    <t>SUBR("*GCAZ206","146DL3")</t>
  </si>
  <si>
    <t>TGFDLAST3</t>
  </si>
  <si>
    <t>Reg. Date of G/F reading</t>
  </si>
  <si>
    <t>G/F</t>
  </si>
  <si>
    <t>SUBR("*GCAZ206","146G")</t>
  </si>
  <si>
    <t>TGFDATEREG</t>
  </si>
  <si>
    <t>Date of G/F reading</t>
  </si>
  <si>
    <t>SUBR("*GCAZ206","146D")</t>
  </si>
  <si>
    <t>TGFDATE</t>
  </si>
  <si>
    <t>All G/F Dates</t>
  </si>
  <si>
    <t>GFALL</t>
  </si>
  <si>
    <t>SUBR("*GCAZ206","146DA")</t>
  </si>
  <si>
    <t>TGFDALL</t>
  </si>
  <si>
    <t>All GF times</t>
  </si>
  <si>
    <t>GF</t>
  </si>
  <si>
    <t>SUBR(SUBR.PENBW:"PBWZ206","146TA")</t>
  </si>
  <si>
    <t>TGFALLT</t>
  </si>
  <si>
    <t>All G/F Results</t>
  </si>
  <si>
    <t>SUBR("*GCAZ206","146RA")</t>
  </si>
  <si>
    <t>TGFALL</t>
  </si>
  <si>
    <t>Locate G/F Reading from Chemistry</t>
  </si>
  <si>
    <t>SUBR("*GCAI714",TREADINGNO,TREADVALUE,"146")</t>
  </si>
  <si>
    <t>TGF</t>
  </si>
  <si>
    <t>Last three GELF results</t>
  </si>
  <si>
    <t>GELFLAST3</t>
  </si>
  <si>
    <t>SUBR("*GCAZ206","109/6/L3")</t>
  </si>
  <si>
    <t>TGELFLAST3</t>
  </si>
  <si>
    <t>Last three GELF dates</t>
  </si>
  <si>
    <t>SUBR("*GCAZ206","109DL3")</t>
  </si>
  <si>
    <t>TGELFDLAST3</t>
  </si>
  <si>
    <t>Reg. Date of GELF reading</t>
  </si>
  <si>
    <t>GELF</t>
  </si>
  <si>
    <t>SUBR("*GCAZ206","109G")</t>
  </si>
  <si>
    <t>TGELFDATEREG</t>
  </si>
  <si>
    <t>Date of GELF reading</t>
  </si>
  <si>
    <t>SUBR("*GCAZ206","109D")</t>
  </si>
  <si>
    <t>TGELFDATE</t>
  </si>
  <si>
    <t>All GELF Dates</t>
  </si>
  <si>
    <t>GELFALL</t>
  </si>
  <si>
    <t>SUBR("*GCAZ206","109DA")</t>
  </si>
  <si>
    <t>TGELFDALL</t>
  </si>
  <si>
    <t>All GELF Results</t>
  </si>
  <si>
    <t>SUBR("*GCAZ206","109RA")</t>
  </si>
  <si>
    <t>TGELFALL</t>
  </si>
  <si>
    <t>Locate GELF Reading from Chemistry</t>
  </si>
  <si>
    <t>SUBR("*GCAI714",TREADINGNO,TREADVALUE,"109")</t>
  </si>
  <si>
    <t>TGELF</t>
  </si>
  <si>
    <t>Last three GASUNT results</t>
  </si>
  <si>
    <t>GASUNTLAST3</t>
  </si>
  <si>
    <t>SUBR("*GCAZ206","178/6/L3")</t>
  </si>
  <si>
    <t>TGASUNTLAST3</t>
  </si>
  <si>
    <t>Last three GASUNT dates</t>
  </si>
  <si>
    <t>SUBR("*GCAZ206","178DL3")</t>
  </si>
  <si>
    <t>TGASUNTDLAST3</t>
  </si>
  <si>
    <t>Reg. Date of GASUNT reading</t>
  </si>
  <si>
    <t>GASUNT</t>
  </si>
  <si>
    <t>SUBR("*GCAZ206","178G")</t>
  </si>
  <si>
    <t>TGASUNTDATEREG</t>
  </si>
  <si>
    <t>Date of GASUNT reading</t>
  </si>
  <si>
    <t>SUBR("*GCAZ206","178D")</t>
  </si>
  <si>
    <t>TGASUNTDATE</t>
  </si>
  <si>
    <t>All GASUNT Dates</t>
  </si>
  <si>
    <t>GASUNTALL</t>
  </si>
  <si>
    <t>SUBR("*GCAZ206","178DA")</t>
  </si>
  <si>
    <t>TGASUNTDALL</t>
  </si>
  <si>
    <t>All GASUNT Results</t>
  </si>
  <si>
    <t>SUBR("*GCAZ206","178RA")</t>
  </si>
  <si>
    <t>TGASUNTALL</t>
  </si>
  <si>
    <t>Locate GASUNT Reading from Chemistry</t>
  </si>
  <si>
    <t>SUBR("*GCAI714",TREADINGNO,TREADVALUE,"178")</t>
  </si>
  <si>
    <t>TGASUNT</t>
  </si>
  <si>
    <t>Reg. Date of GASUNI reading</t>
  </si>
  <si>
    <t>GASUNI</t>
  </si>
  <si>
    <t>SUBR(SUBR.PENBW:"PBWZ206","178G")</t>
  </si>
  <si>
    <t>TGASUNIDATEREG</t>
  </si>
  <si>
    <t>Date of GASUNI reading</t>
  </si>
  <si>
    <t>SUBR(SUBR.PENBW:"PBWZ206","178D")</t>
  </si>
  <si>
    <t>TGASUNIDATE</t>
  </si>
  <si>
    <t>Locate GASUNI Reading from Chemistry</t>
  </si>
  <si>
    <t>SUBR(SUBR.PENBW:"PBWI714",TREADINGNO,TREADVALUE,"178")</t>
  </si>
  <si>
    <t>TGASUNI</t>
  </si>
  <si>
    <t>Last three Fvt results</t>
  </si>
  <si>
    <t>FVTLAST3</t>
  </si>
  <si>
    <t>SUBR("*GCAZ206","75/6/L3")</t>
  </si>
  <si>
    <t>TFVTLAST3</t>
  </si>
  <si>
    <t>Last three Fvt dates</t>
  </si>
  <si>
    <t>SUBR("*GCAZ206","75DL3")</t>
  </si>
  <si>
    <t>TFVTDLAST3</t>
  </si>
  <si>
    <t>Reg. Date of Fvt reading</t>
  </si>
  <si>
    <t>Fvt</t>
  </si>
  <si>
    <t>SUBR("*GCAZ206","75G")</t>
  </si>
  <si>
    <t>TFVTDATEREG</t>
  </si>
  <si>
    <t>Date of Fvt reading</t>
  </si>
  <si>
    <t>SUBR("*GCAZ206","75D")</t>
  </si>
  <si>
    <t>TFVTDATE</t>
  </si>
  <si>
    <t>All Fvt Dates</t>
  </si>
  <si>
    <t>FVTALL</t>
  </si>
  <si>
    <t>SUBR("*GCAZ206","75DA")</t>
  </si>
  <si>
    <t>TFVTDALL</t>
  </si>
  <si>
    <t>All Fvt Results</t>
  </si>
  <si>
    <t>SUBR("*GCAZ206","75RA")</t>
  </si>
  <si>
    <t>TFVTALL</t>
  </si>
  <si>
    <t>Locate Fvt Reading from Chemistry</t>
  </si>
  <si>
    <t>SUBR("*GCAI714",TREADINGNO,TREADVALUE,"75")</t>
  </si>
  <si>
    <t>TFVT</t>
  </si>
  <si>
    <t>Last three FTHAW results</t>
  </si>
  <si>
    <t>FTHAWLAST3</t>
  </si>
  <si>
    <t>SUBR("*GCAZ206","99/6/L3")</t>
  </si>
  <si>
    <t>TFTHAWLAST3</t>
  </si>
  <si>
    <t>Last three FTHAW dates</t>
  </si>
  <si>
    <t>SUBR("*GCAZ206","99DL3")</t>
  </si>
  <si>
    <t>TFTHAWDLAST3</t>
  </si>
  <si>
    <t>Reg. Date of FTHAW reading</t>
  </si>
  <si>
    <t>FTHAW</t>
  </si>
  <si>
    <t>SUBR("*GCAZ206","99G")</t>
  </si>
  <si>
    <t>TFTHAWDATEREG</t>
  </si>
  <si>
    <t>Date of FTHAW reading</t>
  </si>
  <si>
    <t>SUBR("*GCAZ206","99D")</t>
  </si>
  <si>
    <t>TFTHAWDATE</t>
  </si>
  <si>
    <t>All FTHAW Dates</t>
  </si>
  <si>
    <t>FTHAWALL</t>
  </si>
  <si>
    <t>SUBR("*GCAZ206","99DA")</t>
  </si>
  <si>
    <t>TFTHAWDALL</t>
  </si>
  <si>
    <t>All FTHAW Results</t>
  </si>
  <si>
    <t>SUBR("*GCAZ206","99RA")</t>
  </si>
  <si>
    <t>TFTHAWALL</t>
  </si>
  <si>
    <t>Locate FTHAW Reading from Chemistry</t>
  </si>
  <si>
    <t>SUBR("*GCAI714",TREADINGNO,TREADVALUE,"99")</t>
  </si>
  <si>
    <t>TFTHAW</t>
  </si>
  <si>
    <t>Last three FSO2 Times</t>
  </si>
  <si>
    <t>FSO2LAST3</t>
  </si>
  <si>
    <t>SUBR(SUBR.PENBW:"PBWZ206","7/14/L3")</t>
  </si>
  <si>
    <t>TFSO2TIMELAST3</t>
  </si>
  <si>
    <t>Last three FSO2 Tanks</t>
  </si>
  <si>
    <t>SUBR(SUBR.PENBW:"PBWZ206","7/1/L3")</t>
  </si>
  <si>
    <t>TFSO2TANKLAST3</t>
  </si>
  <si>
    <t>Last three FSO2 results</t>
  </si>
  <si>
    <t>SUBR(SUBR.PENBW:"PBWZ206","7/6/L3")</t>
  </si>
  <si>
    <t>TFSO2LAST3</t>
  </si>
  <si>
    <t>Last three FSO2 dates</t>
  </si>
  <si>
    <t>SUBR(SUBR.PENBW:"PBWZ206","7DL3")</t>
  </si>
  <si>
    <t>TFSO2DLAST3</t>
  </si>
  <si>
    <t>Date of FSO2 reading</t>
  </si>
  <si>
    <t>SUBR(SUBR.PENBW:'PBWZ206','7D')</t>
  </si>
  <si>
    <t>TFSO2DATE</t>
  </si>
  <si>
    <t>Last three FSO2 Batches</t>
  </si>
  <si>
    <t>SUBR(SUBR.PENBW:"PBWZ206","7/15/L3")</t>
  </si>
  <si>
    <t>TFSO2BATCHLAST3</t>
  </si>
  <si>
    <t>Locate FSO2 date from Chemistry</t>
  </si>
  <si>
    <t>SUBR("*PBWZ205",TCHEMNO)</t>
  </si>
  <si>
    <t>TFSO2.DATE</t>
  </si>
  <si>
    <t>Increase in latest FSO2 reading over average of previous 2 readings</t>
  </si>
  <si>
    <t>FSO2 Change</t>
  </si>
  <si>
    <t>TFSO2LAST3&lt;1,1,1&gt;; TFSO2LAST3&lt;1,2,1&gt;; TFSO2LAST3&lt;1,3,1&gt;; IF @2&gt;0 THEN 1 ELSE 0; IF</t>
  </si>
  <si>
    <t>TFSO2.CHANGE</t>
  </si>
  <si>
    <t>SUBR("*PBWI714",TREADINGNO,TREADVALUE,"7")</t>
  </si>
  <si>
    <t>TFSO2</t>
  </si>
  <si>
    <t>Last three FS02 results</t>
  </si>
  <si>
    <t>FS02LAST3</t>
  </si>
  <si>
    <t>SUBR("*GCAZ206","7/6/L3")</t>
  </si>
  <si>
    <t>TFS02LAST3</t>
  </si>
  <si>
    <t>Last three FS02 dates</t>
  </si>
  <si>
    <t>SUBR("*GCAZ206","7DL3")</t>
  </si>
  <si>
    <t>TFS02DLAST3</t>
  </si>
  <si>
    <t>Reg. Date of FS02 reading</t>
  </si>
  <si>
    <t>FS02</t>
  </si>
  <si>
    <t>SUBR("*GCAZ206","7G")</t>
  </si>
  <si>
    <t>TFS02DATEREG</t>
  </si>
  <si>
    <t>Date of FS02 reading</t>
  </si>
  <si>
    <t>SUBR("*GCAZ206","7D")</t>
  </si>
  <si>
    <t>TFS02DATE</t>
  </si>
  <si>
    <t>All FS02 Dates</t>
  </si>
  <si>
    <t>FS02ALL</t>
  </si>
  <si>
    <t>SUBR("*GCAZ206","7DA")</t>
  </si>
  <si>
    <t>TFS02DALL</t>
  </si>
  <si>
    <t>All FS02 Results</t>
  </si>
  <si>
    <t>SUBR("*GCAZ206","7RA")</t>
  </si>
  <si>
    <t>TFS02ALL</t>
  </si>
  <si>
    <t>Locate FS02 Reading from Chemistry</t>
  </si>
  <si>
    <t>SUBR("*GCAI714",TREADINGNO,TREADVALUE,"7")</t>
  </si>
  <si>
    <t>TFS02</t>
  </si>
  <si>
    <t>Last three Fruct results</t>
  </si>
  <si>
    <t>FRUCTLAST3</t>
  </si>
  <si>
    <t>SUBR("*GCAZ206","70/6/L3")</t>
  </si>
  <si>
    <t>TFRUCTLAST3</t>
  </si>
  <si>
    <t>Last three Fruct dates</t>
  </si>
  <si>
    <t>SUBR("*GCAZ206","70DL3")</t>
  </si>
  <si>
    <t>TFRUCTDLAST3</t>
  </si>
  <si>
    <t>Reg. Date of Fruct reading</t>
  </si>
  <si>
    <t>Fruct</t>
  </si>
  <si>
    <t>SUBR("*GCAZ206","70G")</t>
  </si>
  <si>
    <t>TFRUCTDATEREG</t>
  </si>
  <si>
    <t>Date of Fruct reading</t>
  </si>
  <si>
    <t>SUBR("*GCAZ206","70D")</t>
  </si>
  <si>
    <t>TFRUCTDATE</t>
  </si>
  <si>
    <t>All Fruct Dates</t>
  </si>
  <si>
    <t>FRUCTALL</t>
  </si>
  <si>
    <t>SUBR("*GCAZ206","70DA")</t>
  </si>
  <si>
    <t>TFRUCTDALL</t>
  </si>
  <si>
    <t>All Fruct Results</t>
  </si>
  <si>
    <t>SUBR("*GCAZ206","70RA")</t>
  </si>
  <si>
    <t>TFRUCTALL</t>
  </si>
  <si>
    <t>Locate Fruct Reading from Chemistry</t>
  </si>
  <si>
    <t>SUBR("*GCAI714",TREADINGNO,TREADVALUE,"70")</t>
  </si>
  <si>
    <t>TFRUCT</t>
  </si>
  <si>
    <t>Results date for each chem request</t>
  </si>
  <si>
    <t>TRANS(CHEM,TFROMCHEM,CDATE,'X')</t>
  </si>
  <si>
    <t>TFROMCHEM.CDATE</t>
  </si>
  <si>
    <t>Last three FNA results</t>
  </si>
  <si>
    <t>FNALAST3</t>
  </si>
  <si>
    <t>SUBR("*GCAZ206","102/6/L3")</t>
  </si>
  <si>
    <t>TFNALAST3</t>
  </si>
  <si>
    <t>Last three FNA dates</t>
  </si>
  <si>
    <t>SUBR("*GCAZ206","102DL3")</t>
  </si>
  <si>
    <t>TFNADLAST3</t>
  </si>
  <si>
    <t>Reg. Date of FNA reading</t>
  </si>
  <si>
    <t>FNA</t>
  </si>
  <si>
    <t>SUBR("*GCAZ206","102G")</t>
  </si>
  <si>
    <t>TFNADATEREG</t>
  </si>
  <si>
    <t>Date of FNA reading</t>
  </si>
  <si>
    <t>SUBR("*GCAZ206","102D")</t>
  </si>
  <si>
    <t>TFNADATE</t>
  </si>
  <si>
    <t>All FNA Dates</t>
  </si>
  <si>
    <t>FNAALL</t>
  </si>
  <si>
    <t>SUBR("*GCAZ206","102DA")</t>
  </si>
  <si>
    <t>TFNADALL</t>
  </si>
  <si>
    <t>All FNA Results</t>
  </si>
  <si>
    <t>SUBR("*GCAZ206","102RA")</t>
  </si>
  <si>
    <t>TFNAALL</t>
  </si>
  <si>
    <t>Locate FNA Reading from Chemistry</t>
  </si>
  <si>
    <t>SUBR("*GCAI714",TREADINGNO,TREADVALUE,"102")</t>
  </si>
  <si>
    <t>TFNA</t>
  </si>
  <si>
    <t>Last three FltAb results</t>
  </si>
  <si>
    <t>FLTABLAST3</t>
  </si>
  <si>
    <t>SUBR("*GCAZ206","97/6/L3")</t>
  </si>
  <si>
    <t>TFLTABLAST3</t>
  </si>
  <si>
    <t>Last three FltAb dates</t>
  </si>
  <si>
    <t>SUBR("*GCAZ206","97DL3")</t>
  </si>
  <si>
    <t>TFLTABDLAST3</t>
  </si>
  <si>
    <t>Reg. Date of FltAb reading</t>
  </si>
  <si>
    <t>FltAb</t>
  </si>
  <si>
    <t>SUBR("*GCAZ206","97G")</t>
  </si>
  <si>
    <t>TFLTABDATEREG</t>
  </si>
  <si>
    <t>Date of FltAb reading</t>
  </si>
  <si>
    <t>SUBR("*GCAZ206","97D")</t>
  </si>
  <si>
    <t>TFLTABDATE</t>
  </si>
  <si>
    <t>All FltAb Dates</t>
  </si>
  <si>
    <t>FLTABALL</t>
  </si>
  <si>
    <t>SUBR("*GCAZ206","97DA")</t>
  </si>
  <si>
    <t>TFLTABDALL</t>
  </si>
  <si>
    <t>All FltAb Results</t>
  </si>
  <si>
    <t>SUBR("*GCAZ206","97RA")</t>
  </si>
  <si>
    <t>TFLTABALL</t>
  </si>
  <si>
    <t>Locate FltAb Reading from Chemistry</t>
  </si>
  <si>
    <t>SUBR("*GCAI714",TREADINGNO,TREADVALUE,"97")</t>
  </si>
  <si>
    <t>TFLTAB</t>
  </si>
  <si>
    <t>Last three Flocc results</t>
  </si>
  <si>
    <t>FLOCCLAST3</t>
  </si>
  <si>
    <t>SUBR("*GCAZ206","71/6/L3")</t>
  </si>
  <si>
    <t>TFLOCCLAST3</t>
  </si>
  <si>
    <t>Last three Flocc dates</t>
  </si>
  <si>
    <t>SUBR("*GCAZ206","71DL3")</t>
  </si>
  <si>
    <t>TFLOCCDLAST3</t>
  </si>
  <si>
    <t>Reg. Date of Flocc reading</t>
  </si>
  <si>
    <t>Flocc</t>
  </si>
  <si>
    <t>SUBR("*GCAZ206","71G")</t>
  </si>
  <si>
    <t>TFLOCCDATEREG</t>
  </si>
  <si>
    <t>Date of Flocc reading</t>
  </si>
  <si>
    <t>SUBR("*GCAZ206","71D")</t>
  </si>
  <si>
    <t>TFLOCCDATE</t>
  </si>
  <si>
    <t>All Flocc Dates</t>
  </si>
  <si>
    <t>FLOCCALL</t>
  </si>
  <si>
    <t>SUBR("*GCAZ206","71DA")</t>
  </si>
  <si>
    <t>TFLOCCDALL</t>
  </si>
  <si>
    <t>All Flocc Results</t>
  </si>
  <si>
    <t>SUBR("*GCAZ206","71RA")</t>
  </si>
  <si>
    <t>TFLOCCALL</t>
  </si>
  <si>
    <t>Locate Flocc Reading from Chemistry</t>
  </si>
  <si>
    <t>SUBR("*GCAI714",TREADINGNO,TREADVALUE,"71")</t>
  </si>
  <si>
    <t>TFLOCC</t>
  </si>
  <si>
    <t>Last three Fillht results</t>
  </si>
  <si>
    <t>FILLHTLAST3</t>
  </si>
  <si>
    <t>SUBR("*GCAZ206","81/6/L3")</t>
  </si>
  <si>
    <t>TFILLHTLAST3</t>
  </si>
  <si>
    <t>Last three Fillht dates</t>
  </si>
  <si>
    <t>SUBR("*GCAZ206","81DL3")</t>
  </si>
  <si>
    <t>TFILLHTDLAST3</t>
  </si>
  <si>
    <t>Reg. Date of Fillht reading</t>
  </si>
  <si>
    <t>Fillht</t>
  </si>
  <si>
    <t>SUBR("*GCAZ206","81G")</t>
  </si>
  <si>
    <t>TFILLHTDATEREG</t>
  </si>
  <si>
    <t>Date of Fillht reading</t>
  </si>
  <si>
    <t>SUBR("*GCAZ206","81D")</t>
  </si>
  <si>
    <t>TFILLHTDATE</t>
  </si>
  <si>
    <t>All Fillht Dates</t>
  </si>
  <si>
    <t>FILLHTALL</t>
  </si>
  <si>
    <t>SUBR("*GCAZ206","81DA")</t>
  </si>
  <si>
    <t>TFILLHTDALL</t>
  </si>
  <si>
    <t>All Fillht Results</t>
  </si>
  <si>
    <t>SUBR("*GCAZ206","81RA")</t>
  </si>
  <si>
    <t>TFILLHTALL</t>
  </si>
  <si>
    <t>Locate Fillht Reading from Chemistry</t>
  </si>
  <si>
    <t>SUBR("*GCAI714",TREADINGNO,TREADVALUE,"81")</t>
  </si>
  <si>
    <t>TFILLHT</t>
  </si>
  <si>
    <t>Last three Fe results</t>
  </si>
  <si>
    <t>FELAST3</t>
  </si>
  <si>
    <t>SUBR("*GCAZ206","22/6/L3")</t>
  </si>
  <si>
    <t>TFELAST3</t>
  </si>
  <si>
    <t>Last three Fe dates</t>
  </si>
  <si>
    <t>SUBR("*GCAZ206","22DL3")</t>
  </si>
  <si>
    <t>TFEDLAST3</t>
  </si>
  <si>
    <t>Reg. Date of Fe reading</t>
  </si>
  <si>
    <t>Fe</t>
  </si>
  <si>
    <t>SUBR("*GCAZ206","22G")</t>
  </si>
  <si>
    <t>TFEDATEREG</t>
  </si>
  <si>
    <t>Date of Fe reading</t>
  </si>
  <si>
    <t>SUBR("*GCAZ206","22D")</t>
  </si>
  <si>
    <t>TFEDATE</t>
  </si>
  <si>
    <t>All Fe Dates</t>
  </si>
  <si>
    <t>FEALL</t>
  </si>
  <si>
    <t>SUBR("*GCAZ206","22DA")</t>
  </si>
  <si>
    <t>TFEDALL</t>
  </si>
  <si>
    <t>All Fe Results</t>
  </si>
  <si>
    <t>SUBR("*GCAZ206","22RA")</t>
  </si>
  <si>
    <t>TFEALL</t>
  </si>
  <si>
    <t>Locate Fe Reading from Chemistry</t>
  </si>
  <si>
    <t>SUBR("*GCAI714",TREADINGNO,TREADVALUE,"22")</t>
  </si>
  <si>
    <t>TFE</t>
  </si>
  <si>
    <t>Tank Farm Winery Location</t>
  </si>
  <si>
    <t>Tank Farm</t>
  </si>
  <si>
    <t>TRANS(TANK.FARM,TANK.FARM,TFWIN.LOC,'X')</t>
  </si>
  <si>
    <t>TF.WIN.LOC</t>
  </si>
  <si>
    <t>Sort Order for Tank Farm</t>
  </si>
  <si>
    <t>TRANS(TANK.FARM,TANK.FARM,TFSORT.ORDER,'X')</t>
  </si>
  <si>
    <t>TF.SORT</t>
  </si>
  <si>
    <t>Tank Farm Short Description</t>
  </si>
  <si>
    <t>TRANS(TANK.FARM,TANK.FARM,TFSDESC, 'X')</t>
  </si>
  <si>
    <t>TF.SDESC</t>
  </si>
  <si>
    <t>Tank Farm Description - heading on single line</t>
  </si>
  <si>
    <t>Tank Farm Description</t>
  </si>
  <si>
    <t>TRANS(TANK.FARM,TANK.FARM,TFDESC, 'X')</t>
  </si>
  <si>
    <t>TF.DESC1</t>
  </si>
  <si>
    <t>TF.DESC</t>
  </si>
  <si>
    <t>Activity Status of Tank Farm</t>
  </si>
  <si>
    <t>TRANS(TANK.FARM,TANK.FARM,TFACTIV,'X')</t>
  </si>
  <si>
    <t>TF.ACTIV</t>
  </si>
  <si>
    <t>Last three Exract results</t>
  </si>
  <si>
    <t>EXRACTLAST3</t>
  </si>
  <si>
    <t>SUBR("*GCAZ206","44/6/L3")</t>
  </si>
  <si>
    <t>TEXRACTLAST3</t>
  </si>
  <si>
    <t>Last three Exract dates</t>
  </si>
  <si>
    <t>SUBR("*GCAZ206","44DL3")</t>
  </si>
  <si>
    <t>TEXRACTDLAST3</t>
  </si>
  <si>
    <t>Reg. Date of Exract reading</t>
  </si>
  <si>
    <t>Exract</t>
  </si>
  <si>
    <t>SUBR("*GCAZ206","44G")</t>
  </si>
  <si>
    <t>TEXRACTDATEREG</t>
  </si>
  <si>
    <t>Date of Exract reading</t>
  </si>
  <si>
    <t>SUBR("*GCAZ206","44D")</t>
  </si>
  <si>
    <t>TEXRACTDATE</t>
  </si>
  <si>
    <t>All Exract Dates</t>
  </si>
  <si>
    <t>EXRACTALL</t>
  </si>
  <si>
    <t>SUBR("*GCAZ206","44DA")</t>
  </si>
  <si>
    <t>TEXRACTDALL</t>
  </si>
  <si>
    <t>All Exract Results</t>
  </si>
  <si>
    <t>SUBR("*GCAZ206","44RA")</t>
  </si>
  <si>
    <t>TEXRACTALL</t>
  </si>
  <si>
    <t>Locate Exract Reading from Chemistry</t>
  </si>
  <si>
    <t>SUBR("*GCAI714",TREADINGNO,TREADVALUE,"44")</t>
  </si>
  <si>
    <t>TEXRACT</t>
  </si>
  <si>
    <t>Last three Eucalyptol results</t>
  </si>
  <si>
    <t>EUCALYPTOLL</t>
  </si>
  <si>
    <t>SUBR("*GCAZ206","204/6/L3")</t>
  </si>
  <si>
    <t>TEUCALYPTOLLAST3</t>
  </si>
  <si>
    <t>Last three Eucalyptol dates</t>
  </si>
  <si>
    <t>SUBR("*GCAZ206","204DL3")</t>
  </si>
  <si>
    <t>TEUCALYPTOLDLAST3</t>
  </si>
  <si>
    <t>Reg. Date of Eucalyptol reading</t>
  </si>
  <si>
    <t>Eucalyptol</t>
  </si>
  <si>
    <t>SUBR("*GCAZ206","204G")</t>
  </si>
  <si>
    <t>TEUCALYPTOLDATEREG</t>
  </si>
  <si>
    <t>Date of Eucalyptol reading</t>
  </si>
  <si>
    <t>SUBR("*GCAZ206","204D")</t>
  </si>
  <si>
    <t>TEUCALYPTOLDATE</t>
  </si>
  <si>
    <t>All Eucalyptol Dates</t>
  </si>
  <si>
    <t>EUCALYPTOLA</t>
  </si>
  <si>
    <t>SUBR("*GCAZ206","204DA")</t>
  </si>
  <si>
    <t>TEUCALYPTOLDALL</t>
  </si>
  <si>
    <t>All Eucalyptol Results</t>
  </si>
  <si>
    <t>SUBR("*GCAZ206","204RA")</t>
  </si>
  <si>
    <t>TEUCALYPTOLALL</t>
  </si>
  <si>
    <t>Locate Eucalyptol Reading from Chemistry</t>
  </si>
  <si>
    <t>SUBR("*GCAI714",TREADINGNO,TREADVALUE,"204")</t>
  </si>
  <si>
    <t>TEUCALYPTOL</t>
  </si>
  <si>
    <t>SUBR(SUBR.PENBW:"PBWI714",TREADINGNO,TREADVALUE,"12")</t>
  </si>
  <si>
    <t>TEUCA</t>
  </si>
  <si>
    <t>Last three EtOH results</t>
  </si>
  <si>
    <t>ETOHLAST3</t>
  </si>
  <si>
    <t>SUBR("*GCAZ206","195/6/L3")</t>
  </si>
  <si>
    <t>TETOHLAST3</t>
  </si>
  <si>
    <t>Last three EtOH dates</t>
  </si>
  <si>
    <t>SUBR("*GCAZ206","195DL3")</t>
  </si>
  <si>
    <t>TETOHDLAST3</t>
  </si>
  <si>
    <t>Reg. Date of EtOH reading</t>
  </si>
  <si>
    <t>EtOH</t>
  </si>
  <si>
    <t>SUBR("*GCAZ206","195G")</t>
  </si>
  <si>
    <t>TETOHDATEREG</t>
  </si>
  <si>
    <t>Date of EtOH reading</t>
  </si>
  <si>
    <t>SUBR("*GCAZ206","195D")</t>
  </si>
  <si>
    <t>TETOHDATE</t>
  </si>
  <si>
    <t>All EtOH Dates</t>
  </si>
  <si>
    <t>ETOHALL</t>
  </si>
  <si>
    <t>SUBR("*GCAZ206","195DA")</t>
  </si>
  <si>
    <t>TETOHDALL</t>
  </si>
  <si>
    <t>All EtOH Results</t>
  </si>
  <si>
    <t>SUBR("*GCAZ206","195RA")</t>
  </si>
  <si>
    <t>TETOHALL</t>
  </si>
  <si>
    <t>Locate EtOH Reading from Chemistry</t>
  </si>
  <si>
    <t>SUBR("*GCAI714",TREADINGNO,TREADVALUE,"195")</t>
  </si>
  <si>
    <t>TETOH</t>
  </si>
  <si>
    <t>Last three EtAc results</t>
  </si>
  <si>
    <t>ETACLAST3</t>
  </si>
  <si>
    <t>SUBR("*GCAZ206","202/6/L3")</t>
  </si>
  <si>
    <t>TETACLAST3</t>
  </si>
  <si>
    <t>Last three EtAc dates</t>
  </si>
  <si>
    <t>SUBR("*GCAZ206","202DL3")</t>
  </si>
  <si>
    <t>TETACDLAST3</t>
  </si>
  <si>
    <t>Reg. Date of EtAc reading</t>
  </si>
  <si>
    <t>EtAc</t>
  </si>
  <si>
    <t>SUBR("*GCAZ206","202G")</t>
  </si>
  <si>
    <t>TETACDATEREG</t>
  </si>
  <si>
    <t>Date of EtAc reading</t>
  </si>
  <si>
    <t>SUBR("*GCAZ206","202D")</t>
  </si>
  <si>
    <t>TETACDATE</t>
  </si>
  <si>
    <t>All EtAc Dates</t>
  </si>
  <si>
    <t>ETACALL</t>
  </si>
  <si>
    <t>SUBR("*GCAZ206","202DA")</t>
  </si>
  <si>
    <t>TETACDALL</t>
  </si>
  <si>
    <t>All EtAc Results</t>
  </si>
  <si>
    <t>SUBR("*GCAZ206","202RA")</t>
  </si>
  <si>
    <t>TETACALL</t>
  </si>
  <si>
    <t>Locate EtAc Reading from Chemistry</t>
  </si>
  <si>
    <t>SUBR("*GCAI714",TREADINGNO,TREADVALUE,"202")</t>
  </si>
  <si>
    <t>TETAC</t>
  </si>
  <si>
    <t>TEST2</t>
  </si>
  <si>
    <t>IF (TCAPACITY-(TCAPACITY-TVOLUME)) # "0" THEN TULLAGE ELSE "0"</t>
  </si>
  <si>
    <t>TCAPACITY-(TCAPACITY-TVOLUME)</t>
  </si>
  <si>
    <t>TEST</t>
  </si>
  <si>
    <t>SUBR("*PBWI714",TREADINGNO,TREADVALUE,'1')</t>
  </si>
  <si>
    <t>TEMPREAD</t>
  </si>
  <si>
    <t>Date of temperature reading</t>
  </si>
  <si>
    <t>SUBR(SUBR.PENBW:'PBWZ206','1D')</t>
  </si>
  <si>
    <t>TEMPDATE</t>
  </si>
  <si>
    <t>Translate to SPIRIT.REGISTER file to obtain Temperature after op.</t>
  </si>
  <si>
    <t>TRANS(SPIRIT.REGISTER,SPRKEY,MTEMPAFT,'X')</t>
  </si>
  <si>
    <t>TEMPAFT</t>
  </si>
  <si>
    <t>Last three Egg results</t>
  </si>
  <si>
    <t>EGGLAST3</t>
  </si>
  <si>
    <t>SUBR("*GCAZ206","170/6/L3")</t>
  </si>
  <si>
    <t>TEGGLAST3</t>
  </si>
  <si>
    <t>Last three EGGF results</t>
  </si>
  <si>
    <t>EGGFLAST3</t>
  </si>
  <si>
    <t>SUBR("*GCAZ206","133/6/L3")</t>
  </si>
  <si>
    <t>TEGGFLAST3</t>
  </si>
  <si>
    <t>Last three EGGF dates</t>
  </si>
  <si>
    <t>SUBR("*GCAZ206","133DL3")</t>
  </si>
  <si>
    <t>TEGGFDLAST3</t>
  </si>
  <si>
    <t>Reg. Date of EGGF reading</t>
  </si>
  <si>
    <t>EGGF</t>
  </si>
  <si>
    <t>SUBR("*GCAZ206","133G")</t>
  </si>
  <si>
    <t>TEGGFDATEREG</t>
  </si>
  <si>
    <t>Date of EGGF reading</t>
  </si>
  <si>
    <t>SUBR("*GCAZ206","133D")</t>
  </si>
  <si>
    <t>TEGGFDATE</t>
  </si>
  <si>
    <t>All EGGF Dates</t>
  </si>
  <si>
    <t>EGGFALL</t>
  </si>
  <si>
    <t>SUBR("*GCAZ206","133DA")</t>
  </si>
  <si>
    <t>TEGGFDALL</t>
  </si>
  <si>
    <t>All EGGF Results</t>
  </si>
  <si>
    <t>SUBR("*GCAZ206","133RA")</t>
  </si>
  <si>
    <t>TEGGFALL</t>
  </si>
  <si>
    <t>Locate EGGF Reading from Chemistry</t>
  </si>
  <si>
    <t>SUBR("*GCAI714",TREADINGNO,TREADVALUE,"133")</t>
  </si>
  <si>
    <t>TEGGF</t>
  </si>
  <si>
    <t>Last three Egg dates</t>
  </si>
  <si>
    <t>SUBR("*GCAZ206","170DL3")</t>
  </si>
  <si>
    <t>TEGGDLAST3</t>
  </si>
  <si>
    <t>Reg. Date of Egg reading</t>
  </si>
  <si>
    <t>Egg</t>
  </si>
  <si>
    <t>SUBR("*GCAZ206","170G")</t>
  </si>
  <si>
    <t>TEGGDATEREG</t>
  </si>
  <si>
    <t>Date of Egg reading</t>
  </si>
  <si>
    <t>SUBR("*GCAZ206","170D")</t>
  </si>
  <si>
    <t>TEGGDATE</t>
  </si>
  <si>
    <t>All Egg Dates</t>
  </si>
  <si>
    <t>EGGALL</t>
  </si>
  <si>
    <t>SUBR("*GCAZ206","170DA")</t>
  </si>
  <si>
    <t>TEGGDALL</t>
  </si>
  <si>
    <t>All Egg Results</t>
  </si>
  <si>
    <t>SUBR("*GCAZ206","170RA")</t>
  </si>
  <si>
    <t>TEGGALL</t>
  </si>
  <si>
    <t>Locate Egg Reading from Chemistry</t>
  </si>
  <si>
    <t>SUBR("*GCAI714",TREADINGNO,TREADVALUE,"170")</t>
  </si>
  <si>
    <t>TEGG</t>
  </si>
  <si>
    <t>Translate to DIPTABLE for DRYDIP</t>
  </si>
  <si>
    <t>DRY</t>
  </si>
  <si>
    <t>TRANS(DIPTABLE,TTABLE,DRYDIP,'X')</t>
  </si>
  <si>
    <t>TDRYDIP</t>
  </si>
  <si>
    <t>Date of DO reading</t>
  </si>
  <si>
    <t>DO</t>
  </si>
  <si>
    <t>SUBR(SUBR.PENBW:'PBWZ206','43D')</t>
  </si>
  <si>
    <t>TDODATE</t>
  </si>
  <si>
    <t>Locate DO Reading from Chemistry</t>
  </si>
  <si>
    <t>DO2</t>
  </si>
  <si>
    <t>SUBR("*PBWI714",TREADINGNO,TREADVALUE,"43")</t>
  </si>
  <si>
    <t>TDO</t>
  </si>
  <si>
    <t>Locate DIP Reading from Chemistry</t>
  </si>
  <si>
    <t>DIP</t>
  </si>
  <si>
    <t>SUBR("*GCAI714",TREADINGNO,TREADVALUE,"142")</t>
  </si>
  <si>
    <t>TDIP_</t>
  </si>
  <si>
    <t>Translate to DIPTABLE for Minimum Dip</t>
  </si>
  <si>
    <t>MINIMUM</t>
  </si>
  <si>
    <t>TRANS(DIPTABLE,TTABLE,DIPMIN,'X')</t>
  </si>
  <si>
    <t>TDIPMIN</t>
  </si>
  <si>
    <t>Translate to DIPTABLE for Maximum Dip</t>
  </si>
  <si>
    <t>MAXIMUM</t>
  </si>
  <si>
    <t>TRANS(DIPTABLE,TTABLE,DIPMAX,'X')</t>
  </si>
  <si>
    <t>TDIPMAX</t>
  </si>
  <si>
    <t>Last three DIP results</t>
  </si>
  <si>
    <t>DIPLAST3</t>
  </si>
  <si>
    <t>SUBR("*GCAZ206","142/6/L3")</t>
  </si>
  <si>
    <t>TDIPLAST3</t>
  </si>
  <si>
    <t>Last three DIP dates</t>
  </si>
  <si>
    <t>SUBR("*GCAZ206","142DL3")</t>
  </si>
  <si>
    <t>TDIPDLAST3</t>
  </si>
  <si>
    <t>Translate to DIPTABLE for DIPDESCP</t>
  </si>
  <si>
    <t>20L</t>
  </si>
  <si>
    <t>DIP DESCRIPTION</t>
  </si>
  <si>
    <t>TRANS(DIPTABLE,TTABLE,DIPDESCP,'X')</t>
  </si>
  <si>
    <t>TDIPDESCP</t>
  </si>
  <si>
    <t>Reg. Date of DIP reading</t>
  </si>
  <si>
    <t>SUBR("*GCAZ206","142G")</t>
  </si>
  <si>
    <t>TDIPDATEREG</t>
  </si>
  <si>
    <t>Date of DIP reading</t>
  </si>
  <si>
    <t>SUBR("*GCAZ206","142D")</t>
  </si>
  <si>
    <t>TDIPDATE</t>
  </si>
  <si>
    <t>All DIP Dates</t>
  </si>
  <si>
    <t>DIPALL</t>
  </si>
  <si>
    <t>SUBR("*GCAZ206","142DA")</t>
  </si>
  <si>
    <t>TDIPDALL</t>
  </si>
  <si>
    <t>Translate to DIPTABLE for DIPCODE - heading on one line</t>
  </si>
  <si>
    <t>Dip Table Type</t>
  </si>
  <si>
    <t>TRANS(DIPTABLE,TTABLE,DIPCODE,'X')</t>
  </si>
  <si>
    <t>TDIPCODE1</t>
  </si>
  <si>
    <t>Translate to DIPTABLE for DIPCODE</t>
  </si>
  <si>
    <t>Dip</t>
  </si>
  <si>
    <t>TDIPCODE</t>
  </si>
  <si>
    <t>All DIP Results</t>
  </si>
  <si>
    <t>SUBR("*GCAZ206","142RA")</t>
  </si>
  <si>
    <t>TDIPALL</t>
  </si>
  <si>
    <t>Tank Dip</t>
  </si>
  <si>
    <t>TANK</t>
  </si>
  <si>
    <t>TDIP</t>
  </si>
  <si>
    <t>TDIP8</t>
  </si>
  <si>
    <t>TDIP.CODE</t>
  </si>
  <si>
    <t>15T</t>
  </si>
  <si>
    <t>UC DESCRIPTION</t>
  </si>
  <si>
    <t>OCONV(TDESCP,'MCU')</t>
  </si>
  <si>
    <t>TDESCP.UC</t>
  </si>
  <si>
    <t>Last three DENS results</t>
  </si>
  <si>
    <t>DENSLAST3</t>
  </si>
  <si>
    <t>SUBR("*GCAZ206","121/6/L3")</t>
  </si>
  <si>
    <t>TDENSLAST3</t>
  </si>
  <si>
    <t>Last three DENS dates</t>
  </si>
  <si>
    <t>SUBR("*GCAZ206","121DL3")</t>
  </si>
  <si>
    <t>TDENSDLAST3</t>
  </si>
  <si>
    <t>Reg. Date of DENS reading</t>
  </si>
  <si>
    <t>DENS</t>
  </si>
  <si>
    <t>SUBR("*GCAZ206","121G")</t>
  </si>
  <si>
    <t>TDENSDATEREG</t>
  </si>
  <si>
    <t>Date of DENS reading</t>
  </si>
  <si>
    <t>SUBR("*GCAZ206","121D")</t>
  </si>
  <si>
    <t>TDENSDATE</t>
  </si>
  <si>
    <t>All DENS Dates</t>
  </si>
  <si>
    <t>DENSALL</t>
  </si>
  <si>
    <t>SUBR("*GCAZ206","121DA")</t>
  </si>
  <si>
    <t>TDENSDALL</t>
  </si>
  <si>
    <t>All DENS Results</t>
  </si>
  <si>
    <t>SUBR("*GCAZ206","121RA")</t>
  </si>
  <si>
    <t>TDENSALL</t>
  </si>
  <si>
    <t>Locate DENS Reading from Chemistry</t>
  </si>
  <si>
    <t>SUBR("*GCAI714",TREADINGNO,TREADVALUE,"121")</t>
  </si>
  <si>
    <t>TDENS</t>
  </si>
  <si>
    <t>The Nominated Capacity when the dip is in the neck, else the</t>
  </si>
  <si>
    <t>Deemed</t>
  </si>
  <si>
    <t>IF NOMCAP THEN IF TDRYDIP = 'Y' THEN IF TDIP &lt;= DIPHBOTNECK THEN NOMCAP ELSE TVOLUME</t>
  </si>
  <si>
    <t>TDEEMED.VOLUME</t>
  </si>
  <si>
    <t>Last three DCO2 results</t>
  </si>
  <si>
    <t>DCO2LAST3</t>
  </si>
  <si>
    <t>SUBR(SUBR.PENBW:"PBWZ206","72/6/L3")</t>
  </si>
  <si>
    <t>TDCO2LAST3</t>
  </si>
  <si>
    <t>Last three DCO2 dates</t>
  </si>
  <si>
    <t>SUBR(SUBR.PENBW:"PBWZ206","72DL3")</t>
  </si>
  <si>
    <t>TDCO2DLAST3</t>
  </si>
  <si>
    <t>Last three DC02 results</t>
  </si>
  <si>
    <t>DC02LAST3</t>
  </si>
  <si>
    <t>SUBR("*GCAZ206","72/6/L3")</t>
  </si>
  <si>
    <t>TDC02LAST3</t>
  </si>
  <si>
    <t>Last three DC02 dates</t>
  </si>
  <si>
    <t>SUBR("*GCAZ206","72DL3")</t>
  </si>
  <si>
    <t>TDC02DLAST3</t>
  </si>
  <si>
    <t>Reg. Date of DC02 reading</t>
  </si>
  <si>
    <t>DC02</t>
  </si>
  <si>
    <t>SUBR("*GCAZ206","72G")</t>
  </si>
  <si>
    <t>TDC02DATEREG</t>
  </si>
  <si>
    <t>Date of DC02 reading</t>
  </si>
  <si>
    <t>SUBR("*GCAZ206","72D")</t>
  </si>
  <si>
    <t>TDC02DATE</t>
  </si>
  <si>
    <t>All DC02 Dates</t>
  </si>
  <si>
    <t>DC02ALL</t>
  </si>
  <si>
    <t>SUBR("*GCAZ206","72DA")</t>
  </si>
  <si>
    <t>TDC02DALL</t>
  </si>
  <si>
    <t>All DC02 Results</t>
  </si>
  <si>
    <t>SUBR("*GCAZ206","72RA")</t>
  </si>
  <si>
    <t>TDC02ALL</t>
  </si>
  <si>
    <t>Locate DC02 Reading from Chemistry</t>
  </si>
  <si>
    <t>SUBR("*GCAI714",TREADINGNO,TREADVALUE,"72")</t>
  </si>
  <si>
    <t>TDC02</t>
  </si>
  <si>
    <t>Transfer out of Tirage date</t>
  </si>
  <si>
    <t>Transfer</t>
  </si>
  <si>
    <t>TRANS(TIR.STORAGE,@ID,DATE.OUT,'X')</t>
  </si>
  <si>
    <t>TDATE.OUT</t>
  </si>
  <si>
    <t>Last three D02 results</t>
  </si>
  <si>
    <t>D02LAST3</t>
  </si>
  <si>
    <t>SUBR("*GCAZ206","43/6/L3")</t>
  </si>
  <si>
    <t>TD02LAST3</t>
  </si>
  <si>
    <t>Last three D02 dates</t>
  </si>
  <si>
    <t>SUBR("*GCAZ206","43DL3")</t>
  </si>
  <si>
    <t>TD02DLAST3</t>
  </si>
  <si>
    <t>Reg. Date of D02 reading</t>
  </si>
  <si>
    <t>D02</t>
  </si>
  <si>
    <t>SUBR("*GCAZ206","43G")</t>
  </si>
  <si>
    <t>TD02DATEREG</t>
  </si>
  <si>
    <t>Date of D02 reading</t>
  </si>
  <si>
    <t>SUBR("*GCAZ206","43D")</t>
  </si>
  <si>
    <t>TD02DATE</t>
  </si>
  <si>
    <t>All D02 Dates</t>
  </si>
  <si>
    <t>D02ALL</t>
  </si>
  <si>
    <t>SUBR("*GCAZ206","43DA")</t>
  </si>
  <si>
    <t>TD02DALL</t>
  </si>
  <si>
    <t>All D02 Results</t>
  </si>
  <si>
    <t>SUBR("*GCAZ206","43RA")</t>
  </si>
  <si>
    <t>TD02ALL</t>
  </si>
  <si>
    <t>Locate D02 Reading from Chemistry</t>
  </si>
  <si>
    <t>SUBR("*GCAI714",TREADINGNO,TREADVALUE,"43")</t>
  </si>
  <si>
    <t>TD02</t>
  </si>
  <si>
    <t>Last three Cu results</t>
  </si>
  <si>
    <t>CULAST3</t>
  </si>
  <si>
    <t>SUBR("*GCAZ206","23/6/L3")</t>
  </si>
  <si>
    <t>TCULAST3</t>
  </si>
  <si>
    <t>Last three CUF results</t>
  </si>
  <si>
    <t>CUFLAST3</t>
  </si>
  <si>
    <t>SUBR("*GCAZ206","108/6/L3")</t>
  </si>
  <si>
    <t>TCUFLAST3</t>
  </si>
  <si>
    <t>Last three CUF dates</t>
  </si>
  <si>
    <t>SUBR("*GCAZ206","108DL3")</t>
  </si>
  <si>
    <t>TCUFDLAST3</t>
  </si>
  <si>
    <t>Reg. Date of CUF reading</t>
  </si>
  <si>
    <t>CUF</t>
  </si>
  <si>
    <t>SUBR("*GCAZ206","108G")</t>
  </si>
  <si>
    <t>TCUFDATEREG</t>
  </si>
  <si>
    <t>Date of CUF reading</t>
  </si>
  <si>
    <t>SUBR("*GCAZ206","108D")</t>
  </si>
  <si>
    <t>TCUFDATE</t>
  </si>
  <si>
    <t>All CUF Dates</t>
  </si>
  <si>
    <t>CUFALL</t>
  </si>
  <si>
    <t>SUBR("*GCAZ206","108DA")</t>
  </si>
  <si>
    <t>TCUFDALL</t>
  </si>
  <si>
    <t>All CUF Results</t>
  </si>
  <si>
    <t>SUBR("*GCAZ206","108RA")</t>
  </si>
  <si>
    <t>TCUFALL</t>
  </si>
  <si>
    <t>Locate CUF Reading from Chemistry</t>
  </si>
  <si>
    <t>SUBR("*GCAI714",TREADINGNO,TREADVALUE,"108")</t>
  </si>
  <si>
    <t>TCUF</t>
  </si>
  <si>
    <t>Last three Cu dates</t>
  </si>
  <si>
    <t>SUBR("*GCAZ206","23DL3")</t>
  </si>
  <si>
    <t>TCUDLAST3</t>
  </si>
  <si>
    <t>Reg. Date of Cu reading</t>
  </si>
  <si>
    <t>Cu</t>
  </si>
  <si>
    <t>SUBR("*GCAZ206","23G")</t>
  </si>
  <si>
    <t>TCUDATEREG</t>
  </si>
  <si>
    <t>Date of Cu reading</t>
  </si>
  <si>
    <t>SUBR("*GCAZ206","23D")</t>
  </si>
  <si>
    <t>TCUDATE</t>
  </si>
  <si>
    <t>All Cu Dates</t>
  </si>
  <si>
    <t>CUALL</t>
  </si>
  <si>
    <t>SUBR("*GCAZ206","23DA")</t>
  </si>
  <si>
    <t>TCUDALL</t>
  </si>
  <si>
    <t>All Cu Results</t>
  </si>
  <si>
    <t>SUBR("*GCAZ206","23RA")</t>
  </si>
  <si>
    <t>TCUALL</t>
  </si>
  <si>
    <t>Locate Cu Reading from Chemistry</t>
  </si>
  <si>
    <t>SUBR("*GCAI714",TREADINGNO,TREADVALUE,"23")</t>
  </si>
  <si>
    <t>TCU</t>
  </si>
  <si>
    <t>Last three Cp results</t>
  </si>
  <si>
    <t>CPLAST3</t>
  </si>
  <si>
    <t>SUBR("*GCAZ206","89/6/L3")</t>
  </si>
  <si>
    <t>TCPLAST3</t>
  </si>
  <si>
    <t>Last three Cp dates</t>
  </si>
  <si>
    <t>SUBR("*GCAZ206","89DL3")</t>
  </si>
  <si>
    <t>TCPDLAST3</t>
  </si>
  <si>
    <t>Reg. Date of Cp reading</t>
  </si>
  <si>
    <t>Cp</t>
  </si>
  <si>
    <t>SUBR("*GCAZ206","89G")</t>
  </si>
  <si>
    <t>TCPDATEREG</t>
  </si>
  <si>
    <t>Date of Cp reading</t>
  </si>
  <si>
    <t>SUBR("*GCAZ206","89D")</t>
  </si>
  <si>
    <t>TCPDATE</t>
  </si>
  <si>
    <t>All Cp Dates</t>
  </si>
  <si>
    <t>CPALL</t>
  </si>
  <si>
    <t>SUBR("*GCAZ206","89DA")</t>
  </si>
  <si>
    <t>TCPDALL</t>
  </si>
  <si>
    <t>All Cp Results</t>
  </si>
  <si>
    <t>SUBR("*GCAZ206","89RA")</t>
  </si>
  <si>
    <t>TCPALL</t>
  </si>
  <si>
    <t>Locate Cp Reading from Chemistry</t>
  </si>
  <si>
    <t>SUBR("*GCAI714",TREADINGNO,TREADVALUE,"89")</t>
  </si>
  <si>
    <t>TCP</t>
  </si>
  <si>
    <t>STD COST</t>
  </si>
  <si>
    <t>SUBR("*PBWZ200",TBLEND,TSTATUS,"COST")</t>
  </si>
  <si>
    <t>TCOST</t>
  </si>
  <si>
    <t>Last three COND results</t>
  </si>
  <si>
    <t>CONDLAST3</t>
  </si>
  <si>
    <t>SUBR("*GCAZ206","153/6/L3")</t>
  </si>
  <si>
    <t>TCONDLAST3</t>
  </si>
  <si>
    <t>Last three COND dates</t>
  </si>
  <si>
    <t>SUBR("*GCAZ206","153DL3")</t>
  </si>
  <si>
    <t>TCONDDLAST3</t>
  </si>
  <si>
    <t>Reg. Date of COND reading</t>
  </si>
  <si>
    <t>COND</t>
  </si>
  <si>
    <t>SUBR("*GCAZ206","153G")</t>
  </si>
  <si>
    <t>TCONDDATEREG</t>
  </si>
  <si>
    <t>Date of COND reading</t>
  </si>
  <si>
    <t>SUBR("*GCAZ206","153D")</t>
  </si>
  <si>
    <t>TCONDDATE</t>
  </si>
  <si>
    <t>All COND Dates</t>
  </si>
  <si>
    <t>CONDALL</t>
  </si>
  <si>
    <t>SUBR("*GCAZ206","153DA")</t>
  </si>
  <si>
    <t>TCONDDALL</t>
  </si>
  <si>
    <t>All COND Results</t>
  </si>
  <si>
    <t>SUBR("*GCAZ206","153RA")</t>
  </si>
  <si>
    <t>TCONDALL</t>
  </si>
  <si>
    <t>Locate COND Reading from Chemistry</t>
  </si>
  <si>
    <t>SUBR("*GCAI714",TREADINGNO,TREADVALUE,"153")</t>
  </si>
  <si>
    <t>TCOND</t>
  </si>
  <si>
    <t>Last three COMPL results</t>
  </si>
  <si>
    <t>COMPLLAST3</t>
  </si>
  <si>
    <t>SUBR("*GCAZ206","160/6/L3")</t>
  </si>
  <si>
    <t>TCOMPLLAST3</t>
  </si>
  <si>
    <t>Last three COMPL dates</t>
  </si>
  <si>
    <t>SUBR("*GCAZ206","160DL3")</t>
  </si>
  <si>
    <t>TCOMPLDLAST3</t>
  </si>
  <si>
    <t>Reg. Date of COMPL reading</t>
  </si>
  <si>
    <t>COMPL</t>
  </si>
  <si>
    <t>SUBR("*GCAZ206","160G")</t>
  </si>
  <si>
    <t>TCOMPLDATEREG</t>
  </si>
  <si>
    <t>Date of COMPL reading</t>
  </si>
  <si>
    <t>SUBR("*GCAZ206","160D")</t>
  </si>
  <si>
    <t>TCOMPLDATE</t>
  </si>
  <si>
    <t>All COMPL Dates</t>
  </si>
  <si>
    <t>COMPLALL</t>
  </si>
  <si>
    <t>SUBR("*GCAZ206","160DA")</t>
  </si>
  <si>
    <t>TCOMPLDALL</t>
  </si>
  <si>
    <t>All COMPL Results</t>
  </si>
  <si>
    <t>SUBR("*GCAZ206","160RA")</t>
  </si>
  <si>
    <t>TCOMPLALL</t>
  </si>
  <si>
    <t>Locate COMPL Reading from Chemistry</t>
  </si>
  <si>
    <t>SUBR("*GCAI714",TREADINGNO,TREADVALUE,"160")</t>
  </si>
  <si>
    <t>TCOMPL</t>
  </si>
  <si>
    <t>Locate Comment Reading from Chemistry</t>
  </si>
  <si>
    <t>Comment</t>
  </si>
  <si>
    <t>SUBR("*GCAI714",TREADINGNO,TREADVALUE,"209")</t>
  </si>
  <si>
    <t>TCOMMENTXS</t>
  </si>
  <si>
    <t>Last three Comment results</t>
  </si>
  <si>
    <t>COMMENTLAST</t>
  </si>
  <si>
    <t>SUBR("*GCAZ206","209/6/L3")</t>
  </si>
  <si>
    <t>TCOMMENTLAST3</t>
  </si>
  <si>
    <t>Last three Comment dates</t>
  </si>
  <si>
    <t>SUBR("*GCAZ206","209DL3")</t>
  </si>
  <si>
    <t>TCOMMENTDLAST3</t>
  </si>
  <si>
    <t>Reg. Date of Comment reading</t>
  </si>
  <si>
    <t>SUBR("*GCAZ206","209G")</t>
  </si>
  <si>
    <t>TCOMMENTDATEREG</t>
  </si>
  <si>
    <t>Date of Comment reading</t>
  </si>
  <si>
    <t>SUBR("*GCAZ206","209D")</t>
  </si>
  <si>
    <t>TCOMMENTDATE</t>
  </si>
  <si>
    <t>All Comment Dates</t>
  </si>
  <si>
    <t>COMMENTALL</t>
  </si>
  <si>
    <t>SUBR("*GCAZ206","209DA")</t>
  </si>
  <si>
    <t>TCOMMENTDALL</t>
  </si>
  <si>
    <t>All Comment Results</t>
  </si>
  <si>
    <t>SUBR("*GCAZ206","209RA")</t>
  </si>
  <si>
    <t>TCOMMENTALL</t>
  </si>
  <si>
    <t>Last three COM results</t>
  </si>
  <si>
    <t>COMLAST3</t>
  </si>
  <si>
    <t>SUBR("*GCAZ206","125/6/L3")</t>
  </si>
  <si>
    <t>TCOMLAST3</t>
  </si>
  <si>
    <t>Last three COM dates</t>
  </si>
  <si>
    <t>SUBR("*GCAZ206","125DL3")</t>
  </si>
  <si>
    <t>TCOMDLAST3</t>
  </si>
  <si>
    <t>Reg. Date of COM reading</t>
  </si>
  <si>
    <t>COM</t>
  </si>
  <si>
    <t>SUBR("*GCAZ206","125G")</t>
  </si>
  <si>
    <t>TCOMDATEREG</t>
  </si>
  <si>
    <t>Date of COM reading</t>
  </si>
  <si>
    <t>SUBR("*GCAZ206","125D")</t>
  </si>
  <si>
    <t>TCOMDATE</t>
  </si>
  <si>
    <t>All COM Dates</t>
  </si>
  <si>
    <t>COMALL</t>
  </si>
  <si>
    <t>SUBR("*GCAZ206","125DA")</t>
  </si>
  <si>
    <t>TCOMDALL</t>
  </si>
  <si>
    <t>All COM Results</t>
  </si>
  <si>
    <t>SUBR("*GCAZ206","125RA")</t>
  </si>
  <si>
    <t>TCOMALL</t>
  </si>
  <si>
    <t>Locate COM Reading from Chemistry</t>
  </si>
  <si>
    <t>SUBR("*GCAI714",TREADINGNO,TREADVALUE,"125")</t>
  </si>
  <si>
    <t>TCOM</t>
  </si>
  <si>
    <t>Last three ColourStab results</t>
  </si>
  <si>
    <t>COLOURSTABL</t>
  </si>
  <si>
    <t>SUBR("*GCAZ206","98/6/L3")</t>
  </si>
  <si>
    <t>TCOLOURSTABLAST3</t>
  </si>
  <si>
    <t>Last three ColourStab dates</t>
  </si>
  <si>
    <t>SUBR("*GCAZ206","98DL3")</t>
  </si>
  <si>
    <t>TCOLOURSTABDLAST3</t>
  </si>
  <si>
    <t>Reg. Date of ColourStab reading</t>
  </si>
  <si>
    <t>ColourStab</t>
  </si>
  <si>
    <t>SUBR("*GCAZ206","98G")</t>
  </si>
  <si>
    <t>TCOLOURSTABDATEREG</t>
  </si>
  <si>
    <t>Date of ColourStab reading</t>
  </si>
  <si>
    <t>SUBR("*GCAZ206","98D")</t>
  </si>
  <si>
    <t>TCOLOURSTABDATE</t>
  </si>
  <si>
    <t>All ColourStab Dates</t>
  </si>
  <si>
    <t>COLOURSTABA</t>
  </si>
  <si>
    <t>SUBR("*GCAZ206","98DA")</t>
  </si>
  <si>
    <t>TCOLOURSTABDALL</t>
  </si>
  <si>
    <t>All ColourStab Results</t>
  </si>
  <si>
    <t>SUBR("*GCAZ206","98RA")</t>
  </si>
  <si>
    <t>TCOLOURSTABALL</t>
  </si>
  <si>
    <t>Locate ColourStab Reading from Chemistry</t>
  </si>
  <si>
    <t>SUBR("*GCAI714",TREADINGNO,TREADVALUE,"98")</t>
  </si>
  <si>
    <t>TCOLOURSTAB</t>
  </si>
  <si>
    <t>Last three Colour results</t>
  </si>
  <si>
    <t>COLOURLAST3</t>
  </si>
  <si>
    <t>TCOLOURLAST3</t>
  </si>
  <si>
    <t>Last three ColourHue results</t>
  </si>
  <si>
    <t>COLOURHUELA</t>
  </si>
  <si>
    <t>TCOLOURHUELAST3</t>
  </si>
  <si>
    <t>Last three ColourHue dates</t>
  </si>
  <si>
    <t>TCOLOURHUEDLAST3</t>
  </si>
  <si>
    <t>Reg. Date of ColourHue reading</t>
  </si>
  <si>
    <t>ColourHue</t>
  </si>
  <si>
    <t>SUBR("*GCAZ206","164G")</t>
  </si>
  <si>
    <t>TCOLOURHUEDATEREG</t>
  </si>
  <si>
    <t>Date of ColourHue reading</t>
  </si>
  <si>
    <t>SUBR("*GCAZ206","164D")</t>
  </si>
  <si>
    <t>TCOLOURHUEDATE</t>
  </si>
  <si>
    <t>All ColourHue Dates</t>
  </si>
  <si>
    <t>COLOURHUEAL</t>
  </si>
  <si>
    <t>TCOLOURHUEDALL</t>
  </si>
  <si>
    <t>All ColourHue Results</t>
  </si>
  <si>
    <t>TCOLOURHUEALL</t>
  </si>
  <si>
    <t>Locate ColourHue Reading from Chemistry</t>
  </si>
  <si>
    <t>SUBR("*GCAI714",TREADINGNO,TREADVALUE,"164")</t>
  </si>
  <si>
    <t>TCOLOURHUE</t>
  </si>
  <si>
    <t>Last three Colour dates</t>
  </si>
  <si>
    <t>TCOLOURDLAST3</t>
  </si>
  <si>
    <t>Last three ColourDens results</t>
  </si>
  <si>
    <t>COLOURDENSL</t>
  </si>
  <si>
    <t>TCOLOURDENSLAST3</t>
  </si>
  <si>
    <t>Last three ColourDens dates</t>
  </si>
  <si>
    <t>TCOLOURDENSDLAST3</t>
  </si>
  <si>
    <t>Reg. Date of ColourDens reading</t>
  </si>
  <si>
    <t>ColourDens</t>
  </si>
  <si>
    <t>SUBR("*GCAZ206","165G")</t>
  </si>
  <si>
    <t>TCOLOURDENSDATEREG</t>
  </si>
  <si>
    <t>Date of ColourDens reading</t>
  </si>
  <si>
    <t>SUBR("*GCAZ206","165D")</t>
  </si>
  <si>
    <t>TCOLOURDENSDATE</t>
  </si>
  <si>
    <t>All ColourDens Dates</t>
  </si>
  <si>
    <t>COLOURDENSA</t>
  </si>
  <si>
    <t>TCOLOURDENSDALL</t>
  </si>
  <si>
    <t>All ColourDens Results</t>
  </si>
  <si>
    <t>TCOLOURDENSALL</t>
  </si>
  <si>
    <t>Locate ColourDens Reading from Chemistry</t>
  </si>
  <si>
    <t>SUBR("*GCAI714",TREADINGNO,TREADVALUE,"165")</t>
  </si>
  <si>
    <t>TCOLOURDENS</t>
  </si>
  <si>
    <t>Reg. Date of Colour reading</t>
  </si>
  <si>
    <t>Colour</t>
  </si>
  <si>
    <t>TCOLOURDATEREG</t>
  </si>
  <si>
    <t>Date of Colour reading</t>
  </si>
  <si>
    <t>TCOLOURDATE</t>
  </si>
  <si>
    <t>All Colour Dates</t>
  </si>
  <si>
    <t>COLOURALL</t>
  </si>
  <si>
    <t>TCOLOURDALL</t>
  </si>
  <si>
    <t>All Colour Results</t>
  </si>
  <si>
    <t>TCOLOURALL</t>
  </si>
  <si>
    <t>Locate Colour Reading from Chemistry</t>
  </si>
  <si>
    <t>TCOLOUR</t>
  </si>
  <si>
    <t>Last three COLIFM results</t>
  </si>
  <si>
    <t>COLIFMLAST3</t>
  </si>
  <si>
    <t>SUBR("*GCAZ206","138/6/L3")</t>
  </si>
  <si>
    <t>TCOLIFMLAST3</t>
  </si>
  <si>
    <t>Last three COLIFM dates</t>
  </si>
  <si>
    <t>SUBR("*GCAZ206","138DL3")</t>
  </si>
  <si>
    <t>TCOLIFMDLAST3</t>
  </si>
  <si>
    <t>Reg. Date of COLIFM reading</t>
  </si>
  <si>
    <t>COLIFM</t>
  </si>
  <si>
    <t>SUBR("*GCAZ206","138G")</t>
  </si>
  <si>
    <t>TCOLIFMDATEREG</t>
  </si>
  <si>
    <t>Date of COLIFM reading</t>
  </si>
  <si>
    <t>SUBR("*GCAZ206","138D")</t>
  </si>
  <si>
    <t>TCOLIFMDATE</t>
  </si>
  <si>
    <t>All COLIFM Dates</t>
  </si>
  <si>
    <t>COLIFMALL</t>
  </si>
  <si>
    <t>SUBR("*GCAZ206","138DA")</t>
  </si>
  <si>
    <t>TCOLIFMDALL</t>
  </si>
  <si>
    <t>All COLIFM Results</t>
  </si>
  <si>
    <t>SUBR("*GCAZ206","138RA")</t>
  </si>
  <si>
    <t>TCOLIFMALL</t>
  </si>
  <si>
    <t>Locate COLIFM Reading from Chemistry</t>
  </si>
  <si>
    <t>SUBR("*GCAI714",TREADINGNO,TREADVALUE,"138")</t>
  </si>
  <si>
    <t>TCOLIFM</t>
  </si>
  <si>
    <t>Last three Cold/V results</t>
  </si>
  <si>
    <t>COLDVLAST3</t>
  </si>
  <si>
    <t>SUBR("*GCAZ206","129/6/L3")</t>
  </si>
  <si>
    <t>TCOLDVLAST3</t>
  </si>
  <si>
    <t>Last three Cold/V dates</t>
  </si>
  <si>
    <t>SUBR("*GCAZ206","129DL3")</t>
  </si>
  <si>
    <t>TCOLDVDLAST3</t>
  </si>
  <si>
    <t>Reg. Date of Cold/V reading</t>
  </si>
  <si>
    <t>Cold/V</t>
  </si>
  <si>
    <t>SUBR("*GCAZ206","129G")</t>
  </si>
  <si>
    <t>TCOLDVDATEREG</t>
  </si>
  <si>
    <t>Date of Cold/V reading</t>
  </si>
  <si>
    <t>SUBR("*GCAZ206","129D")</t>
  </si>
  <si>
    <t>TCOLDVDATE</t>
  </si>
  <si>
    <t>All Cold/V Dates</t>
  </si>
  <si>
    <t>COLDVALL</t>
  </si>
  <si>
    <t>SUBR("*GCAZ206","129DA")</t>
  </si>
  <si>
    <t>TCOLDVDALL</t>
  </si>
  <si>
    <t>All Cold/V Results</t>
  </si>
  <si>
    <t>SUBR("*GCAZ206","129RA")</t>
  </si>
  <si>
    <t>TCOLDVALL</t>
  </si>
  <si>
    <t>Locate Cold/V Reading from Chemistry</t>
  </si>
  <si>
    <t>SUBR("*GCAI714",TREADINGNO,TREADVALUE,"129")</t>
  </si>
  <si>
    <t>TCOLDV</t>
  </si>
  <si>
    <t>Last three Cold/T results</t>
  </si>
  <si>
    <t>COLDTLAST3</t>
  </si>
  <si>
    <t>SUBR("*GCAZ206","128/6/L3")</t>
  </si>
  <si>
    <t>TCOLDTLAST3</t>
  </si>
  <si>
    <t>Last three Cold/T dates</t>
  </si>
  <si>
    <t>SUBR("*GCAZ206","128DL3")</t>
  </si>
  <si>
    <t>TCOLDTDLAST3</t>
  </si>
  <si>
    <t>Reg. Date of Cold/T reading</t>
  </si>
  <si>
    <t>Cold/T</t>
  </si>
  <si>
    <t>SUBR("*GCAZ206","128G")</t>
  </si>
  <si>
    <t>TCOLDTDATEREG</t>
  </si>
  <si>
    <t>Date of Cold/T reading</t>
  </si>
  <si>
    <t>SUBR("*GCAZ206","128D")</t>
  </si>
  <si>
    <t>TCOLDTDATE</t>
  </si>
  <si>
    <t>All Cold/T Dates</t>
  </si>
  <si>
    <t>COLDTALL</t>
  </si>
  <si>
    <t>SUBR("*GCAZ206","128DA")</t>
  </si>
  <si>
    <t>TCOLDTDALL</t>
  </si>
  <si>
    <t>All Cold/T Results</t>
  </si>
  <si>
    <t>SUBR("*GCAZ206","128RA")</t>
  </si>
  <si>
    <t>TCOLDTALL</t>
  </si>
  <si>
    <t>Locate Cold/T Reading from Chemistry</t>
  </si>
  <si>
    <t>SUBR("*GCAI714",TREADINGNO,TREADVALUE,"128")</t>
  </si>
  <si>
    <t>TCOLDT</t>
  </si>
  <si>
    <t>Last three Cold results</t>
  </si>
  <si>
    <t>COLDLAST3</t>
  </si>
  <si>
    <t>SUBR("*GCAZ206","32/6/L3")</t>
  </si>
  <si>
    <t>TCOLDLAST3</t>
  </si>
  <si>
    <t>Last three Colden results</t>
  </si>
  <si>
    <t>COLDENLAST3</t>
  </si>
  <si>
    <t>SUBR("*GCAZ206","50/6/L3")</t>
  </si>
  <si>
    <t>TCOLDENLAST3</t>
  </si>
  <si>
    <t>Last three Colden dates</t>
  </si>
  <si>
    <t>SUBR("*GCAZ206","50DL3")</t>
  </si>
  <si>
    <t>TCOLDENDLAST3</t>
  </si>
  <si>
    <t>Reg. Date of Colden reading</t>
  </si>
  <si>
    <t>Colden</t>
  </si>
  <si>
    <t>SUBR("*GCAZ206","50G")</t>
  </si>
  <si>
    <t>TCOLDENDATEREG</t>
  </si>
  <si>
    <t>Date of Colden reading</t>
  </si>
  <si>
    <t>SUBR("*GCAZ206","50D")</t>
  </si>
  <si>
    <t>TCOLDENDATE</t>
  </si>
  <si>
    <t>All Colden Dates</t>
  </si>
  <si>
    <t>COLDENALL</t>
  </si>
  <si>
    <t>SUBR("*GCAZ206","50DA")</t>
  </si>
  <si>
    <t>TCOLDENDALL</t>
  </si>
  <si>
    <t>All Colden Results</t>
  </si>
  <si>
    <t>SUBR("*GCAZ206","50RA")</t>
  </si>
  <si>
    <t>TCOLDENALL</t>
  </si>
  <si>
    <t>Locate Colden Reading from Chemistry</t>
  </si>
  <si>
    <t>SUBR("*GCAI714",TREADINGNO,TREADVALUE,"50")</t>
  </si>
  <si>
    <t>TCOLDEN</t>
  </si>
  <si>
    <t>Last three Cold dates</t>
  </si>
  <si>
    <t>SUBR("*GCAZ206","32DL3")</t>
  </si>
  <si>
    <t>TCOLDDLAST3</t>
  </si>
  <si>
    <t>Reg. Date of Cold reading</t>
  </si>
  <si>
    <t>Cold</t>
  </si>
  <si>
    <t>SUBR("*GCAZ206","32G")</t>
  </si>
  <si>
    <t>TCOLDDATEREG</t>
  </si>
  <si>
    <t>Date of Cold reading</t>
  </si>
  <si>
    <t>SUBR("*GCAZ206","32D")</t>
  </si>
  <si>
    <t>TCOLDDATE</t>
  </si>
  <si>
    <t>All Cold Dates</t>
  </si>
  <si>
    <t>COLDALL</t>
  </si>
  <si>
    <t>SUBR("*GCAZ206","32DA")</t>
  </si>
  <si>
    <t>TCOLDDALL</t>
  </si>
  <si>
    <t>All Cold Results</t>
  </si>
  <si>
    <t>SUBR("*GCAZ206","32RA")</t>
  </si>
  <si>
    <t>TCOLDALL</t>
  </si>
  <si>
    <t>Locate Cold Reading from Chemistry</t>
  </si>
  <si>
    <t>SUBR("*GCAI714",TREADINGNO,TREADVALUE,"32")</t>
  </si>
  <si>
    <t>TCOLD</t>
  </si>
  <si>
    <t>Last three COL580 results</t>
  </si>
  <si>
    <t>COL580LAST3</t>
  </si>
  <si>
    <t>SUBR("*GCAZ206","101/6/L3")</t>
  </si>
  <si>
    <t>TCOL580LAST3</t>
  </si>
  <si>
    <t>Last three COL580 dates</t>
  </si>
  <si>
    <t>SUBR("*GCAZ206","101DL3")</t>
  </si>
  <si>
    <t>TCOL580DLAST3</t>
  </si>
  <si>
    <t>Reg. Date of COL580 reading</t>
  </si>
  <si>
    <t>COL580</t>
  </si>
  <si>
    <t>SUBR("*GCAZ206","101G")</t>
  </si>
  <si>
    <t>TCOL580DATEREG</t>
  </si>
  <si>
    <t>Date of COL580 reading</t>
  </si>
  <si>
    <t>SUBR("*GCAZ206","101D")</t>
  </si>
  <si>
    <t>TCOL580DATE</t>
  </si>
  <si>
    <t>All COL580 Dates</t>
  </si>
  <si>
    <t>COL580ALL</t>
  </si>
  <si>
    <t>SUBR("*GCAZ206","101DA")</t>
  </si>
  <si>
    <t>TCOL580DALL</t>
  </si>
  <si>
    <t>All COL580 Results</t>
  </si>
  <si>
    <t>SUBR("*GCAZ206","101RA")</t>
  </si>
  <si>
    <t>TCOL580ALL</t>
  </si>
  <si>
    <t>Locate COL580 Reading from Chemistry</t>
  </si>
  <si>
    <t>SUBR("*GCAI714",TREADINGNO,TREADVALUE,"101")</t>
  </si>
  <si>
    <t>TCOL580</t>
  </si>
  <si>
    <t>Last three COL460 results</t>
  </si>
  <si>
    <t>COL460LAST3</t>
  </si>
  <si>
    <t>SUBR("*GCAZ206","100/6/L3")</t>
  </si>
  <si>
    <t>TCOL460LAST3</t>
  </si>
  <si>
    <t>Last three COL460 dates</t>
  </si>
  <si>
    <t>SUBR("*GCAZ206","100DL3")</t>
  </si>
  <si>
    <t>TCOL460DLAST3</t>
  </si>
  <si>
    <t>Reg. Date of COL460 reading</t>
  </si>
  <si>
    <t>COL460</t>
  </si>
  <si>
    <t>SUBR("*GCAZ206","100G")</t>
  </si>
  <si>
    <t>TCOL460DATEREG</t>
  </si>
  <si>
    <t>Date of COL460 reading</t>
  </si>
  <si>
    <t>SUBR("*GCAZ206","100D")</t>
  </si>
  <si>
    <t>TCOL460DATE</t>
  </si>
  <si>
    <t>All COL460 Dates</t>
  </si>
  <si>
    <t>COL460ALL</t>
  </si>
  <si>
    <t>SUBR("*GCAZ206","100DA")</t>
  </si>
  <si>
    <t>TCOL460DALL</t>
  </si>
  <si>
    <t>All COL460 Results</t>
  </si>
  <si>
    <t>SUBR("*GCAZ206","100RA")</t>
  </si>
  <si>
    <t>TCOL460ALL</t>
  </si>
  <si>
    <t>Locate COL460 Reading from Chemistry</t>
  </si>
  <si>
    <t>SUBR("*GCAI714",TREADINGNO,TREADVALUE,"100")</t>
  </si>
  <si>
    <t>TCOL460</t>
  </si>
  <si>
    <t>Date of CO2 reading</t>
  </si>
  <si>
    <t>CO2</t>
  </si>
  <si>
    <t>SUBR(SUBR.PENBW:'PBWZ206','72D')</t>
  </si>
  <si>
    <t>TCO2DATE</t>
  </si>
  <si>
    <t>Locate CO2 Reading from Chemistry</t>
  </si>
  <si>
    <t>SUBR("*PBWI714",TREADINGNO,TREADVALUE,"72")</t>
  </si>
  <si>
    <t>TCO2</t>
  </si>
  <si>
    <t>Last Chit</t>
  </si>
  <si>
    <t>TCNOTE[1,5]</t>
  </si>
  <si>
    <t>TCNOTE5</t>
  </si>
  <si>
    <t>TCNOTE[1,3]</t>
  </si>
  <si>
    <t>TCNOTE3</t>
  </si>
  <si>
    <t>Operations Code - DO NOT PROMOTE TO PROD</t>
  </si>
  <si>
    <t>Op Code</t>
  </si>
  <si>
    <t>TRANS(OPSMOVE,TCNOTE,MOPCD,'X') ; IF @1 = '' THEN TRANS(OPSMOVE,TCNOTE,MOPCD,'X')</t>
  </si>
  <si>
    <t>TCNOTE.MOPCD</t>
  </si>
  <si>
    <t>Addition completion date if TCNOTE is an addition</t>
  </si>
  <si>
    <t>Addtn</t>
  </si>
  <si>
    <t>SUBR(SUBR.PENBW:'PBWI1051',TCNOTE,1,29,'')</t>
  </si>
  <si>
    <t>TCNOTE.MEDATE</t>
  </si>
  <si>
    <t>Time of actual action of the cellar note - sub valued in line with TCNOTE</t>
  </si>
  <si>
    <t>Actual</t>
  </si>
  <si>
    <t>TRANS(BW.STD.CST.OPS,TCNOTE,MATIME,'X') ; IF @1 = '' THEN</t>
  </si>
  <si>
    <t>TCNOTE.MATIME</t>
  </si>
  <si>
    <t>Date of actual action of the cellar note - sub valued in line with TCNOTE</t>
  </si>
  <si>
    <t>TRANS(BW.STD.CST.OPS,TCNOTE,MADATE,'X') ; IF @1 = '' THEN</t>
  </si>
  <si>
    <t>TCNOTE.MADATE.UNCONV</t>
  </si>
  <si>
    <t>TCNOTE.MADATE</t>
  </si>
  <si>
    <t>Addition UOM if TCNOTE is an addition.</t>
  </si>
  <si>
    <t>SUBR(SUBR.PENBW:'PBWI1051',TCNOTE,1,125,'')</t>
  </si>
  <si>
    <t>TCNOTE.AUOMEAS</t>
  </si>
  <si>
    <t>Addition UOM if TCNOTE is an addition</t>
  </si>
  <si>
    <t>SUBR(SUBR.PENBW:'PBWI1051',TCNOTE,1,8,'' )</t>
  </si>
  <si>
    <t>TCNOTE.ADDUOM</t>
  </si>
  <si>
    <t>Addition tank if TCNOTE is an addition. Passes att 6 of OPSMOVE (Add</t>
  </si>
  <si>
    <t>SUBR(SUBR.PENBW:'PBWI1051',TCNOTE,1,11,6 )</t>
  </si>
  <si>
    <t>TCNOTE.ADDTANK</t>
  </si>
  <si>
    <t>Addition Rate if TCNOTE is an addition.</t>
  </si>
  <si>
    <t>SUBR(SUBR.PENBW:'PBWI1051',TCNOTE,1,124,'')</t>
  </si>
  <si>
    <t>TCNOTE.ADDRATE</t>
  </si>
  <si>
    <t>Addition quantity date if TCNOTE is an addition</t>
  </si>
  <si>
    <t>SUBR(SUBR.PENBW:'PBWI1051',TCNOTE,1,7,'')</t>
  </si>
  <si>
    <t>TCNOTE.ADDQTY</t>
  </si>
  <si>
    <t>Addition note if TCNOTE is an addition. Passes att 6 of OPSMOVE (Add</t>
  </si>
  <si>
    <t>SUBR(SUBR.PENBW:'PBWI1051',TCNOTE,1,0,6 )</t>
  </si>
  <si>
    <t>TCNOTE.ADDNOTE</t>
  </si>
  <si>
    <t>Addition description if TCNOTE is an addition</t>
  </si>
  <si>
    <t>SUBR(SUBR.PENBW:'PBWI1051',TCNOTE,1,34,'')</t>
  </si>
  <si>
    <t>TCNOTE.ADDDESC</t>
  </si>
  <si>
    <t>Addition code if TCNOTE is an addition</t>
  </si>
  <si>
    <t>SUBR(SUBR.PENBW:'PBWI1051',TCNOTE,1,6,'')</t>
  </si>
  <si>
    <t>TCNOTE.ADDCD</t>
  </si>
  <si>
    <t>Addition batch if TCNOTE is an addition. Passes att 6 of OPSMOVE</t>
  </si>
  <si>
    <t>SUBR(SUBR.PENBW:'PBWI1051',TCNOTE,1,55,6 )</t>
  </si>
  <si>
    <t>TCNOTE.ADDBATCH</t>
  </si>
  <si>
    <t>Last three Cn results</t>
  </si>
  <si>
    <t>CNLAST3</t>
  </si>
  <si>
    <t>SUBR("*GCAZ206","95/6/L3")</t>
  </si>
  <si>
    <t>TCNLAST3</t>
  </si>
  <si>
    <t>Last three Cn dates</t>
  </si>
  <si>
    <t>SUBR("*GCAZ206","95DL3")</t>
  </si>
  <si>
    <t>TCNDLAST3</t>
  </si>
  <si>
    <t>Reg. Date of Cn reading</t>
  </si>
  <si>
    <t>Cn</t>
  </si>
  <si>
    <t>SUBR("*GCAZ206","95G")</t>
  </si>
  <si>
    <t>TCNDATEREG</t>
  </si>
  <si>
    <t>Date of Cn reading</t>
  </si>
  <si>
    <t>SUBR("*GCAZ206","95D")</t>
  </si>
  <si>
    <t>TCNDATE</t>
  </si>
  <si>
    <t>All Cn Dates</t>
  </si>
  <si>
    <t>CNALL</t>
  </si>
  <si>
    <t>SUBR("*GCAZ206","95DA")</t>
  </si>
  <si>
    <t>TCNDALL</t>
  </si>
  <si>
    <t>All Cn Results</t>
  </si>
  <si>
    <t>SUBR("*GCAZ206","95RA")</t>
  </si>
  <si>
    <t>TCNALL</t>
  </si>
  <si>
    <t>Locate Cn Reading from Chemistry</t>
  </si>
  <si>
    <t>SUBR("*GCAI714",TREADINGNO,TREADVALUE,"95")</t>
  </si>
  <si>
    <t>TCN</t>
  </si>
  <si>
    <t>Last three Clty results</t>
  </si>
  <si>
    <t>CLTYLAST3</t>
  </si>
  <si>
    <t>SUBR("*GCAZ206","14/6/L3")</t>
  </si>
  <si>
    <t>TCLTYLAST3</t>
  </si>
  <si>
    <t>Last three Clty dates</t>
  </si>
  <si>
    <t>SUBR("*GCAZ206","14DL3")</t>
  </si>
  <si>
    <t>TCLTYDLAST3</t>
  </si>
  <si>
    <t>Reg. Date of Clty reading</t>
  </si>
  <si>
    <t>Clty</t>
  </si>
  <si>
    <t>SUBR("*GCAZ206","14G")</t>
  </si>
  <si>
    <t>TCLTYDATEREG</t>
  </si>
  <si>
    <t>Date of Clty reading</t>
  </si>
  <si>
    <t>SUBR("*GCAZ206","14D")</t>
  </si>
  <si>
    <t>TCLTYDATE</t>
  </si>
  <si>
    <t>All Clty Dates</t>
  </si>
  <si>
    <t>CLTYALL</t>
  </si>
  <si>
    <t>SUBR("*GCAZ206","14DA")</t>
  </si>
  <si>
    <t>TCLTYDALL</t>
  </si>
  <si>
    <t>All Clty Results</t>
  </si>
  <si>
    <t>SUBR("*GCAZ206","14RA")</t>
  </si>
  <si>
    <t>TCLTYALL</t>
  </si>
  <si>
    <t>Locate Clty Reading from Chemistry</t>
  </si>
  <si>
    <t>SUBR("*GCAI714",TREADINGNO,TREADVALUE,"14")</t>
  </si>
  <si>
    <t>TCLTY</t>
  </si>
  <si>
    <t>Last three CL results</t>
  </si>
  <si>
    <t>CLLAST3</t>
  </si>
  <si>
    <t>SUBR("*GCAZ206","115/6/L3")</t>
  </si>
  <si>
    <t>TCLLAST3</t>
  </si>
  <si>
    <t>Last three Clini results</t>
  </si>
  <si>
    <t>CLINILAST3</t>
  </si>
  <si>
    <t>SUBR("*GCAZ206","77/6/L3")</t>
  </si>
  <si>
    <t>TCLINILAST3</t>
  </si>
  <si>
    <t>Last three Clini dates</t>
  </si>
  <si>
    <t>SUBR("*GCAZ206","77DL3")</t>
  </si>
  <si>
    <t>TCLINIDLAST3</t>
  </si>
  <si>
    <t>Reg. Date of Clini reading</t>
  </si>
  <si>
    <t>Clini</t>
  </si>
  <si>
    <t>SUBR("*GCAZ206","77G")</t>
  </si>
  <si>
    <t>TCLINIDATEREG</t>
  </si>
  <si>
    <t>Date of Clini reading</t>
  </si>
  <si>
    <t>SUBR("*GCAZ206","77D")</t>
  </si>
  <si>
    <t>TCLINIDATE</t>
  </si>
  <si>
    <t>All Clini Dates</t>
  </si>
  <si>
    <t>CLINIALL</t>
  </si>
  <si>
    <t>SUBR("*GCAZ206","77DA")</t>
  </si>
  <si>
    <t>TCLINIDALL</t>
  </si>
  <si>
    <t>All Clini Results</t>
  </si>
  <si>
    <t>SUBR("*GCAZ206","77RA")</t>
  </si>
  <si>
    <t>TCLINIALL</t>
  </si>
  <si>
    <t>Locate Clini Reading from Chemistry</t>
  </si>
  <si>
    <t>SUBR("*GCAI714",TREADINGNO,TREADVALUE,"77")</t>
  </si>
  <si>
    <t>TCLINI</t>
  </si>
  <si>
    <t>Last three CL dates</t>
  </si>
  <si>
    <t>SUBR("*GCAZ206","115DL3")</t>
  </si>
  <si>
    <t>TCLDLAST3</t>
  </si>
  <si>
    <t>Reg. Date of CL reading</t>
  </si>
  <si>
    <t>CL</t>
  </si>
  <si>
    <t>SUBR("*GCAZ206","115G")</t>
  </si>
  <si>
    <t>TCLDATEREG</t>
  </si>
  <si>
    <t>Date of CL reading</t>
  </si>
  <si>
    <t>SUBR("*GCAZ206","115D")</t>
  </si>
  <si>
    <t>TCLDATE</t>
  </si>
  <si>
    <t>All CL Dates</t>
  </si>
  <si>
    <t>CLALL</t>
  </si>
  <si>
    <t>SUBR("*GCAZ206","115DA")</t>
  </si>
  <si>
    <t>TCLDALL</t>
  </si>
  <si>
    <t>All CL Results</t>
  </si>
  <si>
    <t>SUBR("*GCAZ206","115RA")</t>
  </si>
  <si>
    <t>TCLALL</t>
  </si>
  <si>
    <t>Locate CL Reading from Chemistry</t>
  </si>
  <si>
    <t>SUBR("*GCAI714",TREADINGNO,TREADVALUE,"115")</t>
  </si>
  <si>
    <t>TCL</t>
  </si>
  <si>
    <t>Last three CITRIC results</t>
  </si>
  <si>
    <t>CITRICLAST3</t>
  </si>
  <si>
    <t>SUBR("*GCAZ206","117/6/L3")</t>
  </si>
  <si>
    <t>TCITRICLAST3</t>
  </si>
  <si>
    <t>Last three CITRIC dates</t>
  </si>
  <si>
    <t>SUBR("*GCAZ206","117DL3")</t>
  </si>
  <si>
    <t>TCITRICDLAST3</t>
  </si>
  <si>
    <t>Reg. Date of CITRIC reading</t>
  </si>
  <si>
    <t>CITRIC</t>
  </si>
  <si>
    <t>SUBR("*GCAZ206","117G")</t>
  </si>
  <si>
    <t>TCITRICDATEREG</t>
  </si>
  <si>
    <t>Date of CITRIC reading</t>
  </si>
  <si>
    <t>SUBR("*GCAZ206","117D")</t>
  </si>
  <si>
    <t>TCITRICDATE</t>
  </si>
  <si>
    <t>All CITRIC Dates</t>
  </si>
  <si>
    <t>CITRICALL</t>
  </si>
  <si>
    <t>SUBR("*GCAZ206","117DA")</t>
  </si>
  <si>
    <t>TCITRICDALL</t>
  </si>
  <si>
    <t>All CITRIC Results</t>
  </si>
  <si>
    <t>SUBR("*GCAZ206","117RA")</t>
  </si>
  <si>
    <t>TCITRICALL</t>
  </si>
  <si>
    <t>Locate CITRIC Reading from Chemistry</t>
  </si>
  <si>
    <t>SUBR("*GCAI714",TREADINGNO,TREADVALUE,"117")</t>
  </si>
  <si>
    <t>TCITRIC</t>
  </si>
  <si>
    <t>Last three Citrat results</t>
  </si>
  <si>
    <t>CITRATLAST3</t>
  </si>
  <si>
    <t>SUBR("*GCAZ206","46/6/L3")</t>
  </si>
  <si>
    <t>TCITRATLAST3</t>
  </si>
  <si>
    <t>Last three Citrat dates</t>
  </si>
  <si>
    <t>SUBR("*GCAZ206","46DL3")</t>
  </si>
  <si>
    <t>TCITRATDLAST3</t>
  </si>
  <si>
    <t>Reg. Date of Citrat reading</t>
  </si>
  <si>
    <t>Citrat</t>
  </si>
  <si>
    <t>SUBR("*GCAZ206","46G")</t>
  </si>
  <si>
    <t>TCITRATDATEREG</t>
  </si>
  <si>
    <t>Date of Citrat reading</t>
  </si>
  <si>
    <t>SUBR("*GCAZ206","46D")</t>
  </si>
  <si>
    <t>TCITRATDATE</t>
  </si>
  <si>
    <t>All Citrat Dates</t>
  </si>
  <si>
    <t>CITRATALL</t>
  </si>
  <si>
    <t>SUBR("*GCAZ206","46DA")</t>
  </si>
  <si>
    <t>TCITRATDALL</t>
  </si>
  <si>
    <t>All Citrat Results</t>
  </si>
  <si>
    <t>SUBR("*GCAZ206","46RA")</t>
  </si>
  <si>
    <t>TCITRATALL</t>
  </si>
  <si>
    <t>Locate Citrat Reading from Chemistry</t>
  </si>
  <si>
    <t>SUBR("*GCAI714",TREADINGNO,TREADVALUE,"46")</t>
  </si>
  <si>
    <t>TCITRAT</t>
  </si>
  <si>
    <t>DCOUNT(TCHEMNO,@VM)</t>
  </si>
  <si>
    <t>TCHEMNO.CNT</t>
  </si>
  <si>
    <t>Last three ChemII results</t>
  </si>
  <si>
    <t>CHEMIILAST3</t>
  </si>
  <si>
    <t>SUBR("*GCAZ206","55/6/L3")</t>
  </si>
  <si>
    <t>TCHEMIILAST3</t>
  </si>
  <si>
    <t>Last three ChemII dates</t>
  </si>
  <si>
    <t>SUBR("*GCAZ206","55DL3")</t>
  </si>
  <si>
    <t>TCHEMIIDLAST3</t>
  </si>
  <si>
    <t>Reg. Date of ChemII reading</t>
  </si>
  <si>
    <t>ChemII</t>
  </si>
  <si>
    <t>SUBR("*GCAZ206","55G")</t>
  </si>
  <si>
    <t>TCHEMIIDATEREG</t>
  </si>
  <si>
    <t>Date of ChemII reading</t>
  </si>
  <si>
    <t>SUBR("*GCAZ206","55D")</t>
  </si>
  <si>
    <t>TCHEMIIDATE</t>
  </si>
  <si>
    <t>All ChemII Dates</t>
  </si>
  <si>
    <t>CHEMIIALL</t>
  </si>
  <si>
    <t>SUBR("*GCAZ206","55DA")</t>
  </si>
  <si>
    <t>TCHEMIIDALL</t>
  </si>
  <si>
    <t>All ChemII Results</t>
  </si>
  <si>
    <t>SUBR("*GCAZ206","55RA")</t>
  </si>
  <si>
    <t>TCHEMIIALL</t>
  </si>
  <si>
    <t>Locate ChemII Reading from Chemistry</t>
  </si>
  <si>
    <t>SUBR("*GCAI714",TREADINGNO,TREADVALUE,"55")</t>
  </si>
  <si>
    <t>TCHEMII</t>
  </si>
  <si>
    <t>Last three Chem I results</t>
  </si>
  <si>
    <t>CHEM.ILAST3</t>
  </si>
  <si>
    <t>SUBR("*GCAZ206","54/6/L3")</t>
  </si>
  <si>
    <t>TCHEM.ILAST3</t>
  </si>
  <si>
    <t>Last three Chem I dates</t>
  </si>
  <si>
    <t>SUBR("*GCAZ206","54DL3")</t>
  </si>
  <si>
    <t>TCHEM.IDLAST3</t>
  </si>
  <si>
    <t>Reg. Date of Chem I reading</t>
  </si>
  <si>
    <t>Chem I</t>
  </si>
  <si>
    <t>SUBR("*GCAZ206","54G")</t>
  </si>
  <si>
    <t>TCHEM.IDATEREG</t>
  </si>
  <si>
    <t>Date of Chem I reading</t>
  </si>
  <si>
    <t>SUBR("*GCAZ206","54D")</t>
  </si>
  <si>
    <t>TCHEM.IDATE</t>
  </si>
  <si>
    <t>All Chem I Dates</t>
  </si>
  <si>
    <t>CHEM.IALL</t>
  </si>
  <si>
    <t>SUBR("*GCAZ206","54DA")</t>
  </si>
  <si>
    <t>TCHEM.IDALL</t>
  </si>
  <si>
    <t>All Chem I Results</t>
  </si>
  <si>
    <t>SUBR("*GCAZ206","54RA")</t>
  </si>
  <si>
    <t>TCHEM.IALL</t>
  </si>
  <si>
    <t>Locate Chem I Reading from Chemistry</t>
  </si>
  <si>
    <t>SUBR("*GCAI714",TREADINGNO,TREADVALUE,"54")</t>
  </si>
  <si>
    <t>TCHEM.I</t>
  </si>
  <si>
    <t>Tank last chemistry test time</t>
  </si>
  <si>
    <t>TRANS(CHEM,TCHEMNO,CTIME,'X')</t>
  </si>
  <si>
    <t>TCHEM.CTIME</t>
  </si>
  <si>
    <t>Tank last chemistry test date</t>
  </si>
  <si>
    <t>TRANS(CHEM,TCHEMNO,CDATE,'X')</t>
  </si>
  <si>
    <t>TCHEM.CDATE</t>
  </si>
  <si>
    <t>Last three CHEESF results</t>
  </si>
  <si>
    <t>CHEESFLAST3</t>
  </si>
  <si>
    <t>SUBR("*GCAZ206","145/6/L3")</t>
  </si>
  <si>
    <t>TCHEESFLAST3</t>
  </si>
  <si>
    <t>Last three CHEESF dates</t>
  </si>
  <si>
    <t>SUBR("*GCAZ206","145DL3")</t>
  </si>
  <si>
    <t>TCHEESFDLAST3</t>
  </si>
  <si>
    <t>Reg. Date of CHEESF reading</t>
  </si>
  <si>
    <t>CHEESF</t>
  </si>
  <si>
    <t>SUBR("*GCAZ206","145G")</t>
  </si>
  <si>
    <t>TCHEESFDATEREG</t>
  </si>
  <si>
    <t>Date of CHEESF reading</t>
  </si>
  <si>
    <t>SUBR("*GCAZ206","145D")</t>
  </si>
  <si>
    <t>TCHEESFDATE</t>
  </si>
  <si>
    <t>All CHEESF Dates</t>
  </si>
  <si>
    <t>CHEESFALL</t>
  </si>
  <si>
    <t>SUBR("*GCAZ206","145DA")</t>
  </si>
  <si>
    <t>TCHEESFDALL</t>
  </si>
  <si>
    <t>All CHEESF Results</t>
  </si>
  <si>
    <t>SUBR("*GCAZ206","145RA")</t>
  </si>
  <si>
    <t>TCHEESFALL</t>
  </si>
  <si>
    <t>Locate CHEESF Reading from Chemistry</t>
  </si>
  <si>
    <t>SUBR("*GCAI714",TREADINGNO,TREADVALUE,"145")</t>
  </si>
  <si>
    <t>TCHEESF</t>
  </si>
  <si>
    <t>Latest chem date of reading</t>
  </si>
  <si>
    <t>17R</t>
  </si>
  <si>
    <t>Test Date</t>
  </si>
  <si>
    <t>OCONV(TRANS(CHEM,TCHEMNO,CDATE,'X'),'D2/'):'</t>
  </si>
  <si>
    <t>TCH.DATETIME</t>
  </si>
  <si>
    <t>TCH.CDATE</t>
  </si>
  <si>
    <t>Last three CAT results</t>
  </si>
  <si>
    <t>CATLAST3</t>
  </si>
  <si>
    <t>SUBR("*GCAZ206","112/6/L3")</t>
  </si>
  <si>
    <t>TCATLAST3</t>
  </si>
  <si>
    <t>Last three CAT dates</t>
  </si>
  <si>
    <t>SUBR("*GCAZ206","112DL3")</t>
  </si>
  <si>
    <t>TCATDLAST3</t>
  </si>
  <si>
    <t>Reg. Date of CAT reading</t>
  </si>
  <si>
    <t>CAT</t>
  </si>
  <si>
    <t>SUBR("*GCAZ206","112G")</t>
  </si>
  <si>
    <t>TCATDATEREG</t>
  </si>
  <si>
    <t>Date of CAT reading</t>
  </si>
  <si>
    <t>SUBR("*GCAZ206","112D")</t>
  </si>
  <si>
    <t>TCATDATE</t>
  </si>
  <si>
    <t>All CAT Dates</t>
  </si>
  <si>
    <t>CATALL</t>
  </si>
  <si>
    <t>SUBR("*GCAZ206","112DA")</t>
  </si>
  <si>
    <t>TCATDALL</t>
  </si>
  <si>
    <t>Last three Catal results</t>
  </si>
  <si>
    <t>CATALLAST3</t>
  </si>
  <si>
    <t>SUBR("*GCAZ206","60/6/L3")</t>
  </si>
  <si>
    <t>TCATALLAST3</t>
  </si>
  <si>
    <t>All CAT Results</t>
  </si>
  <si>
    <t>SUBR("*GCAZ206","112RA")</t>
  </si>
  <si>
    <t>TCATALL</t>
  </si>
  <si>
    <t>Last three Catal dates</t>
  </si>
  <si>
    <t>SUBR("*GCAZ206","60DL3")</t>
  </si>
  <si>
    <t>TCATALDLAST3</t>
  </si>
  <si>
    <t>Reg. Date of Catal reading</t>
  </si>
  <si>
    <t>Catal</t>
  </si>
  <si>
    <t>SUBR("*GCAZ206","60G")</t>
  </si>
  <si>
    <t>TCATALDATEREG</t>
  </si>
  <si>
    <t>Date of Catal reading</t>
  </si>
  <si>
    <t>SUBR("*GCAZ206","60D")</t>
  </si>
  <si>
    <t>TCATALDATE</t>
  </si>
  <si>
    <t>All Catal Dates</t>
  </si>
  <si>
    <t>CATALALL</t>
  </si>
  <si>
    <t>SUBR("*GCAZ206","60DA")</t>
  </si>
  <si>
    <t>TCATALDALL</t>
  </si>
  <si>
    <t>All Catal Results</t>
  </si>
  <si>
    <t>SUBR("*GCAZ206","60RA")</t>
  </si>
  <si>
    <t>TCATALALL</t>
  </si>
  <si>
    <t>Locate Catal Reading from Chemistry</t>
  </si>
  <si>
    <t>SUBR("*GCAI714",TREADINGNO,TREADVALUE,"60")</t>
  </si>
  <si>
    <t>TCATAL</t>
  </si>
  <si>
    <t>Locate CAT Reading from Chemistry</t>
  </si>
  <si>
    <t>SUBR("*GCAI714",TREADINGNO,TREADVALUE,"112")</t>
  </si>
  <si>
    <t>TCAT</t>
  </si>
  <si>
    <t>Last three CaStab results</t>
  </si>
  <si>
    <t>CASTABLAST3</t>
  </si>
  <si>
    <t>SUBR("*GCAZ206","208/6/L3")</t>
  </si>
  <si>
    <t>TCASTABLAST3</t>
  </si>
  <si>
    <t>Last three CaStab dates</t>
  </si>
  <si>
    <t>SUBR("*GCAZ206","208DL3")</t>
  </si>
  <si>
    <t>TCASTABDLAST3</t>
  </si>
  <si>
    <t>Reg. Date of CaStab reading</t>
  </si>
  <si>
    <t>CaStab</t>
  </si>
  <si>
    <t>SUBR("*GCAZ206","208G")</t>
  </si>
  <si>
    <t>TCASTABDATEREG</t>
  </si>
  <si>
    <t>Date of CaStab reading</t>
  </si>
  <si>
    <t>SUBR("*GCAZ206","208D")</t>
  </si>
  <si>
    <t>TCASTABDATE</t>
  </si>
  <si>
    <t>All CaStab Dates</t>
  </si>
  <si>
    <t>CASTABALL</t>
  </si>
  <si>
    <t>SUBR("*GCAZ206","208DA")</t>
  </si>
  <si>
    <t>TCASTABDALL</t>
  </si>
  <si>
    <t>All CaStab Results</t>
  </si>
  <si>
    <t>SUBR("*GCAZ206","208RA")</t>
  </si>
  <si>
    <t>TCASTABALL</t>
  </si>
  <si>
    <t>Locate CaStab Reading from Chemistry</t>
  </si>
  <si>
    <t>SUBR("*GCAI714",TREADINGNO,TREADVALUE,"208")</t>
  </si>
  <si>
    <t>TCASTAB</t>
  </si>
  <si>
    <t>Last three CASF results</t>
  </si>
  <si>
    <t>CASFLAST3</t>
  </si>
  <si>
    <t>SUBR("*GCAZ206","107/6/L3")</t>
  </si>
  <si>
    <t>TCASFLAST3</t>
  </si>
  <si>
    <t>Last three CASF dates</t>
  </si>
  <si>
    <t>SUBR("*GCAZ206","107DL3")</t>
  </si>
  <si>
    <t>TCASFDLAST3</t>
  </si>
  <si>
    <t>Reg. Date of CASF reading</t>
  </si>
  <si>
    <t>CASF</t>
  </si>
  <si>
    <t>SUBR("*GCAZ206","107G")</t>
  </si>
  <si>
    <t>TCASFDATEREG</t>
  </si>
  <si>
    <t>Date of CASF reading</t>
  </si>
  <si>
    <t>SUBR("*GCAZ206","107D")</t>
  </si>
  <si>
    <t>TCASFDATE</t>
  </si>
  <si>
    <t>All CASF Dates</t>
  </si>
  <si>
    <t>CASFALL</t>
  </si>
  <si>
    <t>SUBR("*GCAZ206","107DA")</t>
  </si>
  <si>
    <t>TCASFDALL</t>
  </si>
  <si>
    <t>All CASF Results</t>
  </si>
  <si>
    <t>SUBR("*GCAZ206","107RA")</t>
  </si>
  <si>
    <t>TCASFALL</t>
  </si>
  <si>
    <t>Locate CASF Reading from Chemistry</t>
  </si>
  <si>
    <t>SUBR("*GCAI714",TREADINGNO,TREADVALUE,"107")</t>
  </si>
  <si>
    <t>TCASF</t>
  </si>
  <si>
    <t>Last three CarbPG results</t>
  </si>
  <si>
    <t>CARBPGLAST3</t>
  </si>
  <si>
    <t>SUBR("*GCAZ206","168/6/L3")</t>
  </si>
  <si>
    <t>TCARBPGLAST3</t>
  </si>
  <si>
    <t>Last three CarbPG dates</t>
  </si>
  <si>
    <t>SUBR("*GCAZ206","168DL3")</t>
  </si>
  <si>
    <t>TCARBPGDLAST3</t>
  </si>
  <si>
    <t>Reg. Date of CarbPG reading</t>
  </si>
  <si>
    <t>CarbPG</t>
  </si>
  <si>
    <t>SUBR("*GCAZ206","168G")</t>
  </si>
  <si>
    <t>TCARBPGDATEREG</t>
  </si>
  <si>
    <t>Date of CarbPG reading</t>
  </si>
  <si>
    <t>SUBR("*GCAZ206","168D")</t>
  </si>
  <si>
    <t>TCARBPGDATE</t>
  </si>
  <si>
    <t>All CarbPG Dates</t>
  </si>
  <si>
    <t>CARBPGALL</t>
  </si>
  <si>
    <t>SUBR("*GCAZ206","168DA")</t>
  </si>
  <si>
    <t>TCARBPGDALL</t>
  </si>
  <si>
    <t>All CarbPG Results</t>
  </si>
  <si>
    <t>SUBR("*GCAZ206","168RA")</t>
  </si>
  <si>
    <t>TCARBPGALL</t>
  </si>
  <si>
    <t>Locate CarbPG Reading from Chemistry</t>
  </si>
  <si>
    <t>SUBR("*GCAI714",TREADINGNO,TREADVALUE,"168")</t>
  </si>
  <si>
    <t>TCARBPG</t>
  </si>
  <si>
    <t>Last three CarbFR results</t>
  </si>
  <si>
    <t>CARBFRLAST3</t>
  </si>
  <si>
    <t>SUBR("*GCAZ206","167/6/L3")</t>
  </si>
  <si>
    <t>TCARBFRLAST3</t>
  </si>
  <si>
    <t>Last three CarbFR dates</t>
  </si>
  <si>
    <t>SUBR("*GCAZ206","167DL3")</t>
  </si>
  <si>
    <t>TCARBFRDLAST3</t>
  </si>
  <si>
    <t>Reg. Date of CarbFR reading</t>
  </si>
  <si>
    <t>CarbFR</t>
  </si>
  <si>
    <t>SUBR("*GCAZ206","167G")</t>
  </si>
  <si>
    <t>TCARBFRDATEREG</t>
  </si>
  <si>
    <t>Date of CarbFR reading</t>
  </si>
  <si>
    <t>SUBR("*GCAZ206","167D")</t>
  </si>
  <si>
    <t>TCARBFRDATE</t>
  </si>
  <si>
    <t>All CarbFR Dates</t>
  </si>
  <si>
    <t>CARBFRALL</t>
  </si>
  <si>
    <t>SUBR("*GCAZ206","167DA")</t>
  </si>
  <si>
    <t>TCARBFRDALL</t>
  </si>
  <si>
    <t>All CarbFR Results</t>
  </si>
  <si>
    <t>SUBR("*GCAZ206","167RA")</t>
  </si>
  <si>
    <t>TCARBFRALL</t>
  </si>
  <si>
    <t>Locate CarbFR Reading from Chemistry</t>
  </si>
  <si>
    <t>SUBR("*GCAI714",TREADINGNO,TREADVALUE,"167")</t>
  </si>
  <si>
    <t>TCARBFR</t>
  </si>
  <si>
    <t>Last three CARBF results</t>
  </si>
  <si>
    <t>CARBFLAST3</t>
  </si>
  <si>
    <t>SUBR("*GCAZ206","106/6/L3")</t>
  </si>
  <si>
    <t>TCARBFLAST3</t>
  </si>
  <si>
    <t>Last three CARBF dates</t>
  </si>
  <si>
    <t>SUBR("*GCAZ206","106DL3")</t>
  </si>
  <si>
    <t>TCARBFDLAST3</t>
  </si>
  <si>
    <t>Reg. Date of CARBF reading</t>
  </si>
  <si>
    <t>CARBF</t>
  </si>
  <si>
    <t>SUBR("*GCAZ206","106G")</t>
  </si>
  <si>
    <t>TCARBFDATEREG</t>
  </si>
  <si>
    <t>Date of CARBF reading</t>
  </si>
  <si>
    <t>SUBR("*GCAZ206","106D")</t>
  </si>
  <si>
    <t>TCARBFDATE</t>
  </si>
  <si>
    <t>All CARBF Dates</t>
  </si>
  <si>
    <t>CARBFALL</t>
  </si>
  <si>
    <t>SUBR("*GCAZ206","106DA")</t>
  </si>
  <si>
    <t>TCARBFDALL</t>
  </si>
  <si>
    <t>All CARBF Results</t>
  </si>
  <si>
    <t>SUBR("*GCAZ206","106RA")</t>
  </si>
  <si>
    <t>TCARBFALL</t>
  </si>
  <si>
    <t>Locate CARBF Reading from Chemistry</t>
  </si>
  <si>
    <t>SUBR("*GCAI714",TREADINGNO,TREADVALUE,"106")</t>
  </si>
  <si>
    <t>TCARBF</t>
  </si>
  <si>
    <t>Subroutine call for calculation of Capacity from Dip</t>
  </si>
  <si>
    <t>CAPACITY</t>
  </si>
  <si>
    <t>TRANS(DIPTABLE,TTABLE,DCAP,'X')</t>
  </si>
  <si>
    <t>TCAPACITY</t>
  </si>
  <si>
    <t>Last three Ca results</t>
  </si>
  <si>
    <t>CALAST3</t>
  </si>
  <si>
    <t>SUBR("*GCAZ206","28/6/L3")</t>
  </si>
  <si>
    <t>Last three CaFilt results</t>
  </si>
  <si>
    <t>CAFILTLAST3</t>
  </si>
  <si>
    <t>SUBR("*GCAZ206","162/6/L3")</t>
  </si>
  <si>
    <t>TCAFILTLAST3</t>
  </si>
  <si>
    <t>Last three CaFilt dates</t>
  </si>
  <si>
    <t>SUBR("*GCAZ206","162DL3")</t>
  </si>
  <si>
    <t>TCAFILTDLAST3</t>
  </si>
  <si>
    <t>Reg. Date of CaFilt reading</t>
  </si>
  <si>
    <t>CaFilt</t>
  </si>
  <si>
    <t>SUBR("*GCAZ206","162G")</t>
  </si>
  <si>
    <t>TCAFILTDATEREG</t>
  </si>
  <si>
    <t>Date of CaFilt reading</t>
  </si>
  <si>
    <t>SUBR("*GCAZ206","162D")</t>
  </si>
  <si>
    <t>TCAFILTDATE</t>
  </si>
  <si>
    <t>All CaFilt Dates</t>
  </si>
  <si>
    <t>CAFILTALL</t>
  </si>
  <si>
    <t>SUBR("*GCAZ206","162DA")</t>
  </si>
  <si>
    <t>TCAFILTDALL</t>
  </si>
  <si>
    <t>All CaFilt Results</t>
  </si>
  <si>
    <t>SUBR("*GCAZ206","162RA")</t>
  </si>
  <si>
    <t>TCAFILTALL</t>
  </si>
  <si>
    <t>Locate CaFilt Reading from Chemistry</t>
  </si>
  <si>
    <t>SUBR("*GCAI714",TREADINGNO,TREADVALUE,"162")</t>
  </si>
  <si>
    <t>TCAFILT</t>
  </si>
  <si>
    <t>Last three Ca dates</t>
  </si>
  <si>
    <t>SUBR("*GCAZ206","28DL3")</t>
  </si>
  <si>
    <t>TCADLAST3</t>
  </si>
  <si>
    <t>Reg. Date of Ca reading</t>
  </si>
  <si>
    <t>Ca</t>
  </si>
  <si>
    <t>SUBR("*GCAZ206","28G")</t>
  </si>
  <si>
    <t>TCADATEREG</t>
  </si>
  <si>
    <t>Date of Ca reading</t>
  </si>
  <si>
    <t>SUBR("*GCAZ206","28D")</t>
  </si>
  <si>
    <t>TCADATE</t>
  </si>
  <si>
    <t>All Ca Dates</t>
  </si>
  <si>
    <t>CAALL</t>
  </si>
  <si>
    <t>SUBR("*GCAZ206","28DA")</t>
  </si>
  <si>
    <t>TCADALL</t>
  </si>
  <si>
    <t>All Ca Results</t>
  </si>
  <si>
    <t>SUBR("*GCAZ206","28RA")</t>
  </si>
  <si>
    <t>Locate Ca Reading from Chemistry</t>
  </si>
  <si>
    <t>SUBR("*GCAI714",TREADINGNO,TREADVALUE,"28")</t>
  </si>
  <si>
    <t>TCONTENT Style description</t>
  </si>
  <si>
    <t>Reserved for</t>
  </si>
  <si>
    <t>TRANS(BW.STYLE,TCONTENT,STYLE.DESC,'X')</t>
  </si>
  <si>
    <t>TC.STYLE.DESC</t>
  </si>
  <si>
    <t>Last three Brix results</t>
  </si>
  <si>
    <t>BRIXLAST3</t>
  </si>
  <si>
    <t>SUBR("*GCAZ206","4/6/L3")</t>
  </si>
  <si>
    <t>TBRIXLAST3</t>
  </si>
  <si>
    <t>Last three Brix dates</t>
  </si>
  <si>
    <t>SUBR("*GCAZ206","4DL3")</t>
  </si>
  <si>
    <t>TBRIXDLAST3</t>
  </si>
  <si>
    <t>Reg. Date of Brix reading</t>
  </si>
  <si>
    <t>Brix</t>
  </si>
  <si>
    <t>SUBR("*GCAZ206","4G")</t>
  </si>
  <si>
    <t>TBRIXDATEREG</t>
  </si>
  <si>
    <t>Date of Brix reading</t>
  </si>
  <si>
    <t>SUBR("*GCAZ206","4D")</t>
  </si>
  <si>
    <t>TBRIXDATE</t>
  </si>
  <si>
    <t>All Brix Dates</t>
  </si>
  <si>
    <t>BRIXALL</t>
  </si>
  <si>
    <t>SUBR("*GCAZ206","4DA")</t>
  </si>
  <si>
    <t>TBRIXDALL</t>
  </si>
  <si>
    <t>All Brix Results</t>
  </si>
  <si>
    <t>SUBR("*GCAZ206","4RA")</t>
  </si>
  <si>
    <t>TBRIXALL</t>
  </si>
  <si>
    <t>Locate Brix Reading from Chemistry</t>
  </si>
  <si>
    <t>SUBR("*GCAI714",TREADINGNO,TREADVALUE,"4")</t>
  </si>
  <si>
    <t>TBRIX</t>
  </si>
  <si>
    <t>Last three BRINE results</t>
  </si>
  <si>
    <t>BRINELAST3</t>
  </si>
  <si>
    <t>SUBR("*GCAZ206","154/6/L3")</t>
  </si>
  <si>
    <t>TBRINELAST3</t>
  </si>
  <si>
    <t>Last three BRINE dates</t>
  </si>
  <si>
    <t>SUBR("*GCAZ206","154DL3")</t>
  </si>
  <si>
    <t>TBRINEDLAST3</t>
  </si>
  <si>
    <t>Reg. Date of BRINE reading</t>
  </si>
  <si>
    <t>BRINE</t>
  </si>
  <si>
    <t>SUBR("*GCAZ206","154G")</t>
  </si>
  <si>
    <t>TBRINEDATEREG</t>
  </si>
  <si>
    <t>Date of BRINE reading</t>
  </si>
  <si>
    <t>SUBR("*GCAZ206","154D")</t>
  </si>
  <si>
    <t>TBRINEDATE</t>
  </si>
  <si>
    <t>All BRINE Dates</t>
  </si>
  <si>
    <t>BRINEALL</t>
  </si>
  <si>
    <t>SUBR("*GCAZ206","154DA")</t>
  </si>
  <si>
    <t>TBRINEDALL</t>
  </si>
  <si>
    <t>All BRINE Results</t>
  </si>
  <si>
    <t>SUBR("*GCAZ206","154RA")</t>
  </si>
  <si>
    <t>TBRINEALL</t>
  </si>
  <si>
    <t>Locate BRINE Reading from Chemistry</t>
  </si>
  <si>
    <t>SUBR("*GCAI714",TREADINGNO,TREADVALUE,"154")</t>
  </si>
  <si>
    <t>TBRINE</t>
  </si>
  <si>
    <t>Last three BRETTV results</t>
  </si>
  <si>
    <t>BRETTVLAST3</t>
  </si>
  <si>
    <t>SUBR("*GCAZ206","151/6/L3")</t>
  </si>
  <si>
    <t>TBRETTVLAST3</t>
  </si>
  <si>
    <t>Last three BRETTV dates</t>
  </si>
  <si>
    <t>SUBR("*GCAZ206","151DL3")</t>
  </si>
  <si>
    <t>TBRETTVDLAST3</t>
  </si>
  <si>
    <t>Reg. Date of BRETTV reading</t>
  </si>
  <si>
    <t>BRETTV</t>
  </si>
  <si>
    <t>SUBR("*GCAZ206","151G")</t>
  </si>
  <si>
    <t>TBRETTVDATEREG</t>
  </si>
  <si>
    <t>Date of BRETTV reading</t>
  </si>
  <si>
    <t>SUBR("*GCAZ206","151D")</t>
  </si>
  <si>
    <t>TBRETTVDATE</t>
  </si>
  <si>
    <t>All BRETTV Dates</t>
  </si>
  <si>
    <t>BRETTVALL</t>
  </si>
  <si>
    <t>SUBR("*GCAZ206","151DA")</t>
  </si>
  <si>
    <t>TBRETTVDALL</t>
  </si>
  <si>
    <t>All BRETTV Results</t>
  </si>
  <si>
    <t>SUBR("*GCAZ206","151RA")</t>
  </si>
  <si>
    <t>TBRETTVALL</t>
  </si>
  <si>
    <t>Last three BrettV25 results</t>
  </si>
  <si>
    <t>BRETTV25LAS</t>
  </si>
  <si>
    <t>SUBR("*GCAZ206","207/6/L3")</t>
  </si>
  <si>
    <t>TBRETTV25LAST3</t>
  </si>
  <si>
    <t>Last three BrettV25 dates</t>
  </si>
  <si>
    <t>SUBR("*GCAZ206","207DL3")</t>
  </si>
  <si>
    <t>TBRETTV25DLAST3</t>
  </si>
  <si>
    <t>Reg. Date of BrettV25 reading</t>
  </si>
  <si>
    <t>BrettV25</t>
  </si>
  <si>
    <t>SUBR("*GCAZ206","207G")</t>
  </si>
  <si>
    <t>TBRETTV25DATEREG</t>
  </si>
  <si>
    <t>Date of BrettV25 reading</t>
  </si>
  <si>
    <t>SUBR("*GCAZ206","207D")</t>
  </si>
  <si>
    <t>TBRETTV25DATE</t>
  </si>
  <si>
    <t>All BrettV25 Dates</t>
  </si>
  <si>
    <t>BRETTV25ALL</t>
  </si>
  <si>
    <t>SUBR("*GCAZ206","207DA")</t>
  </si>
  <si>
    <t>TBRETTV25DALL</t>
  </si>
  <si>
    <t>All BrettV25 Results</t>
  </si>
  <si>
    <t>SUBR("*GCAZ206","207RA")</t>
  </si>
  <si>
    <t>TBRETTV25ALL</t>
  </si>
  <si>
    <t>Locate BrettV25 Reading from Chemistry</t>
  </si>
  <si>
    <t>SUBR("*GCAI714",TREADINGNO,TREADVALUE,"207")</t>
  </si>
  <si>
    <t>TBRETTV25</t>
  </si>
  <si>
    <t>Locate BRETTV Reading from Chemistry</t>
  </si>
  <si>
    <t>SUBR("*GCAI714",TREADINGNO,TREADVALUE,"151")</t>
  </si>
  <si>
    <t>TBRETTV</t>
  </si>
  <si>
    <t>Batch Description used in PS.TANK.SELECTION</t>
  </si>
  <si>
    <t>TRANS(MBLEND,TBLENDS,BLENDESCP,'X')</t>
  </si>
  <si>
    <t>TBLEND.DESCS</t>
  </si>
  <si>
    <t>1st character of tblen code</t>
  </si>
  <si>
    <t>CD</t>
  </si>
  <si>
    <t>TBLEND[1,1]</t>
  </si>
  <si>
    <t>TBLEND.1</t>
  </si>
  <si>
    <t>Locate Beaume Reading from Chemistry</t>
  </si>
  <si>
    <t>BE</t>
  </si>
  <si>
    <t>SUBR("*PBWI714",TREADINGNO,TREADVALUE,"2")</t>
  </si>
  <si>
    <t>TBEREAD6</t>
  </si>
  <si>
    <t>TBEREAD</t>
  </si>
  <si>
    <t>Last three Bent results</t>
  </si>
  <si>
    <t>BENTLAST3</t>
  </si>
  <si>
    <t>SUBR("*GCAZ206","33/6/L3")</t>
  </si>
  <si>
    <t>TBENTLAST3</t>
  </si>
  <si>
    <t>Last three Bent dates</t>
  </si>
  <si>
    <t>SUBR("*GCAZ206","33DL3")</t>
  </si>
  <si>
    <t>TBENTDLAST3</t>
  </si>
  <si>
    <t>Reg. Date of Bent reading</t>
  </si>
  <si>
    <t>Bent</t>
  </si>
  <si>
    <t>SUBR("*GCAZ206","33G")</t>
  </si>
  <si>
    <t>TBENTDATEREG</t>
  </si>
  <si>
    <t>Date of Bent reading</t>
  </si>
  <si>
    <t>SUBR("*GCAZ206","33D")</t>
  </si>
  <si>
    <t>TBENTDATE</t>
  </si>
  <si>
    <t>All Bent Dates</t>
  </si>
  <si>
    <t>BENTALL</t>
  </si>
  <si>
    <t>SUBR("*GCAZ206","33DA")</t>
  </si>
  <si>
    <t>TBENTDALL</t>
  </si>
  <si>
    <t>All Bent Results</t>
  </si>
  <si>
    <t>SUBR("*GCAZ206","33RA")</t>
  </si>
  <si>
    <t>TBENTALL</t>
  </si>
  <si>
    <t>Locate Bent Reading from Chemistry</t>
  </si>
  <si>
    <t>SUBR("*GCAI714",TREADINGNO,TREADVALUE,"33")</t>
  </si>
  <si>
    <t>TBENT</t>
  </si>
  <si>
    <t>Last three Be results</t>
  </si>
  <si>
    <t>SUBR("*GCAZ206","2/6/L3")</t>
  </si>
  <si>
    <t>TBELAST3</t>
  </si>
  <si>
    <t>Last three Be dates</t>
  </si>
  <si>
    <t>SUBR("*GCAZ206","2DL3")</t>
  </si>
  <si>
    <t>TBEDLAST3</t>
  </si>
  <si>
    <t>Reg. Date of Be reading</t>
  </si>
  <si>
    <t>Be</t>
  </si>
  <si>
    <t>SUBR("*GCAZ206","2G")</t>
  </si>
  <si>
    <t>TBEDATEREG</t>
  </si>
  <si>
    <t>Date of Be reading</t>
  </si>
  <si>
    <t>SUBR("*GCAZ206","2D")</t>
  </si>
  <si>
    <t>TBEDATE</t>
  </si>
  <si>
    <t>All Be Dates</t>
  </si>
  <si>
    <t>SUBR("*GCAZ206","2DA")</t>
  </si>
  <si>
    <t>TBEDALL</t>
  </si>
  <si>
    <t>All Be times</t>
  </si>
  <si>
    <t>SUBR(SUBR.PENBW:"PBWZ206","2TA")</t>
  </si>
  <si>
    <t>TBEALLT</t>
  </si>
  <si>
    <t>All Be Results</t>
  </si>
  <si>
    <t>SUBR("*GCAZ206","2RA")</t>
  </si>
  <si>
    <t>TBEALL</t>
  </si>
  <si>
    <t>Increase in latest Baume reading over previous reading</t>
  </si>
  <si>
    <t>Baume Change</t>
  </si>
  <si>
    <t>TBELAST3&lt;1,1,1&gt;; TBELAST3&lt;1,2,1&gt;; IF @2&gt;=0 THEN @1 - @2 ELSE '-'</t>
  </si>
  <si>
    <t>TBE.CHANGE</t>
  </si>
  <si>
    <t>Locate Be Reading from Chemistry</t>
  </si>
  <si>
    <t>SUBR("*GCAI714",TREADINGNO,TREADVALUE,"2")</t>
  </si>
  <si>
    <t>TBE</t>
  </si>
  <si>
    <t>Batch Description</t>
  </si>
  <si>
    <t>TRANS(MBATCH,TBATCHNOS,BATCH.DESC,'X')</t>
  </si>
  <si>
    <t>TBATCHNO.DESCS</t>
  </si>
  <si>
    <t>Last three Barrel results</t>
  </si>
  <si>
    <t>BARRELLAST3</t>
  </si>
  <si>
    <t>SUBR("*GCAZ206","166/6/L3")</t>
  </si>
  <si>
    <t>TBARRELLAST3</t>
  </si>
  <si>
    <t>Last three Barrel dates</t>
  </si>
  <si>
    <t>SUBR("*GCAZ206","166DL3")</t>
  </si>
  <si>
    <t>TBARRELDLAST3</t>
  </si>
  <si>
    <t>Reg. Date of Barrel reading</t>
  </si>
  <si>
    <t>Barrel</t>
  </si>
  <si>
    <t>SUBR("*GCAZ206","166G")</t>
  </si>
  <si>
    <t>TBARRELDATEREG</t>
  </si>
  <si>
    <t>Date of Barrel reading</t>
  </si>
  <si>
    <t>SUBR("*GCAZ206","166D")</t>
  </si>
  <si>
    <t>TBARRELDATE</t>
  </si>
  <si>
    <t>All Barrel Dates</t>
  </si>
  <si>
    <t>BARRELALL</t>
  </si>
  <si>
    <t>SUBR("*GCAZ206","166DA")</t>
  </si>
  <si>
    <t>TBARRELDALL</t>
  </si>
  <si>
    <t>All Barrel Results</t>
  </si>
  <si>
    <t>SUBR("*GCAZ206","166RA")</t>
  </si>
  <si>
    <t>TBARRELALL</t>
  </si>
  <si>
    <t>Locate Barrel Reading from Chemistry</t>
  </si>
  <si>
    <t>SUBR("*GCAI714",TREADINGNO,TREADVALUE,"166")</t>
  </si>
  <si>
    <t>TBARREL</t>
  </si>
  <si>
    <t>Last three BA results</t>
  </si>
  <si>
    <t>BALAST3</t>
  </si>
  <si>
    <t>SUBR("*GCAZ206","156/6/L3")</t>
  </si>
  <si>
    <t>Last three BA dates</t>
  </si>
  <si>
    <t>SUBR("*GCAZ206","156DL3")</t>
  </si>
  <si>
    <t>TBADLAST3</t>
  </si>
  <si>
    <t>Reg. Date of BA reading</t>
  </si>
  <si>
    <t>BA</t>
  </si>
  <si>
    <t>SUBR("*GCAZ206","156G")</t>
  </si>
  <si>
    <t>TBADATEREG</t>
  </si>
  <si>
    <t>Date of BA reading</t>
  </si>
  <si>
    <t>SUBR("*GCAZ206","156D")</t>
  </si>
  <si>
    <t>TBADATE</t>
  </si>
  <si>
    <t>All BA Dates</t>
  </si>
  <si>
    <t>BAALL</t>
  </si>
  <si>
    <t>SUBR("*GCAZ206","156DA")</t>
  </si>
  <si>
    <t>TBADALL</t>
  </si>
  <si>
    <t>Last three BactV100 results</t>
  </si>
  <si>
    <t>BACTV100LAS</t>
  </si>
  <si>
    <t>SUBR("*GCAZ206","211/6/L3")</t>
  </si>
  <si>
    <t>TBACTV100LAST3</t>
  </si>
  <si>
    <t>Last three BactV100 dates</t>
  </si>
  <si>
    <t>SUBR("*GCAZ206","211DL3")</t>
  </si>
  <si>
    <t>TBACTV100DLAST3</t>
  </si>
  <si>
    <t>Reg. Date of BactV100 reading</t>
  </si>
  <si>
    <t>BactV100</t>
  </si>
  <si>
    <t>SUBR("*GCAZ206","211G")</t>
  </si>
  <si>
    <t>TBACTV100DATEREG</t>
  </si>
  <si>
    <t>Date of BactV100 reading</t>
  </si>
  <si>
    <t>SUBR("*GCAZ206","211D")</t>
  </si>
  <si>
    <t>TBACTV100DATE</t>
  </si>
  <si>
    <t>All BactV100 Dates</t>
  </si>
  <si>
    <t>BACTV100ALL</t>
  </si>
  <si>
    <t>SUBR("*GCAZ206","211DA")</t>
  </si>
  <si>
    <t>TBACTV100DALL</t>
  </si>
  <si>
    <t>All BactV100 Results</t>
  </si>
  <si>
    <t>SUBR("*GCAZ206","211RA")</t>
  </si>
  <si>
    <t>TBACTV100ALL</t>
  </si>
  <si>
    <t>Locate BactV100 Reading from Chemistry</t>
  </si>
  <si>
    <t>SUBR("*GCAI714",TREADINGNO,TREADVALUE,"211")</t>
  </si>
  <si>
    <t>TBACTV100</t>
  </si>
  <si>
    <t>Last three Bact results</t>
  </si>
  <si>
    <t>BACTLAST3</t>
  </si>
  <si>
    <t>SUBR("*GCAZ206","64/6/L3")</t>
  </si>
  <si>
    <t>TBACTLAST3</t>
  </si>
  <si>
    <t>Last three Bact dates</t>
  </si>
  <si>
    <t>SUBR("*GCAZ206","64DL3")</t>
  </si>
  <si>
    <t>TBACTDLAST3</t>
  </si>
  <si>
    <t>Reg. Date of Bact reading</t>
  </si>
  <si>
    <t>Bact</t>
  </si>
  <si>
    <t>SUBR("*GCAZ206","64G")</t>
  </si>
  <si>
    <t>TBACTDATEREG</t>
  </si>
  <si>
    <t>Date of Bact reading</t>
  </si>
  <si>
    <t>SUBR("*GCAZ206","64D")</t>
  </si>
  <si>
    <t>TBACTDATE</t>
  </si>
  <si>
    <t>All Bact Dates</t>
  </si>
  <si>
    <t>BACTALL</t>
  </si>
  <si>
    <t>SUBR("*GCAZ206","64DA")</t>
  </si>
  <si>
    <t>TBACTDALL</t>
  </si>
  <si>
    <t>All Bact Results</t>
  </si>
  <si>
    <t>SUBR("*GCAZ206","64RA")</t>
  </si>
  <si>
    <t>TBACTALL</t>
  </si>
  <si>
    <t>Locate Bact Reading from Chemistry</t>
  </si>
  <si>
    <t>SUBR("*GCAI714",TREADINGNO,TREADVALUE,"64")</t>
  </si>
  <si>
    <t>TBACT</t>
  </si>
  <si>
    <t>All BA Results</t>
  </si>
  <si>
    <t>SUBR("*GCAZ206","156RA")</t>
  </si>
  <si>
    <t>Locate BA Reading from Chemistry</t>
  </si>
  <si>
    <t>SUBR("*GCAI714",TREADINGNO,TREADVALUE,"156")</t>
  </si>
  <si>
    <t>Description of Availability Status ? Full, Ullaged Empty</t>
  </si>
  <si>
    <t>Availability Description</t>
  </si>
  <si>
    <t>IF TVOLUME THEN IF NOMCAP THEN IF TVOLUME &gt; NOMCAP THEN 'Overfull' ELSE IF TDRYDIP =</t>
  </si>
  <si>
    <t>TAVAIL.STATUS.DESC</t>
  </si>
  <si>
    <t>Tank availability codes dependent on if nominated capacity is used.</t>
  </si>
  <si>
    <t>TAvail</t>
  </si>
  <si>
    <t>IF TVOLUME THEN IF NOMCAP THEN IF TVOLUME &gt; NOMCAP THEN 'OF' ELSE IF TDRYDIP = 'Y'</t>
  </si>
  <si>
    <t>TAVAIL.STATUS</t>
  </si>
  <si>
    <t>Last three Ash results</t>
  </si>
  <si>
    <t>ASHLAST3</t>
  </si>
  <si>
    <t>SUBR("*GCAZ206","17/6/L3")</t>
  </si>
  <si>
    <t>TASHLAST3</t>
  </si>
  <si>
    <t>Last three Ash dates</t>
  </si>
  <si>
    <t>SUBR("*GCAZ206","17DL3")</t>
  </si>
  <si>
    <t>TASHDLAST3</t>
  </si>
  <si>
    <t>Reg. Date of Ash reading</t>
  </si>
  <si>
    <t>Ash</t>
  </si>
  <si>
    <t>SUBR("*GCAZ206","17G")</t>
  </si>
  <si>
    <t>TASHDATEREG</t>
  </si>
  <si>
    <t>Date of Ash reading</t>
  </si>
  <si>
    <t>SUBR("*GCAZ206","17D")</t>
  </si>
  <si>
    <t>TASHDATE</t>
  </si>
  <si>
    <t>All Ash Dates</t>
  </si>
  <si>
    <t>ASHALL</t>
  </si>
  <si>
    <t>SUBR("*GCAZ206","17DA")</t>
  </si>
  <si>
    <t>TASHDALL</t>
  </si>
  <si>
    <t>All Ash Results</t>
  </si>
  <si>
    <t>SUBR("*GCAZ206","17RA")</t>
  </si>
  <si>
    <t>TASHALL</t>
  </si>
  <si>
    <t>Locate Ash Reading from Chemistry</t>
  </si>
  <si>
    <t>SUBR("*GCAI714",TREADINGNO,TREADVALUE,"17")</t>
  </si>
  <si>
    <t>TASH</t>
  </si>
  <si>
    <t>Work Order on Outstanding CHITs</t>
  </si>
  <si>
    <t>Outstanding</t>
  </si>
  <si>
    <t>SUBR('*GBWI967',TASCNOTES,'H')</t>
  </si>
  <si>
    <t>TASCNOTES.WKORD</t>
  </si>
  <si>
    <t>Operations Code Volume Movement</t>
  </si>
  <si>
    <t>OPV</t>
  </si>
  <si>
    <t>SUBR("*TANK.OP.VOLMOVE",@ID,'M')</t>
  </si>
  <si>
    <t>TASCNOTES.VOLOPCD</t>
  </si>
  <si>
    <t>List of Outstanding Operations with a volume movement</t>
  </si>
  <si>
    <t>OPERATION</t>
  </si>
  <si>
    <t>SUBR("*TANK.OP.VOLMOVE",@ID,'C')</t>
  </si>
  <si>
    <t>TASCNOTES.VOLMOVE</t>
  </si>
  <si>
    <t>Vol</t>
  </si>
  <si>
    <t>TRANS(CHIT,TASCNOTES,MOPCD,'X');TRANS(MOPS,@1,OUDVOL,'X')</t>
  </si>
  <si>
    <t>TASCNOTES.OUDVOL</t>
  </si>
  <si>
    <t>Op Code on Outstanding CHITs</t>
  </si>
  <si>
    <t>SUBR('*GBWI967',TASCNOTES,'D')</t>
  </si>
  <si>
    <t>TASCNOTES.OPCD</t>
  </si>
  <si>
    <t>Volume after of tank if a TO tank on outstanding CHITs</t>
  </si>
  <si>
    <t>SUBR('*GBWI967',TASCNOTES,'L')</t>
  </si>
  <si>
    <t>TASCNOTES.MTVOLA</t>
  </si>
  <si>
    <t>Requested Start time of outstanding CHITs</t>
  </si>
  <si>
    <t>SUBR('*GBWI967',TASCNOTES,'J')</t>
  </si>
  <si>
    <t>TASCNOTES.MRTIME</t>
  </si>
  <si>
    <t>Requested Start date of outstanding CHITs</t>
  </si>
  <si>
    <t>SUBR('*GBWI967',TASCNOTES,'E')</t>
  </si>
  <si>
    <t>TASCNOTES.MRDATE</t>
  </si>
  <si>
    <t>TRANS(CHIT,TASCNOTES,MOPCD,'X') ; IF @1 = '' THEN TRANS(CHIT,TASCNOTES,MOPCD,'X')</t>
  </si>
  <si>
    <t>TASCNOTES.MOPCD</t>
  </si>
  <si>
    <t>Volume after of tank if a FROM tank on outstanding CHITs</t>
  </si>
  <si>
    <t>SUBR('*GBWI967',TASCNOTES,'K')</t>
  </si>
  <si>
    <t>TASCNOTES.MFVOLA</t>
  </si>
  <si>
    <t>TO GET OPSMOVE RECORD BY TANK ACCOUNT</t>
  </si>
  <si>
    <t>OUTSTD</t>
  </si>
  <si>
    <t>SUBR('*GBWI967',TASCNOTES,'A')</t>
  </si>
  <si>
    <t>TASCNOTES.ACTIV</t>
  </si>
  <si>
    <t>Last three Asc results</t>
  </si>
  <si>
    <t>ASCLAST3</t>
  </si>
  <si>
    <t>SUBR("*GCAZ206","8/6/L3")</t>
  </si>
  <si>
    <t>TASCLAST3</t>
  </si>
  <si>
    <t>Last three Asc dates</t>
  </si>
  <si>
    <t>SUBR("*GCAZ206","8DL3")</t>
  </si>
  <si>
    <t>TASCDLAST3</t>
  </si>
  <si>
    <t>Reg. Date of Asc reading</t>
  </si>
  <si>
    <t>Asc</t>
  </si>
  <si>
    <t>SUBR("*GCAZ206","8G")</t>
  </si>
  <si>
    <t>TASCDATEREG</t>
  </si>
  <si>
    <t>Date of Asc reading</t>
  </si>
  <si>
    <t>SUBR("*GCAZ206","8D")</t>
  </si>
  <si>
    <t>TASCDATE</t>
  </si>
  <si>
    <t>All Asc Dates</t>
  </si>
  <si>
    <t>ASCALL</t>
  </si>
  <si>
    <t>SUBR("*GCAZ206","8DA")</t>
  </si>
  <si>
    <t>TASCDALL</t>
  </si>
  <si>
    <t>All Asc Results</t>
  </si>
  <si>
    <t>SUBR("*GCAZ206","8RA")</t>
  </si>
  <si>
    <t>TASCALL</t>
  </si>
  <si>
    <t>Locate Asc Reading from Chemistry</t>
  </si>
  <si>
    <t>SUBR("*GCAI714",TREADINGNO,TREADVALUE,"8")</t>
  </si>
  <si>
    <t>TASC</t>
  </si>
  <si>
    <t>Extract Area from blend code</t>
  </si>
  <si>
    <t>TBLEND[11,2]</t>
  </si>
  <si>
    <t>TAREA.OLD</t>
  </si>
  <si>
    <t>TAREA</t>
  </si>
  <si>
    <t>Last three Api results</t>
  </si>
  <si>
    <t>APILAST3</t>
  </si>
  <si>
    <t>SUBR("*GCAZ206","61/6/L3")</t>
  </si>
  <si>
    <t>TAPILAST3</t>
  </si>
  <si>
    <t>Last three Api dates</t>
  </si>
  <si>
    <t>SUBR("*GCAZ206","61DL3")</t>
  </si>
  <si>
    <t>TAPIDLAST3</t>
  </si>
  <si>
    <t>Reg. Date of Api reading</t>
  </si>
  <si>
    <t>Api</t>
  </si>
  <si>
    <t>SUBR("*GCAZ206","61G")</t>
  </si>
  <si>
    <t>TAPIDATEREG</t>
  </si>
  <si>
    <t>Date of Api reading</t>
  </si>
  <si>
    <t>SUBR("*GCAZ206","61D")</t>
  </si>
  <si>
    <t>TAPIDATE</t>
  </si>
  <si>
    <t>All Api Dates</t>
  </si>
  <si>
    <t>APIALL</t>
  </si>
  <si>
    <t>SUBR("*GCAZ206","61DA")</t>
  </si>
  <si>
    <t>TAPIDALL</t>
  </si>
  <si>
    <t>All Api Results</t>
  </si>
  <si>
    <t>SUBR("*GCAZ206","61RA")</t>
  </si>
  <si>
    <t>TAPIALL</t>
  </si>
  <si>
    <t>Locate Api Reading from Chemistry</t>
  </si>
  <si>
    <t>SUBR("*GCAI714",TREADINGNO,TREADVALUE,"61")</t>
  </si>
  <si>
    <t>TAPI</t>
  </si>
  <si>
    <t>Last three AnthsME results</t>
  </si>
  <si>
    <t>ANTHSMELAST</t>
  </si>
  <si>
    <t>SUBR("*GCAZ206","212/6/L3")</t>
  </si>
  <si>
    <t>TANTHSMELAST3</t>
  </si>
  <si>
    <t>Last three AnthsME dates</t>
  </si>
  <si>
    <t>SUBR("*GCAZ206","212DL3")</t>
  </si>
  <si>
    <t>TANTHSMEDLAST3</t>
  </si>
  <si>
    <t>Reg. Date of AnthsME reading</t>
  </si>
  <si>
    <t>AnthsME</t>
  </si>
  <si>
    <t>SUBR("*GCAZ206","212G")</t>
  </si>
  <si>
    <t>TANTHSMEDATEREG</t>
  </si>
  <si>
    <t>Date of AnthsME reading</t>
  </si>
  <si>
    <t>SUBR("*GCAZ206","212D")</t>
  </si>
  <si>
    <t>TANTHSMEDATE</t>
  </si>
  <si>
    <t>All AnthsME Dates</t>
  </si>
  <si>
    <t>ANTHSMEALL</t>
  </si>
  <si>
    <t>SUBR("*GCAZ206","212DA")</t>
  </si>
  <si>
    <t>TANTHSMEDALL</t>
  </si>
  <si>
    <t>All AnthsME Results</t>
  </si>
  <si>
    <t>SUBR("*GCAZ206","212RA")</t>
  </si>
  <si>
    <t>TANTHSMEALL</t>
  </si>
  <si>
    <t>Locate AnthsME Reading from Chemistry</t>
  </si>
  <si>
    <t>SUBR("*GCAI714",TREADINGNO,TREADVALUE,"212")</t>
  </si>
  <si>
    <t>TANTHSME</t>
  </si>
  <si>
    <t>TANK ID</t>
  </si>
  <si>
    <t>IF @ID[1,2]='SW' THEN TBATCHNO ELSE @ID</t>
  </si>
  <si>
    <t>TANKID.OLD</t>
  </si>
  <si>
    <t>IF SW = 'SW' THEN TBATCHNO ELSE @ID</t>
  </si>
  <si>
    <t>TANKID</t>
  </si>
  <si>
    <t>5 character tank ID</t>
  </si>
  <si>
    <t>IF SW = 'SW' THEN 'SW' ELSE @ID</t>
  </si>
  <si>
    <t>TANK5</t>
  </si>
  <si>
    <t>Tank Use Description used in PS.TANK.SELECTION</t>
  </si>
  <si>
    <t>Tank Use Description</t>
  </si>
  <si>
    <t>TRANS(TANK.USE,TANK.USE,DESC,'X')</t>
  </si>
  <si>
    <t>TANK.USE.DESCS</t>
  </si>
  <si>
    <t>TANK.USE.DESC</t>
  </si>
  <si>
    <t>Tank Type Description used in PS.TANK.SELECTION</t>
  </si>
  <si>
    <t>Tank Type Description</t>
  </si>
  <si>
    <t>TRANS(TANK.TYPE,TANK.TYPES,DESC,'X')</t>
  </si>
  <si>
    <t>TANK.TYPE.DESCS</t>
  </si>
  <si>
    <t>TRANS(TANK.TYPE,TANK.TYPE,DESC,'X')</t>
  </si>
  <si>
    <t>TANK.TYPE.DESC</t>
  </si>
  <si>
    <t>- Sort Tanks alpha numerically</t>
  </si>
  <si>
    <t>22L</t>
  </si>
  <si>
    <t>TANK.SORT</t>
  </si>
  <si>
    <t>@ID;   @ID[1,1];   IF @ID[2,1]&gt;9 THEN @ID[2,1] ELSE IF @ID[2,1]&lt;0 THEN 9 ELSE 1;</t>
  </si>
  <si>
    <t>1st or 2nd character of tank code</t>
  </si>
  <si>
    <t>IF @ID[1,3] = 'SW*' THEN '' ELSE @ID; IF @1 MATCHES '2A0X' THEN @1[1,2] ELSE @1[1,1]</t>
  </si>
  <si>
    <t>TANK.PREFIX</t>
  </si>
  <si>
    <t>IF @ID[1,3] = 'SW*' THEN 'SW' ELSE @ID</t>
  </si>
  <si>
    <t>TANK.NOS</t>
  </si>
  <si>
    <t>LEN(@ID)</t>
  </si>
  <si>
    <t>TANK.LEN</t>
  </si>
  <si>
    <t>IF @ID[1,3] = 'SW*' THEN '' ELSE</t>
  </si>
  <si>
    <t>TANK.ID.SEQ</t>
  </si>
  <si>
    <t>TANK. HIST</t>
  </si>
  <si>
    <t>TRANS(TANK.HIST,@ID,CNOTE,'X');FIELD(@,@VM,1,10)</t>
  </si>
  <si>
    <t>TANK.HIST10</t>
  </si>
  <si>
    <t>Tank Height</t>
  </si>
  <si>
    <t>TRANS(DIPTABLE,TTABLE,DIPMAX,'X');DCAP;DIPUOM; IF @1 LT 99999 AND @1 NE @2 AND @3 =</t>
  </si>
  <si>
    <t>TANK.HEIGHT</t>
  </si>
  <si>
    <t>Tank Form Description used in PS.TANK.SELECTION</t>
  </si>
  <si>
    <t>Tank Form Description</t>
  </si>
  <si>
    <t>TRANS(TANK.FORM,TANK.FORMS,DESC,'X')</t>
  </si>
  <si>
    <t>TANK.FORM.DESCS</t>
  </si>
  <si>
    <t>TRANS(TANK.FORM,TANK.FORM,DESC,'X')</t>
  </si>
  <si>
    <t>TANK.FORM.DESC</t>
  </si>
  <si>
    <t>Time when tank is next filled</t>
  </si>
  <si>
    <t>MT</t>
  </si>
  <si>
    <t>SUBR(SUBR.PENBW:'TANK.AVAIL.ON',TASCNOTES.MRDATE,TASCNOTES.MRTIME,TASCNOTES.MTVOLA,'</t>
  </si>
  <si>
    <t>TANK.FILL.TIME</t>
  </si>
  <si>
    <t>Date when tank is next filled</t>
  </si>
  <si>
    <t>TANK.FILL.DATE</t>
  </si>
  <si>
    <t>Time when tank is next empty</t>
  </si>
  <si>
    <t>SUBR(SUBR.PENBW:'TANK.AVAIL.ON',TASCNOTES.MRDATE,TASCNOTES.MRTIME,TASCNOTES.MFVOLA,'</t>
  </si>
  <si>
    <t>TANK.EMPTY.TIME</t>
  </si>
  <si>
    <t>Date when tank is next empty</t>
  </si>
  <si>
    <t>TANK.EMPTY.DATE</t>
  </si>
  <si>
    <t>Tank Diameter</t>
  </si>
  <si>
    <t>TRANS(DIPTABLE,TTABLE,BRL.DIAM,'X');IF @1 = 0 THEN '' ELSE @1/100</t>
  </si>
  <si>
    <t>TANK.DIAM</t>
  </si>
  <si>
    <t>FIELD(@ID,'*',1)</t>
  </si>
  <si>
    <t>TANK.DELETED</t>
  </si>
  <si>
    <t>TANK.CODE</t>
  </si>
  <si>
    <t>Number of tanks in PS.TANK.SELECTION</t>
  </si>
  <si>
    <t>#</t>
  </si>
  <si>
    <t>DCOUNT(TANK.LIST,@VM)</t>
  </si>
  <si>
    <t>TANK.CNT</t>
  </si>
  <si>
    <t>TANK.AVAIL.ON</t>
  </si>
  <si>
    <t>1st Character of tank code denotes its account</t>
  </si>
  <si>
    <t>IF FIELD(@ID,'*',1) # 'SW' THEN TRANS(FIN.WH.CODE,@ID[1,1],ACC,'X') ELSE ''</t>
  </si>
  <si>
    <t>TANK.ACC</t>
  </si>
  <si>
    <t>Last three ANIONS results</t>
  </si>
  <si>
    <t>ANIONSLAST3</t>
  </si>
  <si>
    <t>SUBR("*GCAZ206","140/6/L3")</t>
  </si>
  <si>
    <t>TANIONSLAST3</t>
  </si>
  <si>
    <t>Last three ANIONS dates</t>
  </si>
  <si>
    <t>SUBR("*GCAZ206","140DL3")</t>
  </si>
  <si>
    <t>TANIONSDLAST3</t>
  </si>
  <si>
    <t>Reg. Date of ANIONS reading</t>
  </si>
  <si>
    <t>ANIONS</t>
  </si>
  <si>
    <t>SUBR("*GCAZ206","140G")</t>
  </si>
  <si>
    <t>TANIONSDATEREG</t>
  </si>
  <si>
    <t>Date of ANIONS reading</t>
  </si>
  <si>
    <t>SUBR("*GCAZ206","140D")</t>
  </si>
  <si>
    <t>TANIONSDATE</t>
  </si>
  <si>
    <t>All ANIONS Dates</t>
  </si>
  <si>
    <t>ANIONSALL</t>
  </si>
  <si>
    <t>SUBR("*GCAZ206","140DA")</t>
  </si>
  <si>
    <t>TANIONSDALL</t>
  </si>
  <si>
    <t>All ANIONS Results</t>
  </si>
  <si>
    <t>SUBR("*GCAZ206","140RA")</t>
  </si>
  <si>
    <t>TANIONSALL</t>
  </si>
  <si>
    <t>Locate ANIONS Reading from Chemistry</t>
  </si>
  <si>
    <t>SUBR("*GCAI714",TREADINGNO,TREADVALUE,"140")</t>
  </si>
  <si>
    <t>TANIONS</t>
  </si>
  <si>
    <t>Last three Alpha results</t>
  </si>
  <si>
    <t>ALPHALAST3</t>
  </si>
  <si>
    <t>SUBR("*GCAZ206","86/6/L3")</t>
  </si>
  <si>
    <t>TALPHALAST3</t>
  </si>
  <si>
    <t>Last three Alpha dates</t>
  </si>
  <si>
    <t>SUBR("*GCAZ206","86DL3")</t>
  </si>
  <si>
    <t>TALPHADLAST3</t>
  </si>
  <si>
    <t>Reg. Date of Alpha reading</t>
  </si>
  <si>
    <t>Alpha</t>
  </si>
  <si>
    <t>SUBR("*GCAZ206","86G")</t>
  </si>
  <si>
    <t>TALPHADATEREG</t>
  </si>
  <si>
    <t>Date of Alpha reading</t>
  </si>
  <si>
    <t>SUBR("*GCAZ206","86D")</t>
  </si>
  <si>
    <t>TALPHADATE</t>
  </si>
  <si>
    <t>All Alpha Dates</t>
  </si>
  <si>
    <t>ALPHAALL</t>
  </si>
  <si>
    <t>SUBR("*GCAZ206","86DA")</t>
  </si>
  <si>
    <t>TALPHADALL</t>
  </si>
  <si>
    <t>All Alpha Results</t>
  </si>
  <si>
    <t>SUBR("*GCAZ206","86RA")</t>
  </si>
  <si>
    <t>TALPHAALL</t>
  </si>
  <si>
    <t>Locate Alpha Reading from Chemistry</t>
  </si>
  <si>
    <t>SUBR("*GCAI714",TREADINGNO,TREADVALUE,"86")</t>
  </si>
  <si>
    <t>TALPHA</t>
  </si>
  <si>
    <t>Last three Al results</t>
  </si>
  <si>
    <t>ALLAST3</t>
  </si>
  <si>
    <t>SUBR("*GCAZ206","189/6/L3")</t>
  </si>
  <si>
    <t>TALLAST3</t>
  </si>
  <si>
    <t>Last three Al dates</t>
  </si>
  <si>
    <t>SUBR("*GCAZ206","189DL3")</t>
  </si>
  <si>
    <t>TALDLAST3</t>
  </si>
  <si>
    <t>Last three ALD dates</t>
  </si>
  <si>
    <t>ALDLAST3</t>
  </si>
  <si>
    <t>SUBR("*GCAZ206","37DL3")</t>
  </si>
  <si>
    <t>TALDDLAST3</t>
  </si>
  <si>
    <t>Reg. Date of ALD reading</t>
  </si>
  <si>
    <t>ALD</t>
  </si>
  <si>
    <t>SUBR("*GCAZ206","37G")</t>
  </si>
  <si>
    <t>TALDDATEREG</t>
  </si>
  <si>
    <t>Date of ALD reading</t>
  </si>
  <si>
    <t>SUBR("*GCAZ206","37D")</t>
  </si>
  <si>
    <t>TALDDATE</t>
  </si>
  <si>
    <t>All ALD Dates</t>
  </si>
  <si>
    <t>ALDALL</t>
  </si>
  <si>
    <t>SUBR("*GCAZ206","37DA")</t>
  </si>
  <si>
    <t>TALDDALL</t>
  </si>
  <si>
    <t>Reg. Date of Al reading</t>
  </si>
  <si>
    <t>Al</t>
  </si>
  <si>
    <t>SUBR("*GCAZ206","189G")</t>
  </si>
  <si>
    <t>TALDATEREG</t>
  </si>
  <si>
    <t>Date of Al reading</t>
  </si>
  <si>
    <t>SUBR("*GCAZ206","189D")</t>
  </si>
  <si>
    <t>TALDATE</t>
  </si>
  <si>
    <t>All Al Dates</t>
  </si>
  <si>
    <t>ALALL</t>
  </si>
  <si>
    <t>SUBR("*GCAZ206","189DA")</t>
  </si>
  <si>
    <t>TALDALL</t>
  </si>
  <si>
    <t>Locate ALD Reading from Chemistry</t>
  </si>
  <si>
    <t>SUBR("*GCAI714",TREADINGNO,TREADVALUE,"37")</t>
  </si>
  <si>
    <t>TALD</t>
  </si>
  <si>
    <t>Last three AlcTop results</t>
  </si>
  <si>
    <t>ALCTOPLAST3</t>
  </si>
  <si>
    <t>SUBR("*GCAZ206","191/6/L3")</t>
  </si>
  <si>
    <t>TALCTOPLAST3</t>
  </si>
  <si>
    <t>Last three AlcTop dates</t>
  </si>
  <si>
    <t>SUBR("*GCAZ206","191DL3")</t>
  </si>
  <si>
    <t>TALCTOPDLAST3</t>
  </si>
  <si>
    <t>Reg. Date of AlcTop reading</t>
  </si>
  <si>
    <t>AlcTop</t>
  </si>
  <si>
    <t>SUBR("*GCAZ206","191G")</t>
  </si>
  <si>
    <t>TALCTOPDATEREG</t>
  </si>
  <si>
    <t>Date of AlcTop reading</t>
  </si>
  <si>
    <t>SUBR("*GCAZ206","191D")</t>
  </si>
  <si>
    <t>TALCTOPDATE</t>
  </si>
  <si>
    <t>All AlcTop Dates</t>
  </si>
  <si>
    <t>ALCTOPALL</t>
  </si>
  <si>
    <t>SUBR("*GCAZ206","191DA")</t>
  </si>
  <si>
    <t>TALCTOPDALL</t>
  </si>
  <si>
    <t>All AlcTop Results</t>
  </si>
  <si>
    <t>SUBR("*GCAZ206","191RA")</t>
  </si>
  <si>
    <t>TALCTOPALL</t>
  </si>
  <si>
    <t>Locate AlcTop Reading from Chemistry</t>
  </si>
  <si>
    <t>SUBR("*GCAI714",TREADINGNO,TREADVALUE,"191")</t>
  </si>
  <si>
    <t>TALCTOP</t>
  </si>
  <si>
    <t>Last three ALC/LC results</t>
  </si>
  <si>
    <t>ALCLCLAST3</t>
  </si>
  <si>
    <t>SUBR("*GCAZ206","139/6/L3")</t>
  </si>
  <si>
    <t>TALCLCLAST3</t>
  </si>
  <si>
    <t>Last three ALC/LC dates</t>
  </si>
  <si>
    <t>SUBR("*GCAZ206","139DL3")</t>
  </si>
  <si>
    <t>TALCLCDLAST3</t>
  </si>
  <si>
    <t>Reg. Date of ALC/LC reading</t>
  </si>
  <si>
    <t>ALC/LC</t>
  </si>
  <si>
    <t>SUBR("*GCAZ206","139G")</t>
  </si>
  <si>
    <t>TALCLCDATEREG</t>
  </si>
  <si>
    <t>Date of ALC/LC reading</t>
  </si>
  <si>
    <t>SUBR("*GCAZ206","139D")</t>
  </si>
  <si>
    <t>TALCLCDATE</t>
  </si>
  <si>
    <t>All ALC/LC Dates</t>
  </si>
  <si>
    <t>ALCLCALL</t>
  </si>
  <si>
    <t>SUBR("*GCAZ206","139DA")</t>
  </si>
  <si>
    <t>TALCLCDALL</t>
  </si>
  <si>
    <t>All ALC/LC Results</t>
  </si>
  <si>
    <t>SUBR("*GCAZ206","139RA")</t>
  </si>
  <si>
    <t>TALCLCALL</t>
  </si>
  <si>
    <t>Locate ALC/LC Reading from Chemistry</t>
  </si>
  <si>
    <t>SUBR("*GCAI714",TREADINGNO,TREADVALUE,"139")</t>
  </si>
  <si>
    <t>TALCLC</t>
  </si>
  <si>
    <t>Last three Alc results</t>
  </si>
  <si>
    <t>ALCLAST3</t>
  </si>
  <si>
    <t>SUBR("*GCAZ206","5/6/L3")</t>
  </si>
  <si>
    <t>TALCLAST3</t>
  </si>
  <si>
    <t>Last three ALC/IN results</t>
  </si>
  <si>
    <t>ALCINLAST3</t>
  </si>
  <si>
    <t>SUBR("*GCAZ206","135/6/L3")</t>
  </si>
  <si>
    <t>TALCINLAST3</t>
  </si>
  <si>
    <t>Last three ALC/IN dates</t>
  </si>
  <si>
    <t>SUBR("*GCAZ206","135DL3")</t>
  </si>
  <si>
    <t>TALCINDLAST3</t>
  </si>
  <si>
    <t>Reg. Date of ALC/IN reading</t>
  </si>
  <si>
    <t>ALC/IN</t>
  </si>
  <si>
    <t>SUBR("*GCAZ206","135G")</t>
  </si>
  <si>
    <t>TALCINDATEREG</t>
  </si>
  <si>
    <t>Date of ALC/IN reading</t>
  </si>
  <si>
    <t>SUBR("*GCAZ206","135D")</t>
  </si>
  <si>
    <t>TALCINDATE</t>
  </si>
  <si>
    <t>All ALC/IN Dates</t>
  </si>
  <si>
    <t>ALCINALL</t>
  </si>
  <si>
    <t>SUBR("*GCAZ206","135DA")</t>
  </si>
  <si>
    <t>TALCINDALL</t>
  </si>
  <si>
    <t>All ALC/IN Results</t>
  </si>
  <si>
    <t>SUBR("*GCAZ206","135RA")</t>
  </si>
  <si>
    <t>TALCINALL</t>
  </si>
  <si>
    <t>Locate ALC/IN Reading from Chemistry</t>
  </si>
  <si>
    <t>SUBR("*GCAI714",TREADINGNO,TREADVALUE,"135")</t>
  </si>
  <si>
    <t>TALCIN</t>
  </si>
  <si>
    <t>Last three ALC/GC results</t>
  </si>
  <si>
    <t>ALCGCLAST3</t>
  </si>
  <si>
    <t>SUBR("*GCAZ206","134/6/L3")</t>
  </si>
  <si>
    <t>TALCGCLAST3</t>
  </si>
  <si>
    <t>Last three ALC/GC dates</t>
  </si>
  <si>
    <t>SUBR("*GCAZ206","134DL3")</t>
  </si>
  <si>
    <t>TALCGCDLAST3</t>
  </si>
  <si>
    <t>Reg. Date of ALC/GC reading</t>
  </si>
  <si>
    <t>ALC/GC</t>
  </si>
  <si>
    <t>SUBR("*GCAZ206","134G")</t>
  </si>
  <si>
    <t>TALCGCDATEREG</t>
  </si>
  <si>
    <t>Date of ALC/GC reading</t>
  </si>
  <si>
    <t>SUBR("*GCAZ206","134D")</t>
  </si>
  <si>
    <t>TALCGCDATE</t>
  </si>
  <si>
    <t>All ALC/GC Dates</t>
  </si>
  <si>
    <t>ALCGCALL</t>
  </si>
  <si>
    <t>SUBR("*GCAZ206","134DA")</t>
  </si>
  <si>
    <t>TALCGCDALL</t>
  </si>
  <si>
    <t>All ALC/GC Results</t>
  </si>
  <si>
    <t>SUBR("*GCAZ206","134RA")</t>
  </si>
  <si>
    <t>TALCGCALL</t>
  </si>
  <si>
    <t>Locate ALC/GC Reading from Chemistry</t>
  </si>
  <si>
    <t>SUBR("*GCAI714",TREADINGNO,TREADVALUE,"134")</t>
  </si>
  <si>
    <t>TALCGC</t>
  </si>
  <si>
    <t>Last three ALC/D results</t>
  </si>
  <si>
    <t>ALCDLAST3</t>
  </si>
  <si>
    <t>SUBR("*GCAZ206","137/6/L3")</t>
  </si>
  <si>
    <t>TALCDLAST3</t>
  </si>
  <si>
    <t>Last three ALC/D dates</t>
  </si>
  <si>
    <t>SUBR("*GCAZ206","137DL3")</t>
  </si>
  <si>
    <t>TALCDDLAST3</t>
  </si>
  <si>
    <t>Reg. Date of ALC/D reading</t>
  </si>
  <si>
    <t>ALC/D</t>
  </si>
  <si>
    <t>SUBR("*GCAZ206","137G")</t>
  </si>
  <si>
    <t>TALCDDATEREG</t>
  </si>
  <si>
    <t>Date of ALC/D reading</t>
  </si>
  <si>
    <t>SUBR("*GCAZ206","137D")</t>
  </si>
  <si>
    <t>TALCDDATE</t>
  </si>
  <si>
    <t>All ALC/D Dates</t>
  </si>
  <si>
    <t>ALCDALL</t>
  </si>
  <si>
    <t>SUBR("*GCAZ206","137DA")</t>
  </si>
  <si>
    <t>TALCDDALL</t>
  </si>
  <si>
    <t>Reg. Date of Alc reading</t>
  </si>
  <si>
    <t>Alc</t>
  </si>
  <si>
    <t>SUBR("*GCAZ206","5G")</t>
  </si>
  <si>
    <t>TALCDATEREG</t>
  </si>
  <si>
    <t>Date of Alc reading</t>
  </si>
  <si>
    <t>SUBR("*GCAZ206","5D")</t>
  </si>
  <si>
    <t>TALCDATE</t>
  </si>
  <si>
    <t>All ALC/D Results</t>
  </si>
  <si>
    <t>SUBR("*GCAZ206","137RA")</t>
  </si>
  <si>
    <t>TALCDALL</t>
  </si>
  <si>
    <t>Locate ALC/D Reading from Chemistry</t>
  </si>
  <si>
    <t>SUBR("*GCAI714",TREADINGNO,TREADVALUE,"137")</t>
  </si>
  <si>
    <t>TALCD</t>
  </si>
  <si>
    <t>All Alc Results</t>
  </si>
  <si>
    <t>ALCALL</t>
  </si>
  <si>
    <t>SUBR("*GCAZ206","5RA")</t>
  </si>
  <si>
    <t>TALCALL</t>
  </si>
  <si>
    <t>Locate Alc Reading from Chemistry</t>
  </si>
  <si>
    <t>SUBR("*GCAI714",TREADINGNO,TREADVALUE,"5")</t>
  </si>
  <si>
    <t>TALC</t>
  </si>
  <si>
    <t>All Al Results</t>
  </si>
  <si>
    <t>SUBR("*GCAZ206","189RA")</t>
  </si>
  <si>
    <t>TALALL</t>
  </si>
  <si>
    <t>Locate Al Reading from Chemistry</t>
  </si>
  <si>
    <t>SUBR("*GCAI714",TREADINGNO,TREADVALUE,"189")</t>
  </si>
  <si>
    <t>TAL</t>
  </si>
  <si>
    <t>Activity Status Description - heading on single line</t>
  </si>
  <si>
    <t>Activity Status</t>
  </si>
  <si>
    <t>IF TACTIV = 'D' THEN 'De-activated' ELSE 'Active'</t>
  </si>
  <si>
    <t>TACTIV.DESC1</t>
  </si>
  <si>
    <t>Activity Status Description</t>
  </si>
  <si>
    <t>Activity</t>
  </si>
  <si>
    <t>TACTIV.DESC</t>
  </si>
  <si>
    <t>Calculate Actual Strength</t>
  </si>
  <si>
    <t>ACT</t>
  </si>
  <si>
    <t>TSTR + THYD</t>
  </si>
  <si>
    <t>TACT.STR</t>
  </si>
  <si>
    <t>A/C NO</t>
  </si>
  <si>
    <t>SUBR("*PBWZ200",TBLEND,TSTATUS,"ACNO")</t>
  </si>
  <si>
    <t>TACNO</t>
  </si>
  <si>
    <t>Last three Acetic results</t>
  </si>
  <si>
    <t>ACETICLAST3</t>
  </si>
  <si>
    <t>SUBR("*GCAZ206","87/6/L3")</t>
  </si>
  <si>
    <t>TACETICLAST3</t>
  </si>
  <si>
    <t>Last three Acetic dates</t>
  </si>
  <si>
    <t>SUBR("*GCAZ206","87DL3")</t>
  </si>
  <si>
    <t>TACETICDLAST3</t>
  </si>
  <si>
    <t>Reg. Date of Acetic reading</t>
  </si>
  <si>
    <t>Acetic</t>
  </si>
  <si>
    <t>SUBR("*GCAZ206","87G")</t>
  </si>
  <si>
    <t>TACETICDATEREG</t>
  </si>
  <si>
    <t>Date of Acetic reading</t>
  </si>
  <si>
    <t>SUBR("*GCAZ206","87D")</t>
  </si>
  <si>
    <t>TACETICDATE</t>
  </si>
  <si>
    <t>All Acetic Dates</t>
  </si>
  <si>
    <t>ACETICALL</t>
  </si>
  <si>
    <t>SUBR("*GCAZ206","87DA")</t>
  </si>
  <si>
    <t>TACETICDALL</t>
  </si>
  <si>
    <t>All Acetic Results</t>
  </si>
  <si>
    <t>SUBR("*GCAZ206","87RA")</t>
  </si>
  <si>
    <t>TACETICALL</t>
  </si>
  <si>
    <t>Locate Acetic Reading from Chemistry</t>
  </si>
  <si>
    <t>SUBR("*GCAI714",TREADINGNO,TREADVALUE,"87")</t>
  </si>
  <si>
    <t>TACETIC</t>
  </si>
  <si>
    <t>Last three Acetat results</t>
  </si>
  <si>
    <t>ACETATLAST3</t>
  </si>
  <si>
    <t>SUBR("*GCAZ206","19/6/L3")</t>
  </si>
  <si>
    <t>TACETATLAST3</t>
  </si>
  <si>
    <t>Last three Acetat dates</t>
  </si>
  <si>
    <t>SUBR("*GCAZ206","19DL3")</t>
  </si>
  <si>
    <t>TACETATDLAST3</t>
  </si>
  <si>
    <t>Reg. Date of Acetat reading</t>
  </si>
  <si>
    <t>Acetat</t>
  </si>
  <si>
    <t>SUBR("*GCAZ206","19G")</t>
  </si>
  <si>
    <t>TACETATDATEREG</t>
  </si>
  <si>
    <t>Date of Acetat reading</t>
  </si>
  <si>
    <t>SUBR("*GCAZ206","19D")</t>
  </si>
  <si>
    <t>TACETATDATE</t>
  </si>
  <si>
    <t>All Acetat Dates</t>
  </si>
  <si>
    <t>ACETATALL</t>
  </si>
  <si>
    <t>SUBR("*GCAZ206","19DA")</t>
  </si>
  <si>
    <t>TACETATDALL</t>
  </si>
  <si>
    <t>All Acetat Results</t>
  </si>
  <si>
    <t>SUBR("*GCAZ206","19RA")</t>
  </si>
  <si>
    <t>TACETATALL</t>
  </si>
  <si>
    <t>Locate Acetat Reading from Chemistry</t>
  </si>
  <si>
    <t>SUBR("*GCAI714",TREADINGNO,TREADVALUE,"19")</t>
  </si>
  <si>
    <t>TACETAT</t>
  </si>
  <si>
    <t>Test</t>
  </si>
  <si>
    <t>TABTEST</t>
  </si>
  <si>
    <t>IF INDEX(TREADVALUE, CHAR(9), 1) THEN "*" ELSE ""</t>
  </si>
  <si>
    <t>Absolute Volume - Subroutine call for calculation of Volume from Dip</t>
  </si>
  <si>
    <t>TABS.VOLUME</t>
  </si>
  <si>
    <t>Last three AAN results</t>
  </si>
  <si>
    <t>AANLAST3</t>
  </si>
  <si>
    <t>SUBR("*GCAZ206","144/6/L3")</t>
  </si>
  <si>
    <t>TAANLAST3</t>
  </si>
  <si>
    <t>Last three AAN dates</t>
  </si>
  <si>
    <t>SUBR("*GCAZ206","144DL3")</t>
  </si>
  <si>
    <t>TAANDLAST3</t>
  </si>
  <si>
    <t>Reg. Date of AAN reading</t>
  </si>
  <si>
    <t>AAN</t>
  </si>
  <si>
    <t>SUBR("*GCAZ206","144G")</t>
  </si>
  <si>
    <t>TAANDATEREG</t>
  </si>
  <si>
    <t>Date of AAN reading</t>
  </si>
  <si>
    <t>SUBR("*GCAZ206","144D")</t>
  </si>
  <si>
    <t>TAANDATE</t>
  </si>
  <si>
    <t>All AAN Dates</t>
  </si>
  <si>
    <t>AANALL</t>
  </si>
  <si>
    <t>SUBR("*GCAZ206","144DA")</t>
  </si>
  <si>
    <t>TAANDALL</t>
  </si>
  <si>
    <t>All AAN Results</t>
  </si>
  <si>
    <t>SUBR("*GCAZ206","144RA")</t>
  </si>
  <si>
    <t>TAANALL</t>
  </si>
  <si>
    <t>Locate AAN Reading from Chemistry</t>
  </si>
  <si>
    <t>SUBR("*GCAI714",TREADINGNO,TREADVALUE,"144")</t>
  </si>
  <si>
    <t>TAAN</t>
  </si>
  <si>
    <t>Last three A620 results</t>
  </si>
  <si>
    <t>A620LAST3</t>
  </si>
  <si>
    <t>SUBR("*GCAZ206","190/6/L3")</t>
  </si>
  <si>
    <t>TA620LAST3</t>
  </si>
  <si>
    <t>Last three A620 dates</t>
  </si>
  <si>
    <t>SUBR("*GCAZ206","190DL3")</t>
  </si>
  <si>
    <t>TA620DLAST3</t>
  </si>
  <si>
    <t>Reg. Date of A620 reading</t>
  </si>
  <si>
    <t>A620</t>
  </si>
  <si>
    <t>SUBR("*GCAZ206","190G")</t>
  </si>
  <si>
    <t>TA620DATEREG</t>
  </si>
  <si>
    <t>Date of A620 reading</t>
  </si>
  <si>
    <t>SUBR("*GCAZ206","190D")</t>
  </si>
  <si>
    <t>TA620DATE</t>
  </si>
  <si>
    <t>All A620 Dates</t>
  </si>
  <si>
    <t>A620ALL</t>
  </si>
  <si>
    <t>SUBR("*GCAZ206","190DA")</t>
  </si>
  <si>
    <t>TA620DALL</t>
  </si>
  <si>
    <t>All A620 Results</t>
  </si>
  <si>
    <t>SUBR("*GCAZ206","190RA")</t>
  </si>
  <si>
    <t>TA620ALL</t>
  </si>
  <si>
    <t>Locate A620 Reading from Chemistry</t>
  </si>
  <si>
    <t>SUBR("*GCAI714",TREADINGNO,TREADVALUE,"190")</t>
  </si>
  <si>
    <t>TA620</t>
  </si>
  <si>
    <t>Last three A520 results</t>
  </si>
  <si>
    <t>A520LAST3</t>
  </si>
  <si>
    <t>SUBR("*GCAZ206","39/6/L3")</t>
  </si>
  <si>
    <t>TA520LAST3</t>
  </si>
  <si>
    <t>Last three A520 dates</t>
  </si>
  <si>
    <t>SUBR("*GCAZ206","39DL3")</t>
  </si>
  <si>
    <t>TA520DLAST3</t>
  </si>
  <si>
    <t>Reg. Date of A520 reading</t>
  </si>
  <si>
    <t>A520</t>
  </si>
  <si>
    <t>SUBR("*GCAZ206","39G")</t>
  </si>
  <si>
    <t>TA520DATEREG</t>
  </si>
  <si>
    <t>Date of A520 reading</t>
  </si>
  <si>
    <t>SUBR("*GCAZ206","39D")</t>
  </si>
  <si>
    <t>TA520DATE</t>
  </si>
  <si>
    <t>All A520 Dates</t>
  </si>
  <si>
    <t>A520ALL</t>
  </si>
  <si>
    <t>SUBR("*GCAZ206","39DA")</t>
  </si>
  <si>
    <t>TA520DALL</t>
  </si>
  <si>
    <t>All A520 Results</t>
  </si>
  <si>
    <t>SUBR("*GCAZ206","39RA")</t>
  </si>
  <si>
    <t>TA520ALL</t>
  </si>
  <si>
    <t>Locate A520 Reading from Chemistry</t>
  </si>
  <si>
    <t>SUBR("*GCAI714",TREADINGNO,TREADVALUE,"39")</t>
  </si>
  <si>
    <t>TA520</t>
  </si>
  <si>
    <t>Last three A500 results</t>
  </si>
  <si>
    <t>A500LAST3</t>
  </si>
  <si>
    <t>SUBR("*GCAZ206","40/6/L3")</t>
  </si>
  <si>
    <t>TA500LAST3</t>
  </si>
  <si>
    <t>Last three A500 dates</t>
  </si>
  <si>
    <t>SUBR("*GCAZ206","40DL3")</t>
  </si>
  <si>
    <t>TA500DLAST3</t>
  </si>
  <si>
    <t>Reg. Date of A500 reading</t>
  </si>
  <si>
    <t>A500</t>
  </si>
  <si>
    <t>SUBR("*GCAZ206","40G")</t>
  </si>
  <si>
    <t>TA500DATEREG</t>
  </si>
  <si>
    <t>Date of A500 reading</t>
  </si>
  <si>
    <t>SUBR("*GCAZ206","40D")</t>
  </si>
  <si>
    <t>TA500DATE</t>
  </si>
  <si>
    <t>All A500 Dates</t>
  </si>
  <si>
    <t>A500ALL</t>
  </si>
  <si>
    <t>SUBR("*GCAZ206","40DA")</t>
  </si>
  <si>
    <t>TA500DALL</t>
  </si>
  <si>
    <t>All A500 Results</t>
  </si>
  <si>
    <t>SUBR("*GCAZ206","40RA")</t>
  </si>
  <si>
    <t>TA500ALL</t>
  </si>
  <si>
    <t>Locate A500 Reading from Chemistry</t>
  </si>
  <si>
    <t>SUBR("*GCAI714",TREADINGNO,TREADVALUE,"40")</t>
  </si>
  <si>
    <t>TA500</t>
  </si>
  <si>
    <t>Last three A430 results</t>
  </si>
  <si>
    <t>A430LAST3</t>
  </si>
  <si>
    <t>SUBR("*GCAZ206","127/6/L3")</t>
  </si>
  <si>
    <t>TA430LAST3</t>
  </si>
  <si>
    <t>Last three A430 dates</t>
  </si>
  <si>
    <t>SUBR("*GCAZ206","127DL3")</t>
  </si>
  <si>
    <t>TA430DLAST3</t>
  </si>
  <si>
    <t>Reg. Date of A430 reading</t>
  </si>
  <si>
    <t>A430</t>
  </si>
  <si>
    <t>SUBR("*GCAZ206","127G")</t>
  </si>
  <si>
    <t>TA430DATEREG</t>
  </si>
  <si>
    <t>Date of A430 reading</t>
  </si>
  <si>
    <t>SUBR("*GCAZ206","127D")</t>
  </si>
  <si>
    <t>TA430DATE</t>
  </si>
  <si>
    <t>All A430 Dates</t>
  </si>
  <si>
    <t>A430ALL</t>
  </si>
  <si>
    <t>SUBR("*GCAZ206","127DA")</t>
  </si>
  <si>
    <t>TA430DALL</t>
  </si>
  <si>
    <t>All A430 Results</t>
  </si>
  <si>
    <t>SUBR("*GCAZ206","127RA")</t>
  </si>
  <si>
    <t>TA430ALL</t>
  </si>
  <si>
    <t>Locate A430 Reading from Chemistry</t>
  </si>
  <si>
    <t>SUBR("*GCAI714",TREADINGNO,TREADVALUE,"127")</t>
  </si>
  <si>
    <t>TA430</t>
  </si>
  <si>
    <t>Last three A420 results</t>
  </si>
  <si>
    <t>A420LAST3</t>
  </si>
  <si>
    <t>SUBR("*GCAZ206","38/6/L3")</t>
  </si>
  <si>
    <t>TA420LAST3</t>
  </si>
  <si>
    <t>Last three A420 dates</t>
  </si>
  <si>
    <t>SUBR("*GCAZ206","38DL3")</t>
  </si>
  <si>
    <t>TA420DLAST3</t>
  </si>
  <si>
    <t>Reg. Date of A420 reading</t>
  </si>
  <si>
    <t>A420</t>
  </si>
  <si>
    <t>SUBR("*GCAZ206","38G")</t>
  </si>
  <si>
    <t>TA420DATEREG</t>
  </si>
  <si>
    <t>Date of A420 reading</t>
  </si>
  <si>
    <t>SUBR("*GCAZ206","38D")</t>
  </si>
  <si>
    <t>TA420DATE</t>
  </si>
  <si>
    <t>All A420 Dates</t>
  </si>
  <si>
    <t>A420ALL</t>
  </si>
  <si>
    <t>SUBR("*GCAZ206","38DA")</t>
  </si>
  <si>
    <t>TA420DALL</t>
  </si>
  <si>
    <t>All A420 Results</t>
  </si>
  <si>
    <t>SUBR("*GCAZ206","38RA")</t>
  </si>
  <si>
    <t>TA420ALL</t>
  </si>
  <si>
    <t>Locate A420 Reading from Chemistry</t>
  </si>
  <si>
    <t>SUBR("*GCAI714",TREADINGNO,TREADVALUE,"38")</t>
  </si>
  <si>
    <t>TA420</t>
  </si>
  <si>
    <t>Last three A280 results</t>
  </si>
  <si>
    <t>A280LAST3</t>
  </si>
  <si>
    <t>SUBR("*GCAZ206","126/6/L3")</t>
  </si>
  <si>
    <t>TA280LAST3</t>
  </si>
  <si>
    <t>Last three A280 dates</t>
  </si>
  <si>
    <t>SUBR("*GCAZ206","126DL3")</t>
  </si>
  <si>
    <t>TA280DLAST3</t>
  </si>
  <si>
    <t>Reg. Date of A280 reading</t>
  </si>
  <si>
    <t>A280</t>
  </si>
  <si>
    <t>SUBR("*GCAZ206","126G")</t>
  </si>
  <si>
    <t>TA280DATEREG</t>
  </si>
  <si>
    <t>Date of A280 reading</t>
  </si>
  <si>
    <t>SUBR("*GCAZ206","126D")</t>
  </si>
  <si>
    <t>TA280DATE</t>
  </si>
  <si>
    <t>All A280 Dates</t>
  </si>
  <si>
    <t>A280ALL</t>
  </si>
  <si>
    <t>SUBR("*GCAZ206","126DA")</t>
  </si>
  <si>
    <t>TA280DALL</t>
  </si>
  <si>
    <t>All A280 Results</t>
  </si>
  <si>
    <t>SUBR("*GCAZ206","126RA")</t>
  </si>
  <si>
    <t>TA280ALL</t>
  </si>
  <si>
    <t>Locate A280 Reading from Chemistry</t>
  </si>
  <si>
    <t>SUBR("*GCAI714",TREADINGNO,TREADVALUE,"126")</t>
  </si>
  <si>
    <t>TA280</t>
  </si>
  <si>
    <t>Last three 4MG results</t>
  </si>
  <si>
    <t>4MGLAST3</t>
  </si>
  <si>
    <t>SUBR("*GCAZ206","194/6/L3")</t>
  </si>
  <si>
    <t>T4MGLAST3</t>
  </si>
  <si>
    <t>Last three 4MG dates</t>
  </si>
  <si>
    <t>SUBR("*GCAZ206","194DL3")</t>
  </si>
  <si>
    <t>T4MGDLAST3</t>
  </si>
  <si>
    <t>Reg. Date of 4MG reading</t>
  </si>
  <si>
    <t>4MG</t>
  </si>
  <si>
    <t>SUBR("*GCAZ206","194G")</t>
  </si>
  <si>
    <t>T4MGDATEREG</t>
  </si>
  <si>
    <t>Date of 4MG reading</t>
  </si>
  <si>
    <t>SUBR("*GCAZ206","194D")</t>
  </si>
  <si>
    <t>T4MGDATE</t>
  </si>
  <si>
    <t>All 4MG Dates</t>
  </si>
  <si>
    <t>4MGALL</t>
  </si>
  <si>
    <t>SUBR("*GCAZ206","194DA")</t>
  </si>
  <si>
    <t>T4MGDALL</t>
  </si>
  <si>
    <t>All 4MG Results</t>
  </si>
  <si>
    <t>SUBR("*GCAZ206","194RA")</t>
  </si>
  <si>
    <t>T4MGALL</t>
  </si>
  <si>
    <t>Locate 4MG Reading from Chemistry</t>
  </si>
  <si>
    <t>SUBR("*GCAI714",TREADINGNO,TREADVALUE,"194")</t>
  </si>
  <si>
    <t>T4MG</t>
  </si>
  <si>
    <t>Short IDs for Last three 4EP results</t>
  </si>
  <si>
    <t>4EPLAST3</t>
  </si>
  <si>
    <t>Short ID for</t>
  </si>
  <si>
    <t>SUBR(SUBR.PENBW:"PBWZ206","149/28/L3")</t>
  </si>
  <si>
    <t>T4EPLAST3SID</t>
  </si>
  <si>
    <t>Last three 4EP results</t>
  </si>
  <si>
    <t>SUBR("*GCAZ206","149/6/L3")</t>
  </si>
  <si>
    <t>T4EPLAST3</t>
  </si>
  <si>
    <t>Last three 4EP dates</t>
  </si>
  <si>
    <t>SUBR("*GCAZ206","149DL3")</t>
  </si>
  <si>
    <t>T4EPDLAST3</t>
  </si>
  <si>
    <t>Reg. Date of 4EP reading</t>
  </si>
  <si>
    <t>4EP</t>
  </si>
  <si>
    <t>SUBR("*GCAZ206","149G")</t>
  </si>
  <si>
    <t>T4EPDATEREG</t>
  </si>
  <si>
    <t>Date of 4EP reading</t>
  </si>
  <si>
    <t>SUBR("*GCAZ206","149D")</t>
  </si>
  <si>
    <t>T4EPDATE</t>
  </si>
  <si>
    <t>All 4EP Dates</t>
  </si>
  <si>
    <t>4EPALL</t>
  </si>
  <si>
    <t>SUBR("*GCAZ206","149DA")</t>
  </si>
  <si>
    <t>T4EPDALL</t>
  </si>
  <si>
    <t>All 4EP Results</t>
  </si>
  <si>
    <t>SUBR("*GCAZ206","149RA")</t>
  </si>
  <si>
    <t>T4EPALL</t>
  </si>
  <si>
    <t>Locate 4EP Reading from Chemistry</t>
  </si>
  <si>
    <t>SUBR("*GCAI714",TREADINGNO,TREADVALUE,"149")</t>
  </si>
  <si>
    <t>T4EP</t>
  </si>
  <si>
    <t>Short IDs for Last three 4EG results</t>
  </si>
  <si>
    <t>4EGLAST3</t>
  </si>
  <si>
    <t>Short IDs for</t>
  </si>
  <si>
    <t>SUBR(SUBR.PENBW:"PBWZ206","150/28/L3")</t>
  </si>
  <si>
    <t>T4EGLAST3SID</t>
  </si>
  <si>
    <t>Last three 4EG results</t>
  </si>
  <si>
    <t>SUBR("*GCAZ206","150/6/L3")</t>
  </si>
  <si>
    <t>T4EGLAST3</t>
  </si>
  <si>
    <t>Last three 4EG dates</t>
  </si>
  <si>
    <t>SUBR("*GCAZ206","150DL3")</t>
  </si>
  <si>
    <t>T4EGDLAST3</t>
  </si>
  <si>
    <t>Reg. Date of 4EG reading</t>
  </si>
  <si>
    <t>4EG</t>
  </si>
  <si>
    <t>SUBR("*GCAZ206","150G")</t>
  </si>
  <si>
    <t>T4EGDATEREG</t>
  </si>
  <si>
    <t>Date of 4EG reading</t>
  </si>
  <si>
    <t>SUBR("*GCAZ206","150D")</t>
  </si>
  <si>
    <t>T4EGDATE</t>
  </si>
  <si>
    <t>All 4EG Dates</t>
  </si>
  <si>
    <t>4EGALL</t>
  </si>
  <si>
    <t>SUBR("*GCAZ206","150DA")</t>
  </si>
  <si>
    <t>T4EGDALL</t>
  </si>
  <si>
    <t>All 4EG Results</t>
  </si>
  <si>
    <t>SUBR("*GCAZ206","150RA")</t>
  </si>
  <si>
    <t>T4EGALL</t>
  </si>
  <si>
    <t>Locate 4EG Reading from Chemistry</t>
  </si>
  <si>
    <t>SUBR("*GCAI714",TREADINGNO,TREADVALUE,"150")</t>
  </si>
  <si>
    <t>T4EG</t>
  </si>
  <si>
    <t>Last three -3/WEE results</t>
  </si>
  <si>
    <t>3WEELAST3</t>
  </si>
  <si>
    <t>SUBR("*GCAZ206","118/6/L3")</t>
  </si>
  <si>
    <t>T3WEELAST3</t>
  </si>
  <si>
    <t>Last three -3/WEE dates</t>
  </si>
  <si>
    <t>SUBR("*GCAZ206","118DL3")</t>
  </si>
  <si>
    <t>T3WEEDLAST3</t>
  </si>
  <si>
    <t>Reg. Date of -3/WEE reading</t>
  </si>
  <si>
    <t>SUBR("*GCAZ206","118G")</t>
  </si>
  <si>
    <t>T3WEEDATEREG</t>
  </si>
  <si>
    <t>Date of -3/WEE reading</t>
  </si>
  <si>
    <t>SUBR("*GCAZ206","118D")</t>
  </si>
  <si>
    <t>T3WEEDATE</t>
  </si>
  <si>
    <t>All -3/WEE Dates</t>
  </si>
  <si>
    <t>3WEEALL</t>
  </si>
  <si>
    <t>SUBR("*GCAZ206","118DA")</t>
  </si>
  <si>
    <t>T3WEEDALL</t>
  </si>
  <si>
    <t>All -3/WEE Results</t>
  </si>
  <si>
    <t>SUBR("*GCAZ206","118RA")</t>
  </si>
  <si>
    <t>T3WEEALL</t>
  </si>
  <si>
    <t>Locate -3/WEE Reading from Chemistry</t>
  </si>
  <si>
    <t>SUBR("*GCAI714",TREADINGNO,TREADVALUE,"118")</t>
  </si>
  <si>
    <t>T3WEE</t>
  </si>
  <si>
    <t>Last three 2MePrOH results</t>
  </si>
  <si>
    <t>2MEPROHLAST</t>
  </si>
  <si>
    <t>SUBR("*GCAZ206","203/6/L3")</t>
  </si>
  <si>
    <t>T2MEPROHLAST3</t>
  </si>
  <si>
    <t>Last three 2MePrOH dates</t>
  </si>
  <si>
    <t>SUBR("*GCAZ206","203DL3")</t>
  </si>
  <si>
    <t>T2MEPROHDLAST3</t>
  </si>
  <si>
    <t>Reg. Date of 2MePrOH reading</t>
  </si>
  <si>
    <t>2MePrOH</t>
  </si>
  <si>
    <t>SUBR("*GCAZ206","203G")</t>
  </si>
  <si>
    <t>T2MEPROHDATEREG</t>
  </si>
  <si>
    <t>Date of 2MePrOH reading</t>
  </si>
  <si>
    <t>SUBR("*GCAZ206","203D")</t>
  </si>
  <si>
    <t>T2MEPROHDATE</t>
  </si>
  <si>
    <t>All 2MePrOH Dates</t>
  </si>
  <si>
    <t>2MEPROHALL</t>
  </si>
  <si>
    <t>SUBR("*GCAZ206","203DA")</t>
  </si>
  <si>
    <t>T2MEPROHDALL</t>
  </si>
  <si>
    <t>All 2MePrOH Results</t>
  </si>
  <si>
    <t>SUBR("*GCAZ206","203RA")</t>
  </si>
  <si>
    <t>T2MEPROHALL</t>
  </si>
  <si>
    <t>Locate 2MePrOH Reading from Chemistry</t>
  </si>
  <si>
    <t>SUBR("*GCAI714",TREADINGNO,TREADVALUE,"203")</t>
  </si>
  <si>
    <t>T2MEPROH</t>
  </si>
  <si>
    <t>Last three 2MeBuOH results</t>
  </si>
  <si>
    <t>2MEBUOHLAST</t>
  </si>
  <si>
    <t>SUBR("*GCAZ206","200/6/L3")</t>
  </si>
  <si>
    <t>T2MEBUOHLAST3</t>
  </si>
  <si>
    <t>Last three 2MeBuOH dates</t>
  </si>
  <si>
    <t>SUBR("*GCAZ206","200DL3")</t>
  </si>
  <si>
    <t>T2MEBUOHDLAST3</t>
  </si>
  <si>
    <t>Reg. Date of 2MeBuOH reading</t>
  </si>
  <si>
    <t>2MeBuOH</t>
  </si>
  <si>
    <t>SUBR("*GCAZ206","200G")</t>
  </si>
  <si>
    <t>T2MEBUOHDATEREG</t>
  </si>
  <si>
    <t>Date of 2MeBuOH reading</t>
  </si>
  <si>
    <t>SUBR("*GCAZ206","200D")</t>
  </si>
  <si>
    <t>T2MEBUOHDATE</t>
  </si>
  <si>
    <t>All 2MeBuOH Dates</t>
  </si>
  <si>
    <t>2MEBUOHALL</t>
  </si>
  <si>
    <t>SUBR("*GCAZ206","200DA")</t>
  </si>
  <si>
    <t>T2MEBUOHDALL</t>
  </si>
  <si>
    <t>All 2MeBuOH Results</t>
  </si>
  <si>
    <t>SUBR("*GCAZ206","200RA")</t>
  </si>
  <si>
    <t>T2MEBUOHALL</t>
  </si>
  <si>
    <t>Locate 2MeBuOH Reading from Chemistry</t>
  </si>
  <si>
    <t>SUBR("*GCAI714",TREADINGNO,TREADVALUE,"200")</t>
  </si>
  <si>
    <t>T2MEBUOH</t>
  </si>
  <si>
    <t>Last three 2BuOH results</t>
  </si>
  <si>
    <t>2BUOHLAST3</t>
  </si>
  <si>
    <t>SUBR("*GCAZ206","199/6/L3")</t>
  </si>
  <si>
    <t>T2BUOHLAST3</t>
  </si>
  <si>
    <t>Last three 2BuOH dates</t>
  </si>
  <si>
    <t>SUBR("*GCAZ206","199DL3")</t>
  </si>
  <si>
    <t>T2BUOHDLAST3</t>
  </si>
  <si>
    <t>Reg. Date of 2BuOH reading</t>
  </si>
  <si>
    <t>2BuOH</t>
  </si>
  <si>
    <t>SUBR("*GCAZ206","199G")</t>
  </si>
  <si>
    <t>T2BUOHDATEREG</t>
  </si>
  <si>
    <t>Date of 2BuOH reading</t>
  </si>
  <si>
    <t>SUBR("*GCAZ206","199D")</t>
  </si>
  <si>
    <t>T2BUOHDATE</t>
  </si>
  <si>
    <t>All 2BuOH Dates</t>
  </si>
  <si>
    <t>2BUOHALL</t>
  </si>
  <si>
    <t>SUBR("*GCAZ206","199DA")</t>
  </si>
  <si>
    <t>T2BUOHDALL</t>
  </si>
  <si>
    <t>All 2BuOH Results</t>
  </si>
  <si>
    <t>SUBR("*GCAZ206","199RA")</t>
  </si>
  <si>
    <t>T2BUOHALL</t>
  </si>
  <si>
    <t>Locate 2BuOH Reading from Chemistry</t>
  </si>
  <si>
    <t>SUBR("*GCAI714",TREADINGNO,TREADVALUE,"199")</t>
  </si>
  <si>
    <t>T2BUOH</t>
  </si>
  <si>
    <t>Last three 1PrOH results</t>
  </si>
  <si>
    <t>1PROHLAST3</t>
  </si>
  <si>
    <t>SUBR("*GCAZ206","197/6/L3")</t>
  </si>
  <si>
    <t>T1PROHLAST3</t>
  </si>
  <si>
    <t>Last three 1PrOH dates</t>
  </si>
  <si>
    <t>SUBR("*GCAZ206","197DL3")</t>
  </si>
  <si>
    <t>T1PROHDLAST3</t>
  </si>
  <si>
    <t>Reg. Date of 1PrOH reading</t>
  </si>
  <si>
    <t>1PrOH</t>
  </si>
  <si>
    <t>SUBR("*GCAZ206","197G")</t>
  </si>
  <si>
    <t>T1PROHDATEREG</t>
  </si>
  <si>
    <t>Date of 1PrOH reading</t>
  </si>
  <si>
    <t>SUBR("*GCAZ206","197D")</t>
  </si>
  <si>
    <t>T1PROHDATE</t>
  </si>
  <si>
    <t>All 1PrOH Dates</t>
  </si>
  <si>
    <t>1PROHALL</t>
  </si>
  <si>
    <t>SUBR("*GCAZ206","197DA")</t>
  </si>
  <si>
    <t>T1PROHDALL</t>
  </si>
  <si>
    <t>All 1PrOH Results</t>
  </si>
  <si>
    <t>SUBR("*GCAZ206","197RA")</t>
  </si>
  <si>
    <t>T1PROHALL</t>
  </si>
  <si>
    <t>Locate 1PrOH Reading from Chemistry</t>
  </si>
  <si>
    <t>SUBR("*GCAI714",TREADINGNO,TREADVALUE,"197")</t>
  </si>
  <si>
    <t>T1PROH</t>
  </si>
  <si>
    <t>Last three 1HexOH results</t>
  </si>
  <si>
    <t>1HEXOHLAST3</t>
  </si>
  <si>
    <t>SUBR("*GCAZ206","201/6/L3")</t>
  </si>
  <si>
    <t>T1HEXOHLAST3</t>
  </si>
  <si>
    <t>Last three 1HexOH dates</t>
  </si>
  <si>
    <t>SUBR("*GCAZ206","201DL3")</t>
  </si>
  <si>
    <t>T1HEXOHDLAST3</t>
  </si>
  <si>
    <t>Reg. Date of 1HexOH reading</t>
  </si>
  <si>
    <t>1HexOH</t>
  </si>
  <si>
    <t>SUBR("*GCAZ206","201G")</t>
  </si>
  <si>
    <t>T1HEXOHDATEREG</t>
  </si>
  <si>
    <t>Date of 1HexOH reading</t>
  </si>
  <si>
    <t>SUBR("*GCAZ206","201D")</t>
  </si>
  <si>
    <t>T1HEXOHDATE</t>
  </si>
  <si>
    <t>All 1HexOH Dates</t>
  </si>
  <si>
    <t>1HEXOHALL</t>
  </si>
  <si>
    <t>SUBR("*GCAZ206","201DA")</t>
  </si>
  <si>
    <t>T1HEXOHDALL</t>
  </si>
  <si>
    <t>All 1HexOH Results</t>
  </si>
  <si>
    <t>SUBR("*GCAZ206","201RA")</t>
  </si>
  <si>
    <t>T1HEXOHALL</t>
  </si>
  <si>
    <t>Locate 1HexOH Reading from Chemistry</t>
  </si>
  <si>
    <t>SUBR("*GCAI714",TREADINGNO,TREADVALUE,"201")</t>
  </si>
  <si>
    <t>T1HEXOH</t>
  </si>
  <si>
    <t>Last three 1BuOH results</t>
  </si>
  <si>
    <t>1BUOHLAST3</t>
  </si>
  <si>
    <t>SUBR("*GCAZ206","198/6/L3")</t>
  </si>
  <si>
    <t>T1BUOHLAST3</t>
  </si>
  <si>
    <t>Last three 1BuOH dates</t>
  </si>
  <si>
    <t>SUBR("*GCAZ206","198DL3")</t>
  </si>
  <si>
    <t>T1BUOHDLAST3</t>
  </si>
  <si>
    <t>Reg. Date of 1BuOH reading</t>
  </si>
  <si>
    <t>1BuOH</t>
  </si>
  <si>
    <t>SUBR("*GCAZ206","198G")</t>
  </si>
  <si>
    <t>T1BUOHDATEREG</t>
  </si>
  <si>
    <t>Date of 1BuOH reading</t>
  </si>
  <si>
    <t>SUBR("*GCAZ206","198D")</t>
  </si>
  <si>
    <t>T1BUOHDATE</t>
  </si>
  <si>
    <t>All 1BuOH Dates</t>
  </si>
  <si>
    <t>1BUOHALL</t>
  </si>
  <si>
    <t>SUBR("*GCAZ206","198DA")</t>
  </si>
  <si>
    <t>T1BUOHDALL</t>
  </si>
  <si>
    <t>All 1BuOH Results</t>
  </si>
  <si>
    <t>SUBR("*GCAZ206","198RA")</t>
  </si>
  <si>
    <t>T1BUOHALL</t>
  </si>
  <si>
    <t>Locate 1BuOH Reading from Chemistry</t>
  </si>
  <si>
    <t>SUBR("*GCAI714",TREADINGNO,TREADVALUE,"198")</t>
  </si>
  <si>
    <t>T1BUOH</t>
  </si>
  <si>
    <t>T.VOLUME+0</t>
  </si>
  <si>
    <t>T.VOLUME1</t>
  </si>
  <si>
    <t>ZERO VOLUME</t>
  </si>
  <si>
    <t>IF T.VOLUME+0 = 0 THEN 0 ELSE T.VOLUME</t>
  </si>
  <si>
    <t>T.VOLUME.IGW</t>
  </si>
  <si>
    <t>Last three %Viab results</t>
  </si>
  <si>
    <t>%VIABLAST3</t>
  </si>
  <si>
    <t>SUBR("*GCAZ206","59/6/L3")</t>
  </si>
  <si>
    <t>T%VIABLAST3</t>
  </si>
  <si>
    <t>Last three %Viab dates</t>
  </si>
  <si>
    <t>SUBR("*GCAZ206","59DL3")</t>
  </si>
  <si>
    <t>T%VIABDLAST3</t>
  </si>
  <si>
    <t>Reg. Date of %Viab reading</t>
  </si>
  <si>
    <t>%Viab</t>
  </si>
  <si>
    <t>SUBR("*GCAZ206","59G")</t>
  </si>
  <si>
    <t>T%VIABDATEREG</t>
  </si>
  <si>
    <t>Date of %Viab reading</t>
  </si>
  <si>
    <t>SUBR("*GCAZ206","59D")</t>
  </si>
  <si>
    <t>T%VIABDATE</t>
  </si>
  <si>
    <t>All %Viab Dates</t>
  </si>
  <si>
    <t>%VIABALL</t>
  </si>
  <si>
    <t>SUBR("*GCAZ206","59DA")</t>
  </si>
  <si>
    <t>T%VIABDALL</t>
  </si>
  <si>
    <t>All %Viab Results</t>
  </si>
  <si>
    <t>SUBR("*GCAZ206","59RA")</t>
  </si>
  <si>
    <t>T%VIABALL</t>
  </si>
  <si>
    <t>Locate %Viab Reading from Chemistry</t>
  </si>
  <si>
    <t>SUBR("*GCAI714",TREADINGNO,TREADVALUE,"59")</t>
  </si>
  <si>
    <t>T%VIAB</t>
  </si>
  <si>
    <t>Last three %Solid results</t>
  </si>
  <si>
    <t>%SOLIDLAST3</t>
  </si>
  <si>
    <t>SUBR("*GCAZ206","84/6/L3")</t>
  </si>
  <si>
    <t>T%SOLIDLAST3</t>
  </si>
  <si>
    <t>Last three %Solid dates</t>
  </si>
  <si>
    <t>SUBR("*GCAZ206","84DL3")</t>
  </si>
  <si>
    <t>T%SOLIDDLAST3</t>
  </si>
  <si>
    <t>Reg. Date of %Solid reading</t>
  </si>
  <si>
    <t>%Solid</t>
  </si>
  <si>
    <t>SUBR("*GCAZ206","84G")</t>
  </si>
  <si>
    <t>T%SOLIDDATEREG</t>
  </si>
  <si>
    <t>Date of %Solid reading</t>
  </si>
  <si>
    <t>SUBR("*GCAZ206","84D")</t>
  </si>
  <si>
    <t>T%SOLIDDATE</t>
  </si>
  <si>
    <t>All %Solid Dates</t>
  </si>
  <si>
    <t>%SOLIDALL</t>
  </si>
  <si>
    <t>SUBR("*GCAZ206","84DA")</t>
  </si>
  <si>
    <t>T%SOLIDDALL</t>
  </si>
  <si>
    <t>All %Solid Results</t>
  </si>
  <si>
    <t>SUBR("*GCAZ206","84RA")</t>
  </si>
  <si>
    <t>T%SOLIDALL</t>
  </si>
  <si>
    <t>Locate %Solid Reading from Chemistry</t>
  </si>
  <si>
    <t>SUBR("*GCAI714",TREADINGNO,TREADVALUE,"84")</t>
  </si>
  <si>
    <t>T%SOLID</t>
  </si>
  <si>
    <t>Last three %Moist results</t>
  </si>
  <si>
    <t>%MOISTLAST3</t>
  </si>
  <si>
    <t>SUBR("*GCAZ206","79/6/L3")</t>
  </si>
  <si>
    <t>T%MOISTLAST3</t>
  </si>
  <si>
    <t>Last three %Moist dates</t>
  </si>
  <si>
    <t>SUBR("*GCAZ206","79DL3")</t>
  </si>
  <si>
    <t>T%MOISTDLAST3</t>
  </si>
  <si>
    <t>Reg. Date of %Moist reading</t>
  </si>
  <si>
    <t>%Moist</t>
  </si>
  <si>
    <t>SUBR("*GCAZ206","79G")</t>
  </si>
  <si>
    <t>T%MOISTDATEREG</t>
  </si>
  <si>
    <t>Date of %Moist reading</t>
  </si>
  <si>
    <t>SUBR("*GCAZ206","79D")</t>
  </si>
  <si>
    <t>T%MOISTDATE</t>
  </si>
  <si>
    <t>All %Moist Dates</t>
  </si>
  <si>
    <t>%MOISTALL</t>
  </si>
  <si>
    <t>SUBR("*GCAZ206","79DA")</t>
  </si>
  <si>
    <t>T%MOISTDALL</t>
  </si>
  <si>
    <t>All %Moist Results</t>
  </si>
  <si>
    <t>SUBR("*GCAZ206","79RA")</t>
  </si>
  <si>
    <t>T%MOISTALL</t>
  </si>
  <si>
    <t>Locate %Moist Reading from Chemistry</t>
  </si>
  <si>
    <t>SUBR("*GCAI714",TREADINGNO,TREADVALUE,"79")</t>
  </si>
  <si>
    <t>T%MOIST</t>
  </si>
  <si>
    <t>Last three %Buds results</t>
  </si>
  <si>
    <t>%BUDSLAST3</t>
  </si>
  <si>
    <t>SUBR("*GCAZ206","57/6/L3")</t>
  </si>
  <si>
    <t>T%BUDSLAST3</t>
  </si>
  <si>
    <t>Last three %Buds dates</t>
  </si>
  <si>
    <t>SUBR("*GCAZ206","57DL3")</t>
  </si>
  <si>
    <t>T%BUDSDLAST3</t>
  </si>
  <si>
    <t>Reg. Date of %Buds reading</t>
  </si>
  <si>
    <t>%Buds</t>
  </si>
  <si>
    <t>SUBR("*GCAZ206","57G")</t>
  </si>
  <si>
    <t>T%BUDSDATEREG</t>
  </si>
  <si>
    <t>Date of %Buds reading</t>
  </si>
  <si>
    <t>SUBR("*GCAZ206","57D")</t>
  </si>
  <si>
    <t>T%BUDSDATE</t>
  </si>
  <si>
    <t>All %Buds Dates</t>
  </si>
  <si>
    <t>%BUDSALL</t>
  </si>
  <si>
    <t>SUBR("*GCAZ206","57DA")</t>
  </si>
  <si>
    <t>T%BUDSDALL</t>
  </si>
  <si>
    <t>All %Buds Results</t>
  </si>
  <si>
    <t>SUBR("*GCAZ206","57RA")</t>
  </si>
  <si>
    <t>T%BUDSALL</t>
  </si>
  <si>
    <t>Locate %Buds Reading from Chemistry</t>
  </si>
  <si>
    <t>SUBR("*GCAI714",TREADINGNO,TREADVALUE,"57")</t>
  </si>
  <si>
    <t>T%BUDS</t>
  </si>
  <si>
    <t>Get Small Wood Volume</t>
  </si>
  <si>
    <t>SW VOLUME</t>
  </si>
  <si>
    <t>@ID[3,99];TRANS(DP,@1,VOLUME,'X');SUM(@)</t>
  </si>
  <si>
    <t>SWVOL.OLD</t>
  </si>
  <si>
    <t>FIELD(@ID,'/',2):'/':FIELD(@ID,'/',3);TRANS(DP,@,VOLUME,'X');SUM(@)</t>
  </si>
  <si>
    <t>SWVOL</t>
  </si>
  <si>
    <t>SW*</t>
  </si>
  <si>
    <t>@ID[1,3]</t>
  </si>
  <si>
    <t>SWID</t>
  </si>
  <si>
    <t>SUBR("*PBWZ207")</t>
  </si>
  <si>
    <t>SWAVGVOL</t>
  </si>
  <si>
    <t>Displays 'Y' if tank is SWA valid based on winery location/date</t>
  </si>
  <si>
    <t>FLAG</t>
  </si>
  <si>
    <t>SUBR('*SWA.VALID',TANK,'T')</t>
  </si>
  <si>
    <t>SWA.VALID</t>
  </si>
  <si>
    <t>Sustainable Wine Australia percentage</t>
  </si>
  <si>
    <t>IF TVOLUME THEN SWA.LITRES/TVOLUME*100 ELSE 0</t>
  </si>
  <si>
    <t>SWA.PERC</t>
  </si>
  <si>
    <t>Sustainable Wine Australia litres</t>
  </si>
  <si>
    <t>TRANS(SUMCOMP.TANK,TANK,'SWA.LITRES','X')</t>
  </si>
  <si>
    <t>SWA.LITRES</t>
  </si>
  <si>
    <t>Tanks winery location is SWA certified or exempt on the current date</t>
  </si>
  <si>
    <t>SWA.VALID;TRANS(CONTROL,'SWA.CUTOFF',SWA.CUTOFF.PERC,'X');IF @1 = 'Y' AND SWA.PERC</t>
  </si>
  <si>
    <t>SWA.COMPLIANT</t>
  </si>
  <si>
    <t>(1/'') If Small wood tank 'SW*....'</t>
  </si>
  <si>
    <t>IF @ID[1,3]='SW*' THEN 1 ELSE ''</t>
  </si>
  <si>
    <t>SW.TYPE</t>
  </si>
  <si>
    <t>S/W</t>
  </si>
  <si>
    <t>TRANS(DP,FIELD(@ID,'*',2),CNOTES,'X') ; IF @1 = '' THEN</t>
  </si>
  <si>
    <t>SW.TANK.ACC</t>
  </si>
  <si>
    <t>2T</t>
  </si>
  <si>
    <t>SW</t>
  </si>
  <si>
    <t>@ID[1,2]</t>
  </si>
  <si>
    <t>SW.OLD</t>
  </si>
  <si>
    <t>The @ID of the Small Wood file for a small wood tank</t>
  </si>
  <si>
    <t>FIELD(@ID,'*',2)</t>
  </si>
  <si>
    <t>SW.ID</t>
  </si>
  <si>
    <t>Determine if a Small Wood ID is on DP(Table Wine) or DP.FORT(Fortified)</t>
  </si>
  <si>
    <t>IF SW # 'SW' THEN '' ELSE IF TRANS(DP,SW.ID,@ID,'X') # '' THEN 'T' ELSE IF</t>
  </si>
  <si>
    <t>SW.FILE</t>
  </si>
  <si>
    <t>The SMALL WOOD BLEND (ie. from the @ID)</t>
  </si>
  <si>
    <t>FIELD(SW.ID,'/',1)</t>
  </si>
  <si>
    <t>SW.BLEND</t>
  </si>
  <si>
    <t>The SMALL WOOD BATCH (ie. from the @ID)</t>
  </si>
  <si>
    <t>FIELD(SW.ID,'/',2)</t>
  </si>
  <si>
    <t>SW.BATCH</t>
  </si>
  <si>
    <t>TRANS(SUMCOMP.TANK,TANK,SVOLUME,'X')</t>
  </si>
  <si>
    <t>SVOLUME</t>
  </si>
  <si>
    <t>Headings for Spirit Survey Report (PPI360)</t>
  </si>
  <si>
    <t>36L</t>
  </si>
  <si>
    <t>STRENGTH   TEMPERATURE</t>
  </si>
  <si>
    <t>SPACE(36)</t>
  </si>
  <si>
    <t>SURVEY.HD</t>
  </si>
  <si>
    <t>Description for Bulk Wine Supplier</t>
  </si>
  <si>
    <t>Bulk Wine Supplier</t>
  </si>
  <si>
    <t>IF UNCOSTED = 'Y' THEN IF WINERY.LOCATION NE 'EU' THEN WINERY.LOCATION.DESC ELSE</t>
  </si>
  <si>
    <t>SUPPLIER.DESC</t>
  </si>
  <si>
    <t>Code for Bulk Wine Supplier</t>
  </si>
  <si>
    <t>BWS</t>
  </si>
  <si>
    <t>IF UNCOSTED = 'Y' THEN IF WINERY.LOCATION NE 'EU' THEN WINERY.LOCATION ELSE @ID[1,3]</t>
  </si>
  <si>
    <t>SUPPLIER</t>
  </si>
  <si>
    <t>Summary composition component</t>
  </si>
  <si>
    <t>Summcomp</t>
  </si>
  <si>
    <t>RAISE(TRANS(SUMCOMP.TANK,@ID,SVOLUME,'X'))</t>
  </si>
  <si>
    <t>SUMCOMP.VOLUME</t>
  </si>
  <si>
    <t>Summary comp vintage</t>
  </si>
  <si>
    <t>SUBR("!SUBSTRINGS",RAISE(SBLEND),9,2);SUBR(SUBR.PENBW:"PBWI806",'*NV*':@VM:@1)</t>
  </si>
  <si>
    <t>SUMCOMP.VINT</t>
  </si>
  <si>
    <t>Summary comp variety code</t>
  </si>
  <si>
    <t>SUBR("!SUBSTRINGS",RAISE(SBLEND),1,3)</t>
  </si>
  <si>
    <t>SUMCOMP.VARIETY</t>
  </si>
  <si>
    <t>Summary comp source code</t>
  </si>
  <si>
    <t>SUBR("!SUBSTRINGS",RAISE(SBLEND),5,3)</t>
  </si>
  <si>
    <t>SUMCOMP.SOURCE</t>
  </si>
  <si>
    <t>Summary component as a percentage of tank volume</t>
  </si>
  <si>
    <t>SUBR("!DIVS",SUMCOMP.VOLUME,REUSE(TVOLUME));SUBR("!MULS",@1,REUSE(100))</t>
  </si>
  <si>
    <t>SUMCOMP.PERCENT</t>
  </si>
  <si>
    <t>Sum</t>
  </si>
  <si>
    <t>SUM(TO.VOL)</t>
  </si>
  <si>
    <t>SUM.TO.VOL</t>
  </si>
  <si>
    <t>SUM(SC.VOL)</t>
  </si>
  <si>
    <t>SUM.SC.VOL</t>
  </si>
  <si>
    <t>SUM(GD.VOL)</t>
  </si>
  <si>
    <t>SUM.GD.VOL</t>
  </si>
  <si>
    <t>SUM(EX.VOL)</t>
  </si>
  <si>
    <t>SUM.EX.VOL</t>
  </si>
  <si>
    <t>Style description</t>
  </si>
  <si>
    <t>Style Description</t>
  </si>
  <si>
    <t>TRANS(BW.STYLE,STYLE,STYLE.DESC,'X')</t>
  </si>
  <si>
    <t>STYLE.DESC</t>
  </si>
  <si>
    <t>Style code</t>
  </si>
  <si>
    <t>Style</t>
  </si>
  <si>
    <t>TBLEND[4,1]</t>
  </si>
  <si>
    <t>STYLE</t>
  </si>
  <si>
    <t>Storage Capacity Still Available</t>
  </si>
  <si>
    <t>STRG.CAP.USABLE - STORAGE.REQUIRED</t>
  </si>
  <si>
    <t>STRG.STILL.AVAIL</t>
  </si>
  <si>
    <t>Storage Capacity of tank, minus 10% working space if it is at a TWE</t>
  </si>
  <si>
    <t>Storage Cpcty</t>
  </si>
  <si>
    <t>IF WINERY.CAT.CODE = 'OW' THEN 0.9 * STORAGE.CAPACITY ELSE STORAGE.CAPACITY</t>
  </si>
  <si>
    <t>STRG.CAP.USABLE</t>
  </si>
  <si>
    <t>STORAGE.USABLE</t>
  </si>
  <si>
    <t>Existing contents of all tanks which are required to be stored in</t>
  </si>
  <si>
    <t>Contents</t>
  </si>
  <si>
    <t>IF CONT.STOR.CALC = 'Y' THEN TVOLUME ELSE 0</t>
  </si>
  <si>
    <t>STORAGE.REQUIRED</t>
  </si>
  <si>
    <t>Capacity of tank if it is flagged as a storage tank</t>
  </si>
  <si>
    <t>Storage</t>
  </si>
  <si>
    <t>IF CAP.STOR.CALC = 'Y' THEN DCAP ELSE 0</t>
  </si>
  <si>
    <t>STORAGE.CAPACITY</t>
  </si>
  <si>
    <t>IF STORE.CAP.TANK = 'Y' THEN DCAP ELSE 0</t>
  </si>
  <si>
    <t>STORAGE.CAP</t>
  </si>
  <si>
    <t>Storage available</t>
  </si>
  <si>
    <t>STORAGE.AVAIL</t>
  </si>
  <si>
    <t>FIELD(ST.BATCH,'*',1)</t>
  </si>
  <si>
    <t>STORAGE</t>
  </si>
  <si>
    <t>VALUATION OF CURRENT VOLUME OF TANK</t>
  </si>
  <si>
    <t>STOCK</t>
  </si>
  <si>
    <t>TRANS(MBLEND,TBLEND,BTYPECODE,'X');TRANS(MBLENDGP,@1,TMSTD,'X');TVOLUME * @2</t>
  </si>
  <si>
    <t>STKVALUE</t>
  </si>
  <si>
    <t>VAR. COST</t>
  </si>
  <si>
    <t>TRANS(TANK.HIST,@ID,CNOTE,'X');TRANS(OPSMOVE,@,STD.VAR.CST.OVR,'X');FIELD(@,@VM,1,10</t>
  </si>
  <si>
    <t>STD.VAR.CST.OVR</t>
  </si>
  <si>
    <t>Standard</t>
  </si>
  <si>
    <t>FIELD(SUBR( SUBR.PENBW:'PBWZ787','TANK',@ID,'','','','',@RECORD,'','')</t>
  </si>
  <si>
    <t>STD.VAR.CST</t>
  </si>
  <si>
    <t>STD.TOT.CST</t>
  </si>
  <si>
    <t>STD.VAR.CST + 0</t>
  </si>
  <si>
    <t>STD.COSTS</t>
  </si>
  <si>
    <t>TBLEND[1,1];TRANS("BW.ILEVEL",@1,ILEVEL.STD.COST,'X')</t>
  </si>
  <si>
    <t>STD.COST</t>
  </si>
  <si>
    <t>Wine Status Category (sub-group)</t>
  </si>
  <si>
    <t>Stat</t>
  </si>
  <si>
    <t>TRANS(WINE.STATUS,TSTATUS,WSTAT.SUB.CODE,'X')</t>
  </si>
  <si>
    <t>STATUS.CAT</t>
  </si>
  <si>
    <t>Storage &amp; Batch number (Separated by '*')</t>
  </si>
  <si>
    <t>STORAGE &amp; BATCH</t>
  </si>
  <si>
    <t>TRANS(TIR.STORAGE,@ID,ST.BATCH,'X')</t>
  </si>
  <si>
    <t>ST.BATCH</t>
  </si>
  <si>
    <t>Compose up a key to the SPIRIT.REGISTER file</t>
  </si>
  <si>
    <t>SPIRIT</t>
  </si>
  <si>
    <t>TCNOTE[1,6]:@ID</t>
  </si>
  <si>
    <t>SPRKEY</t>
  </si>
  <si>
    <t>Split allocations flag</t>
  </si>
  <si>
    <t>Split</t>
  </si>
  <si>
    <t>IF ALLOC.COUNT &gt; 1 THEN 'Y' ELSE 'N'</t>
  </si>
  <si>
    <t>SPLIT.ALLOC</t>
  </si>
  <si>
    <t>IF TBLEND[4,1]='A' OR TBLEND[4,1]='B' OR TBLEND[4,1]='E' THEN 'Y' ELSE ''</t>
  </si>
  <si>
    <t>SPIRIT.TANK</t>
  </si>
  <si>
    <t>Spirit flag</t>
  </si>
  <si>
    <t>TBLEND[1,1];TBLEND[4,1]; IF ALPHA(@1) AND (@2 = 'A' OR @2 = 'B' OR @2 = 'E') THEN</t>
  </si>
  <si>
    <t>Translate to the Product file for size code</t>
  </si>
  <si>
    <t>SIZE</t>
  </si>
  <si>
    <t>TRANS(ITEM.MSTR,PRODNO,14,'X')</t>
  </si>
  <si>
    <t>SIZE.CODE</t>
  </si>
  <si>
    <t>Short code home account for tank</t>
  </si>
  <si>
    <t>Ac</t>
  </si>
  <si>
    <t>SUBR('*GBWZ800',@ID,'S')</t>
  </si>
  <si>
    <t>SHORT.ACCOUNT</t>
  </si>
  <si>
    <t>TRANS(DP,@ID[3,99],@RECORD,'X');IF @ THEN 'YES' ELSE 'NO'</t>
  </si>
  <si>
    <t>SF.SW.OLD</t>
  </si>
  <si>
    <t>FIELD(@ID,'/',2):'/':FIELD(@ID,'/',3);TRANS(DP,@,@RECORD,'X');IF @ THEN 'YES' ELSE</t>
  </si>
  <si>
    <t>SF.SW</t>
  </si>
  <si>
    <t>13R</t>
  </si>
  <si>
    <t>SUBR("*PBWZ171",TTABLE,TDIP,"L.V.SEP")+0</t>
  </si>
  <si>
    <t>SEP.TVOLUME</t>
  </si>
  <si>
    <t>TRANS(SEP.MTANK,@ID,@ID,'X')</t>
  </si>
  <si>
    <t>SEP.MTANK.ID</t>
  </si>
  <si>
    <t>SEAN3</t>
  </si>
  <si>
    <t>IF FIELD(@ID,'*',1) # 'SW' THEN TRANS(FIN.WH.CODE,@ID[1,1],ACC,'X')</t>
  </si>
  <si>
    <t>SEAN2</t>
  </si>
  <si>
    <t>TRANS(DP.FORT,FIELD(@ID,'*',2),CNOTES,'X')</t>
  </si>
  <si>
    <t>1OL</t>
  </si>
  <si>
    <t>SEAN1</t>
  </si>
  <si>
    <t>TRANS(DP,FIELD(@ID,'*',2),CNOTES,'X')</t>
  </si>
  <si>
    <t>5T</t>
  </si>
  <si>
    <t>TRANS(ITEM.MSTR,PRODNO,SDESC,'X')</t>
  </si>
  <si>
    <t>SDESC</t>
  </si>
  <si>
    <t>Blend id owned by SCW</t>
  </si>
  <si>
    <t>SCW</t>
  </si>
  <si>
    <t>IF LEN(TBLEND) LE 7 THEN 'Y' ELSE IF TBLEND[1] = 'X' THEN 'N' ELSE 'Y'</t>
  </si>
  <si>
    <t>SCW.OWN.BLEND</t>
  </si>
  <si>
    <t>SCW owned generic code</t>
  </si>
  <si>
    <t>TRANS(GENERIC.FILE,TRANS(BWALLOC,BWALLOC.ID,GENERIC,'X'),SCW.ACCT,'X')</t>
  </si>
  <si>
    <t>SCW.OWN.ALLOC</t>
  </si>
  <si>
    <t>Translate to SUMCOMP.TANK file to obtain current tank value</t>
  </si>
  <si>
    <t>TRANS(SUMCOMP.TANK,TANK,TCOST,'X')</t>
  </si>
  <si>
    <t>SCTVALUE</t>
  </si>
  <si>
    <t>Standard Total Value including calculations for LALS where</t>
  </si>
  <si>
    <t>Std Variable</t>
  </si>
  <si>
    <t>IF GROUP.CODE = '51' THEN LY.TVOLUME * TSTRENGTH * (SCOST.VAR / 100) ELSE</t>
  </si>
  <si>
    <t>SCOST.VAR.VAL.LAL.LY</t>
  </si>
  <si>
    <t>Standard Variable Value including calculations for LALS where</t>
  </si>
  <si>
    <t>Std Var.</t>
  </si>
  <si>
    <t>IF GROUP.CODE = '51' THEN TVOLUME * TSTRENGTH * (SCOST.VAR / 100) ELSE     TVOLUME *</t>
  </si>
  <si>
    <t>SCOST.VAR.VAL.LAL</t>
  </si>
  <si>
    <t>Standard Cost - Variable</t>
  </si>
  <si>
    <t>FIELD(SUBR( SUBR.PENBW:'PBWZ787','TANK',@ID,'','','','',@RECORD,'','') ,@SM,1)</t>
  </si>
  <si>
    <t>SCOST.VAR</t>
  </si>
  <si>
    <t>Standard Total Value</t>
  </si>
  <si>
    <t>Std Total</t>
  </si>
  <si>
    <t>TVOLUME * SCOST.TOT</t>
  </si>
  <si>
    <t>SCOST.TOT.VAL0</t>
  </si>
  <si>
    <t>TVOLUME * SCOST.TOT.PY</t>
  </si>
  <si>
    <t>SCOST.TOT.VAL.PY</t>
  </si>
  <si>
    <t>LITRES * REUSE(SCOST.TOT.NY)</t>
  </si>
  <si>
    <t>SCOST.TOT.VAL.NY</t>
  </si>
  <si>
    <t>IF GROUP.CODE = '51' THEN LY.TVOLUME * TSTRENGTH * (SCOST.TOT / 100) ELSE</t>
  </si>
  <si>
    <t>SCOST.TOT.VAL.LAL.LY</t>
  </si>
  <si>
    <t>IF GROUP.CODE = '51' THEN TVOLUME * TSTRENGTH * (SCOST.TOT.SIMPLE / 100) ELSE</t>
  </si>
  <si>
    <t>SCOST.TOT.VAL.LAL</t>
  </si>
  <si>
    <t>SCOST.TOT.VAL</t>
  </si>
  <si>
    <t>Get standard total cost</t>
  </si>
  <si>
    <t>Standard}Total Cost</t>
  </si>
  <si>
    <t>FIELD(SUBR( SUBR.PENBW:'PBWZ787','TANK',@ID,'','','','',@RECORD,'','') ,@SM,2)</t>
  </si>
  <si>
    <t>SCOST.TOT.SIMPLE</t>
  </si>
  <si>
    <t>FIELD(SUBR(</t>
  </si>
  <si>
    <t>SCOST.TOT.PY</t>
  </si>
  <si>
    <t>Standard NY</t>
  </si>
  <si>
    <t>SCOST.TOT.NY</t>
  </si>
  <si>
    <t>FIELD(SUBR( SUBR.PENBW:'PBWZ787','TANK',@ID,'','','','',@RECORD,'','') ,@SM,2) ;@1+0</t>
  </si>
  <si>
    <t>SCOST.TOT</t>
  </si>
  <si>
    <t>Sumcomp volumes</t>
  </si>
  <si>
    <t>SBLEND</t>
  </si>
  <si>
    <t>Sumcomp</t>
  </si>
  <si>
    <t>SC.VOL</t>
  </si>
  <si>
    <t>Last</t>
  </si>
  <si>
    <t>TRANS(SUMCOMP.TANK,@ID,LASTCNOTE,'X')</t>
  </si>
  <si>
    <t>SC.TCNOTE</t>
  </si>
  <si>
    <t>3R</t>
  </si>
  <si>
    <t>SC DIFF</t>
  </si>
  <si>
    <t>ABS(TVOLUME-JK.SUMCOMP.VOL)</t>
  </si>
  <si>
    <t>SC.DIFF</t>
  </si>
  <si>
    <t>Source blend or variety/source/quality</t>
  </si>
  <si>
    <t>TRANS(SUMCOMP.TANK,@ID,SBLEND,'X')</t>
  </si>
  <si>
    <t>Short Id of the person who registered the CHEM note</t>
  </si>
  <si>
    <t>RID</t>
  </si>
  <si>
    <t>TRANS(CHEM,TCHEMNO,'RSHORT.ID','X')</t>
  </si>
  <si>
    <t>RSHORT.ID</t>
  </si>
  <si>
    <t>RMT TANK</t>
  </si>
  <si>
    <t>SUBR("*PBWI881",@ID,'TANKID',@ID[1,1],'')</t>
  </si>
  <si>
    <t>RMT.TANKID</t>
  </si>
  <si>
    <t>RMT BLEND</t>
  </si>
  <si>
    <t>SUBR("*PBWI881",TBLEND,'BLEND',@ID[1,1],'')</t>
  </si>
  <si>
    <t>RMT.BLEND</t>
  </si>
  <si>
    <t>Rept Date</t>
  </si>
  <si>
    <t>Rept</t>
  </si>
  <si>
    <t>REPT.DATE</t>
  </si>
  <si>
    <t>Standard Variable Value using cost at recost stage</t>
  </si>
  <si>
    <t>IF GROUP.CODE = '51' THEN LY.TVOLUME * TSTRENGTH * (RECOST.VAR / 100) ELSE</t>
  </si>
  <si>
    <t>RECOST.VAR.VAL.LAL.LY</t>
  </si>
  <si>
    <t>Standard Variable cost as at the last recost</t>
  </si>
  <si>
    <t>Recost</t>
  </si>
  <si>
    <t>IF RECOST.CNOTE = '' THEN SCOST.VAR ELSE</t>
  </si>
  <si>
    <t>RECOST.VAR.BAK</t>
  </si>
  <si>
    <t>Standard Variable cost as at the last recosts</t>
  </si>
  <si>
    <t>IF RECOST.CNOTE = '' THEN FIELD(SUBR(</t>
  </si>
  <si>
    <t>RECOST.VAR</t>
  </si>
  <si>
    <t>Standard Total Value using cost at recost stage</t>
  </si>
  <si>
    <t>IF GROUP.CODE = '51' THEN LY.TVOLUME * TSTRENGTH * (RECOST.TOT / 100) ELSE</t>
  </si>
  <si>
    <t>RECOST.TOT.VAL.LAL.LY</t>
  </si>
  <si>
    <t>Standard Total cost as at the last recost</t>
  </si>
  <si>
    <t>RECOST.TOT</t>
  </si>
  <si>
    <t>RECORD</t>
  </si>
  <si>
    <t>@RECORD</t>
  </si>
  <si>
    <t>Receipt chit opno for intransit tank</t>
  </si>
  <si>
    <t>Receipt</t>
  </si>
  <si>
    <t>TCNOTE[1,5]:FMT( TCNOTE[6,4]+1 ,'R%4')</t>
  </si>
  <si>
    <t>RECOPNO</t>
  </si>
  <si>
    <t>OPSMOVE Operation code of receipt chit</t>
  </si>
  <si>
    <t>TRANS(OPSMOVE,RECOPNO,MOPCD,'X')</t>
  </si>
  <si>
    <t>RECOPCD</t>
  </si>
  <si>
    <t>Tank used as red drain and press destination</t>
  </si>
  <si>
    <t>Red</t>
  </si>
  <si>
    <t>IF VINTAGE.USE = 'E' THEN 'Y' ELSE ''</t>
  </si>
  <si>
    <t>RDP.DEST</t>
  </si>
  <si>
    <t>Zn % Rel</t>
  </si>
  <si>
    <t>SUBR("*GCAI714",TREADINGNO,TCHEMPERC,"25")</t>
  </si>
  <si>
    <t>R%ZN</t>
  </si>
  <si>
    <t>Yst % Rel</t>
  </si>
  <si>
    <t>SUBR("*GCAI714",TREADINGNO,TCHEMPERC,"58")</t>
  </si>
  <si>
    <t>R%YST</t>
  </si>
  <si>
    <t>YeastV100 % Rel</t>
  </si>
  <si>
    <t>SUBR("*GCAI714",TREADINGNO,TCHEMPERC,"210")</t>
  </si>
  <si>
    <t>R%YEASTV100</t>
  </si>
  <si>
    <t>Yeast % Rel</t>
  </si>
  <si>
    <t>SUBR("*GCAI714",TREADINGNO,TCHEMPERC,"20")</t>
  </si>
  <si>
    <t>R%YEAST</t>
  </si>
  <si>
    <t>YAN % Rel</t>
  </si>
  <si>
    <t>SUBR("*GCAI714",TREADINGNO,TCHEMPERC,"147")</t>
  </si>
  <si>
    <t>R%YAN</t>
  </si>
  <si>
    <t>xxx % Rel</t>
  </si>
  <si>
    <t>SUBR("*GCAI714",TREADINGNO,TCHEMPERC,"")</t>
  </si>
  <si>
    <t>R%XXX</t>
  </si>
  <si>
    <t>Xtals % Rel</t>
  </si>
  <si>
    <t>SUBR("*GCAI714",TREADINGNO,TCHEMPERC,"63")</t>
  </si>
  <si>
    <t>R%XTALS</t>
  </si>
  <si>
    <t>x % Rel</t>
  </si>
  <si>
    <t>R%X</t>
  </si>
  <si>
    <t>WSVA % Rel</t>
  </si>
  <si>
    <t>SUBR("*GCAI714",TREADINGNO,TCHEMPERC,"152")</t>
  </si>
  <si>
    <t>R%WSVA</t>
  </si>
  <si>
    <t>WSMALO % Rel</t>
  </si>
  <si>
    <t>SUBR("*GCAI714",TREADINGNO,TCHEMPERC,"155")</t>
  </si>
  <si>
    <t>R%WSMALO</t>
  </si>
  <si>
    <t>Weight % Rel</t>
  </si>
  <si>
    <t>SUBR("*GCAI714",TREADINGNO,TCHEMPERC,"78")</t>
  </si>
  <si>
    <t>R%WEIGHT</t>
  </si>
  <si>
    <t>Visual % Rel</t>
  </si>
  <si>
    <t>SUBR("*GCAI714",TREADINGNO,TCHEMPERC,"13")</t>
  </si>
  <si>
    <t>R%VISUAL</t>
  </si>
  <si>
    <t>Viscos % Rel</t>
  </si>
  <si>
    <t>SUBR("*GCAI714",TREADINGNO,TCHEMPERC,"80")</t>
  </si>
  <si>
    <t>R%VISCOS</t>
  </si>
  <si>
    <t>VATop % Rel</t>
  </si>
  <si>
    <t>SUBR("*GCAI714",TREADINGNO,TCHEMPERC,"169")</t>
  </si>
  <si>
    <t>R%VATOP</t>
  </si>
  <si>
    <t>VAmeq % Rel</t>
  </si>
  <si>
    <t>SUBR("*GCAI714",TREADINGNO,TCHEMPERC,"206")</t>
  </si>
  <si>
    <t>R%VAMEQ</t>
  </si>
  <si>
    <t>VA % Rel</t>
  </si>
  <si>
    <t>SUBR("*GCAI714",TREADINGNO,TCHEMPERC,"10")</t>
  </si>
  <si>
    <t>R%VA</t>
  </si>
  <si>
    <t>Turb % Rel</t>
  </si>
  <si>
    <t>SUBR("*GCAI714",TREADINGNO,TCHEMPERC,"34")</t>
  </si>
  <si>
    <t>R%TURB</t>
  </si>
  <si>
    <t>TSAT % Rel</t>
  </si>
  <si>
    <t>SUBR("*GCAI714",TREADINGNO,TCHEMPERC,"181")</t>
  </si>
  <si>
    <t>R%TSAT</t>
  </si>
  <si>
    <t>TS02 % Rel</t>
  </si>
  <si>
    <t>SUBR("*GCAI714",TREADINGNO,TCHEMPERC,"6")</t>
  </si>
  <si>
    <t>R%TS02</t>
  </si>
  <si>
    <t>TotalAlc % Rel</t>
  </si>
  <si>
    <t>SUBR("*GCAI714",TREADINGNO,TCHEMPERC,"205")</t>
  </si>
  <si>
    <t>R%TOTALALC</t>
  </si>
  <si>
    <t>Total Alc % Rel</t>
  </si>
  <si>
    <t>R%TOTAL.ALC</t>
  </si>
  <si>
    <t>Tot Ph % Rel</t>
  </si>
  <si>
    <t>SUBR("*GCAI714",TREADINGNO,TCHEMPERC,"53")</t>
  </si>
  <si>
    <t>R%TOT.PH</t>
  </si>
  <si>
    <t>Tot An % Rel</t>
  </si>
  <si>
    <t>SUBR("*GCAI714",TREADINGNO,TCHEMPERC,"51")</t>
  </si>
  <si>
    <t>R%TOT.AN</t>
  </si>
  <si>
    <t>TOPMAL % Rel</t>
  </si>
  <si>
    <t>SUBR("*GCAI714",TREADINGNO,TCHEMPERC,"182")</t>
  </si>
  <si>
    <t>R%TOPMAL</t>
  </si>
  <si>
    <t>TERP % Rel</t>
  </si>
  <si>
    <t>SUBR("*GCAI714",TREADINGNO,TCHEMPERC,"123")</t>
  </si>
  <si>
    <t>R%TERP</t>
  </si>
  <si>
    <t>Temp % Rel</t>
  </si>
  <si>
    <t>SUBR("*GCAI714",TREADINGNO,TCHEMPERC,"1")</t>
  </si>
  <si>
    <t>R%TEMP</t>
  </si>
  <si>
    <t>TDE % Rel</t>
  </si>
  <si>
    <t>SUBR("*GCAI714",TREADINGNO,TCHEMPERC,"193")</t>
  </si>
  <si>
    <t>R%TDE</t>
  </si>
  <si>
    <t>TCA % Rel</t>
  </si>
  <si>
    <t>SUBR("*GCAI714",TREADINGNO,TCHEMPERC,"163")</t>
  </si>
  <si>
    <t>R%TCA</t>
  </si>
  <si>
    <t>TBA % Rel</t>
  </si>
  <si>
    <t>SUBR("*GCAI714",TREADINGNO,TCHEMPERC,"188")</t>
  </si>
  <si>
    <t>R%TBA</t>
  </si>
  <si>
    <t>TAT % Rel</t>
  </si>
  <si>
    <t>SUBR("*GCAI714",TREADINGNO,TCHEMPERC,"114")</t>
  </si>
  <si>
    <t>R%TAT</t>
  </si>
  <si>
    <t>Taste % Rel</t>
  </si>
  <si>
    <t>SUBR("*GCAI714",TREADINGNO,TCHEMPERC,"15")</t>
  </si>
  <si>
    <t>R%TASTE</t>
  </si>
  <si>
    <t>Tart % Rel</t>
  </si>
  <si>
    <t>SUBR("*GCAI714",TREADINGNO,TCHEMPERC,"30")</t>
  </si>
  <si>
    <t>R%TART</t>
  </si>
  <si>
    <t>TanninsCE % Rel</t>
  </si>
  <si>
    <t>SUBR("*GCAI714",TREADINGNO,TCHEMPERC,"213")</t>
  </si>
  <si>
    <t>R%TANNINSCE</t>
  </si>
  <si>
    <t>TANNIN % Rel</t>
  </si>
  <si>
    <t>SUBR("*GCAI714",TREADINGNO,TCHEMPERC,"120")</t>
  </si>
  <si>
    <t>R%TANNIN</t>
  </si>
  <si>
    <t>TA % Rel</t>
  </si>
  <si>
    <t>SUBR("*GCAI714",TREADINGNO,TCHEMPERC,"9")</t>
  </si>
  <si>
    <t>R%TA</t>
  </si>
  <si>
    <t>T Tan % Rel</t>
  </si>
  <si>
    <t>SUBR("*GCAI714",TREADINGNO,TCHEMPERC,"174")</t>
  </si>
  <si>
    <t>R%T.TAN</t>
  </si>
  <si>
    <t>T Pig % Rel</t>
  </si>
  <si>
    <t>SUBR("*GCAI714",TREADINGNO,TCHEMPERC,"172")</t>
  </si>
  <si>
    <t>R%T.PIG</t>
  </si>
  <si>
    <t>T Phen % Rel</t>
  </si>
  <si>
    <t>SUBR("*GCAI714",TREADINGNO,TCHEMPERC,"173")</t>
  </si>
  <si>
    <t>R%T.PHEN</t>
  </si>
  <si>
    <t>SUGF % Rel</t>
  </si>
  <si>
    <t>SUBR("*GCAI714",TREADINGNO,TCHEMPERC,"143")</t>
  </si>
  <si>
    <t>R%SUGF</t>
  </si>
  <si>
    <t>SUCC % Rel</t>
  </si>
  <si>
    <t>SUBR("*GCAI714",TREADINGNO,TCHEMPERC,"159")</t>
  </si>
  <si>
    <t>R%SUCC</t>
  </si>
  <si>
    <t>Steril % Rel</t>
  </si>
  <si>
    <t>SUBR("*GCAI714",TREADINGNO,TCHEMPERC,"73")</t>
  </si>
  <si>
    <t>R%STERIL</t>
  </si>
  <si>
    <t>Spare % Rel</t>
  </si>
  <si>
    <t>SUBR(SUBR.PENBW:"PBWI714",TREADINGNO,TCHEMPERC,"205")</t>
  </si>
  <si>
    <t>R%SPARE</t>
  </si>
  <si>
    <t>Sorbitol % Rel</t>
  </si>
  <si>
    <t>SUBR("*GCAI714",TREADINGNO,TCHEMPERC,"216")</t>
  </si>
  <si>
    <t>R%SORBITOL</t>
  </si>
  <si>
    <t>Sorbic % Rel</t>
  </si>
  <si>
    <t>SUBR("*GCAI714",TREADINGNO,TCHEMPERC,"45")</t>
  </si>
  <si>
    <t>R%SORBIC</t>
  </si>
  <si>
    <t>SG % Rel</t>
  </si>
  <si>
    <t>SUBR("*GCAI714",TREADINGNO,TCHEMPERC,"3")</t>
  </si>
  <si>
    <t>R%SG</t>
  </si>
  <si>
    <t>SALI % Rel</t>
  </si>
  <si>
    <t>SUBR("*GCAI714",TREADINGNO,TCHEMPERC,"105")</t>
  </si>
  <si>
    <t>R%SALI</t>
  </si>
  <si>
    <t>RSTop % Rel</t>
  </si>
  <si>
    <t>SUBR("*GCAI714",TREADINGNO,TCHEMPERC,"192")</t>
  </si>
  <si>
    <t>R%RSTOP</t>
  </si>
  <si>
    <t>RS % Rel</t>
  </si>
  <si>
    <t>SUBR("*GCAI714",TREADINGNO,TCHEMPERC,"12")</t>
  </si>
  <si>
    <t>R%RS</t>
  </si>
  <si>
    <t>RefInx % Rel</t>
  </si>
  <si>
    <t>SUBR("*GCAI714",TREADINGNO,TCHEMPERC,"175")</t>
  </si>
  <si>
    <t>R%REFINX</t>
  </si>
  <si>
    <t>REB % Rel</t>
  </si>
  <si>
    <t>SUBR("*GCAI714",TREADINGNO,TCHEMPERC,"158")</t>
  </si>
  <si>
    <t>R%REB</t>
  </si>
  <si>
    <t>Pvt % Rel</t>
  </si>
  <si>
    <t>SUBR("*GCAI714",TREADINGNO,TCHEMPERC,"76")</t>
  </si>
  <si>
    <t>R%PVT</t>
  </si>
  <si>
    <t>PVF % Rel</t>
  </si>
  <si>
    <t>SUBR("*GCAI714",TREADINGNO,TCHEMPERC,"111")</t>
  </si>
  <si>
    <t>R%PVF</t>
  </si>
  <si>
    <t>Press(psi) % Rel</t>
  </si>
  <si>
    <t>SUBR("*GCAI714",TREADINGNO,TCHEMPERC,"88")</t>
  </si>
  <si>
    <t>R%PRESS(PSI)</t>
  </si>
  <si>
    <t>Press % Rel</t>
  </si>
  <si>
    <t>SUBR("*GCAI714",TREADINGNO,TCHEMPERC,"65")</t>
  </si>
  <si>
    <t>R%PRESS</t>
  </si>
  <si>
    <t>PINK P % Rel</t>
  </si>
  <si>
    <t>SUBR("*GCAI714",TREADINGNO,TCHEMPERC,"122")</t>
  </si>
  <si>
    <t>R%PINK.P</t>
  </si>
  <si>
    <t>Phenol % Rel</t>
  </si>
  <si>
    <t>SUBR("*GCAI714",TREADINGNO,TCHEMPERC,"18")</t>
  </si>
  <si>
    <t>R%PHENOL</t>
  </si>
  <si>
    <t>pHCHue % Rel</t>
  </si>
  <si>
    <t>SUBR("*GCAI714",TREADINGNO,TCHEMPERC,"164")</t>
  </si>
  <si>
    <t>R%PHCHUE</t>
  </si>
  <si>
    <t>pHCDen % Rel</t>
  </si>
  <si>
    <t>SUBR("*GCAI714",TREADINGNO,TCHEMPERC,"165")</t>
  </si>
  <si>
    <t>R%PHCDEN</t>
  </si>
  <si>
    <t>Phage % Rel</t>
  </si>
  <si>
    <t>SUBR("*GCAI714",TREADINGNO,TCHEMPERC,"94")</t>
  </si>
  <si>
    <t>R%PHAGE</t>
  </si>
  <si>
    <t>PHADJ % Rel</t>
  </si>
  <si>
    <t>SUBR("*GCAI714",TREADINGNO,TCHEMPERC,"113")</t>
  </si>
  <si>
    <t>R%PHADJ</t>
  </si>
  <si>
    <t>pH % Rel</t>
  </si>
  <si>
    <t>SUBR("*GCAI714",TREADINGNO,TCHEMPERC,"11")</t>
  </si>
  <si>
    <t>R%PH</t>
  </si>
  <si>
    <t>PEST % Rel</t>
  </si>
  <si>
    <t>SUBR("*GCAI714",TREADINGNO,TCHEMPERC,"136")</t>
  </si>
  <si>
    <t>R%PEST</t>
  </si>
  <si>
    <t>Pectin % Rel</t>
  </si>
  <si>
    <t>SUBR("*GCAI714",TREADINGNO,TCHEMPERC,"16")</t>
  </si>
  <si>
    <t>R%PECTIN</t>
  </si>
  <si>
    <t>Pb % Rel</t>
  </si>
  <si>
    <t>SUBR("*GCAI714",TREADINGNO,TCHEMPERC,"24")</t>
  </si>
  <si>
    <t>R%PB</t>
  </si>
  <si>
    <t>pAlc % Rel</t>
  </si>
  <si>
    <t>SUBR("*GCAI714",TREADINGNO,TCHEMPERC,"217")</t>
  </si>
  <si>
    <t>R%PALC</t>
  </si>
  <si>
    <t>P.SORB % Rel</t>
  </si>
  <si>
    <t>SUBR("*GCAI714",TREADINGNO,TCHEMPERC,"116")</t>
  </si>
  <si>
    <t>R%P.SORB</t>
  </si>
  <si>
    <t>P % Rel</t>
  </si>
  <si>
    <t>SUBR("*GCAI714",TREADINGNO,TCHEMPERC,"92")</t>
  </si>
  <si>
    <t>R%P</t>
  </si>
  <si>
    <t>Obscur % Rel</t>
  </si>
  <si>
    <t>SUBR("*GCAI714",TREADINGNO,TCHEMPERC,"49")</t>
  </si>
  <si>
    <t>R%OBSCUR</t>
  </si>
  <si>
    <t>NOTE % Rel</t>
  </si>
  <si>
    <t>SUBR("*GCAI714",TREADINGNO,TCHEMPERC,"183")</t>
  </si>
  <si>
    <t>R%NOTE</t>
  </si>
  <si>
    <t>Nh4+ % Rel</t>
  </si>
  <si>
    <t>SUBR("*GCAI714",TREADINGNO,TCHEMPERC,"42")</t>
  </si>
  <si>
    <t>R%NH4</t>
  </si>
  <si>
    <t>Nekle % Rel</t>
  </si>
  <si>
    <t>SUBR("*GCAI714",TREADINGNO,TCHEMPERC,"83")</t>
  </si>
  <si>
    <t>R%NEKLE</t>
  </si>
  <si>
    <t>Nekdi % Rel</t>
  </si>
  <si>
    <t>SUBR("*GCAI714",TREADINGNO,TCHEMPERC,"82")</t>
  </si>
  <si>
    <t>R%NEKDI</t>
  </si>
  <si>
    <t>Nacl % Rel</t>
  </si>
  <si>
    <t>SUBR("*GCAI714",TREADINGNO,TCHEMPERC,"36")</t>
  </si>
  <si>
    <t>R%NACL</t>
  </si>
  <si>
    <t>Na % Rel</t>
  </si>
  <si>
    <t>SUBR("*GCAI714",TREADINGNO,TCHEMPERC,"27")</t>
  </si>
  <si>
    <t>R%NA</t>
  </si>
  <si>
    <t>N % Rel</t>
  </si>
  <si>
    <t>SUBR("*GCAI714",TREADINGNO,TCHEMPERC,"91")</t>
  </si>
  <si>
    <t>R%N</t>
  </si>
  <si>
    <t>mSO2 % Rel</t>
  </si>
  <si>
    <t>SUBR("*GCAI714",TREADINGNO,TCHEMPERC,"187")</t>
  </si>
  <si>
    <t>R%MSO2</t>
  </si>
  <si>
    <t>Motile % Rel</t>
  </si>
  <si>
    <t>SUBR("*GCAI714",TREADINGNO,TCHEMPERC,"68")</t>
  </si>
  <si>
    <t>R%MOTILE</t>
  </si>
  <si>
    <t>MolSO2 % Rel</t>
  </si>
  <si>
    <t>SUBR("*GCAI714",TREADINGNO,TCHEMPERC,"148")</t>
  </si>
  <si>
    <t>R%MOLSO2</t>
  </si>
  <si>
    <t>Mn % Rel</t>
  </si>
  <si>
    <t>SUBR("*GCAI714",TREADINGNO,TCHEMPERC,"85")</t>
  </si>
  <si>
    <t>R%MN</t>
  </si>
  <si>
    <t>MLF % Rel</t>
  </si>
  <si>
    <t>SUBR("*GCAI714",TREADINGNO,TCHEMPERC,"21")</t>
  </si>
  <si>
    <t>R%MLF</t>
  </si>
  <si>
    <t>Milk % Rel</t>
  </si>
  <si>
    <t>SUBR("*GCAI714",TREADINGNO,TCHEMPERC,"171")</t>
  </si>
  <si>
    <t>R%MILK</t>
  </si>
  <si>
    <t>MILF % Rel</t>
  </si>
  <si>
    <t>SUBR("*GCAI714",TREADINGNO,TCHEMPERC,"110")</t>
  </si>
  <si>
    <t>R%MILF</t>
  </si>
  <si>
    <t>Micro % Rel</t>
  </si>
  <si>
    <t>SUBR("*GCAI714",TREADINGNO,TCHEMPERC,"93")</t>
  </si>
  <si>
    <t>R%MICRO</t>
  </si>
  <si>
    <t>Mg % Rel</t>
  </si>
  <si>
    <t>SUBR("*GCAI714",TREADINGNO,TCHEMPERC,"48")</t>
  </si>
  <si>
    <t>R%MG</t>
  </si>
  <si>
    <t>METHO % Rel</t>
  </si>
  <si>
    <t>SUBR("*GCAI714",TREADINGNO,TCHEMPERC,"104")</t>
  </si>
  <si>
    <t>R%METHO</t>
  </si>
  <si>
    <t>MeOH % Rel</t>
  </si>
  <si>
    <t>SUBR("*GCAI714",TREADINGNO,TCHEMPERC,"196")</t>
  </si>
  <si>
    <t>R%MEOH</t>
  </si>
  <si>
    <t>MDG % Rel</t>
  </si>
  <si>
    <t>SUBR("*GCAI714",TREADINGNO,TCHEMPERC,"119")</t>
  </si>
  <si>
    <t>R%MDG</t>
  </si>
  <si>
    <t>MAT % Rel</t>
  </si>
  <si>
    <t>SUBR("*GCAI714",TREADINGNO,TCHEMPERC,"124")</t>
  </si>
  <si>
    <t>R%MAT</t>
  </si>
  <si>
    <t>MaloV % Rel</t>
  </si>
  <si>
    <t>SUBR("*GCAI714",TREADINGNO,TCHEMPERC,"176")</t>
  </si>
  <si>
    <t>R%MALOV</t>
  </si>
  <si>
    <t>Malate % Rel</t>
  </si>
  <si>
    <t>SUBR("*GCAI714",TREADINGNO,TCHEMPERC,"47")</t>
  </si>
  <si>
    <t>R%MALATE</t>
  </si>
  <si>
    <t>L/Alc % Rel</t>
  </si>
  <si>
    <t>SUBR("*GCAI714",TREADINGNO,TCHEMPERC,"132")</t>
  </si>
  <si>
    <t>R%LALC</t>
  </si>
  <si>
    <t>Lag % Rel</t>
  </si>
  <si>
    <t>SUBR("*GCAI714",TREADINGNO,TCHEMPERC,"69")</t>
  </si>
  <si>
    <t>R%LAG</t>
  </si>
  <si>
    <t>LACTIC % Rel</t>
  </si>
  <si>
    <t>SUBR("*GCAI714",TREADINGNO,TCHEMPERC,"103")</t>
  </si>
  <si>
    <t>R%LACTIC</t>
  </si>
  <si>
    <t>LACASE % Rel</t>
  </si>
  <si>
    <t>SUBR("*GCAI714",TREADINGNO,TCHEMPERC,"96")</t>
  </si>
  <si>
    <t>R%LACASE</t>
  </si>
  <si>
    <t>KspKht % Rel</t>
  </si>
  <si>
    <t>SUBR("*GCAI714",TREADINGNO,TCHEMPERC,"90")</t>
  </si>
  <si>
    <t>R%KSPKHT</t>
  </si>
  <si>
    <t>K2S04 % Rel</t>
  </si>
  <si>
    <t>SUBR("*GCAI714",TREADINGNO,TCHEMPERC,"29")</t>
  </si>
  <si>
    <t>R%K2S04</t>
  </si>
  <si>
    <t>K % Rel</t>
  </si>
  <si>
    <t>SUBR("*GCAI714",TREADINGNO,TCHEMPERC,"26")</t>
  </si>
  <si>
    <t>R%K</t>
  </si>
  <si>
    <t>JMET % Rel</t>
  </si>
  <si>
    <t>SUBR("*GCAI714",TREADINGNO,TCHEMPERC,"157")</t>
  </si>
  <si>
    <t>R%JMET</t>
  </si>
  <si>
    <t>IRP % Rel</t>
  </si>
  <si>
    <t>SUBR("*GCAI714",TREADINGNO,TCHEMPERC,"214")</t>
  </si>
  <si>
    <t>R%IRP</t>
  </si>
  <si>
    <t>Ion An % Rel</t>
  </si>
  <si>
    <t>SUBR("*GCAI714",TREADINGNO,TCHEMPERC,"52")</t>
  </si>
  <si>
    <t>R%ION.AN</t>
  </si>
  <si>
    <t>IBMP % Rel</t>
  </si>
  <si>
    <t>SUBR("*GCAI714",TREADINGNO,TCHEMPERC,"185")</t>
  </si>
  <si>
    <t>R%IBMP</t>
  </si>
  <si>
    <t>/Hue % Rel</t>
  </si>
  <si>
    <t>SUBR("*GCAI714",TREADINGNO,TCHEMPERC,"186")</t>
  </si>
  <si>
    <t>R%HUE</t>
  </si>
  <si>
    <t>HOLDBK % Rel</t>
  </si>
  <si>
    <t>SUBR("*GCAI714",TREADINGNO,TCHEMPERC,"179")</t>
  </si>
  <si>
    <t>R%HOLDBK</t>
  </si>
  <si>
    <t>HMETAL % Rel</t>
  </si>
  <si>
    <t>SUBR("*GCAI714",TREADINGNO,TCHEMPERC,"141")</t>
  </si>
  <si>
    <t>R%HMETAL</t>
  </si>
  <si>
    <t>Heat/V % Rel</t>
  </si>
  <si>
    <t>SUBR("*GCAI714",TREADINGNO,TCHEMPERC,"131")</t>
  </si>
  <si>
    <t>R%HEATV</t>
  </si>
  <si>
    <t>Heat/T % Rel</t>
  </si>
  <si>
    <t>SUBR("*GCAI714",TREADINGNO,TCHEMPERC,"130")</t>
  </si>
  <si>
    <t>R%HEATT</t>
  </si>
  <si>
    <t>Heat % Rel</t>
  </si>
  <si>
    <t>SUBR("*GCAI714",TREADINGNO,TCHEMPERC,"31")</t>
  </si>
  <si>
    <t>R%HEAT</t>
  </si>
  <si>
    <t>H2S % Rel</t>
  </si>
  <si>
    <t>SUBR("*GCAI714",TREADINGNO,TCHEMPERC,"74")</t>
  </si>
  <si>
    <t>R%H2S</t>
  </si>
  <si>
    <t>GUAIACOL % Rel</t>
  </si>
  <si>
    <t>SUBR("*GCAI714",TREADINGNO,TCHEMPERC,"161")</t>
  </si>
  <si>
    <t>R%GUAIACOL</t>
  </si>
  <si>
    <t>GUACOL % Rel</t>
  </si>
  <si>
    <t>R%GUACOL</t>
  </si>
  <si>
    <t>Gram % Rel</t>
  </si>
  <si>
    <t>SUBR("*GCAI714",TREADINGNO,TCHEMPERC,"56")</t>
  </si>
  <si>
    <t>R%GRAM</t>
  </si>
  <si>
    <t>Glyc % Rel</t>
  </si>
  <si>
    <t>SUBR("*GCAI714",TREADINGNO,TCHEMPERC,"67")</t>
  </si>
  <si>
    <t>R%GLYC</t>
  </si>
  <si>
    <t>Gluconic % Rel</t>
  </si>
  <si>
    <t>SUBR("*GCAI714",TREADINGNO,TCHEMPERC,"215")</t>
  </si>
  <si>
    <t>R%GLUCONIC</t>
  </si>
  <si>
    <t>Glucan % Rel</t>
  </si>
  <si>
    <t>SUBR("*GCAI714",TREADINGNO,TCHEMPERC,"180")</t>
  </si>
  <si>
    <t>R%GLUCAN</t>
  </si>
  <si>
    <t>Gluc % Rel</t>
  </si>
  <si>
    <t>SUBR("*GCAI714",TREADINGNO,TCHEMPERC,"66")</t>
  </si>
  <si>
    <t>R%GLUC</t>
  </si>
  <si>
    <t>GFS % Rel</t>
  </si>
  <si>
    <t>SUBR("*GCAI714",TREADINGNO,TCHEMPERC,"184")</t>
  </si>
  <si>
    <t>R%GFS</t>
  </si>
  <si>
    <t>G/F % Rel</t>
  </si>
  <si>
    <t>SUBR("*GCAI714",TREADINGNO,TCHEMPERC,"146")</t>
  </si>
  <si>
    <t>R%GF</t>
  </si>
  <si>
    <t>GELF % Rel</t>
  </si>
  <si>
    <t>SUBR("*GCAI714",TREADINGNO,TCHEMPERC,"109")</t>
  </si>
  <si>
    <t>R%GELF</t>
  </si>
  <si>
    <t>GASUNT % Rel</t>
  </si>
  <si>
    <t>SUBR("*GCAI714",TREADINGNO,TCHEMPERC,"178")</t>
  </si>
  <si>
    <t>R%GASUNT</t>
  </si>
  <si>
    <t>Fvt % Rel</t>
  </si>
  <si>
    <t>SUBR("*GCAI714",TREADINGNO,TCHEMPERC,"75")</t>
  </si>
  <si>
    <t>R%FVT</t>
  </si>
  <si>
    <t>FTHAW % Rel</t>
  </si>
  <si>
    <t>SUBR("*GCAI714",TREADINGNO,TCHEMPERC,"99")</t>
  </si>
  <si>
    <t>R%FTHAW</t>
  </si>
  <si>
    <t>FS02 % Rel</t>
  </si>
  <si>
    <t>SUBR("*GCAI714",TREADINGNO,TCHEMPERC,"7")</t>
  </si>
  <si>
    <t>R%FS02</t>
  </si>
  <si>
    <t>Fruct % Rel</t>
  </si>
  <si>
    <t>SUBR("*GCAI714",TREADINGNO,TCHEMPERC,"70")</t>
  </si>
  <si>
    <t>R%FRUCT</t>
  </si>
  <si>
    <t>FNA % Rel</t>
  </si>
  <si>
    <t>SUBR("*GCAI714",TREADINGNO,TCHEMPERC,"102")</t>
  </si>
  <si>
    <t>R%FNA</t>
  </si>
  <si>
    <t>FltAb % Rel</t>
  </si>
  <si>
    <t>SUBR("*GCAI714",TREADINGNO,TCHEMPERC,"97")</t>
  </si>
  <si>
    <t>R%FLTAB</t>
  </si>
  <si>
    <t>Flocc % Rel</t>
  </si>
  <si>
    <t>SUBR("*GCAI714",TREADINGNO,TCHEMPERC,"71")</t>
  </si>
  <si>
    <t>R%FLOCC</t>
  </si>
  <si>
    <t>Fillht % Rel</t>
  </si>
  <si>
    <t>SUBR("*GCAI714",TREADINGNO,TCHEMPERC,"81")</t>
  </si>
  <si>
    <t>R%FILLHT</t>
  </si>
  <si>
    <t>Fe % Rel</t>
  </si>
  <si>
    <t>SUBR("*GCAI714",TREADINGNO,TCHEMPERC,"22")</t>
  </si>
  <si>
    <t>R%FE</t>
  </si>
  <si>
    <t>Exract % Rel</t>
  </si>
  <si>
    <t>SUBR("*GCAI714",TREADINGNO,TCHEMPERC,"44")</t>
  </si>
  <si>
    <t>R%EXRACT</t>
  </si>
  <si>
    <t>Eucalyptol % Rel</t>
  </si>
  <si>
    <t>SUBR("*GCAI714",TREADINGNO,TCHEMPERC,"204")</t>
  </si>
  <si>
    <t>R%EUCALYPTOL</t>
  </si>
  <si>
    <t>EtOH % Rel</t>
  </si>
  <si>
    <t>SUBR("*GCAI714",TREADINGNO,TCHEMPERC,"195")</t>
  </si>
  <si>
    <t>R%ETOH</t>
  </si>
  <si>
    <t>EtAc % Rel</t>
  </si>
  <si>
    <t>SUBR("*GCAI714",TREADINGNO,TCHEMPERC,"202")</t>
  </si>
  <si>
    <t>R%ETAC</t>
  </si>
  <si>
    <t>EGGF % Rel</t>
  </si>
  <si>
    <t>SUBR("*GCAI714",TREADINGNO,TCHEMPERC,"133")</t>
  </si>
  <si>
    <t>R%EGGF</t>
  </si>
  <si>
    <t>Egg % Rel</t>
  </si>
  <si>
    <t>SUBR("*GCAI714",TREADINGNO,TCHEMPERC,"170")</t>
  </si>
  <si>
    <t>R%EGG</t>
  </si>
  <si>
    <t>DIP % Rel</t>
  </si>
  <si>
    <t>SUBR("*GCAI714",TREADINGNO,TCHEMPERC,"142")</t>
  </si>
  <si>
    <t>R%DIP</t>
  </si>
  <si>
    <t>DENS % Rel</t>
  </si>
  <si>
    <t>SUBR("*GCAI714",TREADINGNO,TCHEMPERC,"121")</t>
  </si>
  <si>
    <t>R%DENS</t>
  </si>
  <si>
    <t>DC02 % Rel</t>
  </si>
  <si>
    <t>SUBR("*GCAI714",TREADINGNO,TCHEMPERC,"72")</t>
  </si>
  <si>
    <t>R%DC02</t>
  </si>
  <si>
    <t>D02 % Rel</t>
  </si>
  <si>
    <t>SUBR("*GCAI714",TREADINGNO,TCHEMPERC,"43")</t>
  </si>
  <si>
    <t>R%D02</t>
  </si>
  <si>
    <t>CUF % Rel</t>
  </si>
  <si>
    <t>SUBR("*GCAI714",TREADINGNO,TCHEMPERC,"108")</t>
  </si>
  <si>
    <t>R%CUF</t>
  </si>
  <si>
    <t>Cu % Rel</t>
  </si>
  <si>
    <t>SUBR("*GCAI714",TREADINGNO,TCHEMPERC,"23")</t>
  </si>
  <si>
    <t>R%CU</t>
  </si>
  <si>
    <t>Cp % Rel</t>
  </si>
  <si>
    <t>SUBR("*GCAI714",TREADINGNO,TCHEMPERC,"89")</t>
  </si>
  <si>
    <t>R%CP</t>
  </si>
  <si>
    <t>COND % Rel</t>
  </si>
  <si>
    <t>SUBR("*GCAI714",TREADINGNO,TCHEMPERC,"153")</t>
  </si>
  <si>
    <t>R%COND</t>
  </si>
  <si>
    <t>COMPL % Rel</t>
  </si>
  <si>
    <t>SUBR("*GCAI714",TREADINGNO,TCHEMPERC,"160")</t>
  </si>
  <si>
    <t>R%COMPL</t>
  </si>
  <si>
    <t>Comment % Rel</t>
  </si>
  <si>
    <t>SUBR("*GCAI714",TREADINGNO,TCHEMPERC,"209")</t>
  </si>
  <si>
    <t>R%COMMENT</t>
  </si>
  <si>
    <t>COM % Rel</t>
  </si>
  <si>
    <t>SUBR("*GCAI714",TREADINGNO,TCHEMPERC,"125")</t>
  </si>
  <si>
    <t>R%COM</t>
  </si>
  <si>
    <t>ColourStab % Rel</t>
  </si>
  <si>
    <t>SUBR("*GCAI714",TREADINGNO,TCHEMPERC,"98")</t>
  </si>
  <si>
    <t>R%COLOURSTAB</t>
  </si>
  <si>
    <t>ColourHue % Rel</t>
  </si>
  <si>
    <t>R%COLOURHUE</t>
  </si>
  <si>
    <t>ColourDens % Rel</t>
  </si>
  <si>
    <t>R%COLOURDENS</t>
  </si>
  <si>
    <t>Colour % Rel</t>
  </si>
  <si>
    <t>R%COLOUR</t>
  </si>
  <si>
    <t>COLIFM % Rel</t>
  </si>
  <si>
    <t>SUBR("*GCAI714",TREADINGNO,TCHEMPERC,"138")</t>
  </si>
  <si>
    <t>R%COLIFM</t>
  </si>
  <si>
    <t>Cold/V % Rel</t>
  </si>
  <si>
    <t>SUBR("*GCAI714",TREADINGNO,TCHEMPERC,"129")</t>
  </si>
  <si>
    <t>R%COLDV</t>
  </si>
  <si>
    <t>Cold/T % Rel</t>
  </si>
  <si>
    <t>SUBR("*GCAI714",TREADINGNO,TCHEMPERC,"128")</t>
  </si>
  <si>
    <t>R%COLDT</t>
  </si>
  <si>
    <t>Colden % Rel</t>
  </si>
  <si>
    <t>SUBR("*GCAI714",TREADINGNO,TCHEMPERC,"50")</t>
  </si>
  <si>
    <t>R%COLDEN</t>
  </si>
  <si>
    <t>Cold % Rel</t>
  </si>
  <si>
    <t>SUBR("*GCAI714",TREADINGNO,TCHEMPERC,"32")</t>
  </si>
  <si>
    <t>R%COLD</t>
  </si>
  <si>
    <t>COL580 % Rel</t>
  </si>
  <si>
    <t>SUBR("*GCAI714",TREADINGNO,TCHEMPERC,"101")</t>
  </si>
  <si>
    <t>R%COL580</t>
  </si>
  <si>
    <t>COL460 % Rel</t>
  </si>
  <si>
    <t>SUBR("*GCAI714",TREADINGNO,TCHEMPERC,"100")</t>
  </si>
  <si>
    <t>R%COL460</t>
  </si>
  <si>
    <t>Cn % Rel</t>
  </si>
  <si>
    <t>SUBR("*GCAI714",TREADINGNO,TCHEMPERC,"95")</t>
  </si>
  <si>
    <t>R%CN</t>
  </si>
  <si>
    <t>Clty % Rel</t>
  </si>
  <si>
    <t>SUBR("*GCAI714",TREADINGNO,TCHEMPERC,"14")</t>
  </si>
  <si>
    <t>R%CLTY</t>
  </si>
  <si>
    <t>Clini % Rel</t>
  </si>
  <si>
    <t>SUBR("*GCAI714",TREADINGNO,TCHEMPERC,"77")</t>
  </si>
  <si>
    <t>R%CLINI</t>
  </si>
  <si>
    <t>CL % Rel</t>
  </si>
  <si>
    <t>SUBR("*GCAI714",TREADINGNO,TCHEMPERC,"115")</t>
  </si>
  <si>
    <t>R%CL</t>
  </si>
  <si>
    <t>CITRIC % Rel</t>
  </si>
  <si>
    <t>SUBR("*GCAI714",TREADINGNO,TCHEMPERC,"117")</t>
  </si>
  <si>
    <t>R%CITRIC</t>
  </si>
  <si>
    <t>Citrat % Rel</t>
  </si>
  <si>
    <t>SUBR("*GCAI714",TREADINGNO,TCHEMPERC,"46")</t>
  </si>
  <si>
    <t>R%CITRAT</t>
  </si>
  <si>
    <t>ChemII % Rel</t>
  </si>
  <si>
    <t>SUBR("*GCAI714",TREADINGNO,TCHEMPERC,"55")</t>
  </si>
  <si>
    <t>R%CHEMII</t>
  </si>
  <si>
    <t>Chem I % Rel</t>
  </si>
  <si>
    <t>SUBR("*GCAI714",TREADINGNO,TCHEMPERC,"54")</t>
  </si>
  <si>
    <t>R%CHEM.I</t>
  </si>
  <si>
    <t>CHEESF % Rel</t>
  </si>
  <si>
    <t>SUBR("*GCAI714",TREADINGNO,TCHEMPERC,"145")</t>
  </si>
  <si>
    <t>R%CHEESF</t>
  </si>
  <si>
    <t>Catal % Rel</t>
  </si>
  <si>
    <t>SUBR("*GCAI714",TREADINGNO,TCHEMPERC,"60")</t>
  </si>
  <si>
    <t>R%CATAL</t>
  </si>
  <si>
    <t>CAT % Rel</t>
  </si>
  <si>
    <t>SUBR("*GCAI714",TREADINGNO,TCHEMPERC,"112")</t>
  </si>
  <si>
    <t>R%CAT</t>
  </si>
  <si>
    <t>CaStab % Rel</t>
  </si>
  <si>
    <t>SUBR("*GCAI714",TREADINGNO,TCHEMPERC,"208")</t>
  </si>
  <si>
    <t>R%CASTAB</t>
  </si>
  <si>
    <t>CASF % Rel</t>
  </si>
  <si>
    <t>SUBR("*GCAI714",TREADINGNO,TCHEMPERC,"107")</t>
  </si>
  <si>
    <t>R%CASF</t>
  </si>
  <si>
    <t>CarbPG % Rel</t>
  </si>
  <si>
    <t>SUBR("*GCAI714",TREADINGNO,TCHEMPERC,"168")</t>
  </si>
  <si>
    <t>R%CARBPG</t>
  </si>
  <si>
    <t>CarbFR % Rel</t>
  </si>
  <si>
    <t>SUBR("*GCAI714",TREADINGNO,TCHEMPERC,"167")</t>
  </si>
  <si>
    <t>R%CARBFR</t>
  </si>
  <si>
    <t>CARBF % Rel</t>
  </si>
  <si>
    <t>SUBR("*GCAI714",TREADINGNO,TCHEMPERC,"106")</t>
  </si>
  <si>
    <t>R%CARBF</t>
  </si>
  <si>
    <t>CaFilt % Rel</t>
  </si>
  <si>
    <t>SUBR("*GCAI714",TREADINGNO,TCHEMPERC,"162")</t>
  </si>
  <si>
    <t>R%CAFILT</t>
  </si>
  <si>
    <t>Ca % Rel</t>
  </si>
  <si>
    <t>SUBR("*GCAI714",TREADINGNO,TCHEMPERC,"28")</t>
  </si>
  <si>
    <t>R%CA</t>
  </si>
  <si>
    <t>Brix % Rel</t>
  </si>
  <si>
    <t>SUBR("*GCAI714",TREADINGNO,TCHEMPERC,"4")</t>
  </si>
  <si>
    <t>R%BRIX</t>
  </si>
  <si>
    <t>BRINE % Rel</t>
  </si>
  <si>
    <t>SUBR("*GCAI714",TREADINGNO,TCHEMPERC,"154")</t>
  </si>
  <si>
    <t>R%BRINE</t>
  </si>
  <si>
    <t>BrettV25 % Rel</t>
  </si>
  <si>
    <t>SUBR("*GCAI714",TREADINGNO,TCHEMPERC,"207")</t>
  </si>
  <si>
    <t>R%BRETTV25</t>
  </si>
  <si>
    <t>BRETTV % Rel</t>
  </si>
  <si>
    <t>SUBR("*GCAI714",TREADINGNO,TCHEMPERC,"151")</t>
  </si>
  <si>
    <t>R%BRETTV</t>
  </si>
  <si>
    <t>Bent % Rel</t>
  </si>
  <si>
    <t>SUBR("*GCAI714",TREADINGNO,TCHEMPERC,"33")</t>
  </si>
  <si>
    <t>R%BENT</t>
  </si>
  <si>
    <t>Be % Rel</t>
  </si>
  <si>
    <t>SUBR("*GCAI714",TREADINGNO,TCHEMPERC,"2")</t>
  </si>
  <si>
    <t>R%BE</t>
  </si>
  <si>
    <t>Barrel % Rel</t>
  </si>
  <si>
    <t>SUBR("*GCAI714",TREADINGNO,TCHEMPERC,"166")</t>
  </si>
  <si>
    <t>R%BARREL</t>
  </si>
  <si>
    <t>BactV100 % Rel</t>
  </si>
  <si>
    <t>SUBR("*GCAI714",TREADINGNO,TCHEMPERC,"211")</t>
  </si>
  <si>
    <t>R%BACTV100</t>
  </si>
  <si>
    <t>Bact % Rel</t>
  </si>
  <si>
    <t>SUBR("*GCAI714",TREADINGNO,TCHEMPERC,"64")</t>
  </si>
  <si>
    <t>R%BACT</t>
  </si>
  <si>
    <t>BA % Rel</t>
  </si>
  <si>
    <t>SUBR("*GCAI714",TREADINGNO,TCHEMPERC,"156")</t>
  </si>
  <si>
    <t>R%BA</t>
  </si>
  <si>
    <t>Ash % Rel</t>
  </si>
  <si>
    <t>SUBR("*GCAI714",TREADINGNO,TCHEMPERC,"17")</t>
  </si>
  <si>
    <t>R%ASH</t>
  </si>
  <si>
    <t>Asc % Rel</t>
  </si>
  <si>
    <t>SUBR("*GCAI714",TREADINGNO,TCHEMPERC,"8")</t>
  </si>
  <si>
    <t>R%ASC</t>
  </si>
  <si>
    <t>Api % Rel</t>
  </si>
  <si>
    <t>SUBR("*GCAI714",TREADINGNO,TCHEMPERC,"61")</t>
  </si>
  <si>
    <t>R%API</t>
  </si>
  <si>
    <t>AnthsME % Rel</t>
  </si>
  <si>
    <t>SUBR("*GCAI714",TREADINGNO,TCHEMPERC,"212")</t>
  </si>
  <si>
    <t>R%ANTHSME</t>
  </si>
  <si>
    <t>ANIONS % Rel</t>
  </si>
  <si>
    <t>SUBR("*GCAI714",TREADINGNO,TCHEMPERC,"140")</t>
  </si>
  <si>
    <t>R%ANIONS</t>
  </si>
  <si>
    <t>Alpha % Rel</t>
  </si>
  <si>
    <t>SUBR("*GCAI714",TREADINGNO,TCHEMPERC,"86")</t>
  </si>
  <si>
    <t>R%ALPHA</t>
  </si>
  <si>
    <t>ALD % Rel</t>
  </si>
  <si>
    <t>SUBR("*GCAI714",TREADINGNO,TCHEMPERC,"37")</t>
  </si>
  <si>
    <t>R%ALD</t>
  </si>
  <si>
    <t>AlcTop % Rel</t>
  </si>
  <si>
    <t>SUBR("*GCAI714",TREADINGNO,TCHEMPERC,"191")</t>
  </si>
  <si>
    <t>R%ALCTOP</t>
  </si>
  <si>
    <t>ALC/LC % Rel</t>
  </si>
  <si>
    <t>SUBR("*GCAI714",TREADINGNO,TCHEMPERC,"139")</t>
  </si>
  <si>
    <t>R%ALCLC</t>
  </si>
  <si>
    <t>ALC/IN % Rel</t>
  </si>
  <si>
    <t>SUBR("*GCAI714",TREADINGNO,TCHEMPERC,"135")</t>
  </si>
  <si>
    <t>R%ALCIN</t>
  </si>
  <si>
    <t>ALC/GC % Rel</t>
  </si>
  <si>
    <t>SUBR("*GCAI714",TREADINGNO,TCHEMPERC,"134")</t>
  </si>
  <si>
    <t>R%ALCGC</t>
  </si>
  <si>
    <t>ALC/D % Rel</t>
  </si>
  <si>
    <t>SUBR("*GCAI714",TREADINGNO,TCHEMPERC,"137")</t>
  </si>
  <si>
    <t>R%ALCD</t>
  </si>
  <si>
    <t>Alc % Rel</t>
  </si>
  <si>
    <t>SUBR("*GCAI714",TREADINGNO,TCHEMPERC,"5")</t>
  </si>
  <si>
    <t>R%ALC</t>
  </si>
  <si>
    <t>Al % Rel</t>
  </si>
  <si>
    <t>SUBR("*GCAI714",TREADINGNO,TCHEMPERC,"189")</t>
  </si>
  <si>
    <t>R%AL</t>
  </si>
  <si>
    <t>Acetic % Rel</t>
  </si>
  <si>
    <t>SUBR("*GCAI714",TREADINGNO,TCHEMPERC,"87")</t>
  </si>
  <si>
    <t>R%ACETIC</t>
  </si>
  <si>
    <t>Acetat % Rel</t>
  </si>
  <si>
    <t>SUBR("*GCAI714",TREADINGNO,TCHEMPERC,"19")</t>
  </si>
  <si>
    <t>R%ACETAT</t>
  </si>
  <si>
    <t>AAN % Rel</t>
  </si>
  <si>
    <t>SUBR("*GCAI714",TREADINGNO,TCHEMPERC,"144")</t>
  </si>
  <si>
    <t>R%AAN</t>
  </si>
  <si>
    <t>A620 % Rel</t>
  </si>
  <si>
    <t>SUBR("*GCAI714",TREADINGNO,TCHEMPERC,"190")</t>
  </si>
  <si>
    <t>R%A620</t>
  </si>
  <si>
    <t>A520 % Rel</t>
  </si>
  <si>
    <t>SUBR("*GCAI714",TREADINGNO,TCHEMPERC,"39")</t>
  </si>
  <si>
    <t>R%A520</t>
  </si>
  <si>
    <t>A500 % Rel</t>
  </si>
  <si>
    <t>SUBR("*GCAI714",TREADINGNO,TCHEMPERC,"40")</t>
  </si>
  <si>
    <t>R%A500</t>
  </si>
  <si>
    <t>A430 % Rel</t>
  </si>
  <si>
    <t>SUBR("*GCAI714",TREADINGNO,TCHEMPERC,"127")</t>
  </si>
  <si>
    <t>R%A430</t>
  </si>
  <si>
    <t>A420 % Rel</t>
  </si>
  <si>
    <t>SUBR("*GCAI714",TREADINGNO,TCHEMPERC,"38")</t>
  </si>
  <si>
    <t>R%A420</t>
  </si>
  <si>
    <t>A280 % Rel</t>
  </si>
  <si>
    <t>SUBR("*GCAI714",TREADINGNO,TCHEMPERC,"126")</t>
  </si>
  <si>
    <t>R%A280</t>
  </si>
  <si>
    <t>4MG % Rel</t>
  </si>
  <si>
    <t>SUBR("*GCAI714",TREADINGNO,TCHEMPERC,"194")</t>
  </si>
  <si>
    <t>R%4MG</t>
  </si>
  <si>
    <t>4EP % Rel</t>
  </si>
  <si>
    <t>SUBR("*GCAI714",TREADINGNO,TCHEMPERC,"149")</t>
  </si>
  <si>
    <t>R%4EP</t>
  </si>
  <si>
    <t>4EG % Rel</t>
  </si>
  <si>
    <t>SUBR("*GCAI714",TREADINGNO,TCHEMPERC,"150")</t>
  </si>
  <si>
    <t>R%4EG</t>
  </si>
  <si>
    <t>-3/WEE % Rel</t>
  </si>
  <si>
    <t>SUBR("*GCAI714",TREADINGNO,TCHEMPERC,"118")</t>
  </si>
  <si>
    <t>R%3WEE</t>
  </si>
  <si>
    <t>2MePrOH % Rel</t>
  </si>
  <si>
    <t>SUBR("*GCAI714",TREADINGNO,TCHEMPERC,"203")</t>
  </si>
  <si>
    <t>R%2MEPROH</t>
  </si>
  <si>
    <t>2MeBuOH % Rel</t>
  </si>
  <si>
    <t>SUBR("*GCAI714",TREADINGNO,TCHEMPERC,"200")</t>
  </si>
  <si>
    <t>R%2MEBUOH</t>
  </si>
  <si>
    <t>2BuOH % Rel</t>
  </si>
  <si>
    <t>SUBR("*GCAI714",TREADINGNO,TCHEMPERC,"199")</t>
  </si>
  <si>
    <t>R%2BUOH</t>
  </si>
  <si>
    <t>1PrOH % Rel</t>
  </si>
  <si>
    <t>SUBR("*GCAI714",TREADINGNO,TCHEMPERC,"197")</t>
  </si>
  <si>
    <t>R%1PROH</t>
  </si>
  <si>
    <t>1HexOH % Rel</t>
  </si>
  <si>
    <t>SUBR("*GCAI714",TREADINGNO,TCHEMPERC,"201")</t>
  </si>
  <si>
    <t>R%1HEXOH</t>
  </si>
  <si>
    <t>1BuOH % Rel</t>
  </si>
  <si>
    <t>SUBR("*GCAI714",TREADINGNO,TCHEMPERC,"198")</t>
  </si>
  <si>
    <t>R%1BUOH</t>
  </si>
  <si>
    <t>%Viab % Rel</t>
  </si>
  <si>
    <t>SUBR("*GCAI714",TREADINGNO,TCHEMPERC,"59")</t>
  </si>
  <si>
    <t>R%%VIAB</t>
  </si>
  <si>
    <t>%Solid % Rel</t>
  </si>
  <si>
    <t>SUBR("*GCAI714",TREADINGNO,TCHEMPERC,"84")</t>
  </si>
  <si>
    <t>R%%SOLID</t>
  </si>
  <si>
    <t>%Moist % Rel</t>
  </si>
  <si>
    <t>SUBR("*GCAI714",TREADINGNO,TCHEMPERC,"79")</t>
  </si>
  <si>
    <t>R%%MOIST</t>
  </si>
  <si>
    <t>%Buds % Rel</t>
  </si>
  <si>
    <t>SUBR("*GCAI714",TREADINGNO,TCHEMPERC,"57")</t>
  </si>
  <si>
    <t>R%%BUDS</t>
  </si>
  <si>
    <t>Quality</t>
  </si>
  <si>
    <t>Qual</t>
  </si>
  <si>
    <t>TRANS(BWALLOC,BWALLOC.ID,QUALITY,'X')</t>
  </si>
  <si>
    <t>QUALITY</t>
  </si>
  <si>
    <t>FIN PROD</t>
  </si>
  <si>
    <t>IF TBLEND = 'MT' THEN '' ELSE TBLEND</t>
  </si>
  <si>
    <t>PRODNO</t>
  </si>
  <si>
    <t>Translate to the Product file for name</t>
  </si>
  <si>
    <t>30T</t>
  </si>
  <si>
    <t>PRODUCT NAME</t>
  </si>
  <si>
    <t>TRANS(ITEM.MSTR,PRODNO,PRODNAME,'X')</t>
  </si>
  <si>
    <t>PRODNAME</t>
  </si>
  <si>
    <t>Production winemaker(s) for MPF(s) to which wine is allocated</t>
  </si>
  <si>
    <t>Prodn</t>
  </si>
  <si>
    <t>UPCASE(TRANS(GENERIC.FILE,GENERIC,PRD.WINEMKR1.ID,'X'))</t>
  </si>
  <si>
    <t>PROD.WMKR</t>
  </si>
  <si>
    <t>Translate to the Product file for prod code</t>
  </si>
  <si>
    <t>PROD</t>
  </si>
  <si>
    <t>TRANS(ITEM.MSTR,PRODNO,11,'X')</t>
  </si>
  <si>
    <t>PROD.CODE</t>
  </si>
  <si>
    <t>Primary Site ID</t>
  </si>
  <si>
    <t>Primary</t>
  </si>
  <si>
    <t>TRANS(WINERY.LOCATION,WINERY.LOCATION,'PRIMARY.SITE.ID','X')</t>
  </si>
  <si>
    <t>PRIMARY.SITE.ID</t>
  </si>
  <si>
    <t>Primary Site Description</t>
  </si>
  <si>
    <t>Primary Site</t>
  </si>
  <si>
    <t>TRANS(WINERY.LOCATION,WINERY.LOCATION,'PRIMARY.SITE.DESC','X')</t>
  </si>
  <si>
    <t>PRIMARY.SITE.DESC</t>
  </si>
  <si>
    <t>Tank is a pressure tank</t>
  </si>
  <si>
    <t>Pressure</t>
  </si>
  <si>
    <t>IF INDEX(UPCASE(TANK.FORM.DESC),'PRESSURE',1) THEN 'Y' ELSE ''</t>
  </si>
  <si>
    <t>PRESSURE</t>
  </si>
  <si>
    <t>FIRST 2 CHAR OF ID</t>
  </si>
  <si>
    <t>PREFIX</t>
  </si>
  <si>
    <t>Previous Chemistry Reading Value</t>
  </si>
  <si>
    <t>PCHEM</t>
  </si>
  <si>
    <t>PREV</t>
  </si>
  <si>
    <t>SUBR('*PZZI385',@ID,'V')</t>
  </si>
  <si>
    <t>PREADVALUE</t>
  </si>
  <si>
    <t>Previous Chemistry Reading Numbers</t>
  </si>
  <si>
    <t>PREC</t>
  </si>
  <si>
    <t>SUBR('*PZZI385',@ID,'R')</t>
  </si>
  <si>
    <t>PREADINGNO</t>
  </si>
  <si>
    <t>Previous Chemistry Reading Number Description</t>
  </si>
  <si>
    <t>SUBR('*PZZI385',@ID,'D')</t>
  </si>
  <si>
    <t>PREADDESC</t>
  </si>
  <si>
    <t>Last 90 days of Chemistry Analysis No's</t>
  </si>
  <si>
    <t>SUBR('*PZZI385',@ID,'C')</t>
  </si>
  <si>
    <t>PCHEMNO</t>
  </si>
  <si>
    <t>Origin code (W=weighnote, P=purchase, U=unknown)</t>
  </si>
  <si>
    <t>O</t>
  </si>
  <si>
    <t>TRANS(TANK.ORIGIN,@ID,'ORIGIN','X')</t>
  </si>
  <si>
    <t>ORIGIN</t>
  </si>
  <si>
    <t>Earliest Start Date of Outstanding CHITs</t>
  </si>
  <si>
    <t>SUBR('*GBWI967',TASCNOTES,'G')</t>
  </si>
  <si>
    <t>OP.WMEST.DATE</t>
  </si>
  <si>
    <t>Work Order Sequence on outstanding CHITs</t>
  </si>
  <si>
    <t>SUBR('*GBWI967',TASCNOTES,'I')</t>
  </si>
  <si>
    <t>OP.WKORD.SEQ</t>
  </si>
  <si>
    <t>OP.WKORD</t>
  </si>
  <si>
    <t>FLAG TO SAY IF TANK IS A FROM OR TO ON OUTSTANDING NOTES</t>
  </si>
  <si>
    <t>FT</t>
  </si>
  <si>
    <t>OP.FTB</t>
  </si>
  <si>
    <t>OP.TO.FROM</t>
  </si>
  <si>
    <t>Indicates if Tank is TO Tank on Outstanding CHIT</t>
  </si>
  <si>
    <t>To</t>
  </si>
  <si>
    <t>SUBR('*GBWI967',TASCNOTES,'FY')</t>
  </si>
  <si>
    <t>OP.TO</t>
  </si>
  <si>
    <t>OPSMOVE To tanks</t>
  </si>
  <si>
    <t>To Tanks</t>
  </si>
  <si>
    <t>SUBR('*GBWI967',TASCNOTES,'F')</t>
  </si>
  <si>
    <t>OP.MTTANK</t>
  </si>
  <si>
    <t>OPSMOVE Required date</t>
  </si>
  <si>
    <t>Required</t>
  </si>
  <si>
    <t>OP.MRDATE</t>
  </si>
  <si>
    <t>OPSMOVE Operation code</t>
  </si>
  <si>
    <t>Oper</t>
  </si>
  <si>
    <t>OP.MOPCD</t>
  </si>
  <si>
    <t>OPSMOVE From tanks</t>
  </si>
  <si>
    <t>From Tanks</t>
  </si>
  <si>
    <t>SUBR('*GBWI967',TASCNOTES,'C')</t>
  </si>
  <si>
    <t>OP.MFTANK</t>
  </si>
  <si>
    <t>OPSMOVE Completed date</t>
  </si>
  <si>
    <t>Completed</t>
  </si>
  <si>
    <t>SUBR('*GBWI967',TASCNOTES,'B')</t>
  </si>
  <si>
    <t>OP.MADATE</t>
  </si>
  <si>
    <t>Chit Active Flag</t>
  </si>
  <si>
    <t>MACTIV</t>
  </si>
  <si>
    <t>OP.MACTIV</t>
  </si>
  <si>
    <t>Indicates if Tank is a FROM Tank, TO tank or both on Outstanding</t>
  </si>
  <si>
    <t>4T</t>
  </si>
  <si>
    <t>FTB</t>
  </si>
  <si>
    <t>SUBR('*GBWI967',TASCNOTES,'FTB')</t>
  </si>
  <si>
    <t>Indicates if Tank is FROM Tank on Outstanding CHIT</t>
  </si>
  <si>
    <t>Frm</t>
  </si>
  <si>
    <t>SUBR('*GBWI967',TASCNOTES,'CY')</t>
  </si>
  <si>
    <t>OP.FROM</t>
  </si>
  <si>
    <t>FIRST 1 CHAR OF ID</t>
  </si>
  <si>
    <t>ONE.PREFIX</t>
  </si>
  <si>
    <t>@ID[1,1]</t>
  </si>
  <si>
    <t>Check if blend on ITEM.MSTR</t>
  </si>
  <si>
    <t>ITEM</t>
  </si>
  <si>
    <t>TRANS(ITEM.MSTR,TBLEND,@RECORD,'X');IF @ THEN 'Y' ELSE 'N'</t>
  </si>
  <si>
    <t>ON.ITEM.MSTR</t>
  </si>
  <si>
    <t>SUBR("*PBWZ171",TTABLE,TDIP,"L.V.OCT")+0</t>
  </si>
  <si>
    <t>OCT.TVOLUME</t>
  </si>
  <si>
    <t>OCT.MTANK.ID</t>
  </si>
  <si>
    <t>Translate to the SPIRIT.REGISTER file to obtain last obscuration</t>
  </si>
  <si>
    <t>OBS.</t>
  </si>
  <si>
    <t>TRANS(SPIRIT.REGISTER,SPRKEY,MOBSAFT,'X')</t>
  </si>
  <si>
    <t>OBSAFT</t>
  </si>
  <si>
    <t>DCOUNT(TOUTSADDN,@VM)</t>
  </si>
  <si>
    <t>NTOUTSADDN</t>
  </si>
  <si>
    <t>Number of associated cellar notes</t>
  </si>
  <si>
    <t>Nmbr</t>
  </si>
  <si>
    <t>IF TASCNOTES THEN 1+COUNT(TASCNOTES,@VM) ELSE ''</t>
  </si>
  <si>
    <t>NTASCNOTES</t>
  </si>
  <si>
    <t>SUBR("*PBWZ171",TTABLE,TDIP,"L.V.NOV")+0</t>
  </si>
  <si>
    <t>NOV.TVOLUME</t>
  </si>
  <si>
    <t>IF GROUP.CODE = '51' THEN NOV.TVOLUME * TSTRENGTH * (NOV.SCOST.VAR / 100) ELSE</t>
  </si>
  <si>
    <t>NOV.SCOST.VAR.VAL.LAL</t>
  </si>
  <si>
    <t>Get standard variable cost from LAST.MONTH</t>
  </si>
  <si>
    <t>Variable</t>
  </si>
  <si>
    <t>NOV.SCOST.VAR</t>
  </si>
  <si>
    <t>IF GROUP.CODE = '51' THEN NOV.TVOLUME * TSTRENGTH * (NOV.SCOST.TOT / 100) ELSE</t>
  </si>
  <si>
    <t>NOV.SCOST.TOT.VAL.LAL</t>
  </si>
  <si>
    <t>NOV.SCOST.TOT</t>
  </si>
  <si>
    <t>SOURCE.DOC</t>
  </si>
  <si>
    <t>SUBR('!NES',SUBR('!SUBSTRINGS',SOURCE.DOC,11,1),REUSE('-'))</t>
  </si>
  <si>
    <t>NOTPO</t>
  </si>
  <si>
    <t>Extract Non Trade Lines from Blend Code</t>
  </si>
  <si>
    <t>N.T</t>
  </si>
  <si>
    <t>IF TBLEND[3,1] = 'T' THEN 'T' ELSE 'N'</t>
  </si>
  <si>
    <t>NOT.TRADE</t>
  </si>
  <si>
    <t>Normal tank flag (not small wood, barrels or tirage)</t>
  </si>
  <si>
    <t>Normal</t>
  </si>
  <si>
    <t>IF G2020.TANK.TYPE = 1 THEN 'Y' ELSE 'N'</t>
  </si>
  <si>
    <t>NORMAL.TANK</t>
  </si>
  <si>
    <t>Capacity if tank is empty</t>
  </si>
  <si>
    <t>NON-EMPTY</t>
  </si>
  <si>
    <t>IF TBLEND NE 'MT' THEN TRANS(DIPTABLE,TTABLE,DCAP,'X') ELSE ''</t>
  </si>
  <si>
    <t>NONEMPTY.CAP</t>
  </si>
  <si>
    <t>Calculation of the nominated maximum dip from the nominated maximum</t>
  </si>
  <si>
    <t>Nominated</t>
  </si>
  <si>
    <t>IF NOMCAP THEN SUBR(SUBR.PENBW:"PBWZ171",RAISE(DIPTREC),NOMCAP,"WD@") ELSE ''</t>
  </si>
  <si>
    <t>NOMMAXDIPWET</t>
  </si>
  <si>
    <t>IF DRYDIP THEN IF NOMCAP THEN SUBR(SUBR.PENBW:"PBWZ171",RAISE(DIPTREC),NOMCAP,"D@")</t>
  </si>
  <si>
    <t>NOMMAXDIPDRY</t>
  </si>
  <si>
    <t>Nominated tank capacity (type T only)</t>
  </si>
  <si>
    <t>TRANS(DIPTABLE,TTABLE,'NOMCAP','X')+0</t>
  </si>
  <si>
    <t>NOMCAP</t>
  </si>
  <si>
    <t>Number of days since wine first went into the tank</t>
  </si>
  <si>
    <t>No Days</t>
  </si>
  <si>
    <t>DATE() - FIRST.DATE.START</t>
  </si>
  <si>
    <t>NO.DAYS.WINE</t>
  </si>
  <si>
    <t>NEW TIR CODE</t>
  </si>
  <si>
    <t>TRANS(TIR.CODE.XLATE,TBLEND,2,'X')</t>
  </si>
  <si>
    <t>NEW.TIR.CODE</t>
  </si>
  <si>
    <t>Neck Height</t>
  </si>
  <si>
    <t>Neck</t>
  </si>
  <si>
    <t>TRANS(DIPTABLE,TTABLE,'HBOTNECK','X')</t>
  </si>
  <si>
    <t>NECK.HEIGHT</t>
  </si>
  <si>
    <t>Neck Diameter</t>
  </si>
  <si>
    <t>TRANS(DIPTABLE,TTABLE,NECKDIAM,'X');IF @1 = 0 THEN '' ELSE @1/100</t>
  </si>
  <si>
    <t>NECK.DIAM</t>
  </si>
  <si>
    <t>Number of associated chemistry notes</t>
  </si>
  <si>
    <t>IF CHEMNOTES THEN 1+COUNT(CHEMNOTES,@VM) ELSE ''</t>
  </si>
  <si>
    <t>NCHEMNOTES</t>
  </si>
  <si>
    <t>Nominal capacity from dip table where there, else absolute capacity</t>
  </si>
  <si>
    <t>Nominated Capacity</t>
  </si>
  <si>
    <t>NOMCAP;IF @1 GT 0 THEN @1 ELSE DCAP</t>
  </si>
  <si>
    <t>NCAP1</t>
  </si>
  <si>
    <t>NOMCAP;IF @1 GT 0 THEN @1+0 ELSE DCAP+0</t>
  </si>
  <si>
    <t>NCAP</t>
  </si>
  <si>
    <t>User name</t>
  </si>
  <si>
    <t>Name</t>
  </si>
  <si>
    <t>TRANS(DEF.SYS.USERS,DEF.ID,NAME,'X')</t>
  </si>
  <si>
    <t>NAME</t>
  </si>
  <si>
    <t>Translate to Control file for previous vintage</t>
  </si>
  <si>
    <t>previous vintange</t>
  </si>
  <si>
    <t>TRANS(CONTROL,'MVYEAR',MVYEAR,'X');@-1</t>
  </si>
  <si>
    <t>MVYEAR.LY</t>
  </si>
  <si>
    <t>display TREADINGNO and TREADVALUE if multiple codes found</t>
  </si>
  <si>
    <t>25R</t>
  </si>
  <si>
    <t>MULT. CODES</t>
  </si>
  <si>
    <t>SUBR("*PBWI641",TREADINGNO,TREADVALUE)</t>
  </si>
  <si>
    <t>MULT.CODES</t>
  </si>
  <si>
    <t>TRANSLATE TO BLEND MASTER TO GET BLEND TYPE</t>
  </si>
  <si>
    <t>TRANS(MBLEND,TBLEND,BTYPECODE,'X')</t>
  </si>
  <si>
    <t>MTYPECODE</t>
  </si>
  <si>
    <t>Calculation of the empty volume</t>
  </si>
  <si>
    <t>SUBR(SUBR.PENBW:"PBWZ171",TTABLE,'MT',"V")</t>
  </si>
  <si>
    <t>MTVOL</t>
  </si>
  <si>
    <t>MPF.VINTS</t>
  </si>
  <si>
    <t>24L</t>
  </si>
  <si>
    <t>SUBR("!CATS",GENERIC,BWALLOC.VINT); CONVERT(@VM,' ',@)</t>
  </si>
  <si>
    <t>SUBR("!CATS",GENERIC,BWALLOC.VINT)</t>
  </si>
  <si>
    <t>MPF.VINT</t>
  </si>
  <si>
    <t>Unique MPF owners</t>
  </si>
  <si>
    <t>CONVERT(@VM,' ',SUBR('*DEDUP',MPF.OWNER))</t>
  </si>
  <si>
    <t>MPF.OWNERS</t>
  </si>
  <si>
    <t>Owner(s) of the MPF(s) to which the wine is allocated</t>
  </si>
  <si>
    <t>TRANS(GENERIC.FILE,GENERIC,MPF.OWNER.CODE,'X')</t>
  </si>
  <si>
    <t>MPF.OWNER</t>
  </si>
  <si>
    <t>MPF (Generic codes) allocated</t>
  </si>
  <si>
    <t>RAISE(TRANS(BWALLOC,BWALLOC.ID,GENERIC,'X'))</t>
  </si>
  <si>
    <t>Movement Type Short Description</t>
  </si>
  <si>
    <t>Movement Type</t>
  </si>
  <si>
    <t>MOVE.TYPE.SDESC</t>
  </si>
  <si>
    <t>Movement Type Description</t>
  </si>
  <si>
    <t>MOVE.TYPE.DESC</t>
  </si>
  <si>
    <t>Movement Type Code</t>
  </si>
  <si>
    <t>Movement</t>
  </si>
  <si>
    <t>MOVE.TYPE.CODE</t>
  </si>
  <si>
    <t>Mobility Description - Pallet, Moveable, Fixed</t>
  </si>
  <si>
    <t>Mobility</t>
  </si>
  <si>
    <t>MOBILE; IF @1 = 'M' THEN 'Movable' ELSE IF @1 = 'P' THEN 'Pallet' ELSE 'Fixed'</t>
  </si>
  <si>
    <t>MOBILE.DESC</t>
  </si>
  <si>
    <t>Opening/Closing</t>
  </si>
  <si>
    <t>IF GROUP.CODE = '51' THEN LY.TVOLUME * (TSTRENGTH /100) * SCOST.TOT ELSE</t>
  </si>
  <si>
    <t>MJS.VAL.DIFF.LAL</t>
  </si>
  <si>
    <t>MIN</t>
  </si>
  <si>
    <t>TRANS(BWALLOC,BWALLOC.ID,GENERIC,'X');FIELD(@1,@SM,1);</t>
  </si>
  <si>
    <t>MIN.BULK</t>
  </si>
  <si>
    <t>Cellar Note Date</t>
  </si>
  <si>
    <t>DATE</t>
  </si>
  <si>
    <t>SUBR("*PBWZ203",TCNOTE,@ID)</t>
  </si>
  <si>
    <t>MCDATE</t>
  </si>
  <si>
    <t>Blend code from MBLEND file</t>
  </si>
  <si>
    <t>Blend from</t>
  </si>
  <si>
    <t>TRANS(MBLEND,TBLEND,0,'X')</t>
  </si>
  <si>
    <t>MBLEND.BLEND</t>
  </si>
  <si>
    <t>SUBR("*PBWZ171",TTABLE,TDIP,"L.V.MAY")+0</t>
  </si>
  <si>
    <t>MAY.TVOLUME</t>
  </si>
  <si>
    <t>System Completion Time</t>
  </si>
  <si>
    <t>COMPLETE</t>
  </si>
  <si>
    <t>TRANS(OPSMOVE,LAST.CNOTE,'MATIME','X')</t>
  </si>
  <si>
    <t>MATIME</t>
  </si>
  <si>
    <t>SUBR("*PBWZ171",TTABLE,TDIP,"L.V.MAR")+0</t>
  </si>
  <si>
    <t>MAR.TVOLUME</t>
  </si>
  <si>
    <t>Managed by</t>
  </si>
  <si>
    <t>TRANS(WINERY.LOCATION,WINERY.LOCATION,MAN.BY.ACCT,'X')</t>
  </si>
  <si>
    <t>MAN.BY.ACCT</t>
  </si>
  <si>
    <t>Major</t>
  </si>
  <si>
    <t>SBLEND[9,2]</t>
  </si>
  <si>
    <t>MAJOR.VINT</t>
  </si>
  <si>
    <t>TRANS(OPSMOVE,TCNOTE,MADDCD,'X')</t>
  </si>
  <si>
    <t>MADDCD</t>
  </si>
  <si>
    <t>Date actual action started</t>
  </si>
  <si>
    <t>ACTUAL</t>
  </si>
  <si>
    <t>TRANS(RECOVERIES,TCNOTE,'MADATE','X')</t>
  </si>
  <si>
    <t>MADATE</t>
  </si>
  <si>
    <t>TRANS(MTANK,@ID,WINERY.LOCATION,'X') ; IF @1#'' THEN @1 ELSE</t>
  </si>
  <si>
    <t>LY.WINERY.LOCATION</t>
  </si>
  <si>
    <t>IF GROUP.CODE = '51' THEN LY.TVOLUME * (TSTRENGTH / 100) * RECOST.TOT ELSE</t>
  </si>
  <si>
    <t>LY.VAL.DIFF.LAL</t>
  </si>
  <si>
    <t>TVOLUME * SCOST.TOT ; TVOLUME * LY.SCOST.TOT ; @1 - @2 + 0</t>
  </si>
  <si>
    <t>LY.VAL.DIFF</t>
  </si>
  <si>
    <t>Subroutine call for calculation of Volume from Dip using l/y diptables</t>
  </si>
  <si>
    <t>SUBR("*PBWZ171",TTABLE,TDIP,"L.V")+0</t>
  </si>
  <si>
    <t>LY.TVOLUME</t>
  </si>
  <si>
    <t>Use L/Y dp files</t>
  </si>
  <si>
    <t>TRANS(LY.DP,FIELD(@ID,'*',2),CNOTES,'X') ; IF @1 = '' THEN</t>
  </si>
  <si>
    <t>LY.SW.TANK.ACC</t>
  </si>
  <si>
    <t>Closing STD</t>
  </si>
  <si>
    <t>IF LY.GROUP.CODE = '51' THEN LY.TVOLUME * TSTRENGTH * (LY.SCOST.VAR / 100) ELSE</t>
  </si>
  <si>
    <t>LY.SCOST.VAR.VAL.LAL</t>
  </si>
  <si>
    <t>Get standard variable cost from LAST YEAR</t>
  </si>
  <si>
    <t>LY.SCOST.VAR</t>
  </si>
  <si>
    <t>IF LY.GROUP.CODE = '51' THEN LY.TVOLUME * TSTRENGTH * (LY.SCOST.TOT / 100) ELSE</t>
  </si>
  <si>
    <t>LY.SCOST.TOT.VAL.LAL</t>
  </si>
  <si>
    <t>Standard Total Value from LAST.YEAR</t>
  </si>
  <si>
    <t>TVOLUME * LY.SCOST.TOT</t>
  </si>
  <si>
    <t>LY.SCOST.TOT.VAL</t>
  </si>
  <si>
    <t>Get standard total cost from LAST YEAR</t>
  </si>
  <si>
    <t>LY.SCOST.TOT</t>
  </si>
  <si>
    <t>IF RECOST.CNOTE = '' THEN LY.SCOST.VAR ELSE</t>
  </si>
  <si>
    <t>LY.RECOST.VAR</t>
  </si>
  <si>
    <t>IF RECOST.CNOTE = '' THEN LY.SCOST.TOT ELSE</t>
  </si>
  <si>
    <t>LY.RECOST.TOT</t>
  </si>
  <si>
    <t>Last years allocated litres</t>
  </si>
  <si>
    <t>Litres</t>
  </si>
  <si>
    <t>RAISE(TRANS(LY.BWALLOC,BWALLOC.ID,LITRES,'X'))</t>
  </si>
  <si>
    <t>LY.LITRES1</t>
  </si>
  <si>
    <t>Translate to the Product file for group code</t>
  </si>
  <si>
    <t>GROUP</t>
  </si>
  <si>
    <t>TRANS(LY.ITEM.MSTR,PRODNO,12,'X')</t>
  </si>
  <si>
    <t>LY.GROUP.CODE</t>
  </si>
  <si>
    <t>Generic codes allocated (Last Year)</t>
  </si>
  <si>
    <t>Gen</t>
  </si>
  <si>
    <t>RAISE(TRANS(LY.BWALLOC,BWALLOC.ID,GENERIC,'X'))</t>
  </si>
  <si>
    <t>LY.GENERIC1</t>
  </si>
  <si>
    <t>NUM BLEND</t>
  </si>
  <si>
    <t>NUM(TBLEND[1,2])</t>
  </si>
  <si>
    <t>LRC.TBLEND</t>
  </si>
  <si>
    <t>@LOGNAME</t>
  </si>
  <si>
    <t>TRANS(SHORTIDS,WIM.RSHORT.ID,'LOGNAME','X')</t>
  </si>
  <si>
    <t>LOGNAME</t>
  </si>
  <si>
    <t>The unique Loc/Stacks for the tank if a barrel group</t>
  </si>
  <si>
    <t>loc/Stacks</t>
  </si>
  <si>
    <t>LOC.STACK;SUBR('*GMV.UNIQUE',RAISE(@));CONVERT(@VM,' ',@)</t>
  </si>
  <si>
    <t>LOC.STACKS</t>
  </si>
  <si>
    <t>Location Stack</t>
  </si>
  <si>
    <t>Location</t>
  </si>
  <si>
    <t>TRANS(BARREL.GROUP,@ID,LOC.STACK.ALL,'X')</t>
  </si>
  <si>
    <t>LOC.STACK.ALL</t>
  </si>
  <si>
    <t>TRANS(BARREL.GROUP,@ID,LOC.STACK,'X')</t>
  </si>
  <si>
    <t>LOC.STACK</t>
  </si>
  <si>
    <t>WINERY.LOCATION:'*';SUBR("!CATS",REUSE(@1),GENERIC);SUBR("!CATS",@2,REUSE('*'));SUBR</t>
  </si>
  <si>
    <t>LOC.GEN.VINT.VU</t>
  </si>
  <si>
    <t>IF UNALLOC.LITRES AND NOT(LITRES) THEN UNALLOC.LITRES ELSE IF UNALLOC.LITRES THEN</t>
  </si>
  <si>
    <t>LOC.GEN.VINT.LTR</t>
  </si>
  <si>
    <t>LOC.GEN.VINT</t>
  </si>
  <si>
    <t>SUBR("*PBWZ171",TTABLE,TDIP,"L.V.LM")+0</t>
  </si>
  <si>
    <t>LM.TVOLUME</t>
  </si>
  <si>
    <t>IF LM.GROUP.CODE = '51' THEN LM.TVOLUME * TSTRENGTH * (LM.SCOST.VAR / 100) ELSE</t>
  </si>
  <si>
    <t>LM.SCOST.VAR.VAL.LAL</t>
  </si>
  <si>
    <t>LM.SCOST.VAR.NEW</t>
  </si>
  <si>
    <t>LM.SCOST.VAR</t>
  </si>
  <si>
    <t>IF LM.GROUP.CODE = '51' THEN LM.TVOLUME * TSTRENGTH * (LM.SCOST.TOT / 100) ELSE</t>
  </si>
  <si>
    <t>LM.SCOST.TOT.VAL.LAL</t>
  </si>
  <si>
    <t>Standard Total Value fot LAST.MONTH</t>
  </si>
  <si>
    <t>LM.TVOLUME * LM.SCOST.TOT</t>
  </si>
  <si>
    <t>LM.SCOST.TOT.VAL</t>
  </si>
  <si>
    <t>Get standard total cost from LAST.MONTH</t>
  </si>
  <si>
    <t>FIELD(SUBR(SUBR.PENBW:'PBWZ787','TANK',@ID,'LM.ITEM.MSTR','','LM.MTANK.NOV','','',''</t>
  </si>
  <si>
    <t>LM.SCOST.TOT.IGW</t>
  </si>
  <si>
    <t>LM.SCOST.TOT</t>
  </si>
  <si>
    <t>RAISE(TRANS(LM.BWALLOC,BWALLOC.ID,LITRES,'X'))</t>
  </si>
  <si>
    <t>LM.LITRES1</t>
  </si>
  <si>
    <t>TRANS(LM.ITEM.MSTR,PRODNO,12,'X')</t>
  </si>
  <si>
    <t>LM.GROUP.CODE</t>
  </si>
  <si>
    <t>Generic codes allocated</t>
  </si>
  <si>
    <t>RAISE(TRANS(LM.BWALLOC,BWALLOC.ID,GENERIC,'X'))</t>
  </si>
  <si>
    <t>LM.GENERIC1</t>
  </si>
  <si>
    <t>Litres Allocated</t>
  </si>
  <si>
    <t>RAISE(TRANS(BWALLOC,BWALLOC.ID,LITRES,'X'))</t>
  </si>
  <si>
    <t>LITRES1</t>
  </si>
  <si>
    <t>Litres including unallocated</t>
  </si>
  <si>
    <t>LITRES:@VM</t>
  </si>
  <si>
    <t>LITRES.INCL.UNALL</t>
  </si>
  <si>
    <t>RAISE(TRANS(BWALLOC,BWALLOC.ID,LITRES,'X') )</t>
  </si>
  <si>
    <t>LITRES</t>
  </si>
  <si>
    <t>TRANS('ITEM.MSTR',TBLEND,LIT.FAC,'X')</t>
  </si>
  <si>
    <t>LITF</t>
  </si>
  <si>
    <t>"MASTER.ACCOUNT"</t>
  </si>
  <si>
    <t>LIT.MASTER.ACCOUNT</t>
  </si>
  <si>
    <t>Number of Litres per bottle / container</t>
  </si>
  <si>
    <t>LITRE</t>
  </si>
  <si>
    <t>TRANS(ITEM.MSTR,TBLEND,'LIT.FAC','X')</t>
  </si>
  <si>
    <t>LIT.FAC</t>
  </si>
  <si>
    <t>Chem Linked Indicator, null=linked / 1=unlinked / 2=unlinked after</t>
  </si>
  <si>
    <t>L</t>
  </si>
  <si>
    <t>TRANS(CHEM,CHEMNOTES,'LIND','X')</t>
  </si>
  <si>
    <t>LIND</t>
  </si>
  <si>
    <t>Largest volume generic</t>
  </si>
  <si>
    <t>Largest</t>
  </si>
  <si>
    <t>SUBR("*GBWI200",@ID,'G')</t>
  </si>
  <si>
    <t>LGE.GENERIC</t>
  </si>
  <si>
    <t>Largest generic volume</t>
  </si>
  <si>
    <t>SUBR("*GBWI200",@ID,'L')</t>
  </si>
  <si>
    <t>LGE.GEN.VOL</t>
  </si>
  <si>
    <t>Largest generic volume vintage</t>
  </si>
  <si>
    <t>SUBR("*GBWI200",@ID,'V')</t>
  </si>
  <si>
    <t>LGE.GEN.VINT</t>
  </si>
  <si>
    <t>Generic Name</t>
  </si>
  <si>
    <t>TRANS(GENERIC.FILE,LGE.GENERIC,NAME,'X')</t>
  </si>
  <si>
    <t>LGE.GEN.DESC</t>
  </si>
  <si>
    <t>Length of @ID</t>
  </si>
  <si>
    <t>LENID</t>
  </si>
  <si>
    <t>VOLUME DIFFERENCE</t>
  </si>
  <si>
    <t>ABS(TDIP - TVOLUME)</t>
  </si>
  <si>
    <t>LDIFF</t>
  </si>
  <si>
    <t>LAST</t>
  </si>
  <si>
    <t>LASTCNOTE</t>
  </si>
  <si>
    <t>1 Jan Last year</t>
  </si>
  <si>
    <t>OCONV(DATE(),'D4/');@1[4]-1;"01/01/":@2;ICONV(@3,'D4/')</t>
  </si>
  <si>
    <t>LAST.YEAR</t>
  </si>
  <si>
    <t>Most Recent Outstanding Addition Note on Tank</t>
  </si>
  <si>
    <t>Most Rec Out</t>
  </si>
  <si>
    <t>FIELD(TOUTSADDN,@VM,1)</t>
  </si>
  <si>
    <t>LAST.TOUTSADDN</t>
  </si>
  <si>
    <t>TCNOTE&lt;1,1,1&gt;</t>
  </si>
  <si>
    <t>LAST.TCNOTE</t>
  </si>
  <si>
    <t>Most Recent Operation on Tank</t>
  </si>
  <si>
    <t>FIELD(TASCNOTES,@VM,1)</t>
  </si>
  <si>
    <t>LAST.TASCNOTES</t>
  </si>
  <si>
    <t>Most Recent Outstanding Operation Request Date</t>
  </si>
  <si>
    <t>Request</t>
  </si>
  <si>
    <t>FIELD(OP.MRDATE,@VM,1)</t>
  </si>
  <si>
    <t>LAST.TASCN.MRDATE</t>
  </si>
  <si>
    <t>TRANS(OPSMOVE,LAST.CNOTE,'MADATE','X')</t>
  </si>
  <si>
    <t>LAST.MADATE</t>
  </si>
  <si>
    <t>Operation code of last chit recorded against tank</t>
  </si>
  <si>
    <t>Last CHIT</t>
  </si>
  <si>
    <t>RAISE(TRANS(TANK.HIST,@ID,CNOTE,'X'));FIELD(@,@VM,1,1);SUBR('*PBWI822',@2,5)</t>
  </si>
  <si>
    <t>LAST.HIST.OP</t>
  </si>
  <si>
    <t>Date of last chit recorded against tank</t>
  </si>
  <si>
    <t>RAISE(TRANS(TANK.HIST,@ID,CNOTE,'X'));FIELD(@,@VM,1,1);TRANS(BW.STD.CST.OPS,</t>
  </si>
  <si>
    <t>LAST.HIST.DATE</t>
  </si>
  <si>
    <t>Last Cellar Note on Tank</t>
  </si>
  <si>
    <t>Last Hist</t>
  </si>
  <si>
    <t>RAISE(TRANS(TANK.HIST,@ID,CNOTE,'X'));FIELD(@,@VM,1,1)</t>
  </si>
  <si>
    <t>LAST.HIST.CNOTE</t>
  </si>
  <si>
    <t>Last date of wine in tank</t>
  </si>
  <si>
    <t>Last Date</t>
  </si>
  <si>
    <t>SUBR("*DATE.WINE.IN.TANK",'LAST',@ID)</t>
  </si>
  <si>
    <t>LAST.DATE.WINE</t>
  </si>
  <si>
    <t>Update</t>
  </si>
  <si>
    <t>TRANS(OPSMOVE,LAST.CNOTE,MOPCD,'X') ; TRANS(MOPS,@1,UPDATE.CODE,'X')</t>
  </si>
  <si>
    <t>LAST.CNOTE.UPDATE.CODE</t>
  </si>
  <si>
    <t>Type</t>
  </si>
  <si>
    <t>TRANS(OPSMOVE,LAST.CNOTE,MOPCD,'X') ; TRANS(MOPS,@1,TYPE.CODE,'X')</t>
  </si>
  <si>
    <t>LAST.CNOTE.TYPE.CODE</t>
  </si>
  <si>
    <t>Operation</t>
  </si>
  <si>
    <t>TRANS(OPSMOVE,LAST.CNOTE,MOPCD,'X')</t>
  </si>
  <si>
    <t>LAST.CNOTE.MOPCD</t>
  </si>
  <si>
    <t>TRANS(BW.STD.CST.OPS,LAST.CNOTE,MADATE,'X')</t>
  </si>
  <si>
    <t>LAST.CNOTE.DATE</t>
  </si>
  <si>
    <t>Last Cellar Note of Tank</t>
  </si>
  <si>
    <t>FIELD(TCNOTE,@SM,1)</t>
  </si>
  <si>
    <t>LAST.CNOTE</t>
  </si>
  <si>
    <t>TRANS(TANK.HIST,@ID,CNOTE,'X')&lt;1,1,1&gt;</t>
  </si>
  <si>
    <t>LAST.CHIT</t>
  </si>
  <si>
    <t>Most Recent Outstanding Chemistry Note on Tank</t>
  </si>
  <si>
    <t>FIELD(CHEMNOTES,@VM,1)</t>
  </si>
  <si>
    <t>LAST.CHEMNOTES</t>
  </si>
  <si>
    <t>Most Recent Outstanding Chemistry Request Date</t>
  </si>
  <si>
    <t>FIELD(CH.CRDATE,@VM,1)</t>
  </si>
  <si>
    <t>LAST.CHEM.MRDATE</t>
  </si>
  <si>
    <t>Most Recent Outstanding Addition CHIT and/or ADD.NOTICE Required</t>
  </si>
  <si>
    <t>TRANS(CHIT,LAST.TOUTSADDN,MRDATE,'X'); TRANS(CHIT,LAST.TOUTSADDN,MADATE,'X') ;</t>
  </si>
  <si>
    <t>LAST.ADDN.MRDATE</t>
  </si>
  <si>
    <t>Calculate LALS using last operation actual after strength</t>
  </si>
  <si>
    <t>(TVOLUME * AORHSTR) / 100</t>
  </si>
  <si>
    <t>LALAFT</t>
  </si>
  <si>
    <t>LALS @ 20 MULTIPLED BY STD TOT COST</t>
  </si>
  <si>
    <t>LAL</t>
  </si>
  <si>
    <t>STD.TOT.CST * TLALS20CALC</t>
  </si>
  <si>
    <t>LAL.VAL</t>
  </si>
  <si>
    <t>SUBR("*PBWZ171",TTABLE,TDIP,"L.V.JUN")+0</t>
  </si>
  <si>
    <t>JUN.TVOLUME</t>
  </si>
  <si>
    <t>SUBR("*PBWZ171",TTABLE,TDIP,"L.V.JUL")+0</t>
  </si>
  <si>
    <t>JUL.TVOLUME</t>
  </si>
  <si>
    <t>Juice type part of blend code</t>
  </si>
  <si>
    <t>Juice</t>
  </si>
  <si>
    <t>TBLEND[11,1]</t>
  </si>
  <si>
    <t>JUICE.TYPE</t>
  </si>
  <si>
    <t>JK.XX</t>
  </si>
  <si>
    <t>TRANS(RMT.CONVERSION,'TANK.RY',TANK.GRANGE,'X');</t>
  </si>
  <si>
    <t>JK.XXZ</t>
  </si>
  <si>
    <t>B/W ALLOC</t>
  </si>
  <si>
    <t>TRANS(BWALLOC,@ID,VOLUME,'X')+0</t>
  </si>
  <si>
    <t>JK.XX1</t>
  </si>
  <si>
    <t>Space in</t>
  </si>
  <si>
    <t>FIELD(TBATCHNO,' ',2)</t>
  </si>
  <si>
    <t>WOODMAT</t>
  </si>
  <si>
    <t>TRANS(WOODMAT.TANK,@ID,@RECORD,'X'); IF @ THEN 'Y' ELSE 'N'</t>
  </si>
  <si>
    <t>JK.WOODMAT.REC</t>
  </si>
  <si>
    <t>CHECK IF TIRAGE TANK HAS A TIR.STORAGE RECORD</t>
  </si>
  <si>
    <t>JK CHECK</t>
  </si>
  <si>
    <t>IF TTABLE = 'TIR' THEN TRANS(TIR.STORAGE,@ID,@RECORD,'X') ELSE 'NOT TIRAGE'; IF @1</t>
  </si>
  <si>
    <t>JK.TIR.STORAGE</t>
  </si>
  <si>
    <t>JK.TCNOTE</t>
  </si>
  <si>
    <t>Operation Descr.</t>
  </si>
  <si>
    <t>TRANS(RECOVERIES,TCNOTE,MOPCD,'X'); TRANS(MOPS,@,ODESCP,'X')</t>
  </si>
  <si>
    <t>JK.TCNOTE.OPER</t>
  </si>
  <si>
    <t>TRANS(RECOVERIES,TCNOTE,MADATE,'X')</t>
  </si>
  <si>
    <t>JK.TCNOTE.MADATE</t>
  </si>
  <si>
    <t>TASCNOTE</t>
  </si>
  <si>
    <t>TRANS(OPSMOVE,TASCNOTES,MACTIV,'X')</t>
  </si>
  <si>
    <t>JK.TASCNOTES.ACTIV</t>
  </si>
  <si>
    <t>Summary composition total volume</t>
  </si>
  <si>
    <t>SCOMP</t>
  </si>
  <si>
    <t>SUM(SUM(TRANS(SUMCOMP.TANK,@ID,SVOLUME,'X')))</t>
  </si>
  <si>
    <t>JK.SUMCOMP.VOLUME</t>
  </si>
  <si>
    <t>Variance between current tank volume and total sumcomp volume</t>
  </si>
  <si>
    <t>ABS(SUBR("*PBWZ171",TTABLE,TDIP,"V") -</t>
  </si>
  <si>
    <t>JK.SCOMP.VOL.VAR</t>
  </si>
  <si>
    <t>Summary coposition record</t>
  </si>
  <si>
    <t>60L</t>
  </si>
  <si>
    <t>Summary composition record</t>
  </si>
  <si>
    <t>TRANS(SUMCOMP.TANK,@ID,@RECORD,'X')</t>
  </si>
  <si>
    <t>JK.SCOMP.RECORD</t>
  </si>
  <si>
    <t>Summary composition last note</t>
  </si>
  <si>
    <t>Last note in</t>
  </si>
  <si>
    <t>JK.SCOMP.NOTE</t>
  </si>
  <si>
    <t>Check if tank has a valid sumcomp</t>
  </si>
  <si>
    <t>FIELD(TCNOTE,@SM,1);TRANS(SUMCOMP.TANK,@ID,LASTCNOTE,'X');SUM(SUM(TRANS(SUMCOMP.TANK</t>
  </si>
  <si>
    <t>JK.SC.CHECK</t>
  </si>
  <si>
    <t>RMT.BLOCK</t>
  </si>
  <si>
    <t>RAISE(TRANS(FEED,'DMCOMP.csv',@RECORD,'X'))</t>
  </si>
  <si>
    <t>JK.RMT.BLOCK</t>
  </si>
  <si>
    <t>NO OF RECOST</t>
  </si>
  <si>
    <t>DCOUNT(RECOST.CNOTE,@VM)</t>
  </si>
  <si>
    <t>JK.RECOST.NO</t>
  </si>
  <si>
    <t>17L</t>
  </si>
  <si>
    <t>RECOST DATE TIME</t>
  </si>
  <si>
    <t>OCONV(TRANS(BW.STD.CST.OPS, RECOST.CNOTE,MADATE,'X'),'D2/'):'</t>
  </si>
  <si>
    <t>JK.RECOST.DT</t>
  </si>
  <si>
    <t>32L</t>
  </si>
  <si>
    <t>FROM BLEND/TO BLEND</t>
  </si>
  <si>
    <t>TRANS(OPSMOVE,TCNOTE,MOPCD,'X');</t>
  </si>
  <si>
    <t>JK.RECLASS.TANKS</t>
  </si>
  <si>
    <t>FROM BLEND</t>
  </si>
  <si>
    <t>RAISE(TRANS(OPSMOVE,TCNOTE,@RECORD,'X'));SUBR("!EQS",FIELD(@,@FM,5,1),REUSE('RECL'))</t>
  </si>
  <si>
    <t>JK.RECLASS</t>
  </si>
  <si>
    <t>TRANS(OPSMOVE,TCNOTE,MOPCD,'X')</t>
  </si>
  <si>
    <t>JK.OPER</t>
  </si>
  <si>
    <t>JK.NUM</t>
  </si>
  <si>
    <t>LAST 2</t>
  </si>
  <si>
    <t>FIELD(TCNOTE,@SM,2,1)</t>
  </si>
  <si>
    <t>JK.LAST2.CNOTE</t>
  </si>
  <si>
    <t>LAST MOPCD</t>
  </si>
  <si>
    <t>TRANS(OPSMOVE,JK.LAST.TCNOTE,MOPCD,'X')</t>
  </si>
  <si>
    <t>JK.LAST.TCNOTE.MOPCD</t>
  </si>
  <si>
    <t>LAST CHIT</t>
  </si>
  <si>
    <t>JK.LAST.TCNOTE</t>
  </si>
  <si>
    <t>JK.LAST.CNOTE</t>
  </si>
  <si>
    <t>CNOTE</t>
  </si>
  <si>
    <t>TRANS(OPSMOVE,TCNOTE,MACTIV,'X')</t>
  </si>
  <si>
    <t>JK.CNOTE.ACTIV</t>
  </si>
  <si>
    <t>CHIT DATE</t>
  </si>
  <si>
    <t>JK.CHIT.DATE</t>
  </si>
  <si>
    <t>Chemistry check</t>
  </si>
  <si>
    <t>CHEM. CHECK</t>
  </si>
  <si>
    <t>TRANS(CHEM,TCHEMNO,@RECORD,'X');</t>
  </si>
  <si>
    <t>JK.CHEM.CHECK</t>
  </si>
  <si>
    <t>JK.CHEM.CDATE</t>
  </si>
  <si>
    <t>BLEND CHECK</t>
  </si>
  <si>
    <t>FIELD(TBLEND,' ',2);IF @ THEN 'INCORRECT' ELSE ''</t>
  </si>
  <si>
    <t>JK.CHECK.BLEND</t>
  </si>
  <si>
    <t>Baume length</t>
  </si>
  <si>
    <t>SUBR("*PBWI714",TREADINGNO,TREADVALUE,"2");LEN(@)</t>
  </si>
  <si>
    <t>JK.BELEN</t>
  </si>
  <si>
    <t>BATCH</t>
  </si>
  <si>
    <t>LEN(TBATCHNO)</t>
  </si>
  <si>
    <t>JK.BATCHLEN</t>
  </si>
  <si>
    <t>ADD NOTICE</t>
  </si>
  <si>
    <t>TRANS(ADD.NOTICE,TASCNOTES,@RECORD,'X'); IF @ THEN 'Y' ELSE 'N'</t>
  </si>
  <si>
    <t>JK.ADD</t>
  </si>
  <si>
    <t>Tanks JDE branch plant</t>
  </si>
  <si>
    <t>JDEMCU</t>
  </si>
  <si>
    <t>SUBR(SUBR.PENBW:"MTANK.JDEMCU")</t>
  </si>
  <si>
    <t>A Year Ago</t>
  </si>
  <si>
    <t>01/01:OCONV(YEAR(),'D4/');:@[4]-1;ICONV(@,'D4/')</t>
  </si>
  <si>
    <t>JAN.YR.B4</t>
  </si>
  <si>
    <t>SUBR("*PBWZ171",TTABLE,TDIP,"L.V.JAN")+0</t>
  </si>
  <si>
    <t>JAN.TVOLUME</t>
  </si>
  <si>
    <t>Item</t>
  </si>
  <si>
    <t>TRANS(ILEVEL.XLATE,ILEVEL,ITEM.PREF,'X')</t>
  </si>
  <si>
    <t>ITEM.PREF</t>
  </si>
  <si>
    <t>Intransit Tank Flag</t>
  </si>
  <si>
    <t>Intransit</t>
  </si>
  <si>
    <t>IF @ID[2,1] = '#' THEN 1 ELSE ''</t>
  </si>
  <si>
    <t>INTRANSIT.TANK</t>
  </si>
  <si>
    <t>FROM.TANKS</t>
  </si>
  <si>
    <t>IM.CHECK</t>
  </si>
  <si>
    <t>SUBR("*IM.CHECK",TBLEND,ILEVEL)</t>
  </si>
  <si>
    <t>TRANS(BW.ILEVEL,TBLEND[1,1],@ID,'X')</t>
  </si>
  <si>
    <t>ILEVEL.INVALID</t>
  </si>
  <si>
    <t>Initial Grade Level flag</t>
  </si>
  <si>
    <t>Initial</t>
  </si>
  <si>
    <t>TRANS(BW.STYLE,TBLEND[4,1],IGL.FLAG,'X')</t>
  </si>
  <si>
    <t>IGL.FLAG</t>
  </si>
  <si>
    <t>NO.</t>
  </si>
  <si>
    <t>IF NUM(@ID[2,1])THEN @ID[2,999] ELSE @ID[3,9999]</t>
  </si>
  <si>
    <t>ID.NUMBER</t>
  </si>
  <si>
    <t>ALPHA</t>
  </si>
  <si>
    <t>IF NUM(@ID[2,1])THEN @ID[1,1] ELSE @ID[1,2]</t>
  </si>
  <si>
    <t>ID.ALPHA</t>
  </si>
  <si>
    <t>Previous IBM code char 2</t>
  </si>
  <si>
    <t>IBM2</t>
  </si>
  <si>
    <t>IBM.CODE[2,1]</t>
  </si>
  <si>
    <t>IBM.CODE2</t>
  </si>
  <si>
    <t>Previous I.B.M. Code 1st character</t>
  </si>
  <si>
    <t>IBM</t>
  </si>
  <si>
    <t>IBM.CODE[1,1]</t>
  </si>
  <si>
    <t>IBM.CODE1</t>
  </si>
  <si>
    <t>IBM.BLEND CODE</t>
  </si>
  <si>
    <t>IBM BLEND</t>
  </si>
  <si>
    <t>TRANS(MBLEND,TBLEND,IBM.CODE,'X')</t>
  </si>
  <si>
    <t>IBM.CODE.MBLEND</t>
  </si>
  <si>
    <t>IBM.BLEND</t>
  </si>
  <si>
    <t>SUBR("HOTLINE",TTABLE,TDIP,"V")</t>
  </si>
  <si>
    <t>HOTLINE</t>
  </si>
  <si>
    <t>Home account for tank</t>
  </si>
  <si>
    <t>Home</t>
  </si>
  <si>
    <t>SUBR('*GBWZ800',@ID,'F')</t>
  </si>
  <si>
    <t>HOME.ACCOUNT</t>
  </si>
  <si>
    <t>Height of bottom of neck (type T only) - in Dip unit of measure</t>
  </si>
  <si>
    <t>Height</t>
  </si>
  <si>
    <t>HBOTNECK</t>
  </si>
  <si>
    <t>SUBR(SUBR.PENBW:'PBWZ800',@ID,'')</t>
  </si>
  <si>
    <t>HA</t>
  </si>
  <si>
    <t>Group name</t>
  </si>
  <si>
    <t>GROUP NAME</t>
  </si>
  <si>
    <t>TRANS(ITEM.MSTR,PRODNO,12,'X');TRANS(GROUP.FILE,@,NAME,'X')</t>
  </si>
  <si>
    <t>GROUP.NAME</t>
  </si>
  <si>
    <t>TRANS(ITEM.MSTR,PRODNO,12,'X')</t>
  </si>
  <si>
    <t>GROUP.CODE</t>
  </si>
  <si>
    <t>Grade Level Hist</t>
  </si>
  <si>
    <t>SUBR('*VFN.TRANS','BWALLOC', TANK,3)</t>
  </si>
  <si>
    <t>GRADE.LEVEL.HIST</t>
  </si>
  <si>
    <t>GL</t>
  </si>
  <si>
    <t>TRANS(BWALLOC,BWALLOC.ID,GRADE.LEVEL,'X')</t>
  </si>
  <si>
    <t>GRADE.LEVEL</t>
  </si>
  <si>
    <t>Generic Code</t>
  </si>
  <si>
    <t>GENERIC1</t>
  </si>
  <si>
    <t>Generic codes including unallocated</t>
  </si>
  <si>
    <t>IF LITRES THEN GENERIC ELSE GENERIC:@VM</t>
  </si>
  <si>
    <t>GENERIC.INCL.UNALL</t>
  </si>
  <si>
    <t>Generic codes allocated - 1st Occurance</t>
  </si>
  <si>
    <t>TRANS(BWALLOC.PY,TANK,GENERIC,'X') ; FIELD(@1,@SM,1)</t>
  </si>
  <si>
    <t>GENERIC.FIRST.PY</t>
  </si>
  <si>
    <t>TRANS(BWALLOC,BWALLOC.ID,GENERIC,'X') ; FIELD(@1,@SM,1)</t>
  </si>
  <si>
    <t>GENERIC.FIRST</t>
  </si>
  <si>
    <t>GENERIC CODE PART OF BLEND CODE</t>
  </si>
  <si>
    <t>Generic</t>
  </si>
  <si>
    <t>IF ALLOC.STYLE = '2' OR ALLOC.STYLE = '3' THEN TBLEND[5,3] ELSE ''</t>
  </si>
  <si>
    <t>GENERIC.CODE</t>
  </si>
  <si>
    <t>GENERIC</t>
  </si>
  <si>
    <t>SUBR("!CATS",GENERIC,REUSE('*'));SUBR("!CATS",@1,BWALLOC.VINT)</t>
  </si>
  <si>
    <t>GEN.VINT</t>
  </si>
  <si>
    <t>Tank Account for ordinary and small wood tanks</t>
  </si>
  <si>
    <t>SUBR(SUBR.PENBW:'GEN.TANK.ACC',@ID,@RECORD)</t>
  </si>
  <si>
    <t>GEN.TANK.ACC</t>
  </si>
  <si>
    <t>Generic code short description</t>
  </si>
  <si>
    <t>TRANS(GENERIC.FILE,GENERIC,SDESC,'X')</t>
  </si>
  <si>
    <t>GEN.SDESC</t>
  </si>
  <si>
    <t>RAISE(TRANS(BWALLOC,BWALLOC.ID,GENERIC,'X')); TRANS(GENERIC.FILE,@,NAME,'X')</t>
  </si>
  <si>
    <t>GEN.NAME</t>
  </si>
  <si>
    <t>Generic Major Group Name</t>
  </si>
  <si>
    <t>Generic Major Grp Name</t>
  </si>
  <si>
    <t>GEN.MAJOR.GRP.NAME.PY</t>
  </si>
  <si>
    <t>GEN.MAJOR.GRP.NAME</t>
  </si>
  <si>
    <t>Gen Maj</t>
  </si>
  <si>
    <t>GEN.MAJOR.GRP.CODE.PY</t>
  </si>
  <si>
    <t>GEN.MAJOR.GRP.CODE</t>
  </si>
  <si>
    <t>Generic Group Name</t>
  </si>
  <si>
    <t>Generic Grp Name</t>
  </si>
  <si>
    <t>TRANS(BWALLOC.PY,TANK,GENERIC,'X') ; FIELD(@1,@SM,1) ;</t>
  </si>
  <si>
    <t>GEN.GROUP.NAME.PY</t>
  </si>
  <si>
    <t>TRANS(BWALLOC,BWALLOC.ID,GENERIC,'X') ; FIELD(@1,@SM,1) ;</t>
  </si>
  <si>
    <t>GEN.GROUP.NAME</t>
  </si>
  <si>
    <t>Generic Group Code</t>
  </si>
  <si>
    <t>Gen Grp</t>
  </si>
  <si>
    <t>GEN.GROUP.CODE.PY</t>
  </si>
  <si>
    <t>GEN.GROUP.CODE</t>
  </si>
  <si>
    <t>Generic code Grade Level</t>
  </si>
  <si>
    <t>TRANS(GENERIC.FILE,GENERIC,GRADE.LEVEL,'X')</t>
  </si>
  <si>
    <t>GEN.GRADE.LEVEL</t>
  </si>
  <si>
    <t>GENERIC DESCRIPTION</t>
  </si>
  <si>
    <t>RAISE(TRANS(GENERIC.FILE,GENERIC,NAME,'X'))</t>
  </si>
  <si>
    <t>GEN.DESC1</t>
  </si>
  <si>
    <t>Generic Code Description including unallocated</t>
  </si>
  <si>
    <t>IF LITRES THEN GEN.DESC ELSE GEN.DESC:@VM</t>
  </si>
  <si>
    <t>GEN.DESC.INCL.UNALL</t>
  </si>
  <si>
    <t>TRANS(GENERIC.FILE,GENERIC,NAME,'X')</t>
  </si>
  <si>
    <t>GEN.DESC</t>
  </si>
  <si>
    <t>Category (I.e. Group code - rename of STYLE)</t>
  </si>
  <si>
    <t>Cat</t>
  </si>
  <si>
    <t>TRANS(GENERIC.FILE,GENERIC,CATEGORY,'X')</t>
  </si>
  <si>
    <t>GEN.CATEGORY</t>
  </si>
  <si>
    <t>Volume from each source document as a % of total source doc volumes</t>
  </si>
  <si>
    <t>Grape Dest</t>
  </si>
  <si>
    <t>SUM.GD.VOL/100;STR(@VM:@1,DCOUNT(GD.SOURCE.DOC,@VM));DELETE(@,1,1);SUBR("!DIVH",GD.V</t>
  </si>
  <si>
    <t>GD.VOL.PERC</t>
  </si>
  <si>
    <t>Grape dest volumes</t>
  </si>
  <si>
    <t>Grape</t>
  </si>
  <si>
    <t>RAISE(TRANS(GRAPE.DEST,TANK,LITRES,'X'))</t>
  </si>
  <si>
    <t>GD.VOL</t>
  </si>
  <si>
    <t>GD</t>
  </si>
  <si>
    <t>SUBR('!SUBSTRINGS',GD.SOURCE.DOC,1,2)</t>
  </si>
  <si>
    <t>GD.VINTAGE</t>
  </si>
  <si>
    <t>Variety</t>
  </si>
  <si>
    <t>SUBR(SUBR.PENBW:'PBWI654',GD.SOURCE.DOC,'VARIETY')</t>
  </si>
  <si>
    <t>GD.VARIETY</t>
  </si>
  <si>
    <t>Document number of the product source (either a weighnote or</t>
  </si>
  <si>
    <t>Source Doc</t>
  </si>
  <si>
    <t>RAISE(TRANS(GRAPE.DEST,TANK,SOURCE.DOC,'X'))</t>
  </si>
  <si>
    <t>GD.SOURCE.DOC</t>
  </si>
  <si>
    <t>Source</t>
  </si>
  <si>
    <t>SUBR('*PBWI654',GD.SOURCE.DOC,28)</t>
  </si>
  <si>
    <t>GD.SOURCE</t>
  </si>
  <si>
    <t>Grower ID</t>
  </si>
  <si>
    <t>Grower</t>
  </si>
  <si>
    <t>SUBR(SUBR.PENBW:'PBWI654',GD.SOURCE.DOC,'GROWERID')</t>
  </si>
  <si>
    <t>GD.GROWER.ID</t>
  </si>
  <si>
    <t>Block Name</t>
  </si>
  <si>
    <t>GD.BLOCK; TRANS(MBLOCKS,@1,BLOCK.NAME,'X')</t>
  </si>
  <si>
    <t>GD.BLOCK.NAME</t>
  </si>
  <si>
    <t>Block</t>
  </si>
  <si>
    <t>SUBR(SUBR.PENBW:'PBWI654',GD.SOURCE.DOC,'BLOCK')</t>
  </si>
  <si>
    <t>GD.BLOCK</t>
  </si>
  <si>
    <t>Tank type used by G2020 screens, tank pre-select/lookup, etc.</t>
  </si>
  <si>
    <t>G2020</t>
  </si>
  <si>
    <t>IF TTABLE EQ 'BG' THEN 2 ELSE IF TTABLE EQ 'VBG' THEN 6 ELSE IF TTABLE EQ 'TIR' THEN</t>
  </si>
  <si>
    <t>G2020.TANK.TYPE</t>
  </si>
  <si>
    <t>FROM WINERY LOCATION FROM INTERWINERY TRANSFER OPS USED ON # TANKS</t>
  </si>
  <si>
    <t>WL</t>
  </si>
  <si>
    <t>TRANS(BW.STD.CST.OPS,TCNOTE,WINERY.CODE,'X')</t>
  </si>
  <si>
    <t>FROMWL</t>
  </si>
  <si>
    <t>First date of wine in tank</t>
  </si>
  <si>
    <t>SUBR("*DATE.WINE.IN.TANK",'FIRST',@ID)</t>
  </si>
  <si>
    <t>FIRST.DATE.WINE</t>
  </si>
  <si>
    <t>When wine first went into the tank.</t>
  </si>
  <si>
    <t>Start Date</t>
  </si>
  <si>
    <t>SUBR("*DATE.WINE.IN.TANK",'START',@ID)</t>
  </si>
  <si>
    <t>FIRST.DATE.STARTED</t>
  </si>
  <si>
    <t>FIRST.DATE.START</t>
  </si>
  <si>
    <t>First CHIT date finished of wine in tank</t>
  </si>
  <si>
    <t>First CHIT</t>
  </si>
  <si>
    <t>SUBR("*DATE.WINE.IN.TANK",'FIRST.FINISHED',@ID)</t>
  </si>
  <si>
    <t>FIRST.DATE.FINISH</t>
  </si>
  <si>
    <t>type Operation description of first chit re the current contents in</t>
  </si>
  <si>
    <t>First CHIT Oper Desc</t>
  </si>
  <si>
    <t>DCOUNT(TCNOTE,@SM);TCNOTE&lt;1,1,@1&gt;;TRANS(OPSMOVE,@2,MOPCD,'X') ;</t>
  </si>
  <si>
    <t>FIRST.CHIT.MOPCD.DES</t>
  </si>
  <si>
    <t>type Operation code of first chit re the current contents in this</t>
  </si>
  <si>
    <t>First CHIT Oper</t>
  </si>
  <si>
    <t>DCOUNT(TCNOTE,@SM);TCNOTE&lt;1,1,@1&gt;;TRANS(OPSMOVE,@2,MOPCD,'X')</t>
  </si>
  <si>
    <t>FIRST.CHIT.MOPCD</t>
  </si>
  <si>
    <t>type Date of first CHIT re the current contents of this tank</t>
  </si>
  <si>
    <t>First CHIT Date</t>
  </si>
  <si>
    <t>DCOUNT(TCNOTE,@SM);TCNOTE&lt;1,1,@1&gt;;TRANS(OPSMOVE,@2,MADATE,'X')</t>
  </si>
  <si>
    <t>FIRST.CHIT.DATE</t>
  </si>
  <si>
    <t>type First CHIT re the current contents of this tank</t>
  </si>
  <si>
    <t>DCOUNT(TCNOTE,@SM);TCNOTE&lt;1,1,@1&gt;</t>
  </si>
  <si>
    <t>FIRST.CHIT</t>
  </si>
  <si>
    <t>Tank is a fermenter</t>
  </si>
  <si>
    <t>TRANS(TANK.FORM,TANK.FORM,FERMENTER,'X');IF @1 = 'Y' THEN TANK.FORM ELSE ''</t>
  </si>
  <si>
    <t>FERMENTER</t>
  </si>
  <si>
    <t>SUBR("*PBWZ171",TTABLE,TDIP,"L.V.FEB")+0</t>
  </si>
  <si>
    <t>FEB.TVOLUME</t>
  </si>
  <si>
    <t>Locate FE Reading from Chemistry</t>
  </si>
  <si>
    <t>FE</t>
  </si>
  <si>
    <t>SUBR("*PBWI714",TREADINGNO,TREADVALUE,"22")</t>
  </si>
  <si>
    <t>Future Cost - Total</t>
  </si>
  <si>
    <t>FUTURE</t>
  </si>
  <si>
    <t>TRANS(ITEM.MSTR,TBLEND,FCOST.TOT,'X')</t>
  </si>
  <si>
    <t>FCOST.TOT</t>
  </si>
  <si>
    <t>TRANS(LY.MTANK,@ID,F8,'X')</t>
  </si>
  <si>
    <t>F8.LY</t>
  </si>
  <si>
    <t>Extrates volumes</t>
  </si>
  <si>
    <t>COMP</t>
  </si>
  <si>
    <t>Extrates</t>
  </si>
  <si>
    <t>TRANS(TANK.EXTRATES,TANK,LITRES,'X')</t>
  </si>
  <si>
    <t>EX.VOL</t>
  </si>
  <si>
    <t>Enduse</t>
  </si>
  <si>
    <t>TRANS(BW.STYLE,TBLEND[4,1],VP.ENDUSE,'X') ; IF @1#'' THEN @1 ELSE 'O'</t>
  </si>
  <si>
    <t>ENDUSE</t>
  </si>
  <si>
    <t>EMPTY</t>
  </si>
  <si>
    <t>IF TBLEND = 'MT' THEN TRANS(DIPTABLE,TTABLE,DCAP,'X') ELSE ''</t>
  </si>
  <si>
    <t>EMPTY.CAP</t>
  </si>
  <si>
    <t>DRYDIP</t>
  </si>
  <si>
    <t>Translate to DIPTABLE for DIPUOM</t>
  </si>
  <si>
    <t>DIPUOM</t>
  </si>
  <si>
    <t>TRANS(DIPTABLE,TTABLE,DIPUOM,'X')</t>
  </si>
  <si>
    <t>Dip Table Record</t>
  </si>
  <si>
    <t>TRANS(DIPTABLE,TTABLE,@RECORD,'X')</t>
  </si>
  <si>
    <t>DIPTREC</t>
  </si>
  <si>
    <t>Minimum DIP</t>
  </si>
  <si>
    <t>MIN DIP</t>
  </si>
  <si>
    <t>DIPMIN</t>
  </si>
  <si>
    <t>Maximum (empty) dip if dry dip used</t>
  </si>
  <si>
    <t>Max</t>
  </si>
  <si>
    <t>IF DRYDIP THEN DIPMAX ELSE ''</t>
  </si>
  <si>
    <t>DIPMAXDRY</t>
  </si>
  <si>
    <t>Max DIP in meters</t>
  </si>
  <si>
    <t>MAX DIP</t>
  </si>
  <si>
    <t>TRANS(DIPTABLE,TTABLE,DIPMAX,'X')/100</t>
  </si>
  <si>
    <t>DIPMAX.METERS</t>
  </si>
  <si>
    <t>Max DIP</t>
  </si>
  <si>
    <t>DIPMAX</t>
  </si>
  <si>
    <t>The dip associated with HBOTNECK - will be different to HBOTNECK for</t>
  </si>
  <si>
    <t>Dip of</t>
  </si>
  <si>
    <t>TRANS(DIPTABLE,TTABLE,'DIPHBOTNECK','X')</t>
  </si>
  <si>
    <t>DIPHBOTNECK</t>
  </si>
  <si>
    <t>Dip Table Description</t>
  </si>
  <si>
    <t>40T</t>
  </si>
  <si>
    <t>TRANS(DIPTABLE,TTABLE,'DIPDESCP','X')</t>
  </si>
  <si>
    <t>DIPDESCP</t>
  </si>
  <si>
    <t>DIP TABLE ID</t>
  </si>
  <si>
    <t>TRANS(DIPTABLE,TTABLE,@ID,'X')</t>
  </si>
  <si>
    <t>DIPCODEID</t>
  </si>
  <si>
    <t>DIPCODE</t>
  </si>
  <si>
    <t>Absolute Capacity</t>
  </si>
  <si>
    <t>MD0P,</t>
  </si>
  <si>
    <t>DIPCAP1</t>
  </si>
  <si>
    <t>Dip Cap</t>
  </si>
  <si>
    <t>DIPCAP</t>
  </si>
  <si>
    <t>Translate to DIPTABLE for DIP12</t>
  </si>
  <si>
    <t>DIP12</t>
  </si>
  <si>
    <t>TRANS(DIPTABLE,TTABLE,DIP12,'X')</t>
  </si>
  <si>
    <t>DIP TYPE</t>
  </si>
  <si>
    <t>IF DIPUOM = 'LT' OR DIPUOM = 'UN' THEN 'LITRES' ELSE IF DRYDIP = 'Y' THEN 'DRY' ELSE</t>
  </si>
  <si>
    <t>DIP.TYPE</t>
  </si>
  <si>
    <t>OK</t>
  </si>
  <si>
    <t>TRANS(DIPTABLE,TTABLE,@RECORD,'X');IF @ THEN 'Y' ELSE 'N'</t>
  </si>
  <si>
    <t>DIP.THERE</t>
  </si>
  <si>
    <t>Dip Recorded</t>
  </si>
  <si>
    <t>''</t>
  </si>
  <si>
    <t>DIP.RECORDED</t>
  </si>
  <si>
    <t>ABS(CALC.DIP - TDIP)</t>
  </si>
  <si>
    <t>DIP.DIFF</t>
  </si>
  <si>
    <t>Subroutine call for calculation of Dip from Volume</t>
  </si>
  <si>
    <t>SUBR("*PBWZ171",TTABLE,@USER0,"D")</t>
  </si>
  <si>
    <t>DIP.CALC</t>
  </si>
  <si>
    <t>ABS(T.VOLUME - TVOLUME)</t>
  </si>
  <si>
    <t>DIFF</t>
  </si>
  <si>
    <t>Detailed Use Description</t>
  </si>
  <si>
    <t>DETAILED.USE.DESC</t>
  </si>
  <si>
    <t>BLEND DESCRIPTION</t>
  </si>
  <si>
    <t>TRANS(MBLEND,TBLEND,BLENDESCP,'X')</t>
  </si>
  <si>
    <t>DESCP</t>
  </si>
  <si>
    <t>Define user Id.</t>
  </si>
  <si>
    <t>Define</t>
  </si>
  <si>
    <t>UPCASE(LOGNAME)</t>
  </si>
  <si>
    <t>DEF.ID</t>
  </si>
  <si>
    <t>SUBR("*PBWZ171",TTABLE,TDIP,"L.V.DEC")+0</t>
  </si>
  <si>
    <t>DEC.TVOLUME</t>
  </si>
  <si>
    <t>TRANS(I.DE.MTANK,@ID,DE.NEW.ID,'X')</t>
  </si>
  <si>
    <t>DE.NEW.ID</t>
  </si>
  <si>
    <t>IF @ID[2,1] = '#' THEN TDIP ELSE TRANS(DIPTABLE,TTABLE,DCAP,'X')+0</t>
  </si>
  <si>
    <t>DCAP</t>
  </si>
  <si>
    <t>Date of Last Chit</t>
  </si>
  <si>
    <t>TRANS(BW.STD.CST.OPS,TRANS(TANK.HIST,@ID,CNOTE,'X')&lt;1,1,1&gt;,MADATE,'X');OCONV(@1,'D2/</t>
  </si>
  <si>
    <t>DATE.LAST.CHIT</t>
  </si>
  <si>
    <t>Date Filled</t>
  </si>
  <si>
    <t>TRANS(BARREL.GROUP,@ID,DATE.FILLED,'X')</t>
  </si>
  <si>
    <t>DATE.FILLED.E</t>
  </si>
  <si>
    <t>TRANS(BARREL.GROUP,@ID,DATE.FILLED.ALL,'X')</t>
  </si>
  <si>
    <t>DATE.FILLED.ALL</t>
  </si>
  <si>
    <t>DATE.FILLED</t>
  </si>
  <si>
    <t>IF @ID[1,3]='SW*' THEN FIELD(@ID,'*',3) ELSE FIELD(@ID,'*',2)</t>
  </si>
  <si>
    <t>DATE.DELETED</t>
  </si>
  <si>
    <t>Translate to DIPTABLE for D1</t>
  </si>
  <si>
    <t>D1</t>
  </si>
  <si>
    <t>TRANS(DIPTABLE,TTABLE,D1,'X')</t>
  </si>
  <si>
    <t>SUBR(SUBR.PENBW:'FIND.WIN.LOC','',@ID,'')</t>
  </si>
  <si>
    <t>CURR.WINERY.LOCATION</t>
  </si>
  <si>
    <t>Tank Current Use Description</t>
  </si>
  <si>
    <t>Tank Current Use</t>
  </si>
  <si>
    <t>TRANS(TANK.USE,CURR.USE,DESC,'X')</t>
  </si>
  <si>
    <t>CURR.USE.DESC</t>
  </si>
  <si>
    <t>Current Use of the tank</t>
  </si>
  <si>
    <t>Current</t>
  </si>
  <si>
    <t>SUBR("*CURR.USE")</t>
  </si>
  <si>
    <t>CURR.USE</t>
  </si>
  <si>
    <t>CUR.WINERY.LOCATION</t>
  </si>
  <si>
    <t>WTO flag from master CONTROL record</t>
  </si>
  <si>
    <t>WINERY</t>
  </si>
  <si>
    <t>TRANS(CONTROL,TRANS(CONTROL,LIT.MASTER.ACCOUNT,1,'X'),'WTO.ACCOUNT','X')</t>
  </si>
  <si>
    <t>CTRL.WTO</t>
  </si>
  <si>
    <t>Winery code from master CONTROL record</t>
  </si>
  <si>
    <t>TRANS(CONTROL,TRANS(CONTROL,LIT.MASTER.ACCOUNT,1,'X'),'CODE','X')</t>
  </si>
  <si>
    <t>CTRL.WINERY</t>
  </si>
  <si>
    <t>Time of first test reading entry on file</t>
  </si>
  <si>
    <t>TEST TIME</t>
  </si>
  <si>
    <t>TRANS(CHEM,CHEMNOTES,'CTIME','X')</t>
  </si>
  <si>
    <t>CTIME</t>
  </si>
  <si>
    <t>Crush notes traced to tank</t>
  </si>
  <si>
    <t>CRNOTES</t>
  </si>
  <si>
    <t>Crush Notes</t>
  </si>
  <si>
    <t>SUBR('*PZZI211','UNIQUE',CNOTE,CNOTE,'','')</t>
  </si>
  <si>
    <t>CRUSH.NOTES</t>
  </si>
  <si>
    <t>Chemistry Reading Value</t>
  </si>
  <si>
    <t>READ</t>
  </si>
  <si>
    <t>CREADVALUE</t>
  </si>
  <si>
    <t>Chemistry Reading Number</t>
  </si>
  <si>
    <t>CREADINGNO</t>
  </si>
  <si>
    <t>SUBR('*PZZI385',@ID,'N')</t>
  </si>
  <si>
    <t>CREADDESC</t>
  </si>
  <si>
    <t>Calculate cents per litre based on current tank value/volume</t>
  </si>
  <si>
    <t>COST PER</t>
  </si>
  <si>
    <t>IF SCTVALUE+0 = 0 OR TVOLUME+0 = 0 THEN 0.00 ELSE SCTVALUE/TVOLUME</t>
  </si>
  <si>
    <t>CPL</t>
  </si>
  <si>
    <t>Counter</t>
  </si>
  <si>
    <t>Cnt</t>
  </si>
  <si>
    <t>COUNTER</t>
  </si>
  <si>
    <t>Cost winery location code (incl SW* cases)</t>
  </si>
  <si>
    <t>Win</t>
  </si>
  <si>
    <t>IF @ID[1,3]='SW*' THEN TRANS(BW.STD.CST.OPS,TCNOTE&lt;1,1,1&gt;,WINERY.CODE,'X') ELSE</t>
  </si>
  <si>
    <t>COST.WLOCN</t>
  </si>
  <si>
    <t>Cost total</t>
  </si>
  <si>
    <t>Cost</t>
  </si>
  <si>
    <t>COST.TOT</t>
  </si>
  <si>
    <t>Corrected litres at 20 degrees</t>
  </si>
  <si>
    <t>Corrected</t>
  </si>
  <si>
    <t>SUBR("*PBWZ383",TVOLUME,TTEMP,TSTRENGTH)</t>
  </si>
  <si>
    <t>CORR.LITRES</t>
  </si>
  <si>
    <t>CORK</t>
  </si>
  <si>
    <t>CORK.MAT</t>
  </si>
  <si>
    <t>Corresponding crush notes (for Purchase chit = @ID)</t>
  </si>
  <si>
    <t>Crush Note</t>
  </si>
  <si>
    <t>TRANS(WNOTE.DEST,WNOTE,'CNOTE','X')</t>
  </si>
  <si>
    <t>CTSTATUS from CHEM for Id's in CHEMNOTES (os Chem)</t>
  </si>
  <si>
    <t>CHEMNOTES</t>
  </si>
  <si>
    <t>SUBR("*GBWI1132",@ID,CHEMNOTES,30)</t>
  </si>
  <si>
    <t>CHEMNOTES.CTSTATUS</t>
  </si>
  <si>
    <t>CTANK from CHEM for Id's in CHEMNOTES (os Chem)</t>
  </si>
  <si>
    <t>SUBR("*GBWI1132",@ID,CHEMNOTES,1)</t>
  </si>
  <si>
    <t>CHEMNOTES.CTANK</t>
  </si>
  <si>
    <t>CRDATE from CHEM for Id's in CHEMNOTES (os Chem)</t>
  </si>
  <si>
    <t>SUBR("*GBWI1132",@ID,CHEMNOTES,13)</t>
  </si>
  <si>
    <t>CHEMNOTES.CRDATE</t>
  </si>
  <si>
    <t>CDATE from CHEM for Id's in CHEMNOTES (os Chem)</t>
  </si>
  <si>
    <t>SUBR("*GBWI1132",@ID,CHEMNOTES,3)</t>
  </si>
  <si>
    <t>CHEMNOTES.CDATE</t>
  </si>
  <si>
    <t>CBLEND from CHEM for Id's in CHEMNOTES (os Chem)</t>
  </si>
  <si>
    <t>SUBR("*GBWI1132",@ID,CHEMNOTES,2)</t>
  </si>
  <si>
    <t>CHEMNOTES.CBLEND</t>
  </si>
  <si>
    <t>CACTIV from CHEM for Id's in CHEMNOTES (os Chem)</t>
  </si>
  <si>
    <t>SUBR("*GBWI1132",@ID,CHEMNOTES,12)</t>
  </si>
  <si>
    <t>CHEMNOTES.CACTIV</t>
  </si>
  <si>
    <t>Chemistry Analysis Reference No</t>
  </si>
  <si>
    <t>CHEM</t>
  </si>
  <si>
    <t>CHEMNO</t>
  </si>
  <si>
    <t>Unregistered chemistries</t>
  </si>
  <si>
    <t>Unreg</t>
  </si>
  <si>
    <t>SUBR('*PZZI211','TRANSITYPE',CHEMNOTES,'CHEM','UNREG','')</t>
  </si>
  <si>
    <t>CHEM.UNREG</t>
  </si>
  <si>
    <t>TRANS(CHEM,CHEMNOTES,CTANK,'X')</t>
  </si>
  <si>
    <t>CHEM.TANK</t>
  </si>
  <si>
    <t>Chem registration date</t>
  </si>
  <si>
    <t>Registration</t>
  </si>
  <si>
    <t>SUBR('*PZZI385',@ID,'RD')</t>
  </si>
  <si>
    <t>CHEM.RDATE</t>
  </si>
  <si>
    <t>Date Chemistry Analysis Requested</t>
  </si>
  <si>
    <t>CHEM REQUEST DATE</t>
  </si>
  <si>
    <t>TRANS(CHEM,TCHEMNO,CRDATE,'X')</t>
  </si>
  <si>
    <t>CHEM.CRDATE</t>
  </si>
  <si>
    <t>Chem date of reading</t>
  </si>
  <si>
    <t>CHEM.CDATE</t>
  </si>
  <si>
    <t>TRANS(LY.MTANK,@ID,WINERY.LOCATION,'X')=TRANS(MTANK,@ID,WINERY.LOCATION,'X')</t>
  </si>
  <si>
    <t>CHECK.WINERY.LOCATION</t>
  </si>
  <si>
    <t>Chemistry Test Identification Headings</t>
  </si>
  <si>
    <t>CHEM TEST</t>
  </si>
  <si>
    <t>TRANS(CHEMREAD,TREADINGNO,'CHEADING','X')</t>
  </si>
  <si>
    <t>CHEADING</t>
  </si>
  <si>
    <t>Tank Prefix</t>
  </si>
  <si>
    <t>Prefix</t>
  </si>
  <si>
    <t>CHAR1</t>
  </si>
  <si>
    <t>CHEM O/S Chemistry readings</t>
  </si>
  <si>
    <t>Outstanding Readings</t>
  </si>
  <si>
    <t>IF CHEMNOTES THEN</t>
  </si>
  <si>
    <t>CH.WIND.READ</t>
  </si>
  <si>
    <t>CHEM Date of chemistry request</t>
  </si>
  <si>
    <t>TRANS(CHEM,CHEMNOTES,CRDATE,'X')</t>
  </si>
  <si>
    <t>CH.CRDATE</t>
  </si>
  <si>
    <t>Completed Readings</t>
  </si>
  <si>
    <t>CH.COMP.READ</t>
  </si>
  <si>
    <t>CHEM Date of 1st chem reading</t>
  </si>
  <si>
    <t>TRANS(CHEM,CHEMNOTES,CDATE,'X')</t>
  </si>
  <si>
    <t>CH.CDATE</t>
  </si>
  <si>
    <t>CHEM Blend at time of request</t>
  </si>
  <si>
    <t>TRANS(CHEM,CHEMNOTES,CBLEND,'X')</t>
  </si>
  <si>
    <t>CH.CBLEND</t>
  </si>
  <si>
    <t>IF CHEMNOTES THEN SUBR('*GITYPE.READ','MTANK*MV':@FM:CHEMNOTES,1,TANK.ACC)  ELSE ''</t>
  </si>
  <si>
    <t>CH.ALL.OS.READ</t>
  </si>
  <si>
    <t>Date of first test reading entry on to file</t>
  </si>
  <si>
    <t>TEST DATE</t>
  </si>
  <si>
    <t>TRANS(CHEM,CHEMNOTES,'CDATE','X')</t>
  </si>
  <si>
    <t>CDATE</t>
  </si>
  <si>
    <t>SUBR("*PBWZ171",TTABLE,TVOLUME,"D")</t>
  </si>
  <si>
    <t>CALC.DIP</t>
  </si>
  <si>
    <t>Chem activity code, null = unregistered, R = registered/no</t>
  </si>
  <si>
    <t>TRANS(CHEM,CHEMNOTES,'CACTIV','X')</t>
  </si>
  <si>
    <t>CACTIV</t>
  </si>
  <si>
    <t>BWSCST</t>
  </si>
  <si>
    <t>Generic codes from BWBLDGEN</t>
  </si>
  <si>
    <t>BWBLDGEN</t>
  </si>
  <si>
    <t>TRANS(BWBLDGEN,TBLEND,GENERIC,'X')</t>
  </si>
  <si>
    <t>BWBLDGEN.GENERIC</t>
  </si>
  <si>
    <t>TRANS(BWBLDGEN,TBLEND,GEN.LITRES,'X')</t>
  </si>
  <si>
    <t>BWBLDGEN.GEN.LITRES</t>
  </si>
  <si>
    <t>Bulk wine base blend code</t>
  </si>
  <si>
    <t>Base/Trade</t>
  </si>
  <si>
    <t>BWBB</t>
  </si>
  <si>
    <t>BWALLOC vintage</t>
  </si>
  <si>
    <t>BWALLOC.VINT</t>
  </si>
  <si>
    <t>BWALLOC</t>
  </si>
  <si>
    <t>SUBR('*GBWI934',TANK)</t>
  </si>
  <si>
    <t>BWALLOC.ID.BAK</t>
  </si>
  <si>
    <t>BWALLOC.ID</t>
  </si>
  <si>
    <t>BWALLOC record</t>
  </si>
  <si>
    <t>112T</t>
  </si>
  <si>
    <t>RAISE(TRANS(BWALLOC,BWALLOC.ID,-1,'X'))</t>
  </si>
  <si>
    <t>BWA$REC</t>
  </si>
  <si>
    <t>15R</t>
  </si>
  <si>
    <t>Last chit costs</t>
  </si>
  <si>
    <t>TRANS(BW.STD.CST.OPS,FIELD(TCNOTE,@VM,1,1),@RECORD,'X');SUM(FIELD(@,@VM,8,1))+SUM(FI</t>
  </si>
  <si>
    <t>BW.STD.COST</t>
  </si>
  <si>
    <t>TRANS('SALES.DESCRIPTION','CUTOFF.YR',F1,'X') ; IF BVINTAGE LT @1 THEN "20":BVINTAGE</t>
  </si>
  <si>
    <t>BVINTAGE.D4</t>
  </si>
  <si>
    <t>BVINTAGE</t>
  </si>
  <si>
    <t>Position of Bung Hole (o'clock position)</t>
  </si>
  <si>
    <t>Bung</t>
  </si>
  <si>
    <t>TRANS(BWOPS.PRODMEAS,LAST.CNOTE,BUNG,'X')</t>
  </si>
  <si>
    <t>BUNG</t>
  </si>
  <si>
    <t>Extract Blend Type from blend code</t>
  </si>
  <si>
    <t>BTYPE</t>
  </si>
  <si>
    <t>TBLEND[1,3]</t>
  </si>
  <si>
    <t>Extract Brandy(BYX) Year else use Blend Type</t>
  </si>
  <si>
    <t>BRANDY</t>
  </si>
  <si>
    <t>IF TBLEND[1,3] = 'BYX' THEN TBLEND[4,2] ELSE TBLEND[1,3]</t>
  </si>
  <si>
    <t>BRYEAR</t>
  </si>
  <si>
    <t>Unique Brands</t>
  </si>
  <si>
    <t>Brand</t>
  </si>
  <si>
    <t>CONVERT(@VM,' ',SUBR('*DEDUP',BRAND))</t>
  </si>
  <si>
    <t>BRANDS</t>
  </si>
  <si>
    <t>Brand(s) for MPF(s) to which the wine is allocated</t>
  </si>
  <si>
    <t>TRANS(GENERIC.FILE,GENERIC,BRAND.CODE,'X')</t>
  </si>
  <si>
    <t>BRAND</t>
  </si>
  <si>
    <t>Proposed Blend Code</t>
  </si>
  <si>
    <t>PRELIM.BP</t>
  </si>
  <si>
    <t>Blend Code</t>
  </si>
  <si>
    <t>TRANS(BLEND.PROP,PRELIM.BP,'BLEND','X')</t>
  </si>
  <si>
    <t>BP.BLEND</t>
  </si>
  <si>
    <t>BOT</t>
  </si>
  <si>
    <t>BOT.MAT</t>
  </si>
  <si>
    <t>The total litres in the barrel number range</t>
  </si>
  <si>
    <t>TRANS(BARREL.GROUP,@ID,'BN.TOTVOL','X')</t>
  </si>
  <si>
    <t>BN.TOTVOL</t>
  </si>
  <si>
    <t>BLENDGP</t>
  </si>
  <si>
    <t>Blend description</t>
  </si>
  <si>
    <t>TRANS(MBLEND,TBLEND,'BLENDESCP','X')</t>
  </si>
  <si>
    <t>BLENDESCP</t>
  </si>
  <si>
    <t>TRANS(MBLEND,TBLEND,BCURVOL,"X")</t>
  </si>
  <si>
    <t>BLEND.VOL</t>
  </si>
  <si>
    <t>Blend number as per wine data for base and trade blends</t>
  </si>
  <si>
    <t>IF ( TBLEND[1,1] = 'B' OR TBLEND[1,1] = 'T') AND NUM(TBATCHNO[6,2]) THEN</t>
  </si>
  <si>
    <t>BLEND.NUMBER</t>
  </si>
  <si>
    <t>TRANS(ITEM.MSTR,TBLEND,LIT.FAC,'X')</t>
  </si>
  <si>
    <t>BLEND.LITF</t>
  </si>
  <si>
    <t>Inventory level sort sequence</t>
  </si>
  <si>
    <t>Ilevel</t>
  </si>
  <si>
    <t>TRANS(BW.ILEVEL,BLEND.ILEVEL,ILEVEL.SORT.SEQ,'X')</t>
  </si>
  <si>
    <t>BLEND.ILEVEL.SEQ</t>
  </si>
  <si>
    <t>Inventory level - 1st char of blend code</t>
  </si>
  <si>
    <t>BLEND.ILEVEL</t>
  </si>
  <si>
    <t>Tank blend inventory level and vintage</t>
  </si>
  <si>
    <t>I Lev</t>
  </si>
  <si>
    <t>BLEND.IL.VR</t>
  </si>
  <si>
    <t>TRANS(MBLEND,TBLEND,2,'X')</t>
  </si>
  <si>
    <t>BLEND.DESC</t>
  </si>
  <si>
    <t>TRANS(MASTER.BLEND,TBLEND,AVGCOST,'X')</t>
  </si>
  <si>
    <t>BLEND.AVGCOST</t>
  </si>
  <si>
    <t>BLEND.4CH</t>
  </si>
  <si>
    <t>TBLEND[3,1]</t>
  </si>
  <si>
    <t>BLEND.3CH</t>
  </si>
  <si>
    <t>INVENTORY</t>
  </si>
  <si>
    <t>BLEND.1CH</t>
  </si>
  <si>
    <t>RESERVED FOR</t>
  </si>
  <si>
    <t>TRANS(MBLENDGP,TCONTENT,BDESCP,'X')</t>
  </si>
  <si>
    <t>BDESCP</t>
  </si>
  <si>
    <t>MV text concerning batch</t>
  </si>
  <si>
    <t>BATCH.TEXT</t>
  </si>
  <si>
    <t>75L</t>
  </si>
  <si>
    <t>Batch Narrative</t>
  </si>
  <si>
    <t>TRANS(MBATCH,TBATCHNO,'BATCH.TEXT','X');RAISE(@1)</t>
  </si>
  <si>
    <t>Batch Description from current or history file</t>
  </si>
  <si>
    <t>TRANS(MBATCH,TBATCHNOS,BATCH.DESC,'X');TRANS(MBATCH.HIST,TBATCHNOS,BATCH.DESC,'X');</t>
  </si>
  <si>
    <t>BATCH.DESC.CH</t>
  </si>
  <si>
    <t>TRANS(MBATCH,TBATCHNO,BATCH.DESC,'X')</t>
  </si>
  <si>
    <t>BATCH.DESC</t>
  </si>
  <si>
    <t>Barrel Type</t>
  </si>
  <si>
    <t>TRANS(BARREL.GROUP,@ID,BARREL.TYPE.ALL,'X')</t>
  </si>
  <si>
    <t>BARREL.TYPE.ALL</t>
  </si>
  <si>
    <t>TRANS(BARREL.GROUP,@ID,BARREL.TYPE,'X')</t>
  </si>
  <si>
    <t>BARREL.TYPE</t>
  </si>
  <si>
    <t>Barrel Id's of barrels in the group</t>
  </si>
  <si>
    <t>BARREL.IDS</t>
  </si>
  <si>
    <t>Barrel Id's</t>
  </si>
  <si>
    <t>SUBR(SUBR.PENBW:'BG.BRL.IDS',@ID)</t>
  </si>
  <si>
    <t>Barrel Code</t>
  </si>
  <si>
    <t>TRANS(BARREL.GROUP,@ID,BARREL.NUMBER.CODE.ALL,'X')</t>
  </si>
  <si>
    <t>BARREL.CODE.ALL</t>
  </si>
  <si>
    <t>TRANS(BARREL.GROUP,@ID,BARREL.NUMBER.CODE,'X')</t>
  </si>
  <si>
    <t>BARREL.CODE</t>
  </si>
  <si>
    <t>Blend activity status ( '' - active, 'D' - deleted)</t>
  </si>
  <si>
    <t>MBLEND</t>
  </si>
  <si>
    <t>TRANS(MBLEND,TBLEND,BACTIV,'X')</t>
  </si>
  <si>
    <t>BACTIV</t>
  </si>
  <si>
    <t>(1/'') If tank code has allowable prefix for this BW account</t>
  </si>
  <si>
    <t>SUBR('*ITYPE.BW.TPREFIX')</t>
  </si>
  <si>
    <t>AVAIL.TPREFIX</t>
  </si>
  <si>
    <t>SUBR("*PBWZ171",TTABLE,TDIP,"L.V.AUG")+0</t>
  </si>
  <si>
    <t>AUG.TVOLUME</t>
  </si>
  <si>
    <t>User Name</t>
  </si>
  <si>
    <t>FIELD(@ID,'*',6)</t>
  </si>
  <si>
    <t>AUD.USER</t>
  </si>
  <si>
    <t>Audit</t>
  </si>
  <si>
    <t>FIELD(@ID,'*',5)</t>
  </si>
  <si>
    <t>AUD.TYPE</t>
  </si>
  <si>
    <t>Audit time</t>
  </si>
  <si>
    <t>AUDIT</t>
  </si>
  <si>
    <t>FIELD(@ID,'*',3)</t>
  </si>
  <si>
    <t>AUD.TIME</t>
  </si>
  <si>
    <t>Audit Sequence number</t>
  </si>
  <si>
    <t>AUD.SEQNO</t>
  </si>
  <si>
    <t>Audit key</t>
  </si>
  <si>
    <t>AUDIT KEY</t>
  </si>
  <si>
    <t>FIELD(@ID,'*',4)</t>
  </si>
  <si>
    <t>AUD.KEY</t>
  </si>
  <si>
    <t>Audit description</t>
  </si>
  <si>
    <t>AUDIT DESC</t>
  </si>
  <si>
    <t>FIELD('Deleted*Created*Before*After','*',AUD.CODE,1)</t>
  </si>
  <si>
    <t>AUD.DESC</t>
  </si>
  <si>
    <t>Audit date</t>
  </si>
  <si>
    <t>AUD.DATE</t>
  </si>
  <si>
    <t>Audit action code</t>
  </si>
  <si>
    <t>AUD.CODE</t>
  </si>
  <si>
    <t>Group deletions and before images together and creations and after</t>
  </si>
  <si>
    <t>IF AUD.CODE = 1 THEN 1 ELSE IF AUD.CODE = 3 THEN 1 ELSE IF AUD.CODE = 2 THEN 2 ELSE</t>
  </si>
  <si>
    <t>AUD.BREAK</t>
  </si>
  <si>
    <t>FOR USE IN INFO LIST PBWQ031</t>
  </si>
  <si>
    <t>CHIT</t>
  </si>
  <si>
    <t>IF TASCNOTES # '' THEN 'Y' ELSE ''</t>
  </si>
  <si>
    <t>ASS.FLAG1</t>
  </si>
  <si>
    <t>FOR USE IN INFO LIST JCELST</t>
  </si>
  <si>
    <t>ASSOC</t>
  </si>
  <si>
    <t>IF TASCNOTES # '' THEN '*' ELSE ' '</t>
  </si>
  <si>
    <t>ASS.FLAG</t>
  </si>
  <si>
    <t>SUBR("*PBWZ171",TTABLE,TDIP,"L.V.APR")+0</t>
  </si>
  <si>
    <t>APR.TVOLUME</t>
  </si>
  <si>
    <t>Use actual strength else use hydrometer strength</t>
  </si>
  <si>
    <t>IF ACTAFT # '' THEN ACTAFT ELSE TSTRENGTH</t>
  </si>
  <si>
    <t>AORHSTR</t>
  </si>
  <si>
    <t>Alternate Use Description</t>
  </si>
  <si>
    <t>ALTERN.USE.DESC</t>
  </si>
  <si>
    <t>All tank numbers from all chems with WSMALO results</t>
  </si>
  <si>
    <t>All WSMALO</t>
  </si>
  <si>
    <t>SUBR(SUBR.PENBW:"PBWZ206","155/1/A")</t>
  </si>
  <si>
    <t>ALLWSMALOTANK</t>
  </si>
  <si>
    <t>All request times from all chems with WSMALO results</t>
  </si>
  <si>
    <t>SUBR(SUBR.PENBW:"PBWZ206","155/14/A")</t>
  </si>
  <si>
    <t>ALLWSMALOREQTIME</t>
  </si>
  <si>
    <t>All request dates from all chems with WSMALO results</t>
  </si>
  <si>
    <t>SUBR(SUBR.PENBW:"PBWZ206","155/13/A")</t>
  </si>
  <si>
    <t>ALLWSMALOREQDATE</t>
  </si>
  <si>
    <t>All batch numbers from all chems with WSMALO results</t>
  </si>
  <si>
    <t>SUBR(SUBR.PENBW:"PBWZ206","155/15/A")</t>
  </si>
  <si>
    <t>ALLWSMALOBATCH</t>
  </si>
  <si>
    <t>All tank numbers from all chems with TEMP results</t>
  </si>
  <si>
    <t>All Temp</t>
  </si>
  <si>
    <t>SUBR(SUBR.PENBW:"PBWZ206","1/1/A")</t>
  </si>
  <si>
    <t>ALLTEMPTANK</t>
  </si>
  <si>
    <t>All request dates from all chems with Temp results</t>
  </si>
  <si>
    <t>SUBR(SUBR.PENBW:"PBWZ206","1/13/A")</t>
  </si>
  <si>
    <t>ALLTEMPREQDATE</t>
  </si>
  <si>
    <t>All batch numbers from all chems with temp results</t>
  </si>
  <si>
    <t>SUBR(SUBR.PENBW:"PBWZ206","1/15/A")</t>
  </si>
  <si>
    <t>ALLTEMPBATCH</t>
  </si>
  <si>
    <t>All request times from all chems with TA results</t>
  </si>
  <si>
    <t>All TA</t>
  </si>
  <si>
    <t>SUBR(SUBR.PENBW:"PBWZ206","9/14/A")</t>
  </si>
  <si>
    <t>ALLTAREQTIME</t>
  </si>
  <si>
    <t>All request dates from all chems with TA results</t>
  </si>
  <si>
    <t>SUBR(SUBR.PENBW:"PBWZ206","9/13/A")</t>
  </si>
  <si>
    <t>ALLTAREQDATE</t>
  </si>
  <si>
    <t>All tank numbers from all chems with RS results</t>
  </si>
  <si>
    <t>All RS</t>
  </si>
  <si>
    <t>SUBR(SUBR.PENBW:"PBWZ206","12/1/A")</t>
  </si>
  <si>
    <t>ALLRSTANK</t>
  </si>
  <si>
    <t>All request times from all chems with RS results</t>
  </si>
  <si>
    <t>SUBR(SUBR.PENBW:"PBWZ206","12/14/A")</t>
  </si>
  <si>
    <t>ALLRSREQTIME</t>
  </si>
  <si>
    <t>All request dates from all chems with RS results</t>
  </si>
  <si>
    <t>SUBR(SUBR.PENBW:"PBWZ206","12/13/A")</t>
  </si>
  <si>
    <t>ALLRSREQDATE</t>
  </si>
  <si>
    <t>All batch numbers from all chems with RS results</t>
  </si>
  <si>
    <t>SUBR(SUBR.PENBW:"PBWZ206","12/15/A")</t>
  </si>
  <si>
    <t>ALLRSBATCH</t>
  </si>
  <si>
    <t>All request times from all chems with PH results</t>
  </si>
  <si>
    <t>All PH</t>
  </si>
  <si>
    <t>SUBR(SUBR.PENBW:"PBWZ206","11/14/A")</t>
  </si>
  <si>
    <t>ALLPHREQTIME</t>
  </si>
  <si>
    <t>All request dates from all chems with PH results</t>
  </si>
  <si>
    <t>PAALL</t>
  </si>
  <si>
    <t>SUBR(SUBR.PENBW:"PBWZ206","11/13/A")</t>
  </si>
  <si>
    <t>ALLPHREQDATE</t>
  </si>
  <si>
    <t>Allocation style</t>
  </si>
  <si>
    <t>Alloc</t>
  </si>
  <si>
    <t>IF TBLEND # 'MT' THEN TRANS(BW.ILEVEL,TBLEND[1,1],ILEVEL.ALLOC,'X') ELSE   ''</t>
  </si>
  <si>
    <t>ALLOC.STYLE</t>
  </si>
  <si>
    <t>allocation as a percentage of tank volume</t>
  </si>
  <si>
    <t>SUBR("!DIVS",LITRES,REUSE(TVOLUME));SUBR("!MULS",@1,REUSE(100))</t>
  </si>
  <si>
    <t>ALLOC.PERCENT</t>
  </si>
  <si>
    <t>Number of allocations</t>
  </si>
  <si>
    <t>Number</t>
  </si>
  <si>
    <t>DCOUNT(GENERIC,@VM)</t>
  </si>
  <si>
    <t>ALLOC.COUNT</t>
  </si>
  <si>
    <t>All tank numbers from all chems with MALATE results</t>
  </si>
  <si>
    <t>All MALATE</t>
  </si>
  <si>
    <t>SUBR(SUBR.PENBW:"PBWZ206","47/1/A")</t>
  </si>
  <si>
    <t>ALLMALATETANK</t>
  </si>
  <si>
    <t>All request times from all chems with MALATE results</t>
  </si>
  <si>
    <t>All Malate</t>
  </si>
  <si>
    <t>SUBR(SUBR.PENBW:"PBWZ206","47/14/A")</t>
  </si>
  <si>
    <t>ALLMALATEREQTIME</t>
  </si>
  <si>
    <t>All request dates from all chems with MALATE results</t>
  </si>
  <si>
    <t>SUBR(SUBR.PENBW:"PBWZ206","47/13/A")</t>
  </si>
  <si>
    <t>ALLMALATEREQDATE</t>
  </si>
  <si>
    <t>All batch numbers from all chems with MALATE results</t>
  </si>
  <si>
    <t>SUBR(SUBR.PENBW:"PBWZ206","47/15/A")</t>
  </si>
  <si>
    <t>ALLMALATEBATCH</t>
  </si>
  <si>
    <t>All request times from all chems with GF results</t>
  </si>
  <si>
    <t>All GF</t>
  </si>
  <si>
    <t>SUBR(SUBR.PENBW:"PBWZ206","146/14/A")</t>
  </si>
  <si>
    <t>ALLGFREQTIME</t>
  </si>
  <si>
    <t>All request dates from all chems with GF results</t>
  </si>
  <si>
    <t>SUBR(SUBR.PENBW:"PBWZ206","146/13/A")</t>
  </si>
  <si>
    <t>ALLGFREQDATE</t>
  </si>
  <si>
    <t>All tank numbers from all chems with BE results</t>
  </si>
  <si>
    <t>All Be</t>
  </si>
  <si>
    <t>SUBR(SUBR.PENBW:"PBWZ206","2/1/A")</t>
  </si>
  <si>
    <t>ALLBETANK</t>
  </si>
  <si>
    <t>All request times from all chems with BE results</t>
  </si>
  <si>
    <t>SUBR(SUBR.PENBW:"PBWZ206","2/14/A")</t>
  </si>
  <si>
    <t>ALLBEREQTIME</t>
  </si>
  <si>
    <t>All request dates from all chems with BE results</t>
  </si>
  <si>
    <t>SUBR(SUBR.PENBW:"PBWZ206","2/13/A")</t>
  </si>
  <si>
    <t>ALLBEREQDATE</t>
  </si>
  <si>
    <t>All batch numbers from all chems with BE results</t>
  </si>
  <si>
    <t>SUBR(SUBR.PENBW:"PBWZ206","2/15/A")</t>
  </si>
  <si>
    <t>ALLBEBATCH</t>
  </si>
  <si>
    <t>Allocated and Unallocated Vintages</t>
  </si>
  <si>
    <t>IF NOT(LITRES) THEN '' ELSE IF UNALLOCATED THEN VINT:@VM ELSE VINT</t>
  </si>
  <si>
    <t>ALL.VINT</t>
  </si>
  <si>
    <t>Allocated and Unallocated Litres</t>
  </si>
  <si>
    <t>IF NOT(LITRES) THEN UNALLOCATED ELSE IF UNALLOCATED THEN LITRES:@VM:UNALLOCATED ELSE</t>
  </si>
  <si>
    <t>ALL.LITRES</t>
  </si>
  <si>
    <t>Allocated and Unallocated Generic Code</t>
  </si>
  <si>
    <t>IF NOT(LITRES) THEN '' ELSE IF UNALLOCATED THEN GENERIC:@VM ELSE GENERIC</t>
  </si>
  <si>
    <t>ALL.GENERIC</t>
  </si>
  <si>
    <t>Allocated and Unallocated Generic Descriptions</t>
  </si>
  <si>
    <t>IF NOT(LITRES) THEN GEN.DESC ELSE IF UNALLOCATED THEN GEN.DESC:@VM:GEN.DESC ELSE</t>
  </si>
  <si>
    <t>ALL.GEN.DESC</t>
  </si>
  <si>
    <t>All days on wood - current wood in tank/barrel or historical wood</t>
  </si>
  <si>
    <t>DOW</t>
  </si>
  <si>
    <t>All</t>
  </si>
  <si>
    <t>SUBR("*TANK.DOW",1)</t>
  </si>
  <si>
    <t>ALL.DOW</t>
  </si>
  <si>
    <t>IF TSTRENGTH AND NOT(NUM(TSTRENGTH)) THEN 1 ELSE ''</t>
  </si>
  <si>
    <t>ADW</t>
  </si>
  <si>
    <t>Earliest Start Date on oustatanding Addition Notices</t>
  </si>
  <si>
    <t>TRANS(ADD.NOTICE,TOUTSADDN,WMEST.DATE,'X')</t>
  </si>
  <si>
    <t>ADDN.WMEST.DATE</t>
  </si>
  <si>
    <t>Work Order Sequence on oustatanding Addition Notices</t>
  </si>
  <si>
    <t>TRANS(ADD.NOTICE,TOUTSADDN,WOP.WKORD.SEQ,'X')</t>
  </si>
  <si>
    <t>ADDN.WKORD.SEQ</t>
  </si>
  <si>
    <t>Work Order on oustatanding Addition Notices</t>
  </si>
  <si>
    <t>TRANS(ADD.NOTICE,TOUTSADDN,WOP.WKORD,'X')</t>
  </si>
  <si>
    <t>ADDN.WKORD</t>
  </si>
  <si>
    <t>ADDN To tanks</t>
  </si>
  <si>
    <t>SUBR('*GBWI967',TOUTSADDN,'AT')</t>
  </si>
  <si>
    <t>ADDN.TANKS</t>
  </si>
  <si>
    <t>CHIT and/or ADD.NOTICE Required date</t>
  </si>
  <si>
    <t>SUBR('*GBWI967',TOUTSADDN,'E')</t>
  </si>
  <si>
    <t>ADDN.MRDATE</t>
  </si>
  <si>
    <t>Operation Code on oustatanding Addition Notices</t>
  </si>
  <si>
    <t>TRANS(ADD.NOTICE,TOUTSADDN,MOPCD,'X')</t>
  </si>
  <si>
    <t>ADDN.MOPCD</t>
  </si>
  <si>
    <t>Description on oustanding Addition Notices</t>
  </si>
  <si>
    <t>TRANS(ADD.NOTICE,TOUTSADDN,MADESCP,'X')</t>
  </si>
  <si>
    <t>ADDN.MADESCP</t>
  </si>
  <si>
    <t>ADDN Add Codes</t>
  </si>
  <si>
    <t>SUBR('*GBWI967',TOUTSADDN,'AC')</t>
  </si>
  <si>
    <t>ADDN.CODES</t>
  </si>
  <si>
    <t>OPERAT</t>
  </si>
  <si>
    <t>RAISE(TCNOTE)</t>
  </si>
  <si>
    <t>ADD.TCNOTE</t>
  </si>
  <si>
    <t>additive lot numbers</t>
  </si>
  <si>
    <t>TRANS(SUMCOMP.TANK,TANK,'ADD.LOT','X')</t>
  </si>
  <si>
    <t>Additive Code in Summary Composition</t>
  </si>
  <si>
    <t>ADDITIVE</t>
  </si>
  <si>
    <t>TRANS(SUMCOMP.TANK,TANK,'ADD.CODE','X')</t>
  </si>
  <si>
    <t>ADD.CODE</t>
  </si>
  <si>
    <t>Translate to SPIRIT.REGISTER file to obtain Strength after</t>
  </si>
  <si>
    <t>TRANS(SPIRIT.REGISTER,SPRKEY,MACTAFT,'X')</t>
  </si>
  <si>
    <t>ACTAFT</t>
  </si>
  <si>
    <t>ACCOUNT</t>
  </si>
  <si>
    <t>@WHO</t>
  </si>
  <si>
    <t>Equals Y if nominated tank capacity is populated and equals absolute</t>
  </si>
  <si>
    <t>Absolute</t>
  </si>
  <si>
    <t>IF NOMCAP THEN IF NOMCAP = DCAP THEN 'Y' ELSE 'N' ELSE 'N'</t>
  </si>
  <si>
    <t>ABS.CAP=NOM.CAP</t>
  </si>
  <si>
    <t>OCONV(DATE(),'D4/');@[1,6]:@[4]-1;ICONV(@,'D4/')</t>
  </si>
  <si>
    <t>A.YEAR.AGO</t>
  </si>
  <si>
    <t>2ND</t>
  </si>
  <si>
    <t>@ID[2,1]</t>
  </si>
  <si>
    <t>2NDCHAR</t>
  </si>
  <si>
    <t>Time VBG volume sync sent to BMS</t>
  </si>
  <si>
    <t>BMS SYNC</t>
  </si>
  <si>
    <t>D</t>
  </si>
  <si>
    <t>BMS.SYNC.TIME</t>
  </si>
  <si>
    <t>Date VBG volume sync is sent to BMS</t>
  </si>
  <si>
    <t>BMS.SYNC.DATE</t>
  </si>
  <si>
    <t>Number range controlling printing of barrel cards</t>
  </si>
  <si>
    <t>BC.RANGE</t>
  </si>
  <si>
    <t>Text to print on barrel cards</t>
  </si>
  <si>
    <t>BC.TEXT</t>
  </si>
  <si>
    <t>Heating Flag Y/N (Blank = N)</t>
  </si>
  <si>
    <t>Heating</t>
  </si>
  <si>
    <t>HEATING</t>
  </si>
  <si>
    <t>Tank mobility - P(Pallet),M(Moveable),F(Fixed) (Blank = Fixed)</t>
  </si>
  <si>
    <t>Mob</t>
  </si>
  <si>
    <t>MOBILE</t>
  </si>
  <si>
    <t>Tank Farm Code - Heading on single line</t>
  </si>
  <si>
    <t>Tank Farm Code</t>
  </si>
  <si>
    <t>TANK.FARM1</t>
  </si>
  <si>
    <t>TANK.FARM</t>
  </si>
  <si>
    <t>History Activity</t>
  </si>
  <si>
    <t>HISTORY</t>
  </si>
  <si>
    <t>50L</t>
  </si>
  <si>
    <t>HISTORY.ACTIVITY</t>
  </si>
  <si>
    <t>Records when change made to tank setup, eg when it was first</t>
  </si>
  <si>
    <t>History Date</t>
  </si>
  <si>
    <t>HISTORY.DATE</t>
  </si>
  <si>
    <t>Date for de-activation review - heading on single line</t>
  </si>
  <si>
    <t>De-activation Review Date</t>
  </si>
  <si>
    <t>TACTIV.REVIEW.DATE1</t>
  </si>
  <si>
    <t>Date for de-activation review</t>
  </si>
  <si>
    <t>De-activation</t>
  </si>
  <si>
    <t>TACTIV.REVIEW.DATE</t>
  </si>
  <si>
    <t>Name of person who requested de-activation</t>
  </si>
  <si>
    <t>De-activated By</t>
  </si>
  <si>
    <t>TACTIV.NAME</t>
  </si>
  <si>
    <t>De-activation Reason</t>
  </si>
  <si>
    <t>TACTIV.REASON</t>
  </si>
  <si>
    <t>Logical Catwalk Order</t>
  </si>
  <si>
    <t>Catwalk Order</t>
  </si>
  <si>
    <t>CATWALK.ORDER</t>
  </si>
  <si>
    <t>Logical Walk Order</t>
  </si>
  <si>
    <t>Walk Order</t>
  </si>
  <si>
    <t>WALK.ORDER</t>
  </si>
  <si>
    <t>Radar Flag Y/N (Blank = N)</t>
  </si>
  <si>
    <t>Radar</t>
  </si>
  <si>
    <t>RADAR</t>
  </si>
  <si>
    <t>Catwalk Flag Y/N (Blank = Y)</t>
  </si>
  <si>
    <t>Catwalk</t>
  </si>
  <si>
    <t>CATWALK</t>
  </si>
  <si>
    <t>Time tank last updated (tank master not wine movement) for VinoEz</t>
  </si>
  <si>
    <t>Time Updated</t>
  </si>
  <si>
    <t>VZ.TIME.UPDATED</t>
  </si>
  <si>
    <t>Date tank last updated (tank master not wine movement) for VinoEz</t>
  </si>
  <si>
    <t>Date Updated</t>
  </si>
  <si>
    <t>VZ.DATE.UPDATED</t>
  </si>
  <si>
    <t>CHIT worksheets that tank occurs on</t>
  </si>
  <si>
    <t>CHTWS</t>
  </si>
  <si>
    <t>OS.CHIT.WORKSHEETS</t>
  </si>
  <si>
    <t>Temperature setpoint to be passed to Ignition system.</t>
  </si>
  <si>
    <t>TEMP.SETPOINT</t>
  </si>
  <si>
    <t>Outstanding planning CHITs against the tank</t>
  </si>
  <si>
    <t>OS.PLAN</t>
  </si>
  <si>
    <t>OS.PLAN.CHITS</t>
  </si>
  <si>
    <t>set to 'Y' if Contents in Storage Calculation is to be included</t>
  </si>
  <si>
    <t>Contents Storage Calc</t>
  </si>
  <si>
    <t>CONT.STOR.CALC1</t>
  </si>
  <si>
    <t>CONT.STOR.CALC</t>
  </si>
  <si>
    <t>set to 'Y' if Capacity in Storage Calculation is to be included</t>
  </si>
  <si>
    <t>Capacity Storage Calc</t>
  </si>
  <si>
    <t>CAP.STOR.CALC1</t>
  </si>
  <si>
    <t>CAP.STOR.CALC</t>
  </si>
  <si>
    <t>Blend proposal numbers of prelim BP this tank is on.</t>
  </si>
  <si>
    <t>BP number</t>
  </si>
  <si>
    <t>WIM allergen style codes</t>
  </si>
  <si>
    <t>WIM.ALGEN</t>
  </si>
  <si>
    <t>WIM.ALGEN.STYLE</t>
  </si>
  <si>
    <t>Spirit LALS @ 20oC</t>
  </si>
  <si>
    <t>Spirit</t>
  </si>
  <si>
    <t>LALS.20</t>
  </si>
  <si>
    <t>Spirit Obs</t>
  </si>
  <si>
    <t>Spirit Tank Hyd</t>
  </si>
  <si>
    <t>From tank chemistry current flag</t>
  </si>
  <si>
    <t>From Tank Chemistry</t>
  </si>
  <si>
    <t>TFROMCHEM.CURR</t>
  </si>
  <si>
    <t>TFROMCHEM</t>
  </si>
  <si>
    <t>Contractor Tank Code - heading on single line</t>
  </si>
  <si>
    <t>Contractor Tank Code</t>
  </si>
  <si>
    <t>CONT.TANK.CODE1</t>
  </si>
  <si>
    <t>Contractor</t>
  </si>
  <si>
    <t>CONT.TANK.CODE</t>
  </si>
  <si>
    <t>Winery Location Code</t>
  </si>
  <si>
    <t>WINERY.LOCATION</t>
  </si>
  <si>
    <t>Tank Form used in PS.TANK.SELECTION</t>
  </si>
  <si>
    <t>TANK.FORMS</t>
  </si>
  <si>
    <t>Tank Form</t>
  </si>
  <si>
    <t>TANK.FORM</t>
  </si>
  <si>
    <t>Detailed Use - heading on one line</t>
  </si>
  <si>
    <t>Detailed Use</t>
  </si>
  <si>
    <t>DETAILED.USE1</t>
  </si>
  <si>
    <t>Detailed</t>
  </si>
  <si>
    <t>DETAILED.USE</t>
  </si>
  <si>
    <t>Vintage Use</t>
  </si>
  <si>
    <t>Vint</t>
  </si>
  <si>
    <t>VINTAGE.USE</t>
  </si>
  <si>
    <t>Alternate Use</t>
  </si>
  <si>
    <t>Alt</t>
  </si>
  <si>
    <t>ALTERN.USE</t>
  </si>
  <si>
    <t>Tank Use used in PS.TANK.SELECTION</t>
  </si>
  <si>
    <t>TANK.USES</t>
  </si>
  <si>
    <t>Tank Use - heading on one line</t>
  </si>
  <si>
    <t>Tank Use</t>
  </si>
  <si>
    <t>TANK.USE1</t>
  </si>
  <si>
    <t>TANK.USE</t>
  </si>
  <si>
    <t>Tank Type used in PS.TANK.SELECTION</t>
  </si>
  <si>
    <t>TANK.TYPES</t>
  </si>
  <si>
    <t>Tank Type - heading on single line</t>
  </si>
  <si>
    <t>Tank Type</t>
  </si>
  <si>
    <t>TANK.TYPE1</t>
  </si>
  <si>
    <t>TANK.TYPE</t>
  </si>
  <si>
    <t>List of outstanding Additions for this tank</t>
  </si>
  <si>
    <t>TOUTSADDN</t>
  </si>
  <si>
    <t>- Chemistry relevance for this tank expressed as a percentage</t>
  </si>
  <si>
    <t>Chemistry Relevance</t>
  </si>
  <si>
    <t>TCHEMPERC</t>
  </si>
  <si>
    <t>set to 'Y' if plank rings are fitted - heading on single line</t>
  </si>
  <si>
    <t>Plank Rings</t>
  </si>
  <si>
    <t>PLANK.RING1</t>
  </si>
  <si>
    <t>set to 'Y' if plank rings are fitted</t>
  </si>
  <si>
    <t>Plank</t>
  </si>
  <si>
    <t>PLANK.RING</t>
  </si>
  <si>
    <t>set to 'Y' if agitator is fitted - heading on single line</t>
  </si>
  <si>
    <t>Agitator</t>
  </si>
  <si>
    <t>AGITATOR1</t>
  </si>
  <si>
    <t>set to 'Y' if agitator is fitted</t>
  </si>
  <si>
    <t>Agit</t>
  </si>
  <si>
    <t>AGITATOR</t>
  </si>
  <si>
    <t>Tank Capacity (Tonnes) - heading on one line</t>
  </si>
  <si>
    <t>Tank Capacity (Tonnes)</t>
  </si>
  <si>
    <t>TONNES.CAPACITY1</t>
  </si>
  <si>
    <t>TONNES.CAPACITY</t>
  </si>
  <si>
    <t>Chit number of the yearly recost(PVCU005) or Wood &amp; O/head</t>
  </si>
  <si>
    <t>RECOST.CNOTE</t>
  </si>
  <si>
    <t>Unique Key to the VINT.SUMM file</t>
  </si>
  <si>
    <t>39L</t>
  </si>
  <si>
    <t>Key to the Vintage Summary</t>
  </si>
  <si>
    <t>VSUM.KEY</t>
  </si>
  <si>
    <t>Corresponding CHEM blend*batch values</t>
  </si>
  <si>
    <t>CHEM Blend*Batch</t>
  </si>
  <si>
    <t>CHEM.BBATCH</t>
  </si>
  <si>
    <t>List of incomplete chemistry notes for the current contents of this</t>
  </si>
  <si>
    <t>Tank Capacity</t>
  </si>
  <si>
    <t>TCAP</t>
  </si>
  <si>
    <t>TANK.CAP</t>
  </si>
  <si>
    <t>Inventory Level</t>
  </si>
  <si>
    <t>ILEVEL</t>
  </si>
  <si>
    <t>Original H.P. Code</t>
  </si>
  <si>
    <t>Original</t>
  </si>
  <si>
    <t>HP.CODE</t>
  </si>
  <si>
    <t>Previous I.B.M. Code</t>
  </si>
  <si>
    <t>I.B.M.</t>
  </si>
  <si>
    <t>IBM.CODE</t>
  </si>
  <si>
    <t>Begining of the Month Temperature</t>
  </si>
  <si>
    <t>BEG MTH</t>
  </si>
  <si>
    <t>BEGMTH.TEMP</t>
  </si>
  <si>
    <t>Begining of the Month Strength</t>
  </si>
  <si>
    <t>BEGMTH.STR</t>
  </si>
  <si>
    <t>Begining of the Month Litres</t>
  </si>
  <si>
    <t>BEGMTH.LTRS</t>
  </si>
  <si>
    <t>Begining of the Month Blend Code</t>
  </si>
  <si>
    <t>BEGMTH.BLEND</t>
  </si>
  <si>
    <t>Sugar content of brandy tanks</t>
  </si>
  <si>
    <t>SUGAR</t>
  </si>
  <si>
    <t>TSUGAR</t>
  </si>
  <si>
    <t>Multivalued comment field</t>
  </si>
  <si>
    <t>COMM</t>
  </si>
  <si>
    <t>COMMENTS</t>
  </si>
  <si>
    <t>MCOMMENT</t>
  </si>
  <si>
    <t>Percent 2A (for Brandy)</t>
  </si>
  <si>
    <t>PERC</t>
  </si>
  <si>
    <t>TPERC2A</t>
  </si>
  <si>
    <t>Date in Wood (for Brandy)</t>
  </si>
  <si>
    <t>TDIW</t>
  </si>
  <si>
    <t>Location or order code  - used to sort most reports order</t>
  </si>
  <si>
    <t>LOCATION</t>
  </si>
  <si>
    <t>Tank volume - only populated for copies of MTANK taken at month/year</t>
  </si>
  <si>
    <t>T.VOLUME</t>
  </si>
  <si>
    <t>Spirit Temperature</t>
  </si>
  <si>
    <t>Spirit Temp</t>
  </si>
  <si>
    <t>STEMP</t>
  </si>
  <si>
    <t>Blend Codes Assigned Since the Tank was Empty</t>
  </si>
  <si>
    <t>BLEND CODES</t>
  </si>
  <si>
    <t>TBLENDASS</t>
  </si>
  <si>
    <t>TREADVALUE</t>
  </si>
  <si>
    <t>TREADINGNO</t>
  </si>
  <si>
    <t>Fruit Beaume</t>
  </si>
  <si>
    <t>FRUIT</t>
  </si>
  <si>
    <t>TFRUITBE</t>
  </si>
  <si>
    <t>Spirit Vat Strength</t>
  </si>
  <si>
    <t>TSTRENGTH</t>
  </si>
  <si>
    <t>Spirit Vat Class</t>
  </si>
  <si>
    <t>TCLASS</t>
  </si>
  <si>
    <t>Tank has in place cooling (Y/)</t>
  </si>
  <si>
    <t>Cooling</t>
  </si>
  <si>
    <t>COOLING</t>
  </si>
  <si>
    <t>Tank is insulated (Y/)</t>
  </si>
  <si>
    <t>Insulation</t>
  </si>
  <si>
    <t>INSULATION</t>
  </si>
  <si>
    <t>List of outstanding chits for this tank</t>
  </si>
  <si>
    <t>Assoc</t>
  </si>
  <si>
    <t>TASCNOTES</t>
  </si>
  <si>
    <t>Blend Status used in PS.TANK.SELECTION</t>
  </si>
  <si>
    <t>STAT</t>
  </si>
  <si>
    <t>TSTATUSES</t>
  </si>
  <si>
    <t>Other tanks with same blend (based on last cellar note) not in use, using I.MB.TANK</t>
  </si>
  <si>
    <t>REL</t>
  </si>
  <si>
    <t>TRELTANKS</t>
  </si>
  <si>
    <t>Assigned customer</t>
  </si>
  <si>
    <t>ASS</t>
  </si>
  <si>
    <t>TCUST.OLD</t>
  </si>
  <si>
    <t>TCUST</t>
  </si>
  <si>
    <t>Previous Tanks operation codes</t>
  </si>
  <si>
    <t>TANKHISTOP</t>
  </si>
  <si>
    <t>Previous Tanks from last operation</t>
  </si>
  <si>
    <t>TANKHIST</t>
  </si>
  <si>
    <t>Last Operation performed by Day</t>
  </si>
  <si>
    <t>OPER</t>
  </si>
  <si>
    <t>TUOPP</t>
  </si>
  <si>
    <t>Customer Assigned by Day</t>
  </si>
  <si>
    <t>CUST</t>
  </si>
  <si>
    <t>TUCUST</t>
  </si>
  <si>
    <t>Blend Group Code by Day</t>
  </si>
  <si>
    <t>TUGROUP</t>
  </si>
  <si>
    <t>Required standard chemistry analysis</t>
  </si>
  <si>
    <t>14T</t>
  </si>
  <si>
    <t>REQ STANDARD</t>
  </si>
  <si>
    <t>TCHEMSTD</t>
  </si>
  <si>
    <t>Last operation code performed - single value field</t>
  </si>
  <si>
    <t>TOPCD</t>
  </si>
  <si>
    <t>Last Cellar operations note no.s  - sub values since last time tank was MT</t>
  </si>
  <si>
    <t>TCNOTE</t>
  </si>
  <si>
    <t>Last chemistry Analysis Reference No</t>
  </si>
  <si>
    <t>TCHEMNO</t>
  </si>
  <si>
    <t>Batch Code used in PS.TANK.SELECTION</t>
  </si>
  <si>
    <t>TBATCHNOS</t>
  </si>
  <si>
    <t>Current Batch Number</t>
  </si>
  <si>
    <t>Batch No</t>
  </si>
  <si>
    <t>TBATCHNO</t>
  </si>
  <si>
    <t>Current Batch Code</t>
  </si>
  <si>
    <t>Batch</t>
  </si>
  <si>
    <t>BATCH.CODE</t>
  </si>
  <si>
    <t>Blend Code used in PS.TANK.SELECTION</t>
  </si>
  <si>
    <t>BLEND CODE</t>
  </si>
  <si>
    <t>TBLENDS</t>
  </si>
  <si>
    <t>Current Blend Code</t>
  </si>
  <si>
    <t>TBLEND</t>
  </si>
  <si>
    <t>TDIP.NOCONV</t>
  </si>
  <si>
    <t>F8</t>
  </si>
  <si>
    <t>Tank Comment</t>
  </si>
  <si>
    <t>TCOMMENT</t>
  </si>
  <si>
    <t>TSPECIF</t>
  </si>
  <si>
    <t>Tank description</t>
  </si>
  <si>
    <t>Description</t>
  </si>
  <si>
    <t>TDESCP</t>
  </si>
  <si>
    <t>Reserved</t>
  </si>
  <si>
    <t>TCONTENT</t>
  </si>
  <si>
    <t>Tank Size Dip Table</t>
  </si>
  <si>
    <t>TTABLE2</t>
  </si>
  <si>
    <t>Tank Size Dip Table - heading on single line</t>
  </si>
  <si>
    <t>Dip Table</t>
  </si>
  <si>
    <t>TTABLE1</t>
  </si>
  <si>
    <t>TTABLE</t>
  </si>
  <si>
    <t>Tank availability Status Code - MT - empty, NB - repairs, US - in use  ie. operation</t>
  </si>
  <si>
    <t>AVAIL</t>
  </si>
  <si>
    <t>TAVAIL</t>
  </si>
  <si>
    <t>Tank list used in PS.TANK.SELECTION</t>
  </si>
  <si>
    <t>Tanks</t>
  </si>
  <si>
    <t>TANK.LIST</t>
  </si>
  <si>
    <t>Record activity status (" " - Active, "D" - De-activated)</t>
  </si>
  <si>
    <t>Act Sta</t>
  </si>
  <si>
    <t>TACTIV1</t>
  </si>
  <si>
    <t>Act</t>
  </si>
  <si>
    <t>Tank code 10 char</t>
  </si>
  <si>
    <t>TANK10</t>
  </si>
  <si>
    <t>Tank Number - heading on single line</t>
  </si>
  <si>
    <t>Tank ID</t>
  </si>
  <si>
    <t>TANK1</t>
  </si>
  <si>
    <t>Tank Number</t>
  </si>
  <si>
    <t>Tank No</t>
  </si>
  <si>
    <t>SHORT.ID</t>
  </si>
  <si>
    <t>RTANK</t>
  </si>
  <si>
    <t>ID1</t>
  </si>
  <si>
    <t>Default record ID for RetrieVe</t>
  </si>
  <si>
    <t>MTANK</t>
  </si>
  <si>
    <t>ID.20L</t>
  </si>
  <si>
    <t>GTV99*13423*40263</t>
  </si>
  <si>
    <t>@ID</t>
  </si>
  <si>
    <t>A;9["1","1"]</t>
  </si>
  <si>
    <t>A</t>
  </si>
  <si>
    <t>MBLEND.MJS</t>
  </si>
  <si>
    <t>Examples</t>
  </si>
  <si>
    <t>Key</t>
  </si>
  <si>
    <t>DESC</t>
  </si>
  <si>
    <t>Depth</t>
  </si>
  <si>
    <t>Output Format</t>
  </si>
  <si>
    <t>Column Heading</t>
  </si>
  <si>
    <t>Conversion Code</t>
  </si>
  <si>
    <t>Field Definition</t>
  </si>
  <si>
    <t>Field No</t>
  </si>
  <si>
    <t>Field Name</t>
  </si>
  <si>
    <t>Downloaded</t>
  </si>
  <si>
    <t xml:space="preserve">File name = </t>
  </si>
  <si>
    <t>COEFA COEFB COEFC COEFD COEFE COEFF</t>
  </si>
  <si>
    <t>TABLE</t>
  </si>
  <si>
    <t>DIPREAD DIPVOL</t>
  </si>
  <si>
    <t>DIP.VOL</t>
  </si>
  <si>
    <t>D1 D2 DHT DCYL</t>
  </si>
  <si>
    <t>DIMENSIONS</t>
  </si>
  <si>
    <t>BY AUD.DATE BY AUD.TIME BY AUD.CODE ID.SUP AUD.DATE AUD.TIME FMT '5R' AUD.USER</t>
  </si>
  <si>
    <t>BY.AUDIT</t>
  </si>
  <si>
    <t>AUD.SEQNO AUD.DATE AUD.TIME AUD.KEY AUD.DESC AUD.BREAK AUD.USER ID.SUP</t>
  </si>
  <si>
    <t>DTABLE DIPDESCP DCAP DIPUOM DVOLUOM DIP12 DIP23 DIP34 DIP45 DIP5 DIPMIN DIPMAX COEFA</t>
  </si>
  <si>
    <t>FOR ENTRO DEFAULT FIELD LIST CREATED 16:07:04 28 NOV 1984</t>
  </si>
  <si>
    <t>List all fields</t>
  </si>
  <si>
    <t>ID.SUP DTABLE DIPDESCP DCAP DIPUOM DVOLUOM DIP12 DIP23 DIP34 DIP45 DIP5 DIPMIN</t>
  </si>
  <si>
    <t>*</t>
  </si>
  <si>
    <t>Winery location sort</t>
  </si>
  <si>
    <t>Wnry</t>
  </si>
  <si>
    <t>IF WINERY.LOCATION&lt;1,1,1&gt; EQ '' THEN '~~' ELSE WINERY.LOCATION&lt;1,1,1&gt;</t>
  </si>
  <si>
    <t>WINERY.SORT</t>
  </si>
  <si>
    <t>First winery location</t>
  </si>
  <si>
    <t>WINERY.LOCATION&lt;1,1,1&gt;</t>
  </si>
  <si>
    <t>WINERY.LOCN</t>
  </si>
  <si>
    <t>TRANS(MTANK,TANKS,'WINERY.LOCATION','X')</t>
  </si>
  <si>
    <t>WIM MIN DIP (WIM doesn't have 0 entries)</t>
  </si>
  <si>
    <t>IF DIPREAD&lt;1,1&gt; = 0 THEN DIPREAD&lt;1,2&gt; ELSE DIPREAD&lt;1,1&gt;</t>
  </si>
  <si>
    <t>WIM.DIPMIN</t>
  </si>
  <si>
    <t>FIELD(RAISE(WIM.WINERY),@VM,1)[1,3];DTABLE[1,3];IF @2 = 'SVR' THEN DTABLE[4,9] ELSE</t>
  </si>
  <si>
    <t>WIM business unit</t>
  </si>
  <si>
    <t>WIM.BU</t>
  </si>
  <si>
    <t>Calculation of the volume at the bottom of the neck from the dip.</t>
  </si>
  <si>
    <t>IF HBOTNECK THEN SUBR(SUBR.PENBW:"PBWZ171",@RECORD,DIPHBOTNECK,"V@") ELSE ''</t>
  </si>
  <si>
    <t>VOLBOTNECK.ES</t>
  </si>
  <si>
    <t>Calculation of the volume at the bottom of the neck from the dip</t>
  </si>
  <si>
    <t>IF HBOTNECK THEN SUBR(SUBR.PENBW:"PBWZ171",@ID,DIPHBOTNECK,"V") ELSE ''</t>
  </si>
  <si>
    <t>Volume for the corresponding wet or dry dip</t>
  </si>
  <si>
    <t>(REUSE(DCAP) -</t>
  </si>
  <si>
    <t>IF DRYDIP # 'Y' THEN DIPVOL ELSE SUBR("*PZZI211","INV",DIPVOL,'','','')</t>
  </si>
  <si>
    <t>VOL.LST</t>
  </si>
  <si>
    <t>TRANS(I.DIPTABLE.TANK,@ID,'TANKS','X')</t>
  </si>
  <si>
    <t>Third column of split volumes</t>
  </si>
  <si>
    <t>FIELD(SPLIT.VOL,@VM,3)</t>
  </si>
  <si>
    <t>SPLIT.VOL.3</t>
  </si>
  <si>
    <t>Second column of split volumes</t>
  </si>
  <si>
    <t>FIELD(SPLIT.VOL,@VM,2)</t>
  </si>
  <si>
    <t>SPLIT.VOL.2</t>
  </si>
  <si>
    <t>First column of split volumes</t>
  </si>
  <si>
    <t>FIELD(SPLIT.VOL,@VM,1)</t>
  </si>
  <si>
    <t>SPLIT.VOL.1</t>
  </si>
  <si>
    <t>Sub-valued Dip Volumes split into 3 multi-values</t>
  </si>
  <si>
    <t>SUBR("*PZZI211","SPLIT",VOL.LST,3,'','')</t>
  </si>
  <si>
    <t>SPLIT.VOL</t>
  </si>
  <si>
    <t>Third column of dips</t>
  </si>
  <si>
    <t>FIELD(SPLIT.DIP,@VM,3)</t>
  </si>
  <si>
    <t>SPLIT.DIP.3</t>
  </si>
  <si>
    <t>Second column of dips</t>
  </si>
  <si>
    <t>FIELD(SPLIT.DIP,@VM,2)</t>
  </si>
  <si>
    <t>SPLIT.DIP.2</t>
  </si>
  <si>
    <t>First column of dips</t>
  </si>
  <si>
    <t>FIELD(SPLIT.DIP,@VM,1)</t>
  </si>
  <si>
    <t>SPLIT.DIP.1</t>
  </si>
  <si>
    <t>Sub-valued Dips split into 3 multi-values</t>
  </si>
  <si>
    <t>SUBR("*PZZI211","SPLIT",DIP.LST,3,'','')</t>
  </si>
  <si>
    <t>SPLIT.DIP</t>
  </si>
  <si>
    <t>IF NOMCAP THEN SUBR(SUBR.PENBW:"PBWZ171",@RECORD,NOMCAP,"WD@") ELSE ''</t>
  </si>
  <si>
    <t>IF DRYDIP THEN IF NOMCAP THEN SUBR(SUBR.PENBW:"PBWZ171",@RECORD,NOMCAP,"D@") ELSE ''</t>
  </si>
  <si>
    <t>IF NOMCAP THEN SUBR(SUBR.PENBW:"PBWZ171",@RECORD,NOMCAP,"D@") ELSE ''</t>
  </si>
  <si>
    <t>NOMMAXDIP</t>
  </si>
  <si>
    <t>SUBR(SUBR.PENBW:"PBWZ171",@ID,'MT',"V")</t>
  </si>
  <si>
    <t>Calculation of the MAXIMUM VOLUME from the dip + 1</t>
  </si>
  <si>
    <t>Maximum</t>
  </si>
  <si>
    <t>MAXVOL.CALC + 1</t>
  </si>
  <si>
    <t>MAXVOL.CALC.P1</t>
  </si>
  <si>
    <t>Calculation of the MAXIMUM VOLUME from the dip - 1</t>
  </si>
  <si>
    <t>MAXVOL.CALC - 1</t>
  </si>
  <si>
    <t>MAXVOL.CALC.M1</t>
  </si>
  <si>
    <t>Calculation of the MAXIMUM VOLUME from the dip</t>
  </si>
  <si>
    <t>IF DRYDIP = 'Y' THEN SUBR(SUBR.PENBW:"PBWZ171",@ID,DIPMIN,"V") ELSE</t>
  </si>
  <si>
    <t>MAXVOL.CALC</t>
  </si>
  <si>
    <t>MAXDIP:DIP READ</t>
  </si>
  <si>
    <t>IF DIPCODE = 'T' THEN SUM(SUBR('!GTS',DIPREAD,REUSE(DIPMAX))) ELSE ''</t>
  </si>
  <si>
    <t>JK.CHECK</t>
  </si>
  <si>
    <t>TANKS&lt;1,1,1&gt;</t>
  </si>
  <si>
    <t>FIRST.TANK</t>
  </si>
  <si>
    <t>Displays the dip of the height of bottom of neck is dry dip used.</t>
  </si>
  <si>
    <t>IF DRYDIP THEN DIPHBOTNECK ELSE ''</t>
  </si>
  <si>
    <t>DIPHBOTNECKDRY</t>
  </si>
  <si>
    <t>Dip taking inti account DRYDIP possibilty</t>
  </si>
  <si>
    <t>IF DRYDIP # 'Y' THEN DIPREAD ELSE SUBR("*PZZI211","INV",(REUSE(DIPMAX) -</t>
  </si>
  <si>
    <t>DIP.LST</t>
  </si>
  <si>
    <t>MD1</t>
  </si>
  <si>
    <t>(DCAP + 0) * 10</t>
  </si>
  <si>
    <t>DCAPNUM</t>
  </si>
  <si>
    <t>Short description for Audit Code</t>
  </si>
  <si>
    <t>Aud</t>
  </si>
  <si>
    <t>FIELD('Del*Cre*Bef*Aft','*',AUD.CODE,1)</t>
  </si>
  <si>
    <t>AUD.SDESC</t>
  </si>
  <si>
    <t>Calculation of the maximum dip from the maximum capacity (type T</t>
  </si>
  <si>
    <t>IF DRYDIP THEN IF DCAP THEN SUBR(SUBR.PENBW:"PBWZ171",@RECORD,DCAP,"D@") ELSE ''</t>
  </si>
  <si>
    <t>ABSCAPDIPDRY</t>
  </si>
  <si>
    <t>IF DCAP THEN SUBR(SUBR.PENBW:"PBWZ171",@RECORD,DCAP,"D@") ELSE ''</t>
  </si>
  <si>
    <t>ABSCAPDIP</t>
  </si>
  <si>
    <t>Barrel diameter (type T only)</t>
  </si>
  <si>
    <t>BRL.DIAM</t>
  </si>
  <si>
    <t>Neck diameter (type T only)</t>
  </si>
  <si>
    <t>NECKDIAM</t>
  </si>
  <si>
    <t>Section type - cylinder (CY), sliced cylinder (SC), cone (CO) or</t>
  </si>
  <si>
    <t>SECTIONS</t>
  </si>
  <si>
    <t>Section</t>
  </si>
  <si>
    <t>D.SECTION.TYPE</t>
  </si>
  <si>
    <t>Full cone height - calculated and stored for truncated cones.</t>
  </si>
  <si>
    <t>full</t>
  </si>
  <si>
    <t>D.FULL.CONE.HT</t>
  </si>
  <si>
    <t>Converted from IBM</t>
  </si>
  <si>
    <t>IBM.CONVERT</t>
  </si>
  <si>
    <t>Dry Dip (Y), Wet Dip ( )</t>
  </si>
  <si>
    <t>Flag (Y) for sliced cylindrical section</t>
  </si>
  <si>
    <t>SLICED</t>
  </si>
  <si>
    <t>DCYL</t>
  </si>
  <si>
    <t>D.SCYL</t>
  </si>
  <si>
    <t>OFFSET FOR ZERO DIP</t>
  </si>
  <si>
    <t>OFFSET</t>
  </si>
  <si>
    <t>Section has negative volume (Y)</t>
  </si>
  <si>
    <t>D.NEGATIVE</t>
  </si>
  <si>
    <t>LAST DATE OF MAINTENANCE</t>
  </si>
  <si>
    <t>LAST MAINT</t>
  </si>
  <si>
    <t>DDATE</t>
  </si>
  <si>
    <t>HEIGHT OF SPIRIT TABLE</t>
  </si>
  <si>
    <t>HEIGHT</t>
  </si>
  <si>
    <t>DHT</t>
  </si>
  <si>
    <t>Section Volume (Litres)</t>
  </si>
  <si>
    <t>D.SVOL</t>
  </si>
  <si>
    <t>TOP DIAMETER SPIRIT TABLE REFERENCE</t>
  </si>
  <si>
    <t>TOP</t>
  </si>
  <si>
    <t>D2</t>
  </si>
  <si>
    <t>Diameter of the top of this section (mm)</t>
  </si>
  <si>
    <t>D.TOP.DIAM</t>
  </si>
  <si>
    <t>BASE DIAMETER OF CONE/CYLINDER</t>
  </si>
  <si>
    <t>BASE</t>
  </si>
  <si>
    <t>Diameter of the base of this section (mm)</t>
  </si>
  <si>
    <t>D.BASE.DIAM</t>
  </si>
  <si>
    <t>Dip Volume Levels</t>
  </si>
  <si>
    <t>DIP VOLUME</t>
  </si>
  <si>
    <t>DIPVOL</t>
  </si>
  <si>
    <t>Height from bottom of tank of the top of this section (mm)</t>
  </si>
  <si>
    <t>D.TOP.HEIGHT</t>
  </si>
  <si>
    <t>Dip Reading - (stored as internal values- not xx.x)</t>
  </si>
  <si>
    <t>DIP READ</t>
  </si>
  <si>
    <t>DIPREAD</t>
  </si>
  <si>
    <t>Height from bottom of tank of the base of this section (mm)</t>
  </si>
  <si>
    <t>D.BASE.HEIGHT</t>
  </si>
  <si>
    <t>Code of Dip - T if Table, F for dimensioned tanks (formulae), S for</t>
  </si>
  <si>
    <t>COEFICIENT F</t>
  </si>
  <si>
    <t>COEFF</t>
  </si>
  <si>
    <t>COEFICIENT E</t>
  </si>
  <si>
    <t>COEFE</t>
  </si>
  <si>
    <t>COEFICIENT D</t>
  </si>
  <si>
    <t>COEFD</t>
  </si>
  <si>
    <t>COEFICIENT C</t>
  </si>
  <si>
    <t>COEFC</t>
  </si>
  <si>
    <t>COEFICIENT B</t>
  </si>
  <si>
    <t>COEFB</t>
  </si>
  <si>
    <t>Polynomial coeficient for expression  -   DIP = A + Bx + Cx2 + Dx3 + Ex4 + Fx5</t>
  </si>
  <si>
    <t>COEFICIENT A</t>
  </si>
  <si>
    <t>COEFA</t>
  </si>
  <si>
    <t>Dip at end of section 5</t>
  </si>
  <si>
    <t>DIP END</t>
  </si>
  <si>
    <t>DIP5</t>
  </si>
  <si>
    <t>Dip at junction of section 4/5</t>
  </si>
  <si>
    <t>DIP FOR</t>
  </si>
  <si>
    <t>DIP45</t>
  </si>
  <si>
    <t>Dip at junction of section 3/4</t>
  </si>
  <si>
    <t>DIP34</t>
  </si>
  <si>
    <t>Dip at junction of section 2/3</t>
  </si>
  <si>
    <t>DIP23</t>
  </si>
  <si>
    <t>Dip at junction of section 1/2</t>
  </si>
  <si>
    <t>Volume unit of measure</t>
  </si>
  <si>
    <t>VOL</t>
  </si>
  <si>
    <t>DVOLUOM</t>
  </si>
  <si>
    <t>Dip table unit of measure</t>
  </si>
  <si>
    <t>MD10,</t>
  </si>
  <si>
    <t>DCAP.1</t>
  </si>
  <si>
    <t>DIP TABLE DESCRIPTION</t>
  </si>
  <si>
    <t>Dip Table ID</t>
  </si>
  <si>
    <t>DTABLE</t>
  </si>
  <si>
    <t>DIPTABLE</t>
  </si>
  <si>
    <t>BARREL.GROUP</t>
  </si>
  <si>
    <t>@EMPTY.NULL</t>
  </si>
  <si>
    <t>BY  @ID BTYPECODE BLENDESCP</t>
  </si>
  <si>
    <t>FOR ENTRO DEFAULT FIELD LIST CREATED 10:55:21 16 DEC 1983</t>
  </si>
  <si>
    <t>BLEND BTYPECODE BLENDESCP BCURVOL BTOTCAP BCURTANKS BACTIV</t>
  </si>
  <si>
    <t>TO LIST ALL 'D' TYPE FIELDS 14-04-92</t>
  </si>
  <si>
    <t>BTYPECODE BLENDESCP BCURVOL BTOTCAP BCURTANKS BACTIV BTRANSIT OPFLAG</t>
  </si>
  <si>
    <t>List ALL fields</t>
  </si>
  <si>
    <t>ID.SUP BTYPECODE BLENDESCP BCURVOL BTOTCAP BCURTANKS BACTIV BTRANSIT OPFLAG</t>
  </si>
  <si>
    <t>Translate to I.MB.TANK to determine if there is inventory of the</t>
  </si>
  <si>
    <t>With</t>
  </si>
  <si>
    <t>IF @ID = 'MT' THEN '' ELSE TRANS(I.MB.TANK,@ID,@RECORD,'+');IF @1 # '' THEN 1 ELSE 0</t>
  </si>
  <si>
    <t>WITH.INVENTORY</t>
  </si>
  <si>
    <t>Wine Type Percentage in Blend From MASTER.BLEND file</t>
  </si>
  <si>
    <t>W/T</t>
  </si>
  <si>
    <t>TRANS(MASTER.BLEND,@ID,WINE.TYPE.PER,"X")</t>
  </si>
  <si>
    <t>Wine Type Codes From MASTER.BLEND file</t>
  </si>
  <si>
    <t>TRANS(MASTER.BLEND,@ID,WINE.TYPE,"X")</t>
  </si>
  <si>
    <t>Translate to get description</t>
  </si>
  <si>
    <t>PRELIMINARY VINTAGE WINE</t>
  </si>
  <si>
    <t>TRANS(MBLENDGP,BTYPECODE,BDESCP,'X')</t>
  </si>
  <si>
    <t>VINCLASS</t>
  </si>
  <si>
    <t>Sub field of @ID</t>
  </si>
  <si>
    <t>VAR</t>
  </si>
  <si>
    <t>@ID[5,3]</t>
  </si>
  <si>
    <t>VARCODE</t>
  </si>
  <si>
    <t>@ID[2,2]:@FM:'B':@FM:'';SUBR('*PBWI802A',@);IF @ THEN 'INVALID' ELSE 'VALID'</t>
  </si>
  <si>
    <t>VALID.VINTAGE</t>
  </si>
  <si>
    <t>UPCASE(BLENDESCP)</t>
  </si>
  <si>
    <t>UBLENDESCP</t>
  </si>
  <si>
    <t>Translate to Tank Master file (single to multi value)</t>
  </si>
  <si>
    <t>TTANK</t>
  </si>
  <si>
    <t>TRANS(I.MB.TANK,@ID,@RECORD,'+');LOWER(@1);TRANS(MTANK,@2,TANK,'X')</t>
  </si>
  <si>
    <t>Small wood key</t>
  </si>
  <si>
    <t>BATCHES</t>
  </si>
  <si>
    <t>SUBR("*PZZI211",'CAT1',@ID:'/',BATCHES,'','')</t>
  </si>
  <si>
    <t>SWKEY</t>
  </si>
  <si>
    <t>Batches in small wood</t>
  </si>
  <si>
    <t>Small</t>
  </si>
  <si>
    <t>TRANS(DP,SWKEY,@ID,'X') ;SUBR("!FIELDS",@1,'/',2,1)</t>
  </si>
  <si>
    <t>SWBATCH</t>
  </si>
  <si>
    <t>TRANS(BW.STYLE,STYLE.CODE,STYLE.DESC,'X')</t>
  </si>
  <si>
    <t>@ID[4,1]</t>
  </si>
  <si>
    <t>STYLE.CODE</t>
  </si>
  <si>
    <t>Standard cost</t>
  </si>
  <si>
    <t>STD</t>
  </si>
  <si>
    <t>TRANS(ITEM.MSTR,@ID,STDCOST,'X')</t>
  </si>
  <si>
    <t>STDCOST</t>
  </si>
  <si>
    <t>Translate to the Product file for prod status</t>
  </si>
  <si>
    <t>STATUS</t>
  </si>
  <si>
    <t>TRANS(ITEM.MSTR,PRODNO,15,'X')</t>
  </si>
  <si>
    <t>STCODE</t>
  </si>
  <si>
    <t>Translate to get Financial Product number</t>
  </si>
  <si>
    <t>PRODNAME[1,19]; @:' ':SDESC</t>
  </si>
  <si>
    <t>PRODNAME.SIZE</t>
  </si>
  <si>
    <t>Product Group</t>
  </si>
  <si>
    <t>TRANS(ITEM.MSTR,@ID,PRODGP,'X')</t>
  </si>
  <si>
    <t>PRODGP</t>
  </si>
  <si>
    <t>Translate to the Product file for prod vintage</t>
  </si>
  <si>
    <t>TRANS(ITEM.MSTR,PRODNO,16,'X')</t>
  </si>
  <si>
    <t>PROD.VINT</t>
  </si>
  <si>
    <t>'01'</t>
  </si>
  <si>
    <t>ONE</t>
  </si>
  <si>
    <t>FLG</t>
  </si>
  <si>
    <t>TRANS(ITEM.MSTR,@ID,@RECORD,'X');IF @ THEN 'Y' ELSE 'N'</t>
  </si>
  <si>
    <t>Vintage Year</t>
  </si>
  <si>
    <t>OLD.VINTAGE</t>
  </si>
  <si>
    <t>TRANS(ITEM.MSTR,NEWKEY,@RECORD,'X');IF @ THEN 'Y' ELSE 'N'</t>
  </si>
  <si>
    <t>NEW.ITEM.MSTR</t>
  </si>
  <si>
    <t>Vintage year</t>
  </si>
  <si>
    <t>YEAR</t>
  </si>
  <si>
    <t>TRANS(DESCRIPTION,'MVYEAR',MVYEAR,'X');@1[3,2]</t>
  </si>
  <si>
    <t>MVYEAR</t>
  </si>
  <si>
    <t>SRC</t>
  </si>
  <si>
    <t>FIELD(@ID,' ',2); IF @ THEN @ID ELSE ''</t>
  </si>
  <si>
    <t>ID</t>
  </si>
  <si>
    <t>JK.LEN.ID</t>
  </si>
  <si>
    <t>;LOWE</t>
  </si>
  <si>
    <t>TRANS(I.MB.TANK,@ID,@RECORD,'+')</t>
  </si>
  <si>
    <t>JK</t>
  </si>
  <si>
    <t>IF BTRANSIT+0 # 0 THEN 'Y' ELSE 'N'</t>
  </si>
  <si>
    <t>INTRANSIT.IND</t>
  </si>
  <si>
    <t>SUBR("*IM.CHECK",@ID)</t>
  </si>
  <si>
    <t>INV</t>
  </si>
  <si>
    <t>OTHER TYPE</t>
  </si>
  <si>
    <t>TRANS(IGW.MBLEND,@ID,BTYPECODE,'X')</t>
  </si>
  <si>
    <t>IGW.BTYPECODE</t>
  </si>
  <si>
    <t>OTHER DESC</t>
  </si>
  <si>
    <t>TRANS(IGW.MBLEND,@ID,BLENDESCP,'X')</t>
  </si>
  <si>
    <t>IGW.BLENDESCP</t>
  </si>
  <si>
    <t>OTHER @ID</t>
  </si>
  <si>
    <t>TRANS(IGW.MBLEND,@ID,@ID,'X')</t>
  </si>
  <si>
    <t>IGW.@ID</t>
  </si>
  <si>
    <t>Length of ID</t>
  </si>
  <si>
    <t>LEN</t>
  </si>
  <si>
    <t>ID.LENGTH</t>
  </si>
  <si>
    <t>Batches in small wood (DP.FORT)</t>
  </si>
  <si>
    <t>DPFORTBAT</t>
  </si>
  <si>
    <t>Fortified</t>
  </si>
  <si>
    <t>TRANS(DP.FORT,SWKEY,@ID,'X') ;SUBR("!FIELDS",@1,'/',2,1)</t>
  </si>
  <si>
    <t>DPFORTBATCHES</t>
  </si>
  <si>
    <t>Batches in small wood (DP)</t>
  </si>
  <si>
    <t>DPBAT</t>
  </si>
  <si>
    <t>Table wine</t>
  </si>
  <si>
    <t>DPBATCHES</t>
  </si>
  <si>
    <t>Current Value</t>
  </si>
  <si>
    <t>TRANS(ITEM.MSTR,@ID,CURCOST,'X');@*(BCURVOL+BTRANSIT)</t>
  </si>
  <si>
    <t>CURVAL</t>
  </si>
  <si>
    <t>Current Cost</t>
  </si>
  <si>
    <t>CURRENT</t>
  </si>
  <si>
    <t>TRANS(ITEM.MSTR,@ID,CURCOST,'X')</t>
  </si>
  <si>
    <t>CURCOST</t>
  </si>
  <si>
    <t>TRANS(MASTER.BLEND,@ID,1,'X');TRANS(STOCK,'43':@,QTYOH,'X')</t>
  </si>
  <si>
    <t>COMMERCIAL.QTYOH</t>
  </si>
  <si>
    <t>@ID[3,3]</t>
  </si>
  <si>
    <t>BWINERYCODE</t>
  </si>
  <si>
    <t>Vintage sub field of @ID</t>
  </si>
  <si>
    <t>1 = Spirit blend</t>
  </si>
  <si>
    <t>@ID[1,1];@ID[4,1]; IF ALPHA(@1) AND (@2 = 'A' OR @2 = 'B' OR @2 = 'E') THEN 1 ELSE</t>
  </si>
  <si>
    <t>BSPIRIT</t>
  </si>
  <si>
    <t>BSOURCE.OLD</t>
  </si>
  <si>
    <t>BSOURCE</t>
  </si>
  <si>
    <t>9T</t>
  </si>
  <si>
    <t>@ID[8,9]</t>
  </si>
  <si>
    <t>BLENDTYPE.OLD</t>
  </si>
  <si>
    <t>@ID[9,1]</t>
  </si>
  <si>
    <t>BLENDTYPE</t>
  </si>
  <si>
    <t>Blend description MCU</t>
  </si>
  <si>
    <t>OCONV(BLENDESCP,'MCU')</t>
  </si>
  <si>
    <t>BLENDESCP.UC</t>
  </si>
  <si>
    <t>BLEND.LEN</t>
  </si>
  <si>
    <t>Blend Cost Description</t>
  </si>
  <si>
    <t>BLEND.COST</t>
  </si>
  <si>
    <t>TRANS(BLEND.COST,BLEND.COST.CODE,BLEND.COST.DESC,'X')</t>
  </si>
  <si>
    <t>BLEND.COST.DESC</t>
  </si>
  <si>
    <t>Translate to get Blend Average Cost</t>
  </si>
  <si>
    <t>TRANS(MASTER.BLEND,@ID,AVGCOST,"X")</t>
  </si>
  <si>
    <t>INV LEVEL</t>
  </si>
  <si>
    <t>BIL</t>
  </si>
  <si>
    <t>GENERIC CODE</t>
  </si>
  <si>
    <t>GEN</t>
  </si>
  <si>
    <t>BGEN</t>
  </si>
  <si>
    <t>Batches</t>
  </si>
  <si>
    <t>TRANS(I.MG.BLEND,@ID,@RECORD,"+")</t>
  </si>
  <si>
    <t>VINT. NON</t>
  </si>
  <si>
    <t>IF NOT(NUM(@ID[2,2])) THEN 'Y' ELSE 'N'</t>
  </si>
  <si>
    <t>ALPHA.VINTAGE</t>
  </si>
  <si>
    <t>User id of person who updated the record</t>
  </si>
  <si>
    <t>Updated By</t>
  </si>
  <si>
    <t>UPDBY</t>
  </si>
  <si>
    <t>Record update count</t>
  </si>
  <si>
    <t>Blend Cost per Litre</t>
  </si>
  <si>
    <t>Cost/</t>
  </si>
  <si>
    <t>MD4</t>
  </si>
  <si>
    <t>BLEND.COST.LITRE</t>
  </si>
  <si>
    <t>Blend Cost Code</t>
  </si>
  <si>
    <t>BLEND.COST.CODE</t>
  </si>
  <si>
    <t>Convert spirit to LALS in financial system</t>
  </si>
  <si>
    <t>CONV.LALS</t>
  </si>
  <si>
    <t>Previous I.B.M. code</t>
  </si>
  <si>
    <t>I.B.M. CODE</t>
  </si>
  <si>
    <t>OPSMOVE</t>
  </si>
  <si>
    <t>OPFLAG</t>
  </si>
  <si>
    <t>Litres in Transit via Stock Movement Note</t>
  </si>
  <si>
    <t>IN TRANSIT</t>
  </si>
  <si>
    <t>BTRANSIT</t>
  </si>
  <si>
    <t>Record activity code</t>
  </si>
  <si>
    <t>REC</t>
  </si>
  <si>
    <t>Total No of Tanks used</t>
  </si>
  <si>
    <t>TOTAL</t>
  </si>
  <si>
    <t>BCURTANKS</t>
  </si>
  <si>
    <t>Current total tank Capacity (litres)</t>
  </si>
  <si>
    <t>BTOTCAP</t>
  </si>
  <si>
    <t>Current total volume (litres)</t>
  </si>
  <si>
    <t>BCURVOL</t>
  </si>
  <si>
    <t>Blend type code (Not in present use)</t>
  </si>
  <si>
    <t>BTYPECODE</t>
  </si>
  <si>
    <t>Blend ID   compossed as follows    vv w s bbb t   where vv = vintage, w = winery, s</t>
  </si>
  <si>
    <t>BLEND ID</t>
  </si>
  <si>
    <t>REC.ID</t>
  </si>
  <si>
    <t>Current Vintage Year</t>
  </si>
  <si>
    <t>TRANS(CONTROL,'VIYEAR',1 ,'X')</t>
  </si>
  <si>
    <t>VIYEAR</t>
  </si>
  <si>
    <t>Number of text lines</t>
  </si>
  <si>
    <t>DCOUNT(BATCH.TEXT,@VM)</t>
  </si>
  <si>
    <t>TEXT.LINES</t>
  </si>
  <si>
    <t>TRANS(MTANK,TANKS,TBLEND,'X')</t>
  </si>
  <si>
    <t>TRANS(I.MG.TANK,@ID,@RECORD,'X')</t>
  </si>
  <si>
    <t>Batch code prefix</t>
  </si>
  <si>
    <t>Number of tanks containing batch</t>
  </si>
  <si>
    <t>DCOUNT(TANKS,@VM)</t>
  </si>
  <si>
    <t>NUM.TANKS</t>
  </si>
  <si>
    <t>LOWER(TRANS(MTANK,TANKS,TBLEND,'X'))</t>
  </si>
  <si>
    <t>MV.TBLEND</t>
  </si>
  <si>
    <t>LOWER(TRANS(I.MG.TANK,@ID,@RECORD,'X'))</t>
  </si>
  <si>
    <t>MV.TANKS</t>
  </si>
  <si>
    <t>ID LENGTH</t>
  </si>
  <si>
    <t>BATCH DESCP LENGTH</t>
  </si>
  <si>
    <t>LEN(BATCH.DESC)</t>
  </si>
  <si>
    <t>JK.LEN.DESCP</t>
  </si>
  <si>
    <t>SUBR("*PZZI365",@ID,'DP.FORT')</t>
  </si>
  <si>
    <t>DPFBATCH</t>
  </si>
  <si>
    <t>SUBR("*PZZI365",@ID,'DP')</t>
  </si>
  <si>
    <t>DPBATCH</t>
  </si>
  <si>
    <t>Batch create year</t>
  </si>
  <si>
    <t>Create</t>
  </si>
  <si>
    <t>OCONV(CRTDATE,'D4/')[4]</t>
  </si>
  <si>
    <t>CRTYEAR</t>
  </si>
  <si>
    <t>"1"</t>
  </si>
  <si>
    <t>Char1</t>
  </si>
  <si>
    <t>batch description converted to upper case. (used for selection)</t>
  </si>
  <si>
    <t>Batch description</t>
  </si>
  <si>
    <t>UPCASE(BATCH.DESC)</t>
  </si>
  <si>
    <t>BATCH.DESC.UC</t>
  </si>
  <si>
    <t>Batch description from current or history file</t>
  </si>
  <si>
    <t>TRANS(MBATCH,BATCH.CODE,BATCH.DESC,'X');TRANS(MBATCH.HIST,BATCH.CODE,BATCH.DESC,'X')</t>
  </si>
  <si>
    <t>BATCH.DESC.C.H</t>
  </si>
  <si>
    <t>Wine Status</t>
  </si>
  <si>
    <t>Winery Code</t>
  </si>
  <si>
    <t>WINERY CODE</t>
  </si>
  <si>
    <t>WINERYCD</t>
  </si>
  <si>
    <t>Chit Number</t>
  </si>
  <si>
    <t>MCNOTE</t>
  </si>
  <si>
    <t>Updated by</t>
  </si>
  <si>
    <t>Update count</t>
  </si>
  <si>
    <t>Create Date</t>
  </si>
  <si>
    <t>CRTDATE</t>
  </si>
  <si>
    <t>MBATCH</t>
  </si>
  <si>
    <t>AUDIT PHRASE</t>
  </si>
  <si>
    <t>Wine Status Subgroup Description</t>
  </si>
  <si>
    <t>Wine Status Subgroup</t>
  </si>
  <si>
    <t>TRANS(WSTATUS.SUBGROUP,WSTAT.SUB.CODE,DESC,'X')</t>
  </si>
  <si>
    <t>WSTAT.SUB.DESC</t>
  </si>
  <si>
    <t>Uppercased Description</t>
  </si>
  <si>
    <t>OCONV(DESC,'MCU')</t>
  </si>
  <si>
    <t>DESC.UC</t>
  </si>
  <si>
    <t>USER</t>
  </si>
  <si>
    <t>Short description for Audit code</t>
  </si>
  <si>
    <t>Record activity status (" " - Active, "D" = De-activated)</t>
  </si>
  <si>
    <t>SACTIV</t>
  </si>
  <si>
    <t>wine Status Subgroup Code</t>
  </si>
  <si>
    <t>Wine Status Subgroup Code</t>
  </si>
  <si>
    <t>WSTAT.SUB.CODE</t>
  </si>
  <si>
    <t>Comments</t>
  </si>
  <si>
    <t>50T</t>
  </si>
  <si>
    <t>STATUS.CODE</t>
  </si>
  <si>
    <t>WINE.STATUS</t>
  </si>
  <si>
    <t>Association for allocations</t>
  </si>
  <si>
    <t>GENERIC QUALITY LITRES</t>
  </si>
  <si>
    <t>AUD.DATE AUD.DESC AUD.KEY.RECLASS QUALITY GENERIC VINT LITRES ADATE UPDBY ID.SUP</t>
  </si>
  <si>
    <t>@AUDIT</t>
  </si>
  <si>
    <t>TRANS(MTANK,MTANK.ID,'WINERY.LOCATION','X')</t>
  </si>
  <si>
    <t>Tank Warehouse</t>
  </si>
  <si>
    <t>W/House</t>
  </si>
  <si>
    <t>TRANS(FIN.WH.CODE,TANK[1,1],WHSE,'X')</t>
  </si>
  <si>
    <t>WHOUSE</t>
  </si>
  <si>
    <t>Vintage Year - 4 digits</t>
  </si>
  <si>
    <t>SUBR("*PZZI364",VYR:'\2')</t>
  </si>
  <si>
    <t>VYR4</t>
  </si>
  <si>
    <t>VYR</t>
  </si>
  <si>
    <t>TBLEND[2,2]; IF NUM(@) THEN SUBR("*PZZI364",@) ELSE '  ':@</t>
  </si>
  <si>
    <t>VOLUME+0</t>
  </si>
  <si>
    <t>VOLUME0</t>
  </si>
  <si>
    <t>WDVM indicator for wine value per litre.</t>
  </si>
  <si>
    <t>WDVM</t>
  </si>
  <si>
    <t>SUBR(SUBR.PENBW:'PBWI1105','WDVM.IND',TVOLUME,TBLEND,TANK.TSTRENGTH)</t>
  </si>
  <si>
    <t>VAL.LTR.IND</t>
  </si>
  <si>
    <t>SUBR(SUBR.PENBW:'PBWI1105','VAL.LTR',TVOLUME,TBLEND,TANK.TSTRENGTH)</t>
  </si>
  <si>
    <t>Under Allocation Litres</t>
  </si>
  <si>
    <t>Under</t>
  </si>
  <si>
    <t>IF UNALLOCATED &gt; 0 THEN UNALLOCATED ELSE ''</t>
  </si>
  <si>
    <t>UNDER.ALLOC</t>
  </si>
  <si>
    <t>Unblended litres</t>
  </si>
  <si>
    <t>UNBLEND.</t>
  </si>
  <si>
    <t>IF TBLEND[1,1] = 'T' 'B' 'M' 'R' 'P' THEN REUSE(0) ELSE LITRES</t>
  </si>
  <si>
    <t>UNBL.LITRES</t>
  </si>
  <si>
    <t>Unallocated percentage</t>
  </si>
  <si>
    <t>IF TVOLUME+0 &gt; 0 THEN UNALLOCATED / TVOLUME * 100 ELSE 0</t>
  </si>
  <si>
    <t>UNALLOCPERCENT</t>
  </si>
  <si>
    <t>TVOLUME - TOTALLOC</t>
  </si>
  <si>
    <t>Wine value per litre of unallocated portion.</t>
  </si>
  <si>
    <t>Unalloc</t>
  </si>
  <si>
    <t>SUBR(SUBR.PENBW:'PBWI1105','UNALL.VAL.LTR',TVOLUME,TBLEND,TANK.TSTRENGTH)</t>
  </si>
  <si>
    <t>UNALL.VAL.LTR</t>
  </si>
  <si>
    <t>Wine value per litre of unallocated portion multiplied by the</t>
  </si>
  <si>
    <t>SUBR(SUBR.PENBW:'PBWI1105','UNALL.TOT.VAL',TVOLUME,TBLEND,TANK.TSTRENGTH)</t>
  </si>
  <si>
    <t>UNALL.TOT.VAL</t>
  </si>
  <si>
    <t>Tank vintage - 4 didgit</t>
  </si>
  <si>
    <t>IF TVINTAGE &lt; 30 THEN 20:TVINTAGE ELSE 19:TVINTAGE</t>
  </si>
  <si>
    <t>TVINT4</t>
  </si>
  <si>
    <t>SUBR('*VFN.TRANS','MTANK',TANK,3)</t>
  </si>
  <si>
    <t>Tank Status description</t>
  </si>
  <si>
    <t>IF @ID MATCHES "0X'*'0X'*'0X" AND @ID[1,1] # '*' THEN SUBR("*PBWZ531",@ID,"STATUS")</t>
  </si>
  <si>
    <t>Transfer tank indicator</t>
  </si>
  <si>
    <t>IF LEN(FIELD(@ID,'*',1)) &gt; 8 THEN 'Y' ELSE 'N'</t>
  </si>
  <si>
    <t>TRF.TANK</t>
  </si>
  <si>
    <t>IF @ID MATCHES "0X'*'0X" AND @ID[1,1] # '*' THEN SUBR("*PBWZ531",@ID,"BLEND") ELSE</t>
  </si>
  <si>
    <t>TRANS.BLEND</t>
  </si>
  <si>
    <t>TRADE LITRES</t>
  </si>
  <si>
    <t>TRADE</t>
  </si>
  <si>
    <t>TBLEND[1,1]; IF @1 = 'T' THEN LITRES ELSE REUSE(0)</t>
  </si>
  <si>
    <t>TRADE.LITRES</t>
  </si>
  <si>
    <t>Trade code indicator</t>
  </si>
  <si>
    <t>Trade</t>
  </si>
  <si>
    <t>TRANS(GENERIC.FILE,GENERIC,TRADE.IND,'X')</t>
  </si>
  <si>
    <t>TRADE.IND</t>
  </si>
  <si>
    <t>Wine value per litres multiplied by the allocated litres.</t>
  </si>
  <si>
    <t>Total Wine</t>
  </si>
  <si>
    <t>SUBR(SUBR.PENBW:'PBWI1105','TOT.VAL',TVOLUME,TBLEND,TANK.TSTRENGTH)</t>
  </si>
  <si>
    <t>TOT.VAL</t>
  </si>
  <si>
    <t>TRANS(MTANK,TANK,TTABLE,'X');IF @1 = 'TIR' THEN 1 ELSE 0</t>
  </si>
  <si>
    <t>TRANS(MTANK,@ID,ILEVEL,'X')</t>
  </si>
  <si>
    <t>TILEVEL</t>
  </si>
  <si>
    <t>SUM(LITRES) LT VOLUME</t>
  </si>
  <si>
    <t>SUBR('*VFN.TRANS','MTANK',TANK,8)</t>
  </si>
  <si>
    <t>TRANS(MTANK,TANK,TCNOTE,'X')</t>
  </si>
  <si>
    <t>TRANS(MTANK,TANK,TBATCHNO,'X')</t>
  </si>
  <si>
    <t>Indicative Alcohol level for this product</t>
  </si>
  <si>
    <t>Targ Alc</t>
  </si>
  <si>
    <t>MD200</t>
  </si>
  <si>
    <t>TRANS(GENERIC.FILE, GENERIC, TARGET.ALC, 'X')</t>
  </si>
  <si>
    <t>TARGET.ALC</t>
  </si>
  <si>
    <t>TRANS(MTANK,TANK,'TANK.TYPE','X')</t>
  </si>
  <si>
    <t>Tank alcohol % strength</t>
  </si>
  <si>
    <t>TRANS(MTANK,@ID,TSTRENGTH,'X')</t>
  </si>
  <si>
    <t>TANK.TSTRENGTH</t>
  </si>
  <si>
    <t>TRANS(MBLEND,TANK.BLEND,BLENDESCP,'X')</t>
  </si>
  <si>
    <t>TANK.BLEND.DESC</t>
  </si>
  <si>
    <t>Current Blend Number</t>
  </si>
  <si>
    <t>TRANS(MTANK,TANK,TBLEND,'X')</t>
  </si>
  <si>
    <t>TANK.BLEND</t>
  </si>
  <si>
    <t>Record activity status (" " - Active, "D" - Deleted)</t>
  </si>
  <si>
    <t>TRANS(MTANK,TANK,TACTIV,'X')</t>
  </si>
  <si>
    <t>STYLE CODE (4TH CHARACTER OF BLEND CODE)</t>
  </si>
  <si>
    <t>2ND VINT</t>
  </si>
  <si>
    <t>@RECORD&lt;12,2&gt;</t>
  </si>
  <si>
    <t>SECOND.VINT</t>
  </si>
  <si>
    <t>Short description</t>
  </si>
  <si>
    <t>Short</t>
  </si>
  <si>
    <t>TRANS(GENERIC.FILE,GENERIC,'SDESC','X')</t>
  </si>
  <si>
    <t>SCW generic code flag</t>
  </si>
  <si>
    <t>TRANS(GENERIC.FILE,GENERIC,SCW.ACCT,'X')</t>
  </si>
  <si>
    <t>SCW.ACCT</t>
  </si>
  <si>
    <t>TRANS(SUMCOMP.TANK,TANK,SBLEND,'X')</t>
  </si>
  <si>
    <t>@ID[1,5]:FMT( @ID[6,4]+1 ,'R%4')</t>
  </si>
  <si>
    <t>FIELD(@ID,'*',1) ; FIELD(@ID,'*',2) ; IF @2 = '' THEN 'T' ELSE IF @1 =     'SW' THEN</t>
  </si>
  <si>
    <t>REC.TYPE</t>
  </si>
  <si>
    <t>Real</t>
  </si>
  <si>
    <t>TRANS(MTANK,TANK,@RECORD,'X'); IF @ THEN 1 ELSE 0</t>
  </si>
  <si>
    <t>REAL.TANK</t>
  </si>
  <si>
    <t>Price segment - was known as business unit (grade for vintage</t>
  </si>
  <si>
    <t>Price</t>
  </si>
  <si>
    <t>TRANS(GENERIC.FILE,GENERIC,PRICE.SEGMENT,'X')</t>
  </si>
  <si>
    <t>PRICE.SEGMENT</t>
  </si>
  <si>
    <t>Packaging category</t>
  </si>
  <si>
    <t>Pack</t>
  </si>
  <si>
    <t>TRANS(GENERIC.FILE,GENERIC,'PACK.CATEGORY','X')</t>
  </si>
  <si>
    <t>PACK.CATEGORY</t>
  </si>
  <si>
    <t>Over Allocation Litres</t>
  </si>
  <si>
    <t>Over</t>
  </si>
  <si>
    <t>IF UNALLOCATED &lt; 0 THEN UNALLOCATED ELSE ''</t>
  </si>
  <si>
    <t>OVER.ALLOC</t>
  </si>
  <si>
    <t>NUM.ALLOC</t>
  </si>
  <si>
    <t>FIELD(@ID,'*',2,1);TRANS(BWALLOC,@1,@ID,'X')</t>
  </si>
  <si>
    <t>NOT.IN.TRANSIT</t>
  </si>
  <si>
    <t>Generic code description</t>
  </si>
  <si>
    <t>TRANS(GENERIC.FILE,GENERIC,'NAME','X')</t>
  </si>
  <si>
    <t>MTANK id including correct id for intransit tanks</t>
  </si>
  <si>
    <t>Mtank</t>
  </si>
  <si>
    <t>IF @ID MATCHES "0X'*'0X" AND @ID[1,1] # '*' THEN SUBR("*PBWZ531",@ID,"ITANK") ELSE</t>
  </si>
  <si>
    <t>MTANK.ID</t>
  </si>
  <si>
    <t>Blend Code from LAST YEAR tank file</t>
  </si>
  <si>
    <t>Last Year</t>
  </si>
  <si>
    <t>LY.BLEND</t>
  </si>
  <si>
    <t>LENGTH OF @ID</t>
  </si>
  <si>
    <t>LENGTH</t>
  </si>
  <si>
    <t>LEN.ID</t>
  </si>
  <si>
    <t>Inventory level sequence</t>
  </si>
  <si>
    <t>TRANS(DP,FIELD(@ID,'*',2),CNOTES,'X');IF @1 = '' THEN</t>
  </si>
  <si>
    <t>ILEVSEQ</t>
  </si>
  <si>
    <t>Inventory level</t>
  </si>
  <si>
    <t>TBLEND[1,1];IF @1 MATCHES '1N0N' THEN '1' ELSE '0'</t>
  </si>
  <si>
    <t>Number of IGL Comment lines</t>
  </si>
  <si>
    <t>70T</t>
  </si>
  <si>
    <t># of</t>
  </si>
  <si>
    <t>DCOUNT(IGL.COMMENT,@VM)</t>
  </si>
  <si>
    <t>IGL.COMMENT.CNT</t>
  </si>
  <si>
    <t>Group Code (Category)</t>
  </si>
  <si>
    <t>TRANS(ITEM.MSTR,TBLEND,GROUP.CODE,'X')</t>
  </si>
  <si>
    <t>Short description for grade</t>
  </si>
  <si>
    <t>Short Desc</t>
  </si>
  <si>
    <t>TRANS(GRADE.FILE,GRADE,SDESC,'X')</t>
  </si>
  <si>
    <t>GRADE.SDESC</t>
  </si>
  <si>
    <t>Short name for grade</t>
  </si>
  <si>
    <t>Grade</t>
  </si>
  <si>
    <t>TRANS(GRADE.FILE,GRADE,NAME,'X')</t>
  </si>
  <si>
    <t>GRADE.NAME</t>
  </si>
  <si>
    <t>Full description of grade</t>
  </si>
  <si>
    <t>Grade Description</t>
  </si>
  <si>
    <t>TRANS(GRADE.FILE,GRADE,DESC,'X')</t>
  </si>
  <si>
    <t>GRADE.LEVEL.DESC</t>
  </si>
  <si>
    <t>GRADE.DESC</t>
  </si>
  <si>
    <t>GRADE.LEVEL[1,1]</t>
  </si>
  <si>
    <t>GRADE</t>
  </si>
  <si>
    <t>GENERIC.NAME</t>
  </si>
  <si>
    <t>Generic codes allocated including unallocated</t>
  </si>
  <si>
    <t>IF VOLUME=TOT.LITRES AND VOLUME+0#0 THEN GENERIC ELSE GENERIC:@VM</t>
  </si>
  <si>
    <t>GENERIC.IUA</t>
  </si>
  <si>
    <t>Generic grade level</t>
  </si>
  <si>
    <t>TRANS(GENERIC.FILE,GENERIC,'GRADE.LEVEL','X')</t>
  </si>
  <si>
    <t>GENERIC.GRADE.LEVEL</t>
  </si>
  <si>
    <t>Base</t>
  </si>
  <si>
    <t>TRANS(GENERIC.FILE,GENERIC,BASE.CODE,'X')</t>
  </si>
  <si>
    <t>GENER.BASE.CODE</t>
  </si>
  <si>
    <t>SUBR("!CATS",GENERIC,REUSE('*'));SUBR("!CATS",@1,VINT);SUBR("!CATS",@2,REUSE('*'));S</t>
  </si>
  <si>
    <t>GEN.VINT.CAT</t>
  </si>
  <si>
    <t>SUBR("!CATS",GENERIC,REUSE('*'));SUBR("!CATS",@1,VINT)</t>
  </si>
  <si>
    <t>Tank account for both ordinary and small wood tanks</t>
  </si>
  <si>
    <t>Generic code GV scale</t>
  </si>
  <si>
    <t>TRANS(GENERIC.FILE,GENERIC,GVSCALE,'X')</t>
  </si>
  <si>
    <t>GEN.GVSCALE</t>
  </si>
  <si>
    <t>GENERIC NAME</t>
  </si>
  <si>
    <t>number of generic codes assigned</t>
  </si>
  <si>
    <t>GCOUNT</t>
  </si>
  <si>
    <t>WDVM indicator for future wine value per litre.</t>
  </si>
  <si>
    <t>Fut</t>
  </si>
  <si>
    <t>SUBR(SUBR.PENBW:'PBWI1105','FWDVM.IND',TVOLUME,TBLEND,TANK.TSTRENGTH)</t>
  </si>
  <si>
    <t>FUT.VAL.LTR.IND</t>
  </si>
  <si>
    <t>Future wine value per litre.</t>
  </si>
  <si>
    <t>Future</t>
  </si>
  <si>
    <t>SUBR(SUBR.PENBW:'PBWI1105','FVAL.LTR',TVOLUME,TBLEND,TANK.TSTRENGTH)</t>
  </si>
  <si>
    <t>FUT.VAL.LTR</t>
  </si>
  <si>
    <t>Future wine value per litre of unallocated portion.</t>
  </si>
  <si>
    <t>SUBR(SUBR.PENBW:'PBWI1105','FUNALL.VAL.LTR',TVOLUME,TBLEND,TANK.TSTRENGTH)</t>
  </si>
  <si>
    <t>FUT.UNALL.VAL.LTR</t>
  </si>
  <si>
    <t>Future wine value per litre of unallocated portion multiplied by the</t>
  </si>
  <si>
    <t>SUBR(SUBR.PENBW:'PBWI1105','FUNALL.TOT.VAL',TVOLUME,TBLEND,TANK.TSTRENGTH)</t>
  </si>
  <si>
    <t>FUT.UNALL.TOT.VAL</t>
  </si>
  <si>
    <t>Future wine value per litres multiplied by the allocated litres.</t>
  </si>
  <si>
    <t>SUBR(SUBR.PENBW:'PBWI1105','FTOT.VAL',TVOLUME,TBLEND,TANK.TSTRENGTH)</t>
  </si>
  <si>
    <t>FUT.TOT.VAL</t>
  </si>
  <si>
    <t>File name prefix - identify monthly version</t>
  </si>
  <si>
    <t>File</t>
  </si>
  <si>
    <t>SUBR('*FNAME.PFX')</t>
  </si>
  <si>
    <t>FNAME.PFX</t>
  </si>
  <si>
    <t>End use not determined</t>
  </si>
  <si>
    <t>END</t>
  </si>
  <si>
    <t>TRANS(GENERIC.FILE,GENERIC,END.USE.NOT.DETERM,'X')</t>
  </si>
  <si>
    <t>END.USE.NOT.DETERM</t>
  </si>
  <si>
    <t>CATEGORY</t>
  </si>
  <si>
    <t>Tank number, or for in-transit allocations, from &amp; to locations</t>
  </si>
  <si>
    <t>Tank/</t>
  </si>
  <si>
    <t>IF @ID MATCHES "0X'*'0X" AND @ID[1,1] # '*' THEN</t>
  </si>
  <si>
    <t>BWTANK</t>
  </si>
  <si>
    <t>SUBR(SUBR.PENBW:'PBWI934',MTANK.ID)</t>
  </si>
  <si>
    <t>Location of Tank</t>
  </si>
  <si>
    <t>TRANS(W.HOUSE,WHOUSE,COMPNO,'X')</t>
  </si>
  <si>
    <t>BR</t>
  </si>
  <si>
    <t>Generic code within blend for base &amp; trade</t>
  </si>
  <si>
    <t>Blends</t>
  </si>
  <si>
    <t>BLEND.GENERIC</t>
  </si>
  <si>
    <t>Base litres</t>
  </si>
  <si>
    <t>TBLEND[1,1]; IF @1 = 'B' 'M' 'R' 'P' THEN LITRES ELSE REUSE(0)</t>
  </si>
  <si>
    <t>BASE.LITRES</t>
  </si>
  <si>
    <t>IF AUD.KEY.P4 = 'SW' THEN FIELD(@ID,'*',7) ELSE FIELD(@ID,'*',6)</t>
  </si>
  <si>
    <t>IF AUD.KEY.P4 = 'SW' AND AUD.CODE = "3" THEN 'SW-':OLD.BLEND:'/':OLD.BATCH ELSE IF</t>
  </si>
  <si>
    <t>AUD.KEY.RECLASS</t>
  </si>
  <si>
    <t>AUD.KEY.P4</t>
  </si>
  <si>
    <t>IF AUD.KEY.P4 = 'SW' THEN 'SW-':FIELD(@ID,'*',5) ELSE FIELD(@ID,'*',4)</t>
  </si>
  <si>
    <t>TRANS(DP,FIELD(@ID,'*',5),CNOTES,'X') ; IF @1 = '' THEN</t>
  </si>
  <si>
    <t>AUD.GEN.TANK.ACC</t>
  </si>
  <si>
    <t>IF AUD.KEY.P4 = 'SW' THEN FIELD(@ID,'*',6) ELSE FIELD(@ID,'*',5)</t>
  </si>
  <si>
    <t>Allocated percentage</t>
  </si>
  <si>
    <t>Allocated</t>
  </si>
  <si>
    <t>IF TVOLUME+0 &gt; 0 THEN LITRES / REUSE(TVOLUME) * REUSE(100) ELSE 0</t>
  </si>
  <si>
    <t>ALLOCPERCENT</t>
  </si>
  <si>
    <t>IF VOLUME+0 &gt; 0 THEN ALL.LITRES / REUSE(VOLUME) * REUSE(100) ELSE 0</t>
  </si>
  <si>
    <t>ALL.PERCENT</t>
  </si>
  <si>
    <t>Allocated and Unallocated Generic Codes</t>
  </si>
  <si>
    <t>Order of increasing alcohol percentage</t>
  </si>
  <si>
    <t>Sort</t>
  </si>
  <si>
    <t>TRANS(ALCOHOL.CATEGORY, ALC.CAT.CODE, ALC.CAT.SORT, 'X')</t>
  </si>
  <si>
    <t>ALC.CAT.SORT</t>
  </si>
  <si>
    <t>Short Description of Alcohol Category</t>
  </si>
  <si>
    <t>Desc</t>
  </si>
  <si>
    <t>TRANS(ALCOHOL.CATEGORY, ALC.CAT.CODE, ALC.CAT.SDESC, 'X')</t>
  </si>
  <si>
    <t>ALC.CAT.SDESC</t>
  </si>
  <si>
    <t>Range of Target Alcohols within this category</t>
  </si>
  <si>
    <t>Alc Range</t>
  </si>
  <si>
    <t>SPLICE(OCONVS(ALC.CAT.MIN,'MD20P'),' - ',OCONVS(ALC.CAT.MAX,'MD20P'))</t>
  </si>
  <si>
    <t>ALC.CAT.RANGE</t>
  </si>
  <si>
    <t>Lowest Target Alcohol that falls within this category</t>
  </si>
  <si>
    <t>Min Alc</t>
  </si>
  <si>
    <t>TRANS(ALCOHOL.CATEGORY, ALC.CAT.CODE, ALC.CAT.MIN, 'X')</t>
  </si>
  <si>
    <t>ALC.CAT.MIN</t>
  </si>
  <si>
    <t>Maximum Target Alcohol that falls within this category</t>
  </si>
  <si>
    <t>Max Alcs</t>
  </si>
  <si>
    <t>TRANS(ALCOHOL.CATEGORY, ALC.CAT.CODE, ALC.CAT.MAX, 'X')</t>
  </si>
  <si>
    <t>ALC.CAT.MAX</t>
  </si>
  <si>
    <t>Alcohol Category Entered</t>
  </si>
  <si>
    <t>TRANS(GENERIC.FILE, GENERIC, ALC.CAT.ENTERED, 'X')</t>
  </si>
  <si>
    <t>ALC.CAT.ENTERED</t>
  </si>
  <si>
    <t>Default Alcohol Category Code</t>
  </si>
  <si>
    <t>Def Alc</t>
  </si>
  <si>
    <t>TRANS(CONTROL, 'ALCOHOL.CATEGORY.DEFAULT', ALC.CAT.DEF.CODE, 'X')</t>
  </si>
  <si>
    <t>ALC.CAT.DEF.CODE</t>
  </si>
  <si>
    <t>Alcohol Category Code</t>
  </si>
  <si>
    <t>Alc Cat</t>
  </si>
  <si>
    <t>IFS(ALC.CAT.ENTERED, ALC.CAT.ENTERED, REUSE(ALC.CAT.DEF.CODE))</t>
  </si>
  <si>
    <t>ALC.CAT.CODE</t>
  </si>
  <si>
    <t>OCONV(@ID,'G*1')+1:'*':OCONV(@ID,'G1*3'):'*4*':OCONV(@ID,'G5*1');</t>
  </si>
  <si>
    <t>AFT.GRADE.LEVEL</t>
  </si>
  <si>
    <t>MPF used by Accolade in their system</t>
  </si>
  <si>
    <t>Accolade</t>
  </si>
  <si>
    <t>IF GEN.DESC[1] = ')' THEN GEN.DESC[4] ELSE GENERIC:' ';@1[1,3];IF PACK.CATEGORY = 5</t>
  </si>
  <si>
    <t>ACCOL.MPF</t>
  </si>
  <si>
    <t>Initial Grade Level comment</t>
  </si>
  <si>
    <t>70L</t>
  </si>
  <si>
    <t>IGL</t>
  </si>
  <si>
    <t>IGL.COMMENT</t>
  </si>
  <si>
    <t>OLD.GENERIC</t>
  </si>
  <si>
    <t>- Old Batch prior to reclassification</t>
  </si>
  <si>
    <t>Old</t>
  </si>
  <si>
    <t>OLD.BATCH</t>
  </si>
  <si>
    <t>- Old Blend prior to reclassification</t>
  </si>
  <si>
    <t>OLD.BLEND</t>
  </si>
  <si>
    <t>In-transit tank code (because key to BWALLOC for in-transit tanks is</t>
  </si>
  <si>
    <t>I/T</t>
  </si>
  <si>
    <t>INT.TANK</t>
  </si>
  <si>
    <t>Allocation vintage</t>
  </si>
  <si>
    <t>User Id of person who entered Initial Grape Value</t>
  </si>
  <si>
    <t>IGV</t>
  </si>
  <si>
    <t>IGV.USER</t>
  </si>
  <si>
    <t>User Id of person who entered Initial Grade Level</t>
  </si>
  <si>
    <t>IGL.USER</t>
  </si>
  <si>
    <t>Time Initial Grape Value was entered</t>
  </si>
  <si>
    <t>IGV.TIME</t>
  </si>
  <si>
    <t>Time Initial Grade Level was entered</t>
  </si>
  <si>
    <t>IGL.TIME</t>
  </si>
  <si>
    <t>Date Initial Grape Value Entered</t>
  </si>
  <si>
    <t>IGV.DATE</t>
  </si>
  <si>
    <t>Date Initial Grade Level Entered</t>
  </si>
  <si>
    <t>IGL.DATE.E</t>
  </si>
  <si>
    <t>IGL.DATE</t>
  </si>
  <si>
    <t>Winery account applicable to tank</t>
  </si>
  <si>
    <t>WINERY.ACCOUNT</t>
  </si>
  <si>
    <t>Record updated by</t>
  </si>
  <si>
    <t>Last allocation date</t>
  </si>
  <si>
    <t>Last All</t>
  </si>
  <si>
    <t>ADATE.E</t>
  </si>
  <si>
    <t>ADATE</t>
  </si>
  <si>
    <t>Litres allocated to each code</t>
  </si>
  <si>
    <t>LITRES.2</t>
  </si>
  <si>
    <t>Initial Grape Value for the tank</t>
  </si>
  <si>
    <t>Init</t>
  </si>
  <si>
    <t>INIT.GV</t>
  </si>
  <si>
    <t>Grade level for the Tank</t>
  </si>
  <si>
    <t>Generic codes  and vintage allocated</t>
  </si>
  <si>
    <t>GEN.VT</t>
  </si>
  <si>
    <t>Volume of tank at last allocation</t>
  </si>
  <si>
    <t>TANK.VOL</t>
  </si>
  <si>
    <t>TANK.LONG</t>
  </si>
  <si>
    <t>Tank number (including 'old style' small wood)</t>
  </si>
  <si>
    <t>LONGKEY</t>
  </si>
  <si>
    <t>P(0X'*'0X'*'0X)</t>
  </si>
  <si>
    <t>OPSMOVE.ID</t>
  </si>
  <si>
    <t>G1*1</t>
  </si>
  <si>
    <t>DPID</t>
  </si>
  <si>
    <t>DPFID</t>
  </si>
  <si>
    <t>DPF.ID</t>
  </si>
  <si>
    <t>TMTANK;X;;11</t>
  </si>
  <si>
    <t>CHEMID</t>
  </si>
  <si>
    <t>SVOLUME STONNES SBLEND</t>
  </si>
  <si>
    <t>ASSOCIATION OF M/VALUES</t>
  </si>
  <si>
    <t>MV</t>
  </si>
  <si>
    <t>CTANK CBLEND CVOL</t>
  </si>
  <si>
    <t>SVOLUME STONNES SBLEND YY</t>
  </si>
  <si>
    <t>FOR ENTRO DEFAULT FIELD LIST CREATED 10:18:39 11 MAY 1987</t>
  </si>
  <si>
    <t>TANK TBLEND TBATCHNO   SVOLUME STONNES SBLEND TVOLUME TCOST</t>
  </si>
  <si>
    <t>to calculate the average price for multi valued lines</t>
  </si>
  <si>
    <t>AVG COST</t>
  </si>
  <si>
    <t>SUBR("*YY",SVOLUME,VALUE)</t>
  </si>
  <si>
    <t>YY</t>
  </si>
  <si>
    <t>To give a yield for individual lines of data</t>
  </si>
  <si>
    <t>YIELD</t>
  </si>
  <si>
    <t>SUBR("*PBWI618",SVOLUME,STONNES)</t>
  </si>
  <si>
    <t>YIELD2</t>
  </si>
  <si>
    <t>To give a yield for multi values</t>
  </si>
  <si>
    <t>TOTAL(SUM(SVOLUME));TOTAL(SUM(STONNES));IF @ &gt; 0 THEN @1/@ ELSE 0</t>
  </si>
  <si>
    <t>Yeast batch description</t>
  </si>
  <si>
    <t>Yeast batch</t>
  </si>
  <si>
    <t>IFS(GTS(LENS(ADD.CODE),REUSE(4)),BATCH.DESC,'')</t>
  </si>
  <si>
    <t>YEAST.BATCH.DESC</t>
  </si>
  <si>
    <t>IFS(GTS(LENS(ADD.CODE),REUSE(4)),ADD.CODE,'')</t>
  </si>
  <si>
    <t>YEAST.BATCH</t>
  </si>
  <si>
    <t>IFS(GTS(SVOLUME,REUSE(0)) , IFS(GTS(VALUE,REUSE(0)),DIVS(SVOLUME,VALUE),REUSE('B'))</t>
  </si>
  <si>
    <t>XX</t>
  </si>
  <si>
    <t>TRANS(TANK.ORIGIN,@ID,WNOTE,'X')</t>
  </si>
  <si>
    <t>WNOTES</t>
  </si>
  <si>
    <t>TRANS(MTANK,@ID,'WINERY.LOCATION','X')</t>
  </si>
  <si>
    <t>WINE.STYLE</t>
  </si>
  <si>
    <t>Volume of current vintage</t>
  </si>
  <si>
    <t>Curr</t>
  </si>
  <si>
    <t>SUBR(SUBR.PENBW:"PBWI1007",SVOLUME,SVINTYR,VIYEAR[2])</t>
  </si>
  <si>
    <t>VOL.CVI</t>
  </si>
  <si>
    <t>Volume of blend vintage</t>
  </si>
  <si>
    <t>SUBR(SUBR.PENBW:"PBWI1007",SVOLUME,SVINTYR,VINTYR)</t>
  </si>
  <si>
    <t>VOL.BVI</t>
  </si>
  <si>
    <t>Current vintage year</t>
  </si>
  <si>
    <t>TRANS(CONTROL,'VIYEAR',1,'X')</t>
  </si>
  <si>
    <t>VINTYR</t>
  </si>
  <si>
    <t>FIELDS(SBLEND,'*',2)</t>
  </si>
  <si>
    <t>VINTYEAR</t>
  </si>
  <si>
    <t>SUBR('-SUBSTRINGS',SBLEND,1,3)</t>
  </si>
  <si>
    <t>VARIETY.OLD</t>
  </si>
  <si>
    <t>Variety Descritpion</t>
  </si>
  <si>
    <t>TRANS(MVARIETY,VAR,VARDESCP,'X')</t>
  </si>
  <si>
    <t>VARDESC</t>
  </si>
  <si>
    <t>VARCD</t>
  </si>
  <si>
    <t>Variety or non varietal description</t>
  </si>
  <si>
    <t>Variety description</t>
  </si>
  <si>
    <t>SUBR('*GBWI927',VAR)</t>
  </si>
  <si>
    <t>VAR.NONVAR.DESC</t>
  </si>
  <si>
    <t>SUBR("*ITYPE.EXT",SBLEND,1,3)</t>
  </si>
  <si>
    <t>VALUE</t>
  </si>
  <si>
    <t>STONNES * RATE</t>
  </si>
  <si>
    <t>TRANS(MTANK,@ID,TTABLE,'X')</t>
  </si>
  <si>
    <t>TRANS(MTANK,@ID,TSTATUS,'X')</t>
  </si>
  <si>
    <t>Calculation of percentage of total</t>
  </si>
  <si>
    <t>% age</t>
  </si>
  <si>
    <t>SUBR("*SFLL113",TVOLUME,SVOLUME)</t>
  </si>
  <si>
    <t>TPERC</t>
  </si>
  <si>
    <t>Total volume</t>
  </si>
  <si>
    <t>TOT VOL</t>
  </si>
  <si>
    <t>SUM(TVOLUME)</t>
  </si>
  <si>
    <t>TOT.TVOLUME</t>
  </si>
  <si>
    <t>SUM(SVOLUME)+0</t>
  </si>
  <si>
    <t>TOT.SVOLUME</t>
  </si>
  <si>
    <t>SUBR("!MULS",SVOLUME,REUSE(100));SUBR("!DIVS",@1,REUSE(TANK.VOLUME));SUM(@2)</t>
  </si>
  <si>
    <t>TOT.PCNT</t>
  </si>
  <si>
    <t>TOT.CVOL</t>
  </si>
  <si>
    <t>TRANS(MTANK,@ID,TDIP,'X')</t>
  </si>
  <si>
    <t>SUBR("*GBWZ171",TTABLE,TDIP,"V")</t>
  </si>
  <si>
    <t>TANK.VOLUME</t>
  </si>
  <si>
    <t>Sort Tanks alpha num on SUMCOMP.TANK</t>
  </si>
  <si>
    <t>Tank blend</t>
  </si>
  <si>
    <t>TRANS(MTANK,@ID,TBLEND,'X')</t>
  </si>
  <si>
    <t>TRANS(MTANK,@ID,TBATCHNO,'X')</t>
  </si>
  <si>
    <t>TANK.BATCH</t>
  </si>
  <si>
    <t>IF FIELD(@ID,'*',1) # 'SW' THEN TRANS(FIN.WH.CODE,@ID[1,1],ACC,'X') ELSE   ''</t>
  </si>
  <si>
    <t>IF TANK.VOLUME THEN SWA.LITRES/TANK.VOLUME*100 ELSE 0</t>
  </si>
  <si>
    <t>SVINTYR4</t>
  </si>
  <si>
    <t>Source Blend</t>
  </si>
  <si>
    <t>SVINTYR</t>
  </si>
  <si>
    <t>Percentage of Tank composition known</t>
  </si>
  <si>
    <t>% Comp</t>
  </si>
  <si>
    <t>IF TANK.VOLUME+0 = 0 THEN 0 ELSE 100 * TOT.SVOLUME / TANK.VOLUME</t>
  </si>
  <si>
    <t>SUM.PERC</t>
  </si>
  <si>
    <t>Summary composition consolidation level</t>
  </si>
  <si>
    <t>TRANS(GENERIC.FILE,GENERIC,SUM.COMP.LEVEL,'X')</t>
  </si>
  <si>
    <t>SUM.COMP.LEVEL</t>
  </si>
  <si>
    <t>State in Australia</t>
  </si>
  <si>
    <t>State</t>
  </si>
  <si>
    <t>TRANS(SOURCE,SOURCE,'STATE','X')</t>
  </si>
  <si>
    <t>STATE</t>
  </si>
  <si>
    <t>Percent of total composition</t>
  </si>
  <si>
    <t>PERCENT</t>
  </si>
  <si>
    <t>SUBR("*PZZI211","MMSDS",SVOLUME,100,SUM(SVOLUME),'')</t>
  </si>
  <si>
    <t>SPERCENT</t>
  </si>
  <si>
    <t>15 Character Description</t>
  </si>
  <si>
    <t>TRANS(SOURCE,SOURCE,SOURCE.DESC,'X')</t>
  </si>
  <si>
    <t>SOURCE.DESC</t>
  </si>
  <si>
    <t>SUBR("!FIELDS",SUBR("!FIELDS",SBLEND,'*',1,1),'-',2,1)</t>
  </si>
  <si>
    <t>Style District</t>
  </si>
  <si>
    <t>TRANS(SOURCE,SDISTRICT,DESCP,'X')</t>
  </si>
  <si>
    <t>SDISTRICT.DESCP</t>
  </si>
  <si>
    <t>TRANS(SOURCE,SOURCE,SDISTRICT,'X')</t>
  </si>
  <si>
    <t>SDISTRICT</t>
  </si>
  <si>
    <t>TRANS(GENERIC.FILE,TRANS(BWALLOC,@ID,GENERIC,'X'),SCW.ACCT,'X')</t>
  </si>
  <si>
    <t>Record size</t>
  </si>
  <si>
    <t>Record</t>
  </si>
  <si>
    <t>LEN(@RECORD)</t>
  </si>
  <si>
    <t>RECSIZE</t>
  </si>
  <si>
    <t>RATE</t>
  </si>
  <si>
    <t>TRANS(VINT.VARPRICE,SBLEND,RATE,'X')</t>
  </si>
  <si>
    <t>PARENT TANK</t>
  </si>
  <si>
    <t>PARENT</t>
  </si>
  <si>
    <t>PTANK</t>
  </si>
  <si>
    <t>Financial Product Number</t>
  </si>
  <si>
    <t>PRODUCT</t>
  </si>
  <si>
    <t>TRANS(MADD,ADD.CODE,'PRODNO','X')</t>
  </si>
  <si>
    <t>PRICE</t>
  </si>
  <si>
    <t>SUBR("*ITYPE.EXT",SBLEND,4,1)</t>
  </si>
  <si>
    <t>PRICECD</t>
  </si>
  <si>
    <t>PARENT LEVEL</t>
  </si>
  <si>
    <t>PLEVEL</t>
  </si>
  <si>
    <t>PCT</t>
  </si>
  <si>
    <t>ZIN %</t>
  </si>
  <si>
    <t>SUBR(SUBR.PENBW:"PBWI998",SVOLUME,VAR,'ZIN')</t>
  </si>
  <si>
    <t>PCNT.ZIN</t>
  </si>
  <si>
    <t>WHI %</t>
  </si>
  <si>
    <t>SUBR(SUBR.PENBW:"PBWI998",SVOLUME,VAR,'WHI')</t>
  </si>
  <si>
    <t>PCNT.WHI</t>
  </si>
  <si>
    <t>WHF %</t>
  </si>
  <si>
    <t>SUBR(SUBR.PENBW:"PBWI998",SVOLUME,VAR,'WHF')</t>
  </si>
  <si>
    <t>PCNT.WHF</t>
  </si>
  <si>
    <t>WAC %</t>
  </si>
  <si>
    <t>SUBR(SUBR.PENBW:"PBWI998",SVOLUME,VAR,'WAC')</t>
  </si>
  <si>
    <t>PCNT.WAC</t>
  </si>
  <si>
    <t>VIO %</t>
  </si>
  <si>
    <t>SUBR(SUBR.PENBW:"PBWI998",SVOLUME,VAR,'VIO')</t>
  </si>
  <si>
    <t>PCNT.VIO</t>
  </si>
  <si>
    <t>VER %</t>
  </si>
  <si>
    <t>SUBR(SUBR.PENBW:"PBWI998",SVOLUME,VAR,'VER')</t>
  </si>
  <si>
    <t>PCNT.VER</t>
  </si>
  <si>
    <t>VAL %</t>
  </si>
  <si>
    <t>SUBR(SUBR.PENBW:"PBWI998",SVOLUME,VAR,'VAL')</t>
  </si>
  <si>
    <t>PCNT.VAL</t>
  </si>
  <si>
    <t>TUL %</t>
  </si>
  <si>
    <t>SUBR(SUBR.PENBW:"PBWI998",SVOLUME,VAR,'TUL')</t>
  </si>
  <si>
    <t>PCNT.TUL</t>
  </si>
  <si>
    <t>TTM %</t>
  </si>
  <si>
    <t>SUBR(SUBR.PENBW:"PBWI998",SVOLUME,VAR,'TTM')</t>
  </si>
  <si>
    <t>PCNT.TTM</t>
  </si>
  <si>
    <t>TTC %</t>
  </si>
  <si>
    <t>SUBR(SUBR.PENBW:"PBWI998",SVOLUME,VAR,'TTC')</t>
  </si>
  <si>
    <t>PCNT.TTC</t>
  </si>
  <si>
    <t>TTB %</t>
  </si>
  <si>
    <t>SUBR(SUBR.PENBW:"PBWI998",SVOLUME,VAR,'TTB')</t>
  </si>
  <si>
    <t>PCNT.TTB</t>
  </si>
  <si>
    <t>TRR %</t>
  </si>
  <si>
    <t>SUBR(SUBR.PENBW:"PBWI998",SVOLUME,VAR,'TRR')</t>
  </si>
  <si>
    <t>PCNT.TRR</t>
  </si>
  <si>
    <t>TRN %</t>
  </si>
  <si>
    <t>SUBR(SUBR.PENBW:"PBWI998",SVOLUME,VAR,'TRN')</t>
  </si>
  <si>
    <t>PCNT.TRN</t>
  </si>
  <si>
    <t>TRM %</t>
  </si>
  <si>
    <t>SUBR(SUBR.PENBW:"PBWI998",SVOLUME,VAR,'TRM')</t>
  </si>
  <si>
    <t>PCNT.TRM</t>
  </si>
  <si>
    <t>TRB %</t>
  </si>
  <si>
    <t>SUBR(SUBR.PENBW:"PBWI998",SVOLUME,VAR,'TRB')</t>
  </si>
  <si>
    <t>PCNT.TRB</t>
  </si>
  <si>
    <t>TOU %</t>
  </si>
  <si>
    <t>SUBR(SUBR.PENBW:"PBWI998",SVOLUME,VAR,'TOU')</t>
  </si>
  <si>
    <t>PCNT.TOU</t>
  </si>
  <si>
    <t>TIM %</t>
  </si>
  <si>
    <t>SUBR(SUBR.PENBW:"PBWI998",SVOLUME,VAR,'TIM')</t>
  </si>
  <si>
    <t>PCNT.TIM</t>
  </si>
  <si>
    <t>TIA %</t>
  </si>
  <si>
    <t>SUBR(SUBR.PENBW:"PBWI998",SVOLUME,VAR,'TIA')</t>
  </si>
  <si>
    <t>PCNT.TIA</t>
  </si>
  <si>
    <t>TEM %</t>
  </si>
  <si>
    <t>SUBR(SUBR.PENBW:"PBWI998",SVOLUME,VAR,'TEM')</t>
  </si>
  <si>
    <t>PCNT.TEM</t>
  </si>
  <si>
    <t>TDR %</t>
  </si>
  <si>
    <t>SUBR(SUBR.PENBW:"PBWI998",SVOLUME,VAR,'TDR')</t>
  </si>
  <si>
    <t>PCNT.TDR</t>
  </si>
  <si>
    <t>TAR %</t>
  </si>
  <si>
    <t>SUBR(SUBR.PENBW:"PBWI998",SVOLUME,VAR,'TAR')</t>
  </si>
  <si>
    <t>PCNT.TAR</t>
  </si>
  <si>
    <t>TAN %</t>
  </si>
  <si>
    <t>SUBR(SUBR.PENBW:"PBWI998",SVOLUME,VAR,'TAN')</t>
  </si>
  <si>
    <t>PCNT.TAN</t>
  </si>
  <si>
    <t>TAM %</t>
  </si>
  <si>
    <t>SUBR(SUBR.PENBW:"PBWI998",SVOLUME,VAR,'TAM')</t>
  </si>
  <si>
    <t>PCNT.TAM</t>
  </si>
  <si>
    <t>SYL %</t>
  </si>
  <si>
    <t>SUBR(SUBR.PENBW:"PBWI998",SVOLUME,VAR,'SYL')</t>
  </si>
  <si>
    <t>PCNT.SYL</t>
  </si>
  <si>
    <t>SUM %</t>
  </si>
  <si>
    <t>SUBR(SUBR.PENBW:"PBWI998",SVOLUME,VAR,'SUM')</t>
  </si>
  <si>
    <t>PCNT.SUM</t>
  </si>
  <si>
    <t>SUL %</t>
  </si>
  <si>
    <t>SUBR(SUBR.PENBW:"PBWI998",SVOLUME,VAR,'SUL')</t>
  </si>
  <si>
    <t>PCNT.SUL</t>
  </si>
  <si>
    <t>STK %</t>
  </si>
  <si>
    <t>SUBR(SUBR.PENBW:"PBWI998",SVOLUME,VAR,'STK')</t>
  </si>
  <si>
    <t>PCNT.STK</t>
  </si>
  <si>
    <t>SSB %</t>
  </si>
  <si>
    <t>SUBR(SUBR.PENBW:"PBWI998",SVOLUME,VAR,'SSB')</t>
  </si>
  <si>
    <t>PCNT.SSB</t>
  </si>
  <si>
    <t>SOZ %</t>
  </si>
  <si>
    <t>SUBR(SUBR.PENBW:"PBWI998",SVOLUME,VAR,'SOZ')</t>
  </si>
  <si>
    <t>PCNT.SOZ</t>
  </si>
  <si>
    <t>SMG %</t>
  </si>
  <si>
    <t>SUBR(SUBR.PENBW:"PBWI998",SVOLUME,VAR,'SMG')</t>
  </si>
  <si>
    <t>PCNT.SMG</t>
  </si>
  <si>
    <t>SMB %</t>
  </si>
  <si>
    <t>SUBR(SUBR.PENBW:"PBWI998",SVOLUME,VAR,'SMB')</t>
  </si>
  <si>
    <t>PCNT.SMB</t>
  </si>
  <si>
    <t>SHI %</t>
  </si>
  <si>
    <t>SUBR(SUBR.PENBW:"PBWI998",SVOLUME,VAR,'SHI')</t>
  </si>
  <si>
    <t>PCNT.SHI</t>
  </si>
  <si>
    <t>SHC %</t>
  </si>
  <si>
    <t>SUBR(SUBR.PENBW:"PBWI998",SVOLUME,VAR,'SHC')</t>
  </si>
  <si>
    <t>PCNT.SHC</t>
  </si>
  <si>
    <t>SGR %</t>
  </si>
  <si>
    <t>SUBR(SUBR.PENBW:"PBWI998",SVOLUME,VAR,'SGR')</t>
  </si>
  <si>
    <t>PCNT.SGR</t>
  </si>
  <si>
    <t>SEM %</t>
  </si>
  <si>
    <t>SUBR(SUBR.PENBW:"PBWI998",SVOLUME,VAR,'SEM')</t>
  </si>
  <si>
    <t>PCNT.SEM</t>
  </si>
  <si>
    <t>SCS %</t>
  </si>
  <si>
    <t>SUBR(SUBR.PENBW:"PBWI998",SVOLUME,VAR,'SCS')</t>
  </si>
  <si>
    <t>PCNT.SCS</t>
  </si>
  <si>
    <t>SCH %</t>
  </si>
  <si>
    <t>SUBR(SUBR.PENBW:"PBWI998",SVOLUME,VAR,'SCH')</t>
  </si>
  <si>
    <t>PCNT.SCH</t>
  </si>
  <si>
    <t>SAN %</t>
  </si>
  <si>
    <t>SUBR(SUBR.PENBW:"PBWI998",SVOLUME,VAR,'SAN')</t>
  </si>
  <si>
    <t>PCNT.SAN</t>
  </si>
  <si>
    <t>SAM %</t>
  </si>
  <si>
    <t>SUBR(SUBR.PENBW:"PBWI998",SVOLUME,VAR,'SAM')</t>
  </si>
  <si>
    <t>PCNT.SAM</t>
  </si>
  <si>
    <t>SAB %</t>
  </si>
  <si>
    <t>SUBR(SUBR.PENBW:"PBWI998",SVOLUME,VAR,'SAB')</t>
  </si>
  <si>
    <t>PCNT.SAB</t>
  </si>
  <si>
    <t>RUS %</t>
  </si>
  <si>
    <t>SUBR(SUBR.PENBW:"PBWI998",SVOLUME,VAR,'RUS')</t>
  </si>
  <si>
    <t>PCNT.RUS</t>
  </si>
  <si>
    <t>RUR %</t>
  </si>
  <si>
    <t>SUBR(SUBR.PENBW:"PBWI998",SVOLUME,VAR,'RUR')</t>
  </si>
  <si>
    <t>PCNT.RUR</t>
  </si>
  <si>
    <t>RUC %</t>
  </si>
  <si>
    <t>SUBR(SUBR.PENBW:"PBWI998",SVOLUME,VAR,'RUC')</t>
  </si>
  <si>
    <t>PCNT.RUC</t>
  </si>
  <si>
    <t>RSU %</t>
  </si>
  <si>
    <t>SUBR(SUBR.PENBW:"PBWI998",SVOLUME,VAR,'RSU')</t>
  </si>
  <si>
    <t>PCNT.RSU</t>
  </si>
  <si>
    <t>ROX %</t>
  </si>
  <si>
    <t>SUBR(SUBR.PENBW:"PBWI998",SVOLUME,VAR,'ROX')</t>
  </si>
  <si>
    <t>PCNT.ROX</t>
  </si>
  <si>
    <t>ROU %</t>
  </si>
  <si>
    <t>SUBR(SUBR.PENBW:"PBWI998",SVOLUME,VAR,'ROU')</t>
  </si>
  <si>
    <t>PCNT.ROU</t>
  </si>
  <si>
    <t>RKA %</t>
  </si>
  <si>
    <t>SUBR(SUBR.PENBW:"PBWI998",SVOLUME,VAR,'RKA')</t>
  </si>
  <si>
    <t>PCNT.RKA</t>
  </si>
  <si>
    <t>RIE %</t>
  </si>
  <si>
    <t>SUBR(SUBR.PENBW:"PBWI998",SVOLUME,VAR,'RIE')</t>
  </si>
  <si>
    <t>PCNT.RIE</t>
  </si>
  <si>
    <t>RIB %</t>
  </si>
  <si>
    <t>SUBR(SUBR.PENBW:"PBWI998",SVOLUME,VAR,'RIB')</t>
  </si>
  <si>
    <t>PCNT.RIB</t>
  </si>
  <si>
    <t>RFV %</t>
  </si>
  <si>
    <t>SUBR(SUBR.PENBW:"PBWI998",SVOLUME,VAR,'RFV')</t>
  </si>
  <si>
    <t>PCNT.RFV</t>
  </si>
  <si>
    <t>REF %</t>
  </si>
  <si>
    <t>SUBR(SUBR.PENBW:"PBWI998",SVOLUME,VAR,'REF')</t>
  </si>
  <si>
    <t>PCNT.REF</t>
  </si>
  <si>
    <t>REE %</t>
  </si>
  <si>
    <t>SUBR(SUBR.PENBW:"PBWI998",SVOLUME,VAR,'REE')</t>
  </si>
  <si>
    <t>PCNT.REE</t>
  </si>
  <si>
    <t>RED %</t>
  </si>
  <si>
    <t>SUBR(SUBR.PENBW:"PBWI998",SVOLUME,VAR,'RED')</t>
  </si>
  <si>
    <t>PCNT.RED</t>
  </si>
  <si>
    <t>PUC %</t>
  </si>
  <si>
    <t>SUBR(SUBR.PENBW:"PBWI998",SVOLUME,VAR,'PUC')</t>
  </si>
  <si>
    <t>PCNT.PUC</t>
  </si>
  <si>
    <t>PTG %</t>
  </si>
  <si>
    <t>SUBR(SUBR.PENBW:"PBWI998",SVOLUME,VAR,'PTG')</t>
  </si>
  <si>
    <t>PCNT.PTG</t>
  </si>
  <si>
    <t>PRR %</t>
  </si>
  <si>
    <t>SUBR(SUBR.PENBW:"PBWI998",SVOLUME,VAR,'PRR')</t>
  </si>
  <si>
    <t>PCNT.PRR</t>
  </si>
  <si>
    <t>PNG %</t>
  </si>
  <si>
    <t>SUBR(SUBR.PENBW:"PBWI998",SVOLUME,VAR,'PNG')</t>
  </si>
  <si>
    <t>PCNT.PNG</t>
  </si>
  <si>
    <t>PIN %</t>
  </si>
  <si>
    <t>SUBR(SUBR.PENBW:"PBWI998",SVOLUME,VAR,'PIN')</t>
  </si>
  <si>
    <t>PCNT.PIN</t>
  </si>
  <si>
    <t>PIB %</t>
  </si>
  <si>
    <t>SUBR(SUBR.PENBW:"PBWI998",SVOLUME,VAR,'PIB')</t>
  </si>
  <si>
    <t>PCNT.PIB</t>
  </si>
  <si>
    <t>PEV %</t>
  </si>
  <si>
    <t>SUBR(SUBR.PENBW:"PBWI998",SVOLUME,VAR,'PEV')</t>
  </si>
  <si>
    <t>PCNT.PEV</t>
  </si>
  <si>
    <t>PER %</t>
  </si>
  <si>
    <t>SUBR(SUBR.PENBW:"PBWI998",SVOLUME,VAR,'PER')</t>
  </si>
  <si>
    <t>PCNT.PER</t>
  </si>
  <si>
    <t>PED %</t>
  </si>
  <si>
    <t>SUBR(SUBR.PENBW:"PBWI998",SVOLUME,VAR,'PED')</t>
  </si>
  <si>
    <t>PCNT.PED</t>
  </si>
  <si>
    <t>PAP %</t>
  </si>
  <si>
    <t>SUBR(SUBR.PENBW:"PBWI998",SVOLUME,VAR,'PAP')</t>
  </si>
  <si>
    <t>PCNT.PAP</t>
  </si>
  <si>
    <t>PAL %</t>
  </si>
  <si>
    <t>SUBR(SUBR.PENBW:"PBWI998",SVOLUME,VAR,'PAL')</t>
  </si>
  <si>
    <t>PCNT.PAL</t>
  </si>
  <si>
    <t>OND %</t>
  </si>
  <si>
    <t>SUBR(SUBR.PENBW:"PBWI998",SVOLUME,VAR,'OND')</t>
  </si>
  <si>
    <t>PCNT.OND</t>
  </si>
  <si>
    <t>OHA %</t>
  </si>
  <si>
    <t>SUBR(SUBR.PENBW:"PBWI998",SVOLUME,VAR,'OHA')</t>
  </si>
  <si>
    <t>PCNT.OHA</t>
  </si>
  <si>
    <t>NEW %</t>
  </si>
  <si>
    <t>SUBR(SUBR.PENBW:"PBWI998",SVOLUME,VAR,'NEW')</t>
  </si>
  <si>
    <t>PCNT.NEW</t>
  </si>
  <si>
    <t>NER %</t>
  </si>
  <si>
    <t>SUBR(SUBR.PENBW:"PBWI998",SVOLUME,VAR,'NER')</t>
  </si>
  <si>
    <t>PCNT.NER</t>
  </si>
  <si>
    <t>NEB %</t>
  </si>
  <si>
    <t>SUBR(SUBR.PENBW:"PBWI998",SVOLUME,VAR,'NEB')</t>
  </si>
  <si>
    <t>PCNT.NEB</t>
  </si>
  <si>
    <t>MUT %</t>
  </si>
  <si>
    <t>SUBR(SUBR.PENBW:"PBWI998",SVOLUME,VAR,'MUT')</t>
  </si>
  <si>
    <t>PCNT.MUT</t>
  </si>
  <si>
    <t>MUD %</t>
  </si>
  <si>
    <t>SUBR(SUBR.PENBW:"PBWI998",SVOLUME,VAR,'MUD')</t>
  </si>
  <si>
    <t>PCNT.MUD</t>
  </si>
  <si>
    <t>MUB %</t>
  </si>
  <si>
    <t>SUBR(SUBR.PENBW:"PBWI998",SVOLUME,VAR,'MUB')</t>
  </si>
  <si>
    <t>PCNT.MUB</t>
  </si>
  <si>
    <t>MTL %</t>
  </si>
  <si>
    <t>SUBR(SUBR.PENBW:"PBWI998",SVOLUME,VAR,'MTL')</t>
  </si>
  <si>
    <t>PCNT.MTL</t>
  </si>
  <si>
    <t>MOR %</t>
  </si>
  <si>
    <t>SUBR(SUBR.PENBW:"PBWI998",SVOLUME,VAR,'MOR')</t>
  </si>
  <si>
    <t>PCNT.MOR</t>
  </si>
  <si>
    <t>MON %</t>
  </si>
  <si>
    <t>SUBR(SUBR.PENBW:"PBWI998",SVOLUME,VAR,'MON')</t>
  </si>
  <si>
    <t>PCNT.MON</t>
  </si>
  <si>
    <t>MLN %</t>
  </si>
  <si>
    <t>SUBR(SUBR.PENBW:"PBWI998",SVOLUME,VAR,'MLN')</t>
  </si>
  <si>
    <t>PCNT.MLN</t>
  </si>
  <si>
    <t>MLG %</t>
  </si>
  <si>
    <t>SUBR(SUBR.PENBW:"PBWI998",SVOLUME,VAR,'MLG')</t>
  </si>
  <si>
    <t>PCNT.MLG</t>
  </si>
  <si>
    <t>MLB %</t>
  </si>
  <si>
    <t>SUBR(SUBR.PENBW:"PBWI998",SVOLUME,VAR,'MLB')</t>
  </si>
  <si>
    <t>PCNT.MLB</t>
  </si>
  <si>
    <t>MEU %</t>
  </si>
  <si>
    <t>SUBR(SUBR.PENBW:"PBWI998",SVOLUME,VAR,'MEU')</t>
  </si>
  <si>
    <t>PCNT.MEU</t>
  </si>
  <si>
    <t>MES %</t>
  </si>
  <si>
    <t>SUBR(SUBR.PENBW:"PBWI998",SVOLUME,VAR,'MES')</t>
  </si>
  <si>
    <t>PCNT.MES</t>
  </si>
  <si>
    <t>MER %</t>
  </si>
  <si>
    <t>SUBR(SUBR.PENBW:"PBWI998",SVOLUME,VAR,'MER')</t>
  </si>
  <si>
    <t>PCNT.MER</t>
  </si>
  <si>
    <t>MAT %</t>
  </si>
  <si>
    <t>SUBR(SUBR.PENBW:"PBWI998",SVOLUME,VAR,'MAT')</t>
  </si>
  <si>
    <t>PCNT.MAT</t>
  </si>
  <si>
    <t>MAR %</t>
  </si>
  <si>
    <t>SUBR(SUBR.PENBW:"PBWI998",SVOLUME,VAR,'MAR')</t>
  </si>
  <si>
    <t>PCNT.MAR</t>
  </si>
  <si>
    <t>KER %</t>
  </si>
  <si>
    <t>SUBR(SUBR.PENBW:"PBWI998",SVOLUME,VAR,'KER')</t>
  </si>
  <si>
    <t>PCNT.KER</t>
  </si>
  <si>
    <t>ITA %</t>
  </si>
  <si>
    <t>SUBR(SUBR.PENBW:"PBWI998",SVOLUME,VAR,'ITA')</t>
  </si>
  <si>
    <t>PCNT.ITA</t>
  </si>
  <si>
    <t>HIN %</t>
  </si>
  <si>
    <t>SUBR(SUBR.PENBW:"PBWI998",SVOLUME,VAR,'HIN')</t>
  </si>
  <si>
    <t>PCNT.HIN</t>
  </si>
  <si>
    <t>GSM %</t>
  </si>
  <si>
    <t>SUBR(SUBR.PENBW:"PBWI998",SVOLUME,VAR,'GSM')</t>
  </si>
  <si>
    <t>PCNT.GSM</t>
  </si>
  <si>
    <t>GSH %</t>
  </si>
  <si>
    <t>SUBR(SUBR.PENBW:"PBWI998",SVOLUME,VAR,'GSH')</t>
  </si>
  <si>
    <t>PCNT.GSH</t>
  </si>
  <si>
    <t>GRS %</t>
  </si>
  <si>
    <t>SUBR(SUBR.PENBW:"PBWI998",SVOLUME,VAR,'GRS')</t>
  </si>
  <si>
    <t>PCNT.GRS</t>
  </si>
  <si>
    <t>GRM %</t>
  </si>
  <si>
    <t>SUBR(SUBR.PENBW:"PBWI998",SVOLUME,VAR,'GRM')</t>
  </si>
  <si>
    <t>PCNT.GRM</t>
  </si>
  <si>
    <t>GRE %</t>
  </si>
  <si>
    <t>SUBR(SUBR.PENBW:"PBWI998",SVOLUME,VAR,'GRE')</t>
  </si>
  <si>
    <t>PCNT.GRE</t>
  </si>
  <si>
    <t>GOR %</t>
  </si>
  <si>
    <t>SUBR(SUBR.PENBW:"PBWI998",SVOLUME,VAR,'GOR')</t>
  </si>
  <si>
    <t>PCNT.GOR</t>
  </si>
  <si>
    <t>GOM %</t>
  </si>
  <si>
    <t>SUBR(SUBR.PENBW:"PBWI998",SVOLUME,VAR,'GOM')</t>
  </si>
  <si>
    <t>PCNT.GOM</t>
  </si>
  <si>
    <t>GGR %</t>
  </si>
  <si>
    <t>SUBR(SUBR.PENBW:"PBWI998",SVOLUME,VAR,'GGR')</t>
  </si>
  <si>
    <t>PCNT.GGR</t>
  </si>
  <si>
    <t>GAM %</t>
  </si>
  <si>
    <t>SUBR(SUBR.PENBW:"PBWI998",SVOLUME,VAR,'GAM')</t>
  </si>
  <si>
    <t>PCNT.GAM</t>
  </si>
  <si>
    <t>FEP %</t>
  </si>
  <si>
    <t>SUBR(SUBR.PENBW:"PBWI998",SVOLUME,VAR,'FEP')</t>
  </si>
  <si>
    <t>PCNT.FEP</t>
  </si>
  <si>
    <t>FAR %</t>
  </si>
  <si>
    <t>SUBR(SUBR.PENBW:"PBWI998",SVOLUME,VAR,'FAR')</t>
  </si>
  <si>
    <t>PCNT.FAR</t>
  </si>
  <si>
    <t>EMR %</t>
  </si>
  <si>
    <t>SUBR(SUBR.PENBW:"PBWI998",SVOLUME,VAR,'EMR')</t>
  </si>
  <si>
    <t>PCNT.EMR</t>
  </si>
  <si>
    <t>DUR %</t>
  </si>
  <si>
    <t>SUBR(SUBR.PENBW:"PBWI998",SVOLUME,VAR,'DUR')</t>
  </si>
  <si>
    <t>PCNT.DUR</t>
  </si>
  <si>
    <t>DOR %</t>
  </si>
  <si>
    <t>SUBR(SUBR.PENBW:"PBWI998",SVOLUME,VAR,'DOR')</t>
  </si>
  <si>
    <t>PCNT.DOR</t>
  </si>
  <si>
    <t>DOL %</t>
  </si>
  <si>
    <t>SUBR(SUBR.PENBW:"PBWI998",SVOLUME,VAR,'DOL')</t>
  </si>
  <si>
    <t>PCNT.DOL</t>
  </si>
  <si>
    <t>DIW %</t>
  </si>
  <si>
    <t>SUBR(SUBR.PENBW:"PBWI998",SVOLUME,VAR,'DIW')</t>
  </si>
  <si>
    <t>PCNT.DIW</t>
  </si>
  <si>
    <t>DIR %</t>
  </si>
  <si>
    <t>SUBR(SUBR.PENBW:"PBWI998",SVOLUME,VAR,'DIR')</t>
  </si>
  <si>
    <t>PCNT.DIR</t>
  </si>
  <si>
    <t>CVS %</t>
  </si>
  <si>
    <t>SUBR(SUBR.PENBW:"PBWI998",SVOLUME,VAR,'CVS')</t>
  </si>
  <si>
    <t>PCNT.CVS</t>
  </si>
  <si>
    <t>Percentage of current vintage - 4</t>
  </si>
  <si>
    <t>Curr-4</t>
  </si>
  <si>
    <t>VIYEAR-4;@1[2]; SUBR(SUBR.PENBW:"PBWI998",SVOLUME,SVINTYR,@2)</t>
  </si>
  <si>
    <t>PCNT.CVI-4</t>
  </si>
  <si>
    <t>Percentage of current vintage - 3</t>
  </si>
  <si>
    <t>Curr-3</t>
  </si>
  <si>
    <t>VIYEAR-3;@1[2]; SUBR(SUBR.PENBW:"PBWI998",SVOLUME,SVINTYR,@2)</t>
  </si>
  <si>
    <t>PCNT.CVI-3</t>
  </si>
  <si>
    <t>Percentage of current vintage - 2</t>
  </si>
  <si>
    <t>Curr-2</t>
  </si>
  <si>
    <t>VIYEAR-2;@1[2]; SUBR(SUBR.PENBW:"PBWI998",SVOLUME,SVINTYR,@2)</t>
  </si>
  <si>
    <t>PCNT.CVI-2</t>
  </si>
  <si>
    <t>Percentage of current vintage - 1</t>
  </si>
  <si>
    <t>Curr-1</t>
  </si>
  <si>
    <t>VIYEAR-1;@1[2]; SUBR(SUBR.PENBW:"PBWI998",SVOLUME,SVINTYR,@2)</t>
  </si>
  <si>
    <t>PCNT.CVI-1</t>
  </si>
  <si>
    <t>Percentage of current vintage</t>
  </si>
  <si>
    <t>SUBR(SUBR.PENBW:"PBWI998",SVOLUME,SVINTYR,VIYEAR[2])</t>
  </si>
  <si>
    <t>PCNT.CVI</t>
  </si>
  <si>
    <t>CUR %</t>
  </si>
  <si>
    <t>SUBR(SUBR.PENBW:"PBWI998",SVOLUME,VAR,'CUR')</t>
  </si>
  <si>
    <t>PCNT.CUR</t>
  </si>
  <si>
    <t>CSS %</t>
  </si>
  <si>
    <t>SUBR(SUBR.PENBW:"PBWI998",SVOLUME,VAR,'CSS')</t>
  </si>
  <si>
    <t>PCNT.CSS</t>
  </si>
  <si>
    <t>CSM %</t>
  </si>
  <si>
    <t>SUBR(SUBR.PENBW:"PBWI998",SVOLUME,VAR,'CSM')</t>
  </si>
  <si>
    <t>PCNT.CSM</t>
  </si>
  <si>
    <t>CSE %</t>
  </si>
  <si>
    <t>SUBR(SUBR.PENBW:"PBWI998",SVOLUME,VAR,'CSE')</t>
  </si>
  <si>
    <t>PCNT.CSE</t>
  </si>
  <si>
    <t>CRO %</t>
  </si>
  <si>
    <t>SUBR(SUBR.PENBW:"PBWI998",SVOLUME,VAR,'CRO')</t>
  </si>
  <si>
    <t>PCNT.CRO</t>
  </si>
  <si>
    <t>CRG %</t>
  </si>
  <si>
    <t>SUBR(SUBR.PENBW:"PBWI998",SVOLUME,VAR,'CRG')</t>
  </si>
  <si>
    <t>PCNT.CRG</t>
  </si>
  <si>
    <t>CRA %</t>
  </si>
  <si>
    <t>SUBR(SUBR.PENBW:"PBWI998",SVOLUME,VAR,'CRA')</t>
  </si>
  <si>
    <t>PCNT.CRA</t>
  </si>
  <si>
    <t>COL %</t>
  </si>
  <si>
    <t>SUBR(SUBR.PENBW:"PBWI998",SVOLUME,VAR,'COL')</t>
  </si>
  <si>
    <t>PCNT.COL</t>
  </si>
  <si>
    <t>CLR %</t>
  </si>
  <si>
    <t>SUBR(SUBR.PENBW:"PBWI998",SVOLUME,VAR,'CLR')</t>
  </si>
  <si>
    <t>PCNT.CLR</t>
  </si>
  <si>
    <t>CIN %</t>
  </si>
  <si>
    <t>SUBR(SUBR.PENBW:"PBWI998",SVOLUME,VAR,'CIN')</t>
  </si>
  <si>
    <t>PCNT.CIN</t>
  </si>
  <si>
    <t>CHS %</t>
  </si>
  <si>
    <t>SUBR(SUBR.PENBW:"PBWI998",SVOLUME,VAR,'CHS')</t>
  </si>
  <si>
    <t>PCNT.CHS</t>
  </si>
  <si>
    <t>CHR %</t>
  </si>
  <si>
    <t>SUBR(SUBR.PENBW:"PBWI998",SVOLUME,VAR,'CHR')</t>
  </si>
  <si>
    <t>PCNT.CHR</t>
  </si>
  <si>
    <t>CHM %</t>
  </si>
  <si>
    <t>SUBR(SUBR.PENBW:"PBWI998",SVOLUME,VAR,'CHM')</t>
  </si>
  <si>
    <t>PCNT.CHM</t>
  </si>
  <si>
    <t>CHB %</t>
  </si>
  <si>
    <t>SUBR(SUBR.PENBW:"PBWI998",SVOLUME,VAR,'CHB')</t>
  </si>
  <si>
    <t>PCNT.CHB</t>
  </si>
  <si>
    <t>CCB %</t>
  </si>
  <si>
    <t>SUBR(SUBR.PENBW:"PBWI998",SVOLUME,VAR,'CCB')</t>
  </si>
  <si>
    <t>PCNT.CCB</t>
  </si>
  <si>
    <t>CBM %</t>
  </si>
  <si>
    <t>SUBR(SUBR.PENBW:"PBWI998",SVOLUME,VAR,'CBM')</t>
  </si>
  <si>
    <t>PCNT.CBM</t>
  </si>
  <si>
    <t>CAS %</t>
  </si>
  <si>
    <t>SUBR(SUBR.PENBW:"PBWI998",SVOLUME,VAR,'CAS')</t>
  </si>
  <si>
    <t>PCNT.CAS</t>
  </si>
  <si>
    <t>CAP %</t>
  </si>
  <si>
    <t>SUBR(SUBR.PENBW:"PBWI998",SVOLUME,VAR,'CAP')</t>
  </si>
  <si>
    <t>PCNT.CAP</t>
  </si>
  <si>
    <t>CAN %</t>
  </si>
  <si>
    <t>SUBR(SUBR.PENBW:"PBWI998",SVOLUME,VAR,'CAN')</t>
  </si>
  <si>
    <t>PCNT.CAN</t>
  </si>
  <si>
    <t>CAM %</t>
  </si>
  <si>
    <t>SUBR(SUBR.PENBW:"PBWI998",SVOLUME,VAR,'CAM')</t>
  </si>
  <si>
    <t>PCNT.CAM</t>
  </si>
  <si>
    <t>CAF %</t>
  </si>
  <si>
    <t>SUBR(SUBR.PENBW:"PBWI998",SVOLUME,VAR,'CAF')</t>
  </si>
  <si>
    <t>PCNT.CAF</t>
  </si>
  <si>
    <t>Percentage of blend vintage</t>
  </si>
  <si>
    <t>SUBR(SUBR.PENBW:"PBWI998",SVOLUME,SVINTYR,VINTYR)</t>
  </si>
  <si>
    <t>PCNT.BVI</t>
  </si>
  <si>
    <t>BIA %</t>
  </si>
  <si>
    <t>SUBR(SUBR.PENBW:"PBWI998",SVOLUME,VAR,'BIA')</t>
  </si>
  <si>
    <t>PCNT.BIA</t>
  </si>
  <si>
    <t>BDA %</t>
  </si>
  <si>
    <t>SUBR(SUBR.PENBW:"PBWI998",SVOLUME,VAR,'BDA')</t>
  </si>
  <si>
    <t>PCNT.BDA</t>
  </si>
  <si>
    <t>BAS %</t>
  </si>
  <si>
    <t>SUBR(SUBR.PENBW:"PBWI998",SVOLUME,VAR,'BAS')</t>
  </si>
  <si>
    <t>PCNT.BAS</t>
  </si>
  <si>
    <t>BAR %</t>
  </si>
  <si>
    <t>SUBR(SUBR.PENBW:"PBWI998",SVOLUME,VAR,'BAR')</t>
  </si>
  <si>
    <t>PCNT.BAR</t>
  </si>
  <si>
    <t>ARN %</t>
  </si>
  <si>
    <t>SUBR(SUBR.PENBW:"PBWI998",SVOLUME,VAR,'ARN')</t>
  </si>
  <si>
    <t>PCNT.ARN</t>
  </si>
  <si>
    <t>ARA %</t>
  </si>
  <si>
    <t>SUBR(SUBR.PENBW:"PBWI998",SVOLUME,VAR,'ARA')</t>
  </si>
  <si>
    <t>PCNT.ARA</t>
  </si>
  <si>
    <t>ALB %</t>
  </si>
  <si>
    <t>SUBR(SUBR.PENBW:"PBWI998",SVOLUME,VAR,'ALB')</t>
  </si>
  <si>
    <t>PCNT.ALB</t>
  </si>
  <si>
    <t>SUBR("!MULS",SVOLUME,REUSE(100));SUBR("!DIVS",@1,REUSE(SUM(SVOLUME)))</t>
  </si>
  <si>
    <t>PCNT</t>
  </si>
  <si>
    <t>OCOMP</t>
  </si>
  <si>
    <t>SUBR('!SUBSTRINGS',SBLEND,9,2)</t>
  </si>
  <si>
    <t>OVYR</t>
  </si>
  <si>
    <t>SUBR('*GBWI927',OVAR)</t>
  </si>
  <si>
    <t>OVARDESC</t>
  </si>
  <si>
    <t>SUBR('!SUBSTRINGS',SBLEND,1,3)</t>
  </si>
  <si>
    <t>OVAR</t>
  </si>
  <si>
    <t>OSWA.PERC</t>
  </si>
  <si>
    <t>OSWA.LITRES</t>
  </si>
  <si>
    <t>SUBR('*GBWI928',OSRC )</t>
  </si>
  <si>
    <t>OSRCDESC</t>
  </si>
  <si>
    <t>The number of tons (from the weighnote) that are attributable to</t>
  </si>
  <si>
    <t>OSRC.DOC</t>
  </si>
  <si>
    <t>Tons</t>
  </si>
  <si>
    <t>SUBR('*ISRCDOCS',TANK,'3')</t>
  </si>
  <si>
    <t>OSRC.DOC.TONNES</t>
  </si>
  <si>
    <t>SUBR('*ISRCDOCS',TANK,'4')</t>
  </si>
  <si>
    <t>OSRC.DOC.PERC</t>
  </si>
  <si>
    <t>The number of litres (in this tank or on this chit) that are</t>
  </si>
  <si>
    <t>SUBR('*ISRCDOCS',TANK,'2')</t>
  </si>
  <si>
    <t>OSRC.DOC.LITRES</t>
  </si>
  <si>
    <t>SUBR('*ISRCDOCS',TANK,'1*')</t>
  </si>
  <si>
    <t>OSRC.DOC.CRCTN</t>
  </si>
  <si>
    <t>SUBR('!SUBSTRINGS',SBLEND,5,3)</t>
  </si>
  <si>
    <t>OSRC</t>
  </si>
  <si>
    <t>IF TANK.VOLUME THEN SUBR('!DIVS',SLITRES,REUSE(TANK.VOLUME)) ELSE</t>
  </si>
  <si>
    <t>OSCPERC</t>
  </si>
  <si>
    <t>Origin</t>
  </si>
  <si>
    <t>TRANS(SOURCE,ORIGIN,DESCP,'X')</t>
  </si>
  <si>
    <t>ORIGIN.DESCP</t>
  </si>
  <si>
    <t>TRANS(SOURCE,SOURCE,ORIGIN,'X')</t>
  </si>
  <si>
    <t>Variety code is a non varietal</t>
  </si>
  <si>
    <t>Non</t>
  </si>
  <si>
    <t>SUBR(SUBR.PENBW:'PBWI1067',VAR)</t>
  </si>
  <si>
    <t>NONVAR</t>
  </si>
  <si>
    <t>TANK FILE</t>
  </si>
  <si>
    <t>MVOLUME</t>
  </si>
  <si>
    <t>MFTANK</t>
  </si>
  <si>
    <t>MFVOL</t>
  </si>
  <si>
    <t>MFDIPB4</t>
  </si>
  <si>
    <t>TRANS(MBLEND,MFBLEND,'BLENDESCP','X')</t>
  </si>
  <si>
    <t>MFBLEND.DESC</t>
  </si>
  <si>
    <t>MFBLEND</t>
  </si>
  <si>
    <t>Tank batch</t>
  </si>
  <si>
    <t>MFBATCH</t>
  </si>
  <si>
    <t>Master operation time</t>
  </si>
  <si>
    <t>MAST</t>
  </si>
  <si>
    <t>SUBR('!FIELDS',MAST.PHIST.KEY,'*',3)</t>
  </si>
  <si>
    <t>MAST.TIME</t>
  </si>
  <si>
    <t>Master operation codes</t>
  </si>
  <si>
    <t>SUBR('!FIELDS',MAST.PHIST.KEY,'*',1)</t>
  </si>
  <si>
    <t>MAST.OPCD</t>
  </si>
  <si>
    <t>Master operation date</t>
  </si>
  <si>
    <t>SUBR('!FIELDS',MAST.PHIST.KEY,'*',2)</t>
  </si>
  <si>
    <t>MAST.DATE</t>
  </si>
  <si>
    <t>JDE item number</t>
  </si>
  <si>
    <t>JDE Item</t>
  </si>
  <si>
    <t>TRANS(LOT,ADD.LOT,'ITEM','X')</t>
  </si>
  <si>
    <t>LOT.ITEM</t>
  </si>
  <si>
    <t>Item description</t>
  </si>
  <si>
    <t>TRANS(LOT,ADD.LOT,'DESC','X')</t>
  </si>
  <si>
    <t>LOT.DESC</t>
  </si>
  <si>
    <t>TRANS(BWALLOC,@ID,LITRES,'X')</t>
  </si>
  <si>
    <t>Len</t>
  </si>
  <si>
    <t>SUBR("!LENS",SVINTYR)</t>
  </si>
  <si>
    <t>LEN.SVINTYR</t>
  </si>
  <si>
    <t>JDE ITEM</t>
  </si>
  <si>
    <t>JDE.ITEM.CODE</t>
  </si>
  <si>
    <t>GL 13.01.94 To return the gr docket numbers for a tank (The convert is to fix a</t>
  </si>
  <si>
    <t>TRANS(TANK.ORIGIN,@ID,WNOTE,'X');SUBSTRINGS(@1,3,99); LOWER(@2)</t>
  </si>
  <si>
    <t>GRDOCKETS</t>
  </si>
  <si>
    <t>XX1</t>
  </si>
  <si>
    <t>GRD2</t>
  </si>
  <si>
    <t>TRANS(BWALLOC,TANK,GRADE.LEVEL,'X')</t>
  </si>
  <si>
    <t>GI Zone Description</t>
  </si>
  <si>
    <t>GI Zone</t>
  </si>
  <si>
    <t>SUBR(SUBR.PENBW:'GI.LEVELS',SOURCE,'ZON') ; TRANS('GI.FILE',@,'GI.SDESC','X')</t>
  </si>
  <si>
    <t>GI.ZONE.DESC</t>
  </si>
  <si>
    <t>SUBR(SUBR.PENBW:'GI.LEVELS',SOURCE,'ZON')</t>
  </si>
  <si>
    <t>GI.ZONE</t>
  </si>
  <si>
    <t>GI Superzone Description</t>
  </si>
  <si>
    <t>GI Superzone</t>
  </si>
  <si>
    <t>SUBR(SUBR.PENBW:'GI.LEVELS',SOURCE,'SUP') ; TRANS('GI.FILE',@,'GI.SDESC','X')</t>
  </si>
  <si>
    <t>GI.SUPERZONE.DESC</t>
  </si>
  <si>
    <t>GI SuperZone</t>
  </si>
  <si>
    <t>SUBR(SUBR.PENBW:'GI.LEVELS',SOURCE,'SUP')</t>
  </si>
  <si>
    <t>GI.SUPERZONE</t>
  </si>
  <si>
    <t>GI Subregion Description</t>
  </si>
  <si>
    <t>GI Subregion</t>
  </si>
  <si>
    <t>SUBR(SUBR.PENBW:'GI.LEVELS',SOURCE,'SUB') ; TRANS('GI.FILE',@,'GI.SDESC','X')</t>
  </si>
  <si>
    <t>GI.SUBREGION.DESC</t>
  </si>
  <si>
    <t>SUBR(SUBR.PENBW:'GI.LEVELS',SOURCE,'SUB')</t>
  </si>
  <si>
    <t>GI.SUBREGION</t>
  </si>
  <si>
    <t>GI State Description</t>
  </si>
  <si>
    <t>GI State</t>
  </si>
  <si>
    <t>SUBR(SUBR.PENBW:'GI.LEVELS',SOURCE,'STA') ; TRANS('GI.FILE',@,'GI.SDESC','X')</t>
  </si>
  <si>
    <t>GI.STATE.DESC</t>
  </si>
  <si>
    <t>SUBR(SUBR.PENBW:'GI.LEVELS',SOURCE,'STA')</t>
  </si>
  <si>
    <t>GI.STATE</t>
  </si>
  <si>
    <t>GI Short description</t>
  </si>
  <si>
    <t>GI Desc</t>
  </si>
  <si>
    <t>TRANS(GI.FILE,GI.REGION,'GI.SDESC','X')</t>
  </si>
  <si>
    <t>GI.SDESC</t>
  </si>
  <si>
    <t>GI Region Description</t>
  </si>
  <si>
    <t>GI Region</t>
  </si>
  <si>
    <t>SUBR(SUBR.PENBW:'GI.LEVELS',SOURCE,'REG') ; TRANS('GI.FILE',@,'GI.SDESC','X')</t>
  </si>
  <si>
    <t>GI.REGION.DESC</t>
  </si>
  <si>
    <t>SUBR(SUBR.PENBW:'GI.LEVELS',SOURCE,'REG')</t>
  </si>
  <si>
    <t>GI.REGION</t>
  </si>
  <si>
    <t>GI Full Description</t>
  </si>
  <si>
    <t>GI Description</t>
  </si>
  <si>
    <t>TRANS(GI.FILE,GI.REGION,'GI.DESC','X')</t>
  </si>
  <si>
    <t>GI.DESC</t>
  </si>
  <si>
    <t>GENLITRES</t>
  </si>
  <si>
    <t>TRANS(BWALLOC,@ID,GENERIC,'X')</t>
  </si>
  <si>
    <t>SUBR('*PBWI806',FIELDS(SBLEND,'*',2))</t>
  </si>
  <si>
    <t>FULL.VINTYEAR</t>
  </si>
  <si>
    <t>'A' if active</t>
  </si>
  <si>
    <t>Active</t>
  </si>
  <si>
    <t>TRANS(LOT,ADD.LOT,'FLAG','X')</t>
  </si>
  <si>
    <t>Difference between Summary Composition Volume &amp; Tank Volume</t>
  </si>
  <si>
    <t>DIFFERENCE</t>
  </si>
  <si>
    <t>TOT.SVOLUME - TANK.VOLUME</t>
  </si>
  <si>
    <t>DIFF.VOLUME</t>
  </si>
  <si>
    <t>8-09-93 : Now uses TANK.BLEND instead of TBLEND</t>
  </si>
  <si>
    <t>DESCP.01</t>
  </si>
  <si>
    <t>Number of components</t>
  </si>
  <si>
    <t>DCOUNT(SBLEND,@VM)</t>
  </si>
  <si>
    <t>COMPS</t>
  </si>
  <si>
    <t>Issuing unit of measure</t>
  </si>
  <si>
    <t>CMADDCD</t>
  </si>
  <si>
    <t>ISS</t>
  </si>
  <si>
    <t>TRANS(MADD,ADD.CODE,'AUOMISS','X'); IFS(GTS(LENS(ADD.CODE),REUSE(4)),REUSE('LT'),@1)</t>
  </si>
  <si>
    <t>CMAUOMISS</t>
  </si>
  <si>
    <t>Additive or batch description</t>
  </si>
  <si>
    <t>Additive Description</t>
  </si>
  <si>
    <t>TRANS(MBATCH,ADD.CODE,"BATCH.DESC",'X');TRANS(MBATCH.HIST,ADD.CODE,"BATCH.DESC",'X')</t>
  </si>
  <si>
    <t>CMADDCD.DESC</t>
  </si>
  <si>
    <t>Climate</t>
  </si>
  <si>
    <t>TRANS(SOURCE,CLIMATE,DESCP,'X')</t>
  </si>
  <si>
    <t>CLIMATE.DESCP</t>
  </si>
  <si>
    <t>TRANS(SOURCE,SOURCE,CLIMATE,'X')</t>
  </si>
  <si>
    <t>CLIMATE</t>
  </si>
  <si>
    <t>Lot description</t>
  </si>
  <si>
    <t>CADD.LOT</t>
  </si>
  <si>
    <t>CADD.LOT.DESC</t>
  </si>
  <si>
    <t>TRANS(MTANK,@ID,TBLEND,'X');TRANS(MBLEND,@,BTYPECODE,'X')</t>
  </si>
  <si>
    <t>TRANS(MTANK,@ID,TBLEND,'X');TRANS(MBLEND,@,BTYPECODE,'X');TRANS(MBLENDGP,@,BDESCP,'X</t>
  </si>
  <si>
    <t>TRANS(MBATCH,TBATCHNO,"BATCH.DESC",'X')</t>
  </si>
  <si>
    <t>SUBR("*PBWI617",SVOLUME,VALUE)</t>
  </si>
  <si>
    <t>AVG.COST.LTR2</t>
  </si>
  <si>
    <t>SUBR("*PBWI627",VALUE,SVOLUME)</t>
  </si>
  <si>
    <t>AVG.COST.LTR</t>
  </si>
  <si>
    <t>average age of blend</t>
  </si>
  <si>
    <t>AVG</t>
  </si>
  <si>
    <t>SUBR(SUBR.PENBW:'AVG.AGE',SBLEND,SVOLUME)</t>
  </si>
  <si>
    <t>AVG.AGE</t>
  </si>
  <si>
    <t>average age of blend - Grange 2020 version (E dates)</t>
  </si>
  <si>
    <t>SUBR('*AVG.AGE.2020',SBLEND,SVOLUME)</t>
  </si>
  <si>
    <t>AVE.AGE.2020</t>
  </si>
  <si>
    <t>Stocking unit of measure</t>
  </si>
  <si>
    <t>TRANS(MADD,ADD.CODE,AUOMSTK,'X')</t>
  </si>
  <si>
    <t>AUOMSTK</t>
  </si>
  <si>
    <t>TRANS(MADD,ADD.CODE,'AUOMISS','X')</t>
  </si>
  <si>
    <t>AUOMISS</t>
  </si>
  <si>
    <t>Allergen lots</t>
  </si>
  <si>
    <t>ALGEN.LOTS</t>
  </si>
  <si>
    <t>Allergen</t>
  </si>
  <si>
    <t>SUBR("*PZZI211","SELINS",ADD.LOT,FLAG,'N':@VM:'V',"")</t>
  </si>
  <si>
    <t>Allergen items</t>
  </si>
  <si>
    <t>SUBR("*PZZI211","SELINS",ITEM,FLAG,'N':@VM:'V',"")</t>
  </si>
  <si>
    <t>ALGEN.ITEM</t>
  </si>
  <si>
    <t>Allergen flags</t>
  </si>
  <si>
    <t>SUBR("*PZZI211","SELINS",FLAG,FLAG,'N':@VM:'V',"")</t>
  </si>
  <si>
    <t>ALGEN.FLAG</t>
  </si>
  <si>
    <t>Allergen descriptions</t>
  </si>
  <si>
    <t>SUBR("*PZZI211","SELINS",DESC,FLAG,'N':@VM:'V',"")</t>
  </si>
  <si>
    <t>ALGEN.DESC</t>
  </si>
  <si>
    <t>SUM(STONNES)</t>
  </si>
  <si>
    <t>Additive description</t>
  </si>
  <si>
    <t>TRANS(MADD,ADD.CODE,ADDESCP,'X')</t>
  </si>
  <si>
    <t>ADDESCP</t>
  </si>
  <si>
    <t>IFS(GTS(LENS(ADD.CODE),REUSE(4)),BATCH.DESC,ADDESCP)</t>
  </si>
  <si>
    <t>ADD.OR.BATCH</t>
  </si>
  <si>
    <t>Additive Description when additive is a yeast batch</t>
  </si>
  <si>
    <t>Additive YST batch</t>
  </si>
  <si>
    <t>ADD.BATCH.DESC</t>
  </si>
  <si>
    <t>ADD.AUOMISS</t>
  </si>
  <si>
    <t>Additive lot quantity</t>
  </si>
  <si>
    <t>Add Lot Qty</t>
  </si>
  <si>
    <t>CADD.LOT.QTY</t>
  </si>
  <si>
    <t>ADD.LOT.QTY</t>
  </si>
  <si>
    <t>Process history volume</t>
  </si>
  <si>
    <t>MAST.VOL</t>
  </si>
  <si>
    <t>Process history key of Master Opcode:'*':Date:'*':Time</t>
  </si>
  <si>
    <t>MAST.PHIST.KEY</t>
  </si>
  <si>
    <t>Last Cellar Note to be processed by Summary Composition Update</t>
  </si>
  <si>
    <t>Carriers payments</t>
  </si>
  <si>
    <t>CARRIERS</t>
  </si>
  <si>
    <t>SCARTVAL</t>
  </si>
  <si>
    <t>Date Cellar Note Updated</t>
  </si>
  <si>
    <t>Additive Qty in Summary Composition</t>
  </si>
  <si>
    <t>CMAQTYISS</t>
  </si>
  <si>
    <t>ADD.QTY.2D</t>
  </si>
  <si>
    <t>ADD.QTY</t>
  </si>
  <si>
    <t>Flag indicating calculation done since last acceptance</t>
  </si>
  <si>
    <t>UPDATE</t>
  </si>
  <si>
    <t>PARENT C/NOTE</t>
  </si>
  <si>
    <t>PAR C/NOTE</t>
  </si>
  <si>
    <t>PNOTE</t>
  </si>
  <si>
    <t>Variety/quality/area - last accepted</t>
  </si>
  <si>
    <t>LASTACCEPT</t>
  </si>
  <si>
    <t>ACCEPTED</t>
  </si>
  <si>
    <t>ABLEND</t>
  </si>
  <si>
    <t>CUR C/NOTE</t>
  </si>
  <si>
    <t>CUR NOTE</t>
  </si>
  <si>
    <t>Summary tonnes - last accepted</t>
  </si>
  <si>
    <t>ATONNES</t>
  </si>
  <si>
    <t>CUR BLEND</t>
  </si>
  <si>
    <t>CCBLEND</t>
  </si>
  <si>
    <t>Summary volume - last accepted</t>
  </si>
  <si>
    <t>AVOLUME</t>
  </si>
  <si>
    <t>Current tank dollar value</t>
  </si>
  <si>
    <t>COST</t>
  </si>
  <si>
    <t>Current Tank volume</t>
  </si>
  <si>
    <t>Source grapes tonnes</t>
  </si>
  <si>
    <t>TONNES</t>
  </si>
  <si>
    <t>STONNES</t>
  </si>
  <si>
    <t>TIR.SVOLUME</t>
  </si>
  <si>
    <t>SVOL0DEC</t>
  </si>
  <si>
    <t>SLITRES</t>
  </si>
  <si>
    <t>PARENT KEY</t>
  </si>
  <si>
    <t>PKEY</t>
  </si>
  <si>
    <t>CURRENT TANK</t>
  </si>
  <si>
    <t>CURR</t>
  </si>
  <si>
    <t>PARTANK</t>
  </si>
  <si>
    <t>Current Batch no.</t>
  </si>
  <si>
    <t>7T</t>
  </si>
  <si>
    <t>Current Blend in Tank</t>
  </si>
  <si>
    <t>TANK NO.</t>
  </si>
  <si>
    <t>SUMCOMP.TANK</t>
  </si>
  <si>
    <t>SUMMARY.CARR SUMMARY.AREA</t>
  </si>
  <si>
    <t>SUMR</t>
  </si>
  <si>
    <t>Association of special poolno. &amp; nett weight assigned</t>
  </si>
  <si>
    <t>SPOOL SNETT</t>
  </si>
  <si>
    <t>SPEC.POOL</t>
  </si>
  <si>
    <t>*  GRAPE.CURR.P</t>
  </si>
  <si>
    <t>WNOTE.PRICE GRAPE.NEG.PRICE GRAPE.REVIS.PRICE</t>
  </si>
  <si>
    <t>LIST.PRICES</t>
  </si>
  <si>
    <t>BY VARIETY BY SOURCE BY ACCOUNT BY BLOCK.NAME VARIETY SOURCE ACCOUNT BLOCK.NAME</t>
  </si>
  <si>
    <t>BY.VA</t>
  </si>
  <si>
    <t>BY SOURCE BY ACCOUNT BY VARIETY BY BLOCK.NAME SOURCE ACCOUNT VARIETY BLOCK.NAME</t>
  </si>
  <si>
    <t>BY.SAV</t>
  </si>
  <si>
    <t>FOR ENTRO DEFAULT FIELD LIST CREATED 21:59:30 12 JAN 1984</t>
  </si>
  <si>
    <t>@ID GROWERID REACTIV VINTAGE RECDATE RECTIME WBDOCKET AGDOCKET VARIETY GROSS TARE</t>
  </si>
  <si>
    <t>Phrase used for Weighnote Audit Report PVIR175 Financial</t>
  </si>
  <si>
    <t>COL.SPCS 0 BY.EXP PRICEDESC.POP AUD.DATE [ AUD.DESC [ AUD.KEY [ REACTIV [</t>
  </si>
  <si>
    <t>@AUDIT175.FILE</t>
  </si>
  <si>
    <t>AUD.DATE AUD.DESC AUD.KEY REACTIV GRAPE.DESP.DOCKET BKNGNUM CRSLOT GROWERID VARIETY</t>
  </si>
  <si>
    <t>@AUDIT175</t>
  </si>
  <si>
    <t>Phrase used for Weighnote Audit Report PVIR175 Standard</t>
  </si>
  <si>
    <t>COL.SPCS 0 AUD.DATE [ AUD.DESC [ AUD.KEY [ REACTIV [ GRAPE.DESP.DOCKET [ BKNGNUM [</t>
  </si>
  <si>
    <t>@AUDIT.FILE</t>
  </si>
  <si>
    <t>ID.SUP VINTAGE ORIG.ID SOURCE ACCOUNT VARIETY BLOCK.NAME CRSITE RECDATE BAUME MOG</t>
  </si>
  <si>
    <t>@.HIST</t>
  </si>
  <si>
    <t>SOURCE ACCOUNT VARIETY BLOCK.NAME CRSITE RECDATE BAUME MOG DEFECTS NETT</t>
  </si>
  <si>
    <t>@</t>
  </si>
  <si>
    <t>Utilization Variety</t>
  </si>
  <si>
    <t>Util Var</t>
  </si>
  <si>
    <t>TRANS(MVARIETY,VARIETY,UTILIZATION,'X')</t>
  </si>
  <si>
    <t>utilize.variety</t>
  </si>
  <si>
    <t>Vintage year (2 char)</t>
  </si>
  <si>
    <t>VINTAGE[2]</t>
  </si>
  <si>
    <t>YR2</t>
  </si>
  <si>
    <t>Traced Generic Ave. Grade Level</t>
  </si>
  <si>
    <t>Traced.</t>
  </si>
  <si>
    <t>IF HIST.KEY NE '' THEN FIELD(HIST.KEY,'*',2):FIELD(HIST.KEY,'*',1) ELSE</t>
  </si>
  <si>
    <t>WNTE.GEN.GL</t>
  </si>
  <si>
    <t>Weigh note number</t>
  </si>
  <si>
    <t>Weigh</t>
  </si>
  <si>
    <t>IF HIST.KEY NE '' THEN FIELD(HIST.KEY,'*',1) ELSE @ID</t>
  </si>
  <si>
    <t>WNOTENO</t>
  </si>
  <si>
    <t>Populated WNOTE.PRICE.COMPS</t>
  </si>
  <si>
    <t>WPCP</t>
  </si>
  <si>
    <t>W/Note</t>
  </si>
  <si>
    <t>SUBR('*PZZI417',WNOTE.PRICE.COMPS,WNOTE.PRICE.COMPS)</t>
  </si>
  <si>
    <t>WNOTE.PRICE.COMPS.P</t>
  </si>
  <si>
    <t>Indicates if weighnote is obsolete, involved in reversing, or valid</t>
  </si>
  <si>
    <t>WN Valid</t>
  </si>
  <si>
    <t>IF HIST.KEY THEN</t>
  </si>
  <si>
    <t>WN.VALID</t>
  </si>
  <si>
    <t>Nett Tonnes x weighnote price (as of last payment run)</t>
  </si>
  <si>
    <t>NETT * WNOTE.PRICE</t>
  </si>
  <si>
    <t>WN.VAL</t>
  </si>
  <si>
    <t>Split and/or Reversal suffix. When combined with native weighnote</t>
  </si>
  <si>
    <t>Wnote Suffix</t>
  </si>
  <si>
    <t>IF HIST.KEY THEN FIELD(HIST.KEY,'*',1) ELSE @ID; LEN(@1); IF @1[1] = 'R' THEN -1</t>
  </si>
  <si>
    <t>WN.SUFFIX</t>
  </si>
  <si>
    <t>Indicates if weighnote has been split, and allows sorting of split</t>
  </si>
  <si>
    <t>Wnote Split</t>
  </si>
  <si>
    <t>WN.SPLIT</t>
  </si>
  <si>
    <t>Weighnote number without Split or Reversal suffixes, ie as</t>
  </si>
  <si>
    <t>Native Wnote Number</t>
  </si>
  <si>
    <t>WN.NATIVE</t>
  </si>
  <si>
    <t>Winery location - cross reference to WINERY.LOCATION file</t>
  </si>
  <si>
    <t>TRANS(CRUSHSITE,CRSITE,'WINERY.LOC','X')</t>
  </si>
  <si>
    <t>WINERY.LOC</t>
  </si>
  <si>
    <t>TRANS(WINERY.LOCATION,CRSITE,'WINERY.ACCT','X')</t>
  </si>
  <si>
    <t>TRANS(MVARIETY,VARIETY,'WIM.VARIETY','X')</t>
  </si>
  <si>
    <t>TRANS(SOURCE,SOURCE,'WIM.APELLATION','X')</t>
  </si>
  <si>
    <t>The HIST.KEY as it will be when this record is history.</t>
  </si>
  <si>
    <t>Will</t>
  </si>
  <si>
    <t>IF HIST.KEY = '' THEN @ID:'*':YR2 ELSE HIST.KEY</t>
  </si>
  <si>
    <t>WILLBE.HIST.KEY</t>
  </si>
  <si>
    <t>List of Weighnotes off of Driver warning (used by WARN itypes for printing)</t>
  </si>
  <si>
    <t>TRANS(DRIVER.WARN, DRIVER.WARN.ID, 'WNOTE', 'X' )</t>
  </si>
  <si>
    <t>WARN.WNOTES</t>
  </si>
  <si>
    <t>Driver Warning Type</t>
  </si>
  <si>
    <t>SUBR('*ITYPE.MV.DESC.LU', WNOTE, WARN.WNOTES, TRANS(DRIVER.WARN, DRIVER.WARN.ID,</t>
  </si>
  <si>
    <t>WARN.TYPE</t>
  </si>
  <si>
    <t>Driver Full name on Warning</t>
  </si>
  <si>
    <t>WARN.NAME</t>
  </si>
  <si>
    <t>Date of Driver Warning</t>
  </si>
  <si>
    <t>WARN.DATE.E</t>
  </si>
  <si>
    <t>Comment Related to warning</t>
  </si>
  <si>
    <t>WARN.COMMENT</t>
  </si>
  <si>
    <t>VTK</t>
  </si>
  <si>
    <t>TRANS(VINT.VARPRICE,VARIETY:PREM.PRICE.CODE:SRCAREA:'*':VINTAGE[2],1, 'X')</t>
  </si>
  <si>
    <t>VTK.PREM.PRICE</t>
  </si>
  <si>
    <t>TRANS(VINT.VARPRICE,VARIETY:NEG.PRICE.CODE:SRCAREA:'*':VINTAGE[2],1, 'X')</t>
  </si>
  <si>
    <t>VTK.NEG.PRICE</t>
  </si>
  <si>
    <t>Delivered Tonnes off VINTINTAKE</t>
  </si>
  <si>
    <t>TRANS(VINTINTAKE,VINTINTAKE.SEQ,'DELIVERED','X')</t>
  </si>
  <si>
    <t>VTK.DELIVERED</t>
  </si>
  <si>
    <t>Vineyard Operations Region Code</t>
  </si>
  <si>
    <t>VO</t>
  </si>
  <si>
    <t>TRANS(SOURCE,SOURCE,VO.SUBREG,'X')</t>
  </si>
  <si>
    <t>VO.SUBREG</t>
  </si>
  <si>
    <t>TRANS(SOURCE,SOURCE,VO.SUBREG,'X')[1,1]</t>
  </si>
  <si>
    <t>VO.REG</t>
  </si>
  <si>
    <t>Vinyard Operation Region Description</t>
  </si>
  <si>
    <t>VO Region</t>
  </si>
  <si>
    <t>VO.SUBREG; SUBR("*PVII199", @, 'V', '')</t>
  </si>
  <si>
    <t>VO.DESC</t>
  </si>
  <si>
    <t>Translate to Control file for current vintage</t>
  </si>
  <si>
    <t>TRANS(CONTROL,'VIYEAR',VIYEAR,'X')</t>
  </si>
  <si>
    <t>Returns seq.no. to VINTINTAKE for lookups</t>
  </si>
  <si>
    <t>VI SEQNO</t>
  </si>
  <si>
    <t>SUBR("*GVIZ102",BLOCK,VINTAGE)</t>
  </si>
  <si>
    <t>VINTINTAKE.SEQ</t>
  </si>
  <si>
    <t>KEY</t>
  </si>
  <si>
    <t>GROWERID:'*':VARIETY:'*':VINTAGE</t>
  </si>
  <si>
    <t>VINTINTAKE.KEY</t>
  </si>
  <si>
    <t>Price code from A through to Z from Vintintake File</t>
  </si>
  <si>
    <t>TRANS(VINTINTAKE,VINTINTAKE.SEQ,31,'X')</t>
  </si>
  <si>
    <t>VINTINT.PRICE.CODE</t>
  </si>
  <si>
    <t>VARIETY:PRICE.CODE:GRSOURCE:'*':YR2</t>
  </si>
  <si>
    <t>VINT.VARPRICE.KEY</t>
  </si>
  <si>
    <t>Target baume for current vintage intake year</t>
  </si>
  <si>
    <t>Target</t>
  </si>
  <si>
    <t>TRANS(VINTINTAKE,VINTINTAKE.SEQ,TBAUME,'X')</t>
  </si>
  <si>
    <t>VI.TARG.BE</t>
  </si>
  <si>
    <t>Remaining Tonnes (G2020-Devon)</t>
  </si>
  <si>
    <t>MAXTNNS - VTK.DELIVERED</t>
  </si>
  <si>
    <t>VI.REMTNNS</t>
  </si>
  <si>
    <t>Other Tonnes on Vintintake record (G2020-Devon)</t>
  </si>
  <si>
    <t>TRANS(VINTINTAKE,VINTINTAKE.SEQ,'BOOKED','X') -</t>
  </si>
  <si>
    <t>VI.OTHERTNNS</t>
  </si>
  <si>
    <t>Max Vintintake Blocks (G2020-Devon)</t>
  </si>
  <si>
    <t>(IF TRANS(VINTINTAKE,VINTINTAKE.SEQ,'AGREED','X') &gt;</t>
  </si>
  <si>
    <t>VI.MAXTNNS</t>
  </si>
  <si>
    <t>VI.DLVTNNE</t>
  </si>
  <si>
    <t>Contract baume for current vintage intake year</t>
  </si>
  <si>
    <t>Contract</t>
  </si>
  <si>
    <t>TRANS(VINTINTAKE,VINTINTAKE.SEQ,CBAUME,'X')</t>
  </si>
  <si>
    <t>VI.CONT.BE</t>
  </si>
  <si>
    <t>Booked tonnes</t>
  </si>
  <si>
    <t>Booked</t>
  </si>
  <si>
    <t>TRANS(BOOKING,BKNGNUM,'BOOKTNNS','X')</t>
  </si>
  <si>
    <t>VI.BKDTNNS</t>
  </si>
  <si>
    <t>Variety colour code</t>
  </si>
  <si>
    <t>INDEX("WR",COLOUR,1)</t>
  </si>
  <si>
    <t>VCOLOUR</t>
  </si>
  <si>
    <t>Lookup variety description from Master</t>
  </si>
  <si>
    <t>TRANS(MVARIETY,VARIETY,VARDESCP,'X')</t>
  </si>
  <si>
    <t>Extended Value Nett Tonnes x Rate</t>
  </si>
  <si>
    <t>EXTENDED</t>
  </si>
  <si>
    <t>NETT * VAR.RATE</t>
  </si>
  <si>
    <t>VAR.VALUE</t>
  </si>
  <si>
    <t>VARIETY/</t>
  </si>
  <si>
    <t>VARIETY:PRICE.CODE:GRSOURCE</t>
  </si>
  <si>
    <t>VAR.PRICE.SRCE</t>
  </si>
  <si>
    <t>UTILIZE.VARIETY</t>
  </si>
  <si>
    <t>Utilization Source</t>
  </si>
  <si>
    <t>Util Source</t>
  </si>
  <si>
    <t>TRANS(SOURCE,SOURCE,UTILIZE,'X')</t>
  </si>
  <si>
    <t>UTILIZE.SOURCE</t>
  </si>
  <si>
    <t>Utilization Surveys Code</t>
  </si>
  <si>
    <t>Utilize</t>
  </si>
  <si>
    <t>UTILIZE</t>
  </si>
  <si>
    <t>TRANS(ENDUSE,ENDUSE,DESC,'X')</t>
  </si>
  <si>
    <t>USEDESC</t>
  </si>
  <si>
    <t>Determines which weighnote value to use</t>
  </si>
  <si>
    <t>IF WN.VAL THEN WN.VAL ELSE IVAR.VALUE</t>
  </si>
  <si>
    <t>USE.VAL</t>
  </si>
  <si>
    <t>UPCASE(SORT.NAME)</t>
  </si>
  <si>
    <t>UP.SORT.NAME</t>
  </si>
  <si>
    <t>Possible crushnotes for unlinked weighnotes</t>
  </si>
  <si>
    <t>ULCNOTES</t>
  </si>
  <si>
    <t>Possible Crushnotes</t>
  </si>
  <si>
    <t>IF MCNOTE = '' THEN CRUSHNOTE ELSE ''</t>
  </si>
  <si>
    <t>UNLINK.CNOTE</t>
  </si>
  <si>
    <t>Truck type short description</t>
  </si>
  <si>
    <t>Truck Type</t>
  </si>
  <si>
    <t>TRANS(GRAPE.TRUCK.TYPE,TRUCK.TYPE,'SDESC','X')</t>
  </si>
  <si>
    <t>TRUCK.SDESC</t>
  </si>
  <si>
    <t>Truck GVM</t>
  </si>
  <si>
    <t>TRANS(GRAPE.TRUCK.TYPE,TRUCK.TYPE,'GVM','X')</t>
  </si>
  <si>
    <t>TRUCK.GVM</t>
  </si>
  <si>
    <t>Expected total litres</t>
  </si>
  <si>
    <t>Expected</t>
  </si>
  <si>
    <t>DF.TOT.EXT * NETT</t>
  </si>
  <si>
    <t>TOT.LTR</t>
  </si>
  <si>
    <t>RECEIPT TIME IN DATE FORMAT</t>
  </si>
  <si>
    <t>REC TIME</t>
  </si>
  <si>
    <t>OCONV(RECTIME,'MTHS')</t>
  </si>
  <si>
    <t>TIMEFMT</t>
  </si>
  <si>
    <t>Sustainable Winegrowing Australia Membership Number</t>
  </si>
  <si>
    <t>SWA</t>
  </si>
  <si>
    <t>NC</t>
  </si>
  <si>
    <t>TRANS(MGROWER,GROWERID,'SWA.MEM.NUMBER','X')</t>
  </si>
  <si>
    <t>SWA.MEM.NUMBER</t>
  </si>
  <si>
    <t>Sustainable Wine Australia (SWA) flag - Y certified, N not</t>
  </si>
  <si>
    <t>TRANS(VINTINTAKE,VINTINTAKE.SEQ,'SUSTAINABLE','X')</t>
  </si>
  <si>
    <t>SUSTAINABLE</t>
  </si>
  <si>
    <t>Multivalued if secondary carrier present in this record</t>
  </si>
  <si>
    <t>SUMMARY</t>
  </si>
  <si>
    <t>IF MUST.CARRIER NE '' THEN CARRIER:@VM:MUST.CARRIER ELSE CARRIER</t>
  </si>
  <si>
    <t>SUMMARY.CARR</t>
  </si>
  <si>
    <t>IF MUST.AREA NE '' THEN AGDOCKET:@VM:MUST.AREA ELSE AGDOCKET</t>
  </si>
  <si>
    <t>SUMMARY.AREA</t>
  </si>
  <si>
    <t>Sum of Bin Netts for calculation/comparison</t>
  </si>
  <si>
    <t>Bin Nett</t>
  </si>
  <si>
    <t>SUM(BINNET) + 0</t>
  </si>
  <si>
    <t>SUMBINNET0</t>
  </si>
  <si>
    <t>Sum of Bin Grosses for calculation/comparison</t>
  </si>
  <si>
    <t>Bin Gross</t>
  </si>
  <si>
    <t>SUM(BINGROSS) + 0</t>
  </si>
  <si>
    <t>SUMBINGROSS0</t>
  </si>
  <si>
    <t>Sub source in which block is found</t>
  </si>
  <si>
    <t>Subsource</t>
  </si>
  <si>
    <t>TRANS(MBLOCKS,BLOCK,'SUBSOURCE','X')</t>
  </si>
  <si>
    <t>SUBSOURCE</t>
  </si>
  <si>
    <t>Start time of Crush Slot</t>
  </si>
  <si>
    <t>Slot</t>
  </si>
  <si>
    <t>TRANS(CRUSHPLAN,CRSLOT,STRTTIME,'X')</t>
  </si>
  <si>
    <t>STRTTIME</t>
  </si>
  <si>
    <t>Status of booking, '' open 'C' closed 'D' deleted 'U' unconfirmed</t>
  </si>
  <si>
    <t>TRANS(BOOKING,BKNGNUM,'STATUS','X')</t>
  </si>
  <si>
    <t>SOURCE NAME</t>
  </si>
  <si>
    <t>TRANS(SOURCE,GRSOURCE,DESCP,'X')</t>
  </si>
  <si>
    <t>SOURCENAM</t>
  </si>
  <si>
    <t>Source &amp; variety description</t>
  </si>
  <si>
    <t>35T</t>
  </si>
  <si>
    <t>SOURCE - VARIETY</t>
  </si>
  <si>
    <t>SOURCENAM:' - ':VARDESCP</t>
  </si>
  <si>
    <t>SOURCE.VAR.NAME</t>
  </si>
  <si>
    <t>GRSOURCE;TRANS(SOURCE,@,OWN.GRAPES,'X');IF @ = '' THEN 'EXTERNAL' ELSE 'INTERNAL'</t>
  </si>
  <si>
    <t>SOURCE.TYPE</t>
  </si>
  <si>
    <t>Source Description</t>
  </si>
  <si>
    <t>SOURCE CODE</t>
  </si>
  <si>
    <t>TRANS(MGROWER,GROWERID,SOURCE,'X')</t>
  </si>
  <si>
    <t>Looking up grower sort name from Master</t>
  </si>
  <si>
    <t>SORT NAME</t>
  </si>
  <si>
    <t>TRANS(MGROWER,GROWERID,SORT.NAME,'X')</t>
  </si>
  <si>
    <t>SORT.NAME</t>
  </si>
  <si>
    <t>'S'tandard / 'D'elivery / 'P'rocessing</t>
  </si>
  <si>
    <t>TRANS(CRUSHPLAN,CRSLOT,'SLOT.TYPE','X')</t>
  </si>
  <si>
    <t>SLOT.TYPE</t>
  </si>
  <si>
    <t>SLOT.TIME</t>
  </si>
  <si>
    <t>SCW or Non-SCW account</t>
  </si>
  <si>
    <t>TRANS(MGROWER,GROWERID,CONTRACT.TYPE,'X'); IF @ THEN</t>
  </si>
  <si>
    <t>SCW.ACCOUNT</t>
  </si>
  <si>
    <t>10T</t>
  </si>
  <si>
    <t>SC018 KEY</t>
  </si>
  <si>
    <t>VARIETY:PRICE.CODE:SRCAREA:'*':MVYEAR[3,2]</t>
  </si>
  <si>
    <t>SCI018.KEY</t>
  </si>
  <si>
    <t>Looking up grower account type from Master</t>
  </si>
  <si>
    <t>A/C</t>
  </si>
  <si>
    <t>TRANS(MGROWER,GROWERID,RTYPE,'X')</t>
  </si>
  <si>
    <t>RTYPE</t>
  </si>
  <si>
    <t>Reporting date, some slots may span two days or occur just before</t>
  </si>
  <si>
    <t>TRANS(CRUSHPLAN,CRSLOT,'REP.DATE','X')</t>
  </si>
  <si>
    <t>REP.DATE.E</t>
  </si>
  <si>
    <t>Reporting</t>
  </si>
  <si>
    <t>REP.DATE</t>
  </si>
  <si>
    <t>REMTNNS</t>
  </si>
  <si>
    <t>Receipt vintage week</t>
  </si>
  <si>
    <t>FIELD(SUBR('*PVIZ101',RECDATE) ,'.',1)</t>
  </si>
  <si>
    <t>RECWEEK</t>
  </si>
  <si>
    <t>Receipt vintage day</t>
  </si>
  <si>
    <t>FIELD(SUBR('*PVIZ101',RECDATE) ,'.',2)</t>
  </si>
  <si>
    <t>RECVDAY</t>
  </si>
  <si>
    <t>HOUR OF GRAPE RECEIPT</t>
  </si>
  <si>
    <t>HOUR OF RECPT</t>
  </si>
  <si>
    <t>TIMEFMT[1,2]</t>
  </si>
  <si>
    <t>RECHOUR</t>
  </si>
  <si>
    <t>RECEIPT DAY OF GRAPES</t>
  </si>
  <si>
    <t>RECEIPT DAY</t>
  </si>
  <si>
    <t>DATEFMT[1,2]</t>
  </si>
  <si>
    <t>RECDAY</t>
  </si>
  <si>
    <t>'"':REACTIV:'"'</t>
  </si>
  <si>
    <t>REACTIV.MJS</t>
  </si>
  <si>
    <t>Check if REACTIV is a space</t>
  </si>
  <si>
    <t>'*':REACTIV:'*'</t>
  </si>
  <si>
    <t>REACTIV$</t>
  </si>
  <si>
    <t>Standard quality comment</t>
  </si>
  <si>
    <t>Standard Quality Comment</t>
  </si>
  <si>
    <t>TRANS(QUALCOMM,QC.CODE,COMMENT,'X')</t>
  </si>
  <si>
    <t>QC.COMMENT</t>
  </si>
  <si>
    <t>Expected pressings litres</t>
  </si>
  <si>
    <t>DF.PRS.EXT * NETT</t>
  </si>
  <si>
    <t>PRS.LTR</t>
  </si>
  <si>
    <t>Process slot</t>
  </si>
  <si>
    <t>Process</t>
  </si>
  <si>
    <t>IF SLOT.TYPE='D' THEN TRANS(CRUSHPLAN,CRSLOT,LINKED.SLOT,'X') ELSE ''</t>
  </si>
  <si>
    <t>PROCESS.SLOT</t>
  </si>
  <si>
    <t>Process/crush slot Id</t>
  </si>
  <si>
    <t>IF SLOT.TYPE='D' THEN TRANS(CRUSHPLAN,CRSLOT,LINKED.SLOT,'X') ELSE CRSLOT</t>
  </si>
  <si>
    <t>PROCESS.CRSLOT</t>
  </si>
  <si>
    <t>The price description of populated WNOTE.PRICE.COMPS</t>
  </si>
  <si>
    <t>SUBR('*PZZI417',WNOTE.PRICE.COMPS,RAISE(PRICEDESC))</t>
  </si>
  <si>
    <t>PRICEDESC.POP</t>
  </si>
  <si>
    <t>Price description</t>
  </si>
  <si>
    <t>WPC</t>
  </si>
  <si>
    <t>TRANS(WNOTE.TPLATE,VINTAGE,'PRICEDESC','X')</t>
  </si>
  <si>
    <t>PRICEDESC</t>
  </si>
  <si>
    <t>Previous .REPT file key to this one</t>
  </si>
  <si>
    <t>35L</t>
  </si>
  <si>
    <t>Previous</t>
  </si>
  <si>
    <t>IF AUD.CODE = 4 THEN</t>
  </si>
  <si>
    <t>PREV.REPT.KEY</t>
  </si>
  <si>
    <t>Prev Record activity code   " " - Active   "D" - Delete   "C" -</t>
  </si>
  <si>
    <t>TRANS(GRAPERECPT.REPT,PREV.REPT.KEY,REACTIV,'X')</t>
  </si>
  <si>
    <t>PREV.REACTIV</t>
  </si>
  <si>
    <t>PREM</t>
  </si>
  <si>
    <t>TRANS(VINTINTAKE,VINTINTAKE.SEQ,46,'X')</t>
  </si>
  <si>
    <t>PREM.PRICE.CODE</t>
  </si>
  <si>
    <t>METHOD PICKED</t>
  </si>
  <si>
    <t>IF PMETHOD = 'H' THEN 'HAND PICKED' ELSE 'MACHINE PICKED'</t>
  </si>
  <si>
    <t>PMETHDESC</t>
  </si>
  <si>
    <t>WINERY WHERE CRUSH PIT LOCATED</t>
  </si>
  <si>
    <t>Pit Winery</t>
  </si>
  <si>
    <t>TRANS(CRUSHPIT,CRUSHER,PITWINERY,'X')</t>
  </si>
  <si>
    <t>PITWINERY</t>
  </si>
  <si>
    <t>Post Code</t>
  </si>
  <si>
    <t>P CODE</t>
  </si>
  <si>
    <t>TRANS(MGROWER,GROWERID,PCODE,'X')</t>
  </si>
  <si>
    <t>PCODE</t>
  </si>
  <si>
    <t>Flag if a payment has been made</t>
  </si>
  <si>
    <t>IF GROWER.PAYFLAG  OR PAY.CARRIER  THEN 1 ELSE 0</t>
  </si>
  <si>
    <t>PAYMENT.MADE</t>
  </si>
  <si>
    <t>Payment terms code</t>
  </si>
  <si>
    <t>PAY</t>
  </si>
  <si>
    <t>TRANS(MGROWER,GROWERID,PAYMENT.CODE,'X')</t>
  </si>
  <si>
    <t>PAYMENT.CODE</t>
  </si>
  <si>
    <t>Payment Date</t>
  </si>
  <si>
    <t>TERMS</t>
  </si>
  <si>
    <t>Pay Date</t>
  </si>
  <si>
    <t>TRANS(PAYMENT.TERMS,PAYMENT.CODE,PAY.DATE,'X')</t>
  </si>
  <si>
    <t>PAY.DATE</t>
  </si>
  <si>
    <t>Grower is owned by Penfolds</t>
  </si>
  <si>
    <t>Coy</t>
  </si>
  <si>
    <t>TRANS(MGROWER,GROWERID,OWN.BLOCK,'X')</t>
  </si>
  <si>
    <t>OWN.BLOCK</t>
  </si>
  <si>
    <t>OTHERTNNS</t>
  </si>
  <si>
    <t>TRANS(SOURCE,SOURCE,'ORIGIN','X')</t>
  </si>
  <si>
    <t>original nett tonnes related to a reversal weigh note</t>
  </si>
  <si>
    <t>HIST.KEY[1,LEN(FIELD(HIST.KEY,'*',1))-1]:'*':FIELD(HIST.KEY,'*',2);SUBR(SUBR.PENBW:'</t>
  </si>
  <si>
    <t>ORIG.NETT</t>
  </si>
  <si>
    <t>Original weigh note number</t>
  </si>
  <si>
    <t>ORIG.ID</t>
  </si>
  <si>
    <t>Original Update Count of the Booking</t>
  </si>
  <si>
    <t>TRANS(BOOKING,BKNGNUM,UPDCNT,'X')</t>
  </si>
  <si>
    <t>ORIG.BKG.UPDCNT</t>
  </si>
  <si>
    <t>Numeric</t>
  </si>
  <si>
    <t>@ID[3,99];IF NUM(@) THEN 1 ELSE 0</t>
  </si>
  <si>
    <t>NUMSEQ</t>
  </si>
  <si>
    <t>Groups together weighnotes from slots which are part of shifts which</t>
  </si>
  <si>
    <t>Shift</t>
  </si>
  <si>
    <t>IF STRTTIME LT 75600 THEN CRWEEK ELSE ( IF CRDAY = 7 THEN CRWEEK + 0.4     ELSE</t>
  </si>
  <si>
    <t>NINEPM</t>
  </si>
  <si>
    <t>Nett for calculation/comparison</t>
  </si>
  <si>
    <t>Nett</t>
  </si>
  <si>
    <t>NETT + 0</t>
  </si>
  <si>
    <t>NETT0</t>
  </si>
  <si>
    <t>Current price (calculated) from GRAPE.PRICE (VINTINTAKE)</t>
  </si>
  <si>
    <t>Vint.</t>
  </si>
  <si>
    <t>TRANS(GRAPE.PRICE,VINTINTAKE.SEQ,NEG.PRICE,'X')</t>
  </si>
  <si>
    <t>NEG.VINT.PRICE</t>
  </si>
  <si>
    <t>NEG</t>
  </si>
  <si>
    <t>TRANS(VINTINTAKE,VINTINTAKE.SEQ,PRICE.CODE,'X')</t>
  </si>
  <si>
    <t>NEG.PRICE.CODE</t>
  </si>
  <si>
    <t>Count of bins</t>
  </si>
  <si>
    <t>No.</t>
  </si>
  <si>
    <t>DCOUNT(BINNO,@VM)</t>
  </si>
  <si>
    <t>NBINS</t>
  </si>
  <si>
    <t>Name of Account of Grower, Company Vineyard Block</t>
  </si>
  <si>
    <t>TRANS(MGROWER, ACCOUNT, NAME, 'X')</t>
  </si>
  <si>
    <t>TRANS(CONTROL,'MVYEAR',MVYEAR,'X')</t>
  </si>
  <si>
    <t>Looking up carrier name from Master</t>
  </si>
  <si>
    <t>CARRIER NAME</t>
  </si>
  <si>
    <t>TRANS(MGROWER,MUST.CARRIER,GROWER,'X');IF @ THEN @ ELSE 'NO MUST CARRIER'</t>
  </si>
  <si>
    <t>MUST.CARRIER.NAME</t>
  </si>
  <si>
    <t>Translate to I.GRDOCKET file for Cellar Note Number, convert so</t>
  </si>
  <si>
    <t>TRANS(I.GRDOCKET,@ID,MCNOTE,'X');FIELD(@1,'-',1)</t>
  </si>
  <si>
    <t>MAXTNNS</t>
  </si>
  <si>
    <t>Key to MATURITY file</t>
  </si>
  <si>
    <t>Maturity Key</t>
  </si>
  <si>
    <t>GROWERID:'*':VARIETY:'*':BLOCK:'*':VINTAGE</t>
  </si>
  <si>
    <t>MATKEY</t>
  </si>
  <si>
    <t>Man By</t>
  </si>
  <si>
    <t>TRANS(WINERY.LOCATION,CRSITE,'MAN.BY.ACCT','X')</t>
  </si>
  <si>
    <t>Load temperature used for range selections.</t>
  </si>
  <si>
    <t>Load</t>
  </si>
  <si>
    <t>TEMP+0</t>
  </si>
  <si>
    <t>LOAD.TEMP</t>
  </si>
  <si>
    <t>Load beaume used for range selection</t>
  </si>
  <si>
    <t>BEAUME+0</t>
  </si>
  <si>
    <t>LOAD.BEAUME</t>
  </si>
  <si>
    <t>JDEG Supplier code</t>
  </si>
  <si>
    <t>TRANS(MGROWER,ACCOUNT,'JDEG.SUPPLIER','X')</t>
  </si>
  <si>
    <t>JDEG.SUPPLIER</t>
  </si>
  <si>
    <t>JDE BU Description</t>
  </si>
  <si>
    <t>AgCode Unit Description</t>
  </si>
  <si>
    <t>TRANS(JDEBU.MASTER,JDEBU,'DESC','X')</t>
  </si>
  <si>
    <t>JDEBU.DESC</t>
  </si>
  <si>
    <t>JDE Business unit - required for company vineyards.</t>
  </si>
  <si>
    <t>JDE BU</t>
  </si>
  <si>
    <t>TRANS(MGROWER,GROWERID,'JDEBU','X')</t>
  </si>
  <si>
    <t>JDEBU</t>
  </si>
  <si>
    <t>Extended Value Nett Tonnes x Rate  (Off price file varprice)</t>
  </si>
  <si>
    <t>NETT * IVAR.RATE</t>
  </si>
  <si>
    <t>IVAR.VALUE</t>
  </si>
  <si>
    <t>Rate</t>
  </si>
  <si>
    <t>TRANS(VARPRICE,VARIETY:PRICE.CODE:GRSOURCE,RATE,'X')</t>
  </si>
  <si>
    <t>IVAR.RATE</t>
  </si>
  <si>
    <t>Vintage instruction code description (short)</t>
  </si>
  <si>
    <t>VI INSTRUCTION</t>
  </si>
  <si>
    <t>IF PMETHOD EQ 'H' THEN TRANS(VI.INSTRUCTIONS,INSTRUC,HHSDESC,'X') ELSE IF PMETHOD EQ</t>
  </si>
  <si>
    <t>INSTSDESC</t>
  </si>
  <si>
    <t>Vintage instruction code description</t>
  </si>
  <si>
    <t>INSTRUCTION</t>
  </si>
  <si>
    <t>IF PMETHOD EQ 'H' THEN TRANS(VI.INSTRUCTIONS,INSTRUC,HHDESC,'X') ELSE IF PMETHOD EQ</t>
  </si>
  <si>
    <t>INSTDESC</t>
  </si>
  <si>
    <t>TRANS(VINTINTAKE,VINTINTAKE.SEQ,BLOCK,'X');TRANS(VINTINTAKE,VINTINTAKE.SEQ,DELIVERED</t>
  </si>
  <si>
    <t>HECT.FLAG</t>
  </si>
  <si>
    <t>Harvest method - H hand picked, M mechanical, S either/both</t>
  </si>
  <si>
    <t>Harvest</t>
  </si>
  <si>
    <t>INDEX("HMS",PMETHOD,1)</t>
  </si>
  <si>
    <t>HARVMETH</t>
  </si>
  <si>
    <t>GRPR</t>
  </si>
  <si>
    <t>TRANS(VINT.VARPRICE,VINT.VARPRICE.KEY,1,'X')</t>
  </si>
  <si>
    <t>GRPR.PRICE</t>
  </si>
  <si>
    <t>Looking up grower activity code from Master</t>
  </si>
  <si>
    <t>TRANS(MGROWER,GROWERID,MGACTIV,'X')</t>
  </si>
  <si>
    <t>GROWERACTIV</t>
  </si>
  <si>
    <t>Grower Oracle Vendor Id</t>
  </si>
  <si>
    <t>TRANS(MGROWER,GROWERID,ORACLE.VENDOR,'X')</t>
  </si>
  <si>
    <t>GROWER.OR.VENDOR</t>
  </si>
  <si>
    <t>Grower oracle active flag N/''</t>
  </si>
  <si>
    <t>TRANS(MGROWER,GROWERID,VENDOR.ACTIVE,'X')</t>
  </si>
  <si>
    <t>GROWER.OR.ACTIVE</t>
  </si>
  <si>
    <t>Looking up grower name from Master</t>
  </si>
  <si>
    <t>GROWERS NAME</t>
  </si>
  <si>
    <t>TRANS(MGROWER,GROWERID,GROWER,'X')</t>
  </si>
  <si>
    <t>GROWER</t>
  </si>
  <si>
    <t>Group (style) code</t>
  </si>
  <si>
    <t>Gp</t>
  </si>
  <si>
    <t>TRANS(VINTINTAKE,VINTINTAKE.SEQ,GROUP,'X')</t>
  </si>
  <si>
    <t>Gross used for calculation/comparison</t>
  </si>
  <si>
    <t>Gross</t>
  </si>
  <si>
    <t>GROSS + 0</t>
  </si>
  <si>
    <t>GROSS0</t>
  </si>
  <si>
    <t>Grid</t>
  </si>
  <si>
    <t>TRANS(CONTRACT.TYPE,CONTRACT.TYPE,'GRID.PRICE.TYPE','X')</t>
  </si>
  <si>
    <t>GRID.PRICE.TYPE</t>
  </si>
  <si>
    <t>SUBR(SUBR.PENBW:"PVIZ102",GROWERID,BLOCK,VINTAGE); TRANS(VINTINTAKE,@1,GRADE,'X');</t>
  </si>
  <si>
    <t>GRID.PRICE</t>
  </si>
  <si>
    <t>G/P TOT</t>
  </si>
  <si>
    <t>TRANS(GROWER.PAYMT,GROWERID,TOTAL.TONNES,'X')</t>
  </si>
  <si>
    <t>GP.TOTAL.TONNES</t>
  </si>
  <si>
    <t>G/P TOT $</t>
  </si>
  <si>
    <t>TRANS(GROWER.PAYMT,GROWERID,TOTAL.$,'X')</t>
  </si>
  <si>
    <t>GP.TOT.$</t>
  </si>
  <si>
    <t>TRANS(GI.FILE,GI.ZONE,'GI.SDESC','X')</t>
  </si>
  <si>
    <t>GI.ZONE.SDESC</t>
  </si>
  <si>
    <t>GI Zone in Australia</t>
  </si>
  <si>
    <t>GI</t>
  </si>
  <si>
    <t>TRANS(SOURCE,SOURCE,'GI.ZONE','X')</t>
  </si>
  <si>
    <t>Expected freerun litres</t>
  </si>
  <si>
    <t>DF.FRN.EXT * NETT</t>
  </si>
  <si>
    <t>FRN.LTR</t>
  </si>
  <si>
    <t>Field Grade</t>
  </si>
  <si>
    <t>Fld</t>
  </si>
  <si>
    <t>TRANS(VINTINTAKE,VINTINTAKE.SEQ,'FIELD.GRADE','X')</t>
  </si>
  <si>
    <t>FLD.GRADE</t>
  </si>
  <si>
    <t>Field</t>
  </si>
  <si>
    <t>TRANS(VINTINTAKE,VINTINTAKE.SEQ,'FLD.GENERIC','X')</t>
  </si>
  <si>
    <t>FLD.GENERIC</t>
  </si>
  <si>
    <t>End use as flagged for block</t>
  </si>
  <si>
    <t>Flagged</t>
  </si>
  <si>
    <t>TRANS(VINTINTAKE,SUBR("*PVIZ102",GROWERID,BLOCK,VINTAGE),ENDUSE,'X')</t>
  </si>
  <si>
    <t>FLAGGED.USE</t>
  </si>
  <si>
    <t>Grape grade as flagged for block</t>
  </si>
  <si>
    <t>TRANS(VINTINTAKE,SUBR("*PVIZ102",GROWERID,BLOCK,VINTAGE),GRADE,'X')</t>
  </si>
  <si>
    <t>FLAGGED.GRADE</t>
  </si>
  <si>
    <t>FORECAST PRICE</t>
  </si>
  <si>
    <t>TRANS(GRAPE.PRICE,VINTINTAKE.SEQ,FCAST.PRICE,'X')</t>
  </si>
  <si>
    <t>FCAST.VINT.PRICE</t>
  </si>
  <si>
    <t>Weighnote value at Adjusted Forecast Price</t>
  </si>
  <si>
    <t>Forecast</t>
  </si>
  <si>
    <t>NETT * FCAST.PRICE.ADJ</t>
  </si>
  <si>
    <t>FCAST.VALUE</t>
  </si>
  <si>
    <t>Adjusted Forecast price (calculated)</t>
  </si>
  <si>
    <t>Fcast</t>
  </si>
  <si>
    <t>SUBR('*PVIZ157',@FM:'F*W':@FM:'Y','','',@RECORD)</t>
  </si>
  <si>
    <t>FCAST.PRICE.ADJ</t>
  </si>
  <si>
    <t>Forecast price (calculated)</t>
  </si>
  <si>
    <t>SUBR('*PVIZ157',@FM:'F*W','','',@RECORD)</t>
  </si>
  <si>
    <t>FCAST.PRICE</t>
  </si>
  <si>
    <t>Forecast Grade Level</t>
  </si>
  <si>
    <t>FCAST.GRADE.LEVEL</t>
  </si>
  <si>
    <t>Forecast Grade</t>
  </si>
  <si>
    <t>FCAST.GRADE</t>
  </si>
  <si>
    <t>Forecast Generic code</t>
  </si>
  <si>
    <t>SUBR(SUBR.PENBW:"PVIZ102",GROWERID,BLOCK,VINTAGE);</t>
  </si>
  <si>
    <t>FCAST.GENERIC</t>
  </si>
  <si>
    <t>Indicates if fruit is to be processed throught Red or White</t>
  </si>
  <si>
    <t>System</t>
  </si>
  <si>
    <t>IF ENDUSE = 'R' THEN 'Red' ELSE IF ENDUSE = 'F' AND COLOUR = 'R' THEN 'Red' ELSE</t>
  </si>
  <si>
    <t>ENDUSE.SYSTEM</t>
  </si>
  <si>
    <t>Earliest vintage required for extract to BI (7 years)</t>
  </si>
  <si>
    <t>Earliest</t>
  </si>
  <si>
    <t>OCONV(DATE(),'D4/')[4]-7</t>
  </si>
  <si>
    <t>EARLIEST.BI.VINT</t>
  </si>
  <si>
    <t>Dry/Irr</t>
  </si>
  <si>
    <t>TRANS(MGROWER,GROWERID,SOURCE,'X'); TRANS(SOURCE,@,DRY.IRR,'X'); IF @2 = 'D' THEN</t>
  </si>
  <si>
    <t>DRY.IRR</t>
  </si>
  <si>
    <t>Delivery method description</t>
  </si>
  <si>
    <t>Deliv Method Description</t>
  </si>
  <si>
    <t>TRANS(DELIVMETH,DM.CODE,DESC,'X')</t>
  </si>
  <si>
    <t>DM.DESC</t>
  </si>
  <si>
    <t>Tonnes delivered against booking</t>
  </si>
  <si>
    <t>Delivered</t>
  </si>
  <si>
    <t>TRANS(BOOKING,BKNGNUM,'DLVTNNE','X')</t>
  </si>
  <si>
    <t>DLVTNNE</t>
  </si>
  <si>
    <t>Deliver to site</t>
  </si>
  <si>
    <t>Deliver</t>
  </si>
  <si>
    <t>TRANS(CONTROL,'VIYEAR',1,'X')[3,2];OCONV(RECDATE,'D2/')[7,2]; IF @1 = @2   THEN</t>
  </si>
  <si>
    <t>DLVSITE</t>
  </si>
  <si>
    <t>Default total extraction</t>
  </si>
  <si>
    <t>Default</t>
  </si>
  <si>
    <t>SUBR(SUBR.PENBW:'PVII246',VARIETY,SRCAREA,ENDUSE,FLAGGED.GRADE,COLOUR,3)</t>
  </si>
  <si>
    <t>DF.TOT.EXT</t>
  </si>
  <si>
    <t>Default pressings to</t>
  </si>
  <si>
    <t>SUBR(SUBR.PENBW:'PVII246',VARIETY,SRCAREA,ENDUSE,FLAGGED.GRADE,COLOUR,4)</t>
  </si>
  <si>
    <t>DF.PRS.TO</t>
  </si>
  <si>
    <t>Default pressings extraction</t>
  </si>
  <si>
    <t>SUBR(SUBR.PENBW:'PVII246',VARIETY,SRCAREA,ENDUSE,FLAGGED.GRADE,COLOUR,2)</t>
  </si>
  <si>
    <t>DF.PRS.EXT</t>
  </si>
  <si>
    <t>Default freerun extraction</t>
  </si>
  <si>
    <t>SUBR(SUBR.PENBW:'PVII246',VARIETY,SRCAREA,ENDUSE,FLAGGED.GRADE,COLOUR,1)</t>
  </si>
  <si>
    <t>DF.FRN.EXT</t>
  </si>
  <si>
    <t>Basis of Default extraction values</t>
  </si>
  <si>
    <t>Basis of default</t>
  </si>
  <si>
    <t>SUBR(SUBR.PENBW:'PVII246',VARIETY,SRCAREA,ENDUSE,FLAGGED.GRADE,COLOUR,5)</t>
  </si>
  <si>
    <t>DF.EXT.BASIS</t>
  </si>
  <si>
    <t>DELIVERED</t>
  </si>
  <si>
    <t>TRANS(VINTINTAKE,VINTINTAKE.SEQ,DELIVERED,'X')</t>
  </si>
  <si>
    <t>Dummy dictionary item to match VINTINTAKE</t>
  </si>
  <si>
    <t>Dummy</t>
  </si>
  <si>
    <t>DELCOMP</t>
  </si>
  <si>
    <t>DATE IN OUTPUT FORMAT</t>
  </si>
  <si>
    <t>REC DATE</t>
  </si>
  <si>
    <t>OCONV(RECDATE,'D2/')</t>
  </si>
  <si>
    <t>DATEFMT</t>
  </si>
  <si>
    <t>Cutoff date for payments</t>
  </si>
  <si>
    <t>Cutoff</t>
  </si>
  <si>
    <t>TRANS(PAYMENT.TERMS,PAYMENT.CODE,CUTOFF.DATE,'X')</t>
  </si>
  <si>
    <t>CUTOFF.DATE</t>
  </si>
  <si>
    <t>Value of weighnote at Adjusted Current Price</t>
  </si>
  <si>
    <t>NETT * CURR.PRICE.ADJ</t>
  </si>
  <si>
    <t>CURR.VALUE</t>
  </si>
  <si>
    <t>Adjusted Current price (calculated)</t>
  </si>
  <si>
    <t>SUBR('*PVIZ157',@FM:'C*W':@FM:'Y','','',@RECORD)</t>
  </si>
  <si>
    <t>CURR.PRICE.ADJ</t>
  </si>
  <si>
    <t>Current price (calculated)</t>
  </si>
  <si>
    <t>SUBR('*PVIZ157',@FM:'C*W','','',@RECORD)</t>
  </si>
  <si>
    <t>CURR.PRICE</t>
  </si>
  <si>
    <t>WINERY.ACCT:MAN.BY.ACCT</t>
  </si>
  <si>
    <t>CUR.PROC.ACCT</t>
  </si>
  <si>
    <t>Crush week.day</t>
  </si>
  <si>
    <t>Crush</t>
  </si>
  <si>
    <t>SUBR("*PVIZ101",CRDATE.NINEPM)</t>
  </si>
  <si>
    <t>CRWEEK</t>
  </si>
  <si>
    <t>Crush note number (key to OPSMOVE &amp; GRDOCKET)</t>
  </si>
  <si>
    <t>CRUSHNOTE</t>
  </si>
  <si>
    <t>Crushnote</t>
  </si>
  <si>
    <t>TRANS(I.CP.OPSMOVE,SLOTNUM,CRUSHNOTE,'X')</t>
  </si>
  <si>
    <t>Crush pit description HIST</t>
  </si>
  <si>
    <t>CRUSH PIT DESCRIPTION HIST</t>
  </si>
  <si>
    <t>TRANS(CRUSHPIT.HIST,CRUSHER.HIST,DESC,'X')</t>
  </si>
  <si>
    <t>CRUSHER.HIST.DESC</t>
  </si>
  <si>
    <t>Crush site short description</t>
  </si>
  <si>
    <t>TRANS(CRUSHSITE,CRSITE,SHRTDESC,'X')</t>
  </si>
  <si>
    <t>CRSTSDESC</t>
  </si>
  <si>
    <t>Crush site description</t>
  </si>
  <si>
    <t>TRANS(CRUSHSITE,CRSITE,DESC,'X')</t>
  </si>
  <si>
    <t>CRSTDESC</t>
  </si>
  <si>
    <t>Crush site short description HIST</t>
  </si>
  <si>
    <t>TRANS(CRUSHSITE.HIST,CRSITE.HIST,SHRTDESC,'X')</t>
  </si>
  <si>
    <t>CRSITE.HIST.DESC</t>
  </si>
  <si>
    <t>Crush pit short description</t>
  </si>
  <si>
    <t>CRUSH PIT S/DESC</t>
  </si>
  <si>
    <t>TRANS(CRUSHPIT,CRUSHER,SHRTDESC,'X')</t>
  </si>
  <si>
    <t>CRPITSDESC</t>
  </si>
  <si>
    <t>Crush pit description</t>
  </si>
  <si>
    <t>CRUSH PIT DESCRIPTION</t>
  </si>
  <si>
    <t>TRANS(CRUSHPIT,CRUSHER,DESC,'X')</t>
  </si>
  <si>
    <t>CRPITDESC</t>
  </si>
  <si>
    <t>Crush day #</t>
  </si>
  <si>
    <t>FIELD(CRWEEK,'.',2)</t>
  </si>
  <si>
    <t>CRDAY</t>
  </si>
  <si>
    <t>Crush date for use in NINEPM dict def</t>
  </si>
  <si>
    <t>TRANS(CRUSHPLAN,SLOTNUM,CRDATE,'X')</t>
  </si>
  <si>
    <t>CRDATE.NINEPM</t>
  </si>
  <si>
    <t>Crush date</t>
  </si>
  <si>
    <t>TRANS(CRUSHPLAN,CRSLOT,'CRDATE','X')</t>
  </si>
  <si>
    <t>CRDATE.E</t>
  </si>
  <si>
    <t>CRDATE</t>
  </si>
  <si>
    <t>Crane &amp; Bin Hire</t>
  </si>
  <si>
    <t>CRANE</t>
  </si>
  <si>
    <t>NETT * 7</t>
  </si>
  <si>
    <t>CRANE.BIN.HIRE</t>
  </si>
  <si>
    <t>Crush Plan Key 2</t>
  </si>
  <si>
    <t>VARIETY:'*':SRCAREA:'*':ENDUSE:'*':CRSITE</t>
  </si>
  <si>
    <t>CPLAN.KEY2.OLD</t>
  </si>
  <si>
    <t>SUBR('*PVIZ208','GR',VARIETY,SRCAREA,ENDUSE,CRSITE,'','')</t>
  </si>
  <si>
    <t>CPLAN.KEY2</t>
  </si>
  <si>
    <t>Contract type code</t>
  </si>
  <si>
    <t>TRANS(MGROWER,GROWERID,CONTRACT.TYPE,'X')</t>
  </si>
  <si>
    <t>CONTRACT.TYPE</t>
  </si>
  <si>
    <t>Company ABN</t>
  </si>
  <si>
    <t>TRANS(DESCRIPTION,'COMPNM',DRANGE2,'X')</t>
  </si>
  <si>
    <t>COMPNM.ABN</t>
  </si>
  <si>
    <t>Company Name</t>
  </si>
  <si>
    <t>TRANS(DESCRIPTION,'COMPNM',DESCP,'X')</t>
  </si>
  <si>
    <t>COMPNM</t>
  </si>
  <si>
    <t>Company Code</t>
  </si>
  <si>
    <t>CO</t>
  </si>
  <si>
    <t>COMPANY</t>
  </si>
  <si>
    <t>TRANS(MVARIETY,VARIETY,COLOUR,'X') ; IF @1 = 'R' THEN 'Red' ELSE IF @1 = 'W' THEN</t>
  </si>
  <si>
    <t>COLOUR.DESC</t>
  </si>
  <si>
    <t>TRANS(MVARIETY,VARIETY,COLOUR,'X')</t>
  </si>
  <si>
    <t>COLOUR</t>
  </si>
  <si>
    <t>COUNT</t>
  </si>
  <si>
    <t>CNT</t>
  </si>
  <si>
    <t>Climate Grouping Description</t>
  </si>
  <si>
    <t>CLIM; SUBR("*PVII199", @, 'C', '')</t>
  </si>
  <si>
    <t>CLIM.DESC</t>
  </si>
  <si>
    <t>Climatic Grouping Code</t>
  </si>
  <si>
    <t>Clim</t>
  </si>
  <si>
    <t>TRANS(SOURCE,SOURCE,CLIM,'X')</t>
  </si>
  <si>
    <t>CLIM</t>
  </si>
  <si>
    <t>CHIT.WNOTES</t>
  </si>
  <si>
    <t>TRANS(I.GRDOCKET,@ID,MCNOTE,'X');FIELD(@1,'-',1);SUBR('*GBWI1170C',WINERY.LOC,@2,18)</t>
  </si>
  <si>
    <t>Litres extracted from a weighnote</t>
  </si>
  <si>
    <t>Crush Litres</t>
  </si>
  <si>
    <t>TRANS(I.CP.OPSMOVE,CRSLOT,CRUSHNOTE,'X');TRANS(CHIT,@,MTVOL,'X')</t>
  </si>
  <si>
    <t>CHIT.LITRES</t>
  </si>
  <si>
    <t>CH.WN.VARIETY</t>
  </si>
  <si>
    <t>CH.WN.SOURCE</t>
  </si>
  <si>
    <t>CH.WN.SLOT</t>
  </si>
  <si>
    <t>CH.WN.RECTIME</t>
  </si>
  <si>
    <t>CH.WN.RECDATE.E</t>
  </si>
  <si>
    <t>CH.WN.PIT</t>
  </si>
  <si>
    <t>Linked slot number for a Delivery or Processing slot type</t>
  </si>
  <si>
    <t>Linked</t>
  </si>
  <si>
    <t>CH.WN.LINKED.SLOT</t>
  </si>
  <si>
    <t>CH.WN.ENDUSE</t>
  </si>
  <si>
    <t>CH.WN.CRSITE</t>
  </si>
  <si>
    <t>Contract Baume</t>
  </si>
  <si>
    <t>Cont</t>
  </si>
  <si>
    <t>CBAUME</t>
  </si>
  <si>
    <t>Extended Cartage Value</t>
  </si>
  <si>
    <t>CARTAGE</t>
  </si>
  <si>
    <t>SUBR("*PBWR400",NETT,AGDOCKET)</t>
  </si>
  <si>
    <t>CARTVALUE2</t>
  </si>
  <si>
    <t>CART. VALUE BY NETT AND CARTRATE</t>
  </si>
  <si>
    <t>NETT * CARTRATE</t>
  </si>
  <si>
    <t>CARTVALUE</t>
  </si>
  <si>
    <t>Cartage Rate</t>
  </si>
  <si>
    <t>Cartage</t>
  </si>
  <si>
    <t>TRANS(GRAPE.CARTAGE,AGDOCKET,CARTRATE,'X')</t>
  </si>
  <si>
    <t>CARTRATE</t>
  </si>
  <si>
    <t>Cartage description 1</t>
  </si>
  <si>
    <t>TRANS(GRAPE.CARTAGE,CARTAGE.CODE,'CARTAGE.DESC','X')</t>
  </si>
  <si>
    <t>CARTDESC1</t>
  </si>
  <si>
    <t>Cartage Code</t>
  </si>
  <si>
    <t>Cart</t>
  </si>
  <si>
    <t>CARTAREA</t>
  </si>
  <si>
    <t>NETT*CARTRATE</t>
  </si>
  <si>
    <t>CARTAGE.VALUE</t>
  </si>
  <si>
    <t>Cartage Code Description</t>
  </si>
  <si>
    <t>CARTAGE.DESC</t>
  </si>
  <si>
    <t>CART.VALUE</t>
  </si>
  <si>
    <t>CART.RATE</t>
  </si>
  <si>
    <t>Carrier Oracle vendor code</t>
  </si>
  <si>
    <t>Carrier</t>
  </si>
  <si>
    <t>TRANS(MGROWER,CARRIER,ORACLE.VENDOR,'X')</t>
  </si>
  <si>
    <t>CARRIER.OR.VENDOR</t>
  </si>
  <si>
    <t>Carrier oracle active flag N/''</t>
  </si>
  <si>
    <t>TRANS(MGROWER,CARRIER,VENDOR.ACTIVE,'X')</t>
  </si>
  <si>
    <t>CARRIER.OR.ACTIVE</t>
  </si>
  <si>
    <t>TRANS(MGROWER,CARRIER,GROWER,'X');IF @ THEN @ ELSE 'NO CARRIER'</t>
  </si>
  <si>
    <t>CARRIER.NAME</t>
  </si>
  <si>
    <t>Payment terms code - carriers</t>
  </si>
  <si>
    <t>CARR</t>
  </si>
  <si>
    <t>TRANS(MGROWER,CARRIER,PAYMENT.CODE,'X')</t>
  </si>
  <si>
    <t>CARR.PAYMENT.CODE</t>
  </si>
  <si>
    <t>BOOKTNNS</t>
  </si>
  <si>
    <t>Booked Time</t>
  </si>
  <si>
    <t>TRANS(BOOKING,BKNGNUM,BOOKTIME,'X')</t>
  </si>
  <si>
    <t>BOOKTIME</t>
  </si>
  <si>
    <t>Wnote no.</t>
  </si>
  <si>
    <t>TRANS(BOOKING,BKNGNUM,WNOTE,'X')</t>
  </si>
  <si>
    <t>BOOKING.WNOTE</t>
  </si>
  <si>
    <t>Block short description</t>
  </si>
  <si>
    <t>Block Descrip.</t>
  </si>
  <si>
    <t>TRANS(MBLOCKS,BLOCK,SHORT.DESC,'X')</t>
  </si>
  <si>
    <t>BLOCK.SDESC</t>
  </si>
  <si>
    <t>Block Revised Price</t>
  </si>
  <si>
    <t>TRANS(GRAPE.PRICE,VINTINTAKE.SEQ,REVIS.PRICE,'X')</t>
  </si>
  <si>
    <t>BLOCK.REVIS.PRICE</t>
  </si>
  <si>
    <t>Block Pricing Code</t>
  </si>
  <si>
    <t>TRANS(GRAPE.PRICE,VINTINTAKE.SEQ,BLOCK.PRICE.CODE,'X')</t>
  </si>
  <si>
    <t>BLOCK.PRICE.CODE</t>
  </si>
  <si>
    <t>Block Premium Price</t>
  </si>
  <si>
    <t>TRANS(GRAPE.PRICE,VINTINTAKE.SEQ,PREM.PRICE,'X')</t>
  </si>
  <si>
    <t>BLOCK.PREM.PRICE</t>
  </si>
  <si>
    <t>Block Negotiated Price</t>
  </si>
  <si>
    <t>BLOCK.NEG.PRICE</t>
  </si>
  <si>
    <t>TRANS(MBLOCKS,BLOCK,NAME,'X')</t>
  </si>
  <si>
    <t>BLOCK.NAME</t>
  </si>
  <si>
    <t>First available description of block code</t>
  </si>
  <si>
    <t>Block Description</t>
  </si>
  <si>
    <t>SUBR('*PVIZ141','','',BLOCK)</t>
  </si>
  <si>
    <t>BLOCK.FDESC</t>
  </si>
  <si>
    <t>Block Forecast Price</t>
  </si>
  <si>
    <t>SUBR('*GVIZ157',VINTINTAKE.SEQ:@FM:'F*V','','','')</t>
  </si>
  <si>
    <t>BLOCK.FCAST.PRICE</t>
  </si>
  <si>
    <t>Block Excess Price</t>
  </si>
  <si>
    <t>IF NETTE NE '' THEN TRANS(GRAPE.PRICE,VINTINTAKE.SEQ,EX.TN.PRICE,'X') ELSE ''</t>
  </si>
  <si>
    <t>BLOCK.EX.TN.PRICE</t>
  </si>
  <si>
    <t>Block full description</t>
  </si>
  <si>
    <t>TRANS(MBLOCKS,BLOCK,DESCRIPTION,'X')</t>
  </si>
  <si>
    <t>BLOCK.DESC</t>
  </si>
  <si>
    <t>Block Current Price</t>
  </si>
  <si>
    <t>SUBR('*GVIZ157',VINTINTAKE.SEQ:@FM:'C*V','','','')</t>
  </si>
  <si>
    <t>BLOCK.CURR.PRICE</t>
  </si>
  <si>
    <t>Block Contract Price</t>
  </si>
  <si>
    <t>TRANS(GRAPE.PRICE,VINTINTAKE.SEQ,CONT.PRICE,'X')</t>
  </si>
  <si>
    <t>BLOCK.CONT.PRICE</t>
  </si>
  <si>
    <t>Booking MPF</t>
  </si>
  <si>
    <t>IF VINTAGE = VIYEAR THEN TRANS(BOOKING,BKNGNUM,'BKG.MPF','X') ELSE</t>
  </si>
  <si>
    <t>BKG.MPF</t>
  </si>
  <si>
    <t>Booking grade level</t>
  </si>
  <si>
    <t>IF VINTAGE = VIYEAR THEN TRANS(BOOKING,BKNGNUM,'BKG.GRADE.LEVEL','X') ELSE</t>
  </si>
  <si>
    <t>BKG.GRADE.LEVEL</t>
  </si>
  <si>
    <t>Booked tonnes  (confirmed bookings)</t>
  </si>
  <si>
    <t>TRANS(CRUSHPLAN,CRSLOT,'BKDTNNE','X')</t>
  </si>
  <si>
    <t>BKDTNNE</t>
  </si>
  <si>
    <t>Bin type short description</t>
  </si>
  <si>
    <t>Bin type</t>
  </si>
  <si>
    <t>TRANS(GRAPE.BIN.TYPE,BIN.TYPE,'SDESC','X')</t>
  </si>
  <si>
    <t>BIN.SDESC</t>
  </si>
  <si>
    <t>Most recent MATURITY test baume result for this block</t>
  </si>
  <si>
    <t>TRANS(MATURITY,MATKEY,@RECORD,'X');SUBR('*PVIZ104','B*':@1,'V')</t>
  </si>
  <si>
    <t>BAUME1</t>
  </si>
  <si>
    <t>Updated</t>
  </si>
  <si>
    <t>Area Code For S.A.  1 or 2</t>
  </si>
  <si>
    <t>AREA</t>
  </si>
  <si>
    <t>TRANS(SOURCE,GRSOURCE,AREA,'X')</t>
  </si>
  <si>
    <t>Agsmart Grower Flag</t>
  </si>
  <si>
    <t>Agsmart</t>
  </si>
  <si>
    <t>TRANS(MGROWER,ACCOUNT,'AGSMART.FLAG','X')</t>
  </si>
  <si>
    <t>AGSMART.FLAG</t>
  </si>
  <si>
    <t>MASTER</t>
  </si>
  <si>
    <t>TRANS(MGROWER,GROWERID,MAGENT,'X')</t>
  </si>
  <si>
    <t>AGENTCDE</t>
  </si>
  <si>
    <t>Agents Inspection fee</t>
  </si>
  <si>
    <t>INSPECT</t>
  </si>
  <si>
    <t>NETT * .6</t>
  </si>
  <si>
    <t>AGENT.INS.FEE</t>
  </si>
  <si>
    <t>Agents Commission</t>
  </si>
  <si>
    <t>AGENT</t>
  </si>
  <si>
    <t>VAR.VALUE * .01</t>
  </si>
  <si>
    <t>AGENT.COMM</t>
  </si>
  <si>
    <t>AgCode</t>
  </si>
  <si>
    <t>IF GI.ZONE THEN TRANS(GI.FILE,GI.ZONE,GI.SDESC,'X') ELSE</t>
  </si>
  <si>
    <t>AGCODE.UNIT</t>
  </si>
  <si>
    <t>Y/'' to indicate the block is an AgCode block.</t>
  </si>
  <si>
    <t>TRANS(MBLOCKS,BLOCK,'AGCODE.BLK','X')</t>
  </si>
  <si>
    <t>AGCODE.BLK</t>
  </si>
  <si>
    <t>Address</t>
  </si>
  <si>
    <t>ADDRESS</t>
  </si>
  <si>
    <t>TRANS(MGROWER,GROWERID,ADDRS,'X')</t>
  </si>
  <si>
    <t>ADDRS</t>
  </si>
  <si>
    <t>Actual price</t>
  </si>
  <si>
    <t>Act.</t>
  </si>
  <si>
    <t>SUBR('*PVIZ157',WILLBE.HIST.KEY:@FM:'A*W','','','')</t>
  </si>
  <si>
    <t>ACT.PRICE</t>
  </si>
  <si>
    <t>Account Type (G or C)</t>
  </si>
  <si>
    <t>ACCOUNT.TYPE</t>
  </si>
  <si>
    <t>Account group name</t>
  </si>
  <si>
    <t>Account Group Description</t>
  </si>
  <si>
    <t>TRANS(MGROWER,GROWERID,ACCOUNT.GROUP,'X');IF @ THEN</t>
  </si>
  <si>
    <t>ACCOUNT.GROUP.NAME</t>
  </si>
  <si>
    <t>Account group</t>
  </si>
  <si>
    <t>Account</t>
  </si>
  <si>
    <t>TRANS(MGROWER,GROWERID,ACCOUNT.GROUP,'X')</t>
  </si>
  <si>
    <t>ACCOUNT.GROUP</t>
  </si>
  <si>
    <t>The last calculated (by payment run) price per tonne for excess</t>
  </si>
  <si>
    <t>WNOTE.PRICE.EXCESS</t>
  </si>
  <si>
    <t>Comments related to excess tonnes price</t>
  </si>
  <si>
    <t>EXCESS.PRICE.COMMENTS</t>
  </si>
  <si>
    <t>Final price for excess tonnes</t>
  </si>
  <si>
    <t>EXCESS.FINAL.PRICE</t>
  </si>
  <si>
    <t>Price components for excess tonnes</t>
  </si>
  <si>
    <t>WPCE</t>
  </si>
  <si>
    <t>EXCESS.PRICE.COMPS</t>
  </si>
  <si>
    <t>nett tonnes that in excess of pre-approved</t>
  </si>
  <si>
    <t>NETTE</t>
  </si>
  <si>
    <t>nett tonnes that are within pre-approved</t>
  </si>
  <si>
    <t>NETTW</t>
  </si>
  <si>
    <t>Id used to link a weighnote with a driver warning that failed. Used</t>
  </si>
  <si>
    <t>FAILED.DW.WN.ID</t>
  </si>
  <si>
    <t>Flag for if over Agreed Tonnes (1 = TRUE)</t>
  </si>
  <si>
    <t>OVER.AGREED</t>
  </si>
  <si>
    <t>Original tare from weigh bridge before adjustment due to different</t>
  </si>
  <si>
    <t>Orig</t>
  </si>
  <si>
    <t>ORIG.TARE</t>
  </si>
  <si>
    <t>Bins out number of</t>
  </si>
  <si>
    <t>BINS.OUTIN</t>
  </si>
  <si>
    <t>Bins</t>
  </si>
  <si>
    <t>BINS.OUT.NUMBER</t>
  </si>
  <si>
    <t>Bins out empty weight</t>
  </si>
  <si>
    <t>BINS.OUT</t>
  </si>
  <si>
    <t>BINS.OUT.WGHT</t>
  </si>
  <si>
    <t>Bins in number of</t>
  </si>
  <si>
    <t>BINS.IN</t>
  </si>
  <si>
    <t>BINS.IN.NUMBER</t>
  </si>
  <si>
    <t>Bins in empty weight</t>
  </si>
  <si>
    <t>BINS.IN.WGHT</t>
  </si>
  <si>
    <t>Plant Health Assurance Certificate Number</t>
  </si>
  <si>
    <t>PHAC No</t>
  </si>
  <si>
    <t>PHAC.NO</t>
  </si>
  <si>
    <t>Deleted weighnote number - can be entered as reference on</t>
  </si>
  <si>
    <t>Deleted</t>
  </si>
  <si>
    <t>DELWNTE</t>
  </si>
  <si>
    <t>Set to 'Y' if record has been sent to AgCode, 'C' if record has been</t>
  </si>
  <si>
    <t>Sent</t>
  </si>
  <si>
    <t>SENT.AGCODE</t>
  </si>
  <si>
    <t>WNOTE.PRICE.COMMENTS</t>
  </si>
  <si>
    <t>final calculated weighnote price</t>
  </si>
  <si>
    <t>Final Price</t>
  </si>
  <si>
    <t>WNOTE.FINAL.PRICE</t>
  </si>
  <si>
    <t>Weighnote Price components</t>
  </si>
  <si>
    <t>WNOTE.PRICE.COMPS</t>
  </si>
  <si>
    <t>Estimated Nett Tonnes - used to advise crusher prior to tare.</t>
  </si>
  <si>
    <t>EST.NETT</t>
  </si>
  <si>
    <t>Grade held back flag</t>
  </si>
  <si>
    <t>GRADE.HELD.BACK</t>
  </si>
  <si>
    <t>Price adjustment amount</t>
  </si>
  <si>
    <t>PRICE.ADJUST.AMT</t>
  </si>
  <si>
    <t>Load assessor ID</t>
  </si>
  <si>
    <t>LOAD.ASSESSOR</t>
  </si>
  <si>
    <t>Truck registration number</t>
  </si>
  <si>
    <t>Truck</t>
  </si>
  <si>
    <t>TRUCK.REGNO</t>
  </si>
  <si>
    <t>Truck drivers name</t>
  </si>
  <si>
    <t>Truck Driver</t>
  </si>
  <si>
    <t>TRUCK.DRIVER</t>
  </si>
  <si>
    <t>Site departure time</t>
  </si>
  <si>
    <t>SITE.DEP.TIME</t>
  </si>
  <si>
    <t>Site arrival time</t>
  </si>
  <si>
    <t>SITE.ARR.TIME</t>
  </si>
  <si>
    <t>Vineyard departure time</t>
  </si>
  <si>
    <t>VIN.DEP.TIME</t>
  </si>
  <si>
    <t>Record Id for related DRIVER.WARN file entry</t>
  </si>
  <si>
    <t>Driver</t>
  </si>
  <si>
    <t>DRIVER.WARN.ID</t>
  </si>
  <si>
    <t>Truck certificate number</t>
  </si>
  <si>
    <t>Truck Certificate No.</t>
  </si>
  <si>
    <t>TR.CERT.NO</t>
  </si>
  <si>
    <t>TWE Bins</t>
  </si>
  <si>
    <t>TWE</t>
  </si>
  <si>
    <t>GC.BIN.TYPE</t>
  </si>
  <si>
    <t>MC</t>
  </si>
  <si>
    <t>BIN.TYPE</t>
  </si>
  <si>
    <t>Truck type</t>
  </si>
  <si>
    <t>TRUCK.TYPE</t>
  </si>
  <si>
    <t>Reversed W/Note</t>
  </si>
  <si>
    <t>Reversed</t>
  </si>
  <si>
    <t>REV.WNOTE</t>
  </si>
  <si>
    <t>Excess Tonnes Weighnote</t>
  </si>
  <si>
    <t>Excess Tonnes</t>
  </si>
  <si>
    <t>EXCESS.WNOTE</t>
  </si>
  <si>
    <t>Grape Despatch Docket</t>
  </si>
  <si>
    <t>GRAPE.DESP.DOCKET</t>
  </si>
  <si>
    <t>Assigned crusher for this intake from Variety file HIST</t>
  </si>
  <si>
    <t>ASSIG</t>
  </si>
  <si>
    <t>CRUSHER.HIST</t>
  </si>
  <si>
    <t>crush site HIST</t>
  </si>
  <si>
    <t>CRSITE.HIST</t>
  </si>
  <si>
    <t>Key to record on WEIGHT.LOG file from whic this weighnote's nett</t>
  </si>
  <si>
    <t>WEIGHT.LOG</t>
  </si>
  <si>
    <t>WGLOGNO</t>
  </si>
  <si>
    <t>Grape revised price</t>
  </si>
  <si>
    <t>Revis</t>
  </si>
  <si>
    <t>REVIS.PRICE</t>
  </si>
  <si>
    <t>Weighnote negotiated grape price</t>
  </si>
  <si>
    <t>Neg</t>
  </si>
  <si>
    <t>NEG.PRICE</t>
  </si>
  <si>
    <t>Block code</t>
  </si>
  <si>
    <t>BLOCK</t>
  </si>
  <si>
    <t>Truck (F)ull or (P)art load</t>
  </si>
  <si>
    <t>F/P</t>
  </si>
  <si>
    <t>FPLOAD</t>
  </si>
  <si>
    <t>Delivery method code</t>
  </si>
  <si>
    <t>Delv</t>
  </si>
  <si>
    <t>DM.CODE</t>
  </si>
  <si>
    <t>Standard quality comment code</t>
  </si>
  <si>
    <t>QC.CODE</t>
  </si>
  <si>
    <t>Value of weigh note using price determined when payment was made -</t>
  </si>
  <si>
    <t>STMT</t>
  </si>
  <si>
    <t>STATEMENT</t>
  </si>
  <si>
    <t>STMT.VALUE</t>
  </si>
  <si>
    <t>Date of each statement run in which this weigh note was included</t>
  </si>
  <si>
    <t>STATEMNT</t>
  </si>
  <si>
    <t>STMT.DATE</t>
  </si>
  <si>
    <t>Original entry in tare field - '*' if * was entered (for optional</t>
  </si>
  <si>
    <t>TARE</t>
  </si>
  <si>
    <t>TARE.ENTRY</t>
  </si>
  <si>
    <t>The last calculated (by payment run) price per tonne</t>
  </si>
  <si>
    <t>WNOTE.PRICE</t>
  </si>
  <si>
    <t>First tank beaume</t>
  </si>
  <si>
    <t>Initial Tank</t>
  </si>
  <si>
    <t>TANK.BEAUME</t>
  </si>
  <si>
    <t>First tank baume</t>
  </si>
  <si>
    <t>TANK.BAUME</t>
  </si>
  <si>
    <t>Replacement weighnote number (required for delete)</t>
  </si>
  <si>
    <t>Replacement</t>
  </si>
  <si>
    <t>REPWNTE</t>
  </si>
  <si>
    <t>@ID * YY</t>
  </si>
  <si>
    <t>HIST.KEY</t>
  </si>
  <si>
    <t>Cancellation reason</t>
  </si>
  <si>
    <t>Cancellation Reason</t>
  </si>
  <si>
    <t>CANCRSN</t>
  </si>
  <si>
    <t>Completion time</t>
  </si>
  <si>
    <t>COMPLETION</t>
  </si>
  <si>
    <t>MTHS</t>
  </si>
  <si>
    <t>COMPTIME</t>
  </si>
  <si>
    <t>Completion date</t>
  </si>
  <si>
    <t>COMPDATE</t>
  </si>
  <si>
    <t>Creation time</t>
  </si>
  <si>
    <t>CREATION</t>
  </si>
  <si>
    <t>CRTNTIME</t>
  </si>
  <si>
    <t>Creation date</t>
  </si>
  <si>
    <t>CRTNDATE</t>
  </si>
  <si>
    <t>Logname of user who completed weighnote</t>
  </si>
  <si>
    <t>Created</t>
  </si>
  <si>
    <t>Flag is 'Y' if reversal note exists</t>
  </si>
  <si>
    <t>Rev</t>
  </si>
  <si>
    <t>REVERSAL</t>
  </si>
  <si>
    <t>Record update by (logname)</t>
  </si>
  <si>
    <t>Defect points</t>
  </si>
  <si>
    <t>Defect</t>
  </si>
  <si>
    <t>DEFECTS</t>
  </si>
  <si>
    <t>Matter other than grapes</t>
  </si>
  <si>
    <t>MOG</t>
  </si>
  <si>
    <t>Bin net</t>
  </si>
  <si>
    <t>BINNO</t>
  </si>
  <si>
    <t>Bin</t>
  </si>
  <si>
    <t>BINNET</t>
  </si>
  <si>
    <t>Bin tare</t>
  </si>
  <si>
    <t>BINTARE</t>
  </si>
  <si>
    <t>Bin gross</t>
  </si>
  <si>
    <t>BINGROSS</t>
  </si>
  <si>
    <t>Bin number</t>
  </si>
  <si>
    <t>Bin No</t>
  </si>
  <si>
    <t>General comments</t>
  </si>
  <si>
    <t>CARTCOMM</t>
  </si>
  <si>
    <t>Instructions code</t>
  </si>
  <si>
    <t>Ins.</t>
  </si>
  <si>
    <t>INSTRUC</t>
  </si>
  <si>
    <t>End</t>
  </si>
  <si>
    <t>Quality comment</t>
  </si>
  <si>
    <t>QUALCOMM</t>
  </si>
  <si>
    <t>Acid</t>
  </si>
  <si>
    <t>ACID</t>
  </si>
  <si>
    <t>crush site</t>
  </si>
  <si>
    <t>CRSITE</t>
  </si>
  <si>
    <t>crush slot number</t>
  </si>
  <si>
    <t>SLOTNUM</t>
  </si>
  <si>
    <t>CRSLOT</t>
  </si>
  <si>
    <t>booking number</t>
  </si>
  <si>
    <t>Booking</t>
  </si>
  <si>
    <t>BKNGNUM</t>
  </si>
  <si>
    <t>FROM IBM</t>
  </si>
  <si>
    <t>FROM.IBM</t>
  </si>
  <si>
    <t>Other Cartnote number (ie. Penfolds - Contract Processing)</t>
  </si>
  <si>
    <t>OTHER</t>
  </si>
  <si>
    <t>OTHER.CARTNO</t>
  </si>
  <si>
    <t>Period End Dates for Payments Made to Carriers via Carrier Payments</t>
  </si>
  <si>
    <t>CART.PAYMEN</t>
  </si>
  <si>
    <t>PAY.CARRIER.DATE</t>
  </si>
  <si>
    <t>Amounts Paid to Carriers via Carrier Payments</t>
  </si>
  <si>
    <t>PAY.CARRIER.AMT</t>
  </si>
  <si>
    <t>Carrier Codes Paid via Carrier Payments</t>
  </si>
  <si>
    <t>PAY.CARRIER</t>
  </si>
  <si>
    <t>Default wine type</t>
  </si>
  <si>
    <t>WINE</t>
  </si>
  <si>
    <t>Must Nett weight xx.xx tonnes</t>
  </si>
  <si>
    <t>MUST</t>
  </si>
  <si>
    <t>MUST.NETT</t>
  </si>
  <si>
    <t>Must Cartage Area</t>
  </si>
  <si>
    <t>MUST.AREA</t>
  </si>
  <si>
    <t>Secondary carrirer for Must</t>
  </si>
  <si>
    <t>MUST.CARRIER</t>
  </si>
  <si>
    <t>Payment flag P - Paid, E - Extracted for payment</t>
  </si>
  <si>
    <t>GROWER.PAYFLAG</t>
  </si>
  <si>
    <t>Variety/Quality/Source Rate</t>
  </si>
  <si>
    <t>VAR.RATE</t>
  </si>
  <si>
    <t>Price code A through Z</t>
  </si>
  <si>
    <t>PRICE.CODE</t>
  </si>
  <si>
    <t>Flag to indicate that the record has been transfered to S/34 - "T" or " "</t>
  </si>
  <si>
    <t>TRANS TO</t>
  </si>
  <si>
    <t>TRANS</t>
  </si>
  <si>
    <t>Trip no this Carrier</t>
  </si>
  <si>
    <t>TRIP</t>
  </si>
  <si>
    <t>Juice Litres</t>
  </si>
  <si>
    <t>JUICE</t>
  </si>
  <si>
    <t>Temperature</t>
  </si>
  <si>
    <t>Baume at time of delivery - special version WITHOUT OUTPUT</t>
  </si>
  <si>
    <t>Deliv</t>
  </si>
  <si>
    <t>SEL.BAUME</t>
  </si>
  <si>
    <t>Initial Beaume</t>
  </si>
  <si>
    <t>INITIAL</t>
  </si>
  <si>
    <t>INITBE</t>
  </si>
  <si>
    <t>Beaume at time of delivery</t>
  </si>
  <si>
    <t>Delivery</t>
  </si>
  <si>
    <t>BEAUME</t>
  </si>
  <si>
    <t>Baume at time of delivery</t>
  </si>
  <si>
    <t>BAUME</t>
  </si>
  <si>
    <t>Grower source area</t>
  </si>
  <si>
    <t>SRCAREA</t>
  </si>
  <si>
    <t>Grower Source Code</t>
  </si>
  <si>
    <t>GRSOURCE</t>
  </si>
  <si>
    <t>Fruit Quality</t>
  </si>
  <si>
    <t>Agent Commission Code</t>
  </si>
  <si>
    <t>AGENTCODE</t>
  </si>
  <si>
    <t>PAYFLAG</t>
  </si>
  <si>
    <t>Cross reference for cancelled dockets (Cancelled docket refers to credit docket</t>
  </si>
  <si>
    <t>CROSS</t>
  </si>
  <si>
    <t>XREF</t>
  </si>
  <si>
    <t>"P" - Printed, "N" - Not yet printed</t>
  </si>
  <si>
    <t>PRT</t>
  </si>
  <si>
    <t>PRINTFLAG</t>
  </si>
  <si>
    <t>Equivalent other company variety code</t>
  </si>
  <si>
    <t>Standard pool no. - From Variety Master</t>
  </si>
  <si>
    <t>POOL</t>
  </si>
  <si>
    <t>Nett weight delivered  xx.xx tonnes for standard Pool, excluding reject</t>
  </si>
  <si>
    <t>NETT</t>
  </si>
  <si>
    <t>Special Pool intake nett weight</t>
  </si>
  <si>
    <t>5R2</t>
  </si>
  <si>
    <t>SPEC POOL</t>
  </si>
  <si>
    <t>SNETT</t>
  </si>
  <si>
    <t>Special pool no assigned if intake exceeds quota (Validate against Pool master)</t>
  </si>
  <si>
    <t>SPEC</t>
  </si>
  <si>
    <t>SP.POOL</t>
  </si>
  <si>
    <t>Assigned potter drainer (Not in use)</t>
  </si>
  <si>
    <t>POTTER</t>
  </si>
  <si>
    <t>Assigned crusher for this intake from Variety file</t>
  </si>
  <si>
    <t>CRUSHER</t>
  </si>
  <si>
    <t>Crushpit</t>
  </si>
  <si>
    <t>CRPIT</t>
  </si>
  <si>
    <t>"H"-Hand "M"-Mechanical</t>
  </si>
  <si>
    <t>PICK</t>
  </si>
  <si>
    <t>PMETHOD</t>
  </si>
  <si>
    <t>Harvest method</t>
  </si>
  <si>
    <t>H</t>
  </si>
  <si>
    <t>HMETHOD</t>
  </si>
  <si>
    <t>Not currently in use</t>
  </si>
  <si>
    <t>ESTIMATED</t>
  </si>
  <si>
    <t>AUTHNO</t>
  </si>
  <si>
    <t>Carrier Code</t>
  </si>
  <si>
    <t>CARRIER</t>
  </si>
  <si>
    <t>"Y"-Yes  "N"-No</t>
  </si>
  <si>
    <t>FIN</t>
  </si>
  <si>
    <t>FLAGN</t>
  </si>
  <si>
    <t>RECFINAL</t>
  </si>
  <si>
    <t>Percentage of reject this load  xx%</t>
  </si>
  <si>
    <t>%</t>
  </si>
  <si>
    <t>REJECTPCT</t>
  </si>
  <si>
    <t>Tare weight this delivery  xx.xx Tonnes</t>
  </si>
  <si>
    <t>Gross Tonnage delivered this load xx.xx</t>
  </si>
  <si>
    <t>GROSS</t>
  </si>
  <si>
    <t>Grape Cartage Code</t>
  </si>
  <si>
    <t>CARTAGE.CODE</t>
  </si>
  <si>
    <t>CART.AREA</t>
  </si>
  <si>
    <t>AGDOCKET</t>
  </si>
  <si>
    <t>Same as @ID</t>
  </si>
  <si>
    <t>RECEIPT</t>
  </si>
  <si>
    <t>WBDOCKET</t>
  </si>
  <si>
    <t>Receipt time HH:MMam/pm</t>
  </si>
  <si>
    <t>MTH</t>
  </si>
  <si>
    <t>RTIME</t>
  </si>
  <si>
    <t>RecTime in Normal Time format for 2020</t>
  </si>
  <si>
    <t>RECTIME.E</t>
  </si>
  <si>
    <t>HH,MM,SS.SS</t>
  </si>
  <si>
    <t>10R2</t>
  </si>
  <si>
    <t>RECTIME</t>
  </si>
  <si>
    <t>dd/mm/yyyy</t>
  </si>
  <si>
    <t>RECDATE.E</t>
  </si>
  <si>
    <t>dd/mm/yy</t>
  </si>
  <si>
    <t>RECDATE</t>
  </si>
  <si>
    <t>Year of Vintage  eg.  1984</t>
  </si>
  <si>
    <t>Record Activity Code</t>
  </si>
  <si>
    <t>REACTIVE</t>
  </si>
  <si>
    <t>Record activity code   " " - Active   "D" - Delete   "C" - Cancelled  "P" -</t>
  </si>
  <si>
    <t>REACTIV</t>
  </si>
  <si>
    <t>ACTIVITY</t>
  </si>
  <si>
    <t>Company Code/Grower No - See MGROWER</t>
  </si>
  <si>
    <t>GROWERID</t>
  </si>
  <si>
    <t>Account number of Grower, Company Vineyard block or Carrier</t>
  </si>
  <si>
    <t>Weighnote number</t>
  </si>
  <si>
    <t>.REPT FILE RECORD ID</t>
  </si>
  <si>
    <t>GRAPERECPT.REPT</t>
  </si>
  <si>
    <t>LONG.REPT.KEY</t>
  </si>
  <si>
    <t>History file @ID (sequential number)</t>
  </si>
  <si>
    <t>GRAPERECPT.HIST</t>
  </si>
  <si>
    <t>HIST.SEQ</t>
  </si>
  <si>
    <t>45L</t>
  </si>
  <si>
    <t>AUD.ID</t>
  </si>
  <si>
    <t>GRAPERECPT</t>
  </si>
  <si>
    <t>A;(70(G1*1)):(70(G*1))</t>
  </si>
  <si>
    <t>WNID</t>
  </si>
  <si>
    <t>TWBDOCKET TGVARIETY TGGROSS TGCARRIER</t>
  </si>
  <si>
    <t>WVGC</t>
  </si>
  <si>
    <t>TVINTAGE TVARIETY TQUOTA TTALLOC TTOFFERED</t>
  </si>
  <si>
    <t>VVQTT</t>
  </si>
  <si>
    <t>Select active records yet to be assigned a JDEG vendor Id</t>
  </si>
  <si>
    <t>WITH MGACTIV = "C" AND WITH NO OWN.BLOCK AND WITH NO GENERIC AND WITH ( NO</t>
  </si>
  <si>
    <t>UNASSIGNED.GROWERS</t>
  </si>
  <si>
    <t>Sort &amp; selection phrase used by PW.GROWERSEL pop-up</t>
  </si>
  <si>
    <t>BY GROWER</t>
  </si>
  <si>
    <t>PW.GROWERSEL</t>
  </si>
  <si>
    <t>BY ACCOUNT WITH MGACTIVE = 'C' WITH RTYPE = 'G' NAME</t>
  </si>
  <si>
    <t>AG</t>
  </si>
  <si>
    <t>BY GROWERID RTYPE GROWER ADDRS PHONE PAYTO BANK GGLEVIE GRVAR</t>
  </si>
  <si>
    <t>FOR ENTRO DEFAULT FIELD LIST CREATED 10:09:20 09 NOV 1983</t>
  </si>
  <si>
    <t>GROWERID  RTYPE GROWER ADDRS PCODE PAYTO BANK  GGLEVIE SHARELEVIE  PHONE ALTNAME</t>
  </si>
  <si>
    <t>BY GROWERID RTYPE GROWER ADDRS GRVAR</t>
  </si>
  <si>
    <t>@.OLD</t>
  </si>
  <si>
    <t>BY ACCOUNT NAME MGACTIVE RTYPE SOURCE CONTRACT.TYPE</t>
  </si>
  <si>
    <t>TRANS(CRUSHSITE,CRUSH.LOCN,'WINERY.LOC','X')</t>
  </si>
  <si>
    <t>Winemaker logname of 1st current block (current year VINTINTAKE)</t>
  </si>
  <si>
    <t>Winemaker</t>
  </si>
  <si>
    <t>SUBR(SUBR.PENBW:'PBWI1069',@ID,57)</t>
  </si>
  <si>
    <t>WINEMAKER</t>
  </si>
  <si>
    <t>The grower address book number regardless of if the record is a</t>
  </si>
  <si>
    <t>IF ACCOUNT.VYARD # '' THEN TRANS(MGROWER,ACCOUNT.VYARD,'WIM.GWR.ABNO','X') ELSE</t>
  </si>
  <si>
    <t>WIM.VRYD.GWR.ABNO</t>
  </si>
  <si>
    <t>WIM Vineyard Operations Sub Region Code</t>
  </si>
  <si>
    <t>IF OWN.BLOCK = 'Y' THEN VO.SUBREG ELSE 'GR'</t>
  </si>
  <si>
    <t>WIM.VO.SUBREGION</t>
  </si>
  <si>
    <t>second WIM vineyard</t>
  </si>
  <si>
    <t>Second</t>
  </si>
  <si>
    <t>FIELD(WIM.VINEYARD,@VM,2)</t>
  </si>
  <si>
    <t>WIM.VINEYARD.2</t>
  </si>
  <si>
    <t>WIM contract start date</t>
  </si>
  <si>
    <t>IF CNTRCT.COMM # '' THEN CNTRCT.COMM ELSE CNTRCT.SIGN</t>
  </si>
  <si>
    <t>WIM.START.DATE</t>
  </si>
  <si>
    <t>Price code of 1st current block (current year VINTINTAKE) for WIM</t>
  </si>
  <si>
    <t>SUBR(SUBR.PENBW:'PBWI1069',@ID,'P23')</t>
  </si>
  <si>
    <t>WIM.PRICE.CODE</t>
  </si>
  <si>
    <t>WIM Geographic area (level 2 source suffixed with X)</t>
  </si>
  <si>
    <t>ORIGIN:'X'</t>
  </si>
  <si>
    <t>WIM.GEOG.AREA</t>
  </si>
  <si>
    <t>WIM farm type</t>
  </si>
  <si>
    <t>IF OWN.BLOCK = 'Y' THEN 0 ELSE 1</t>
  </si>
  <si>
    <t>WIM.FARM.TYPE</t>
  </si>
  <si>
    <t>WIM contract code</t>
  </si>
  <si>
    <t>WIM.VINEYARD:'-A'</t>
  </si>
  <si>
    <t>WIM.CONTRACT</t>
  </si>
  <si>
    <t>Wim apellation description</t>
  </si>
  <si>
    <t>WIM Apellation description</t>
  </si>
  <si>
    <t>TRANS(WIM.APELLATION,WIM.APELLATION,'WIM.APL.DESC','X')</t>
  </si>
  <si>
    <t>WIM.APL.DESC</t>
  </si>
  <si>
    <t>WIM Apellation</t>
  </si>
  <si>
    <t>WIM.APELLATION</t>
  </si>
  <si>
    <t>@ID:'2004' ; TRANS(I.MG.VINT,@,1,'X')</t>
  </si>
  <si>
    <t>VTK.ALTKEY</t>
  </si>
  <si>
    <t>Vintage Operation Region Description</t>
  </si>
  <si>
    <t>VO.SUBREG; SUBR(SUBR.PENBW:"PVII199", @, 'V', '') ;@[1,15]</t>
  </si>
  <si>
    <t>VO.DESC15</t>
  </si>
  <si>
    <t>VO.SUBREG; SUBR(SUBR.PENBW:"PVII199", @, 'V', '')</t>
  </si>
  <si>
    <t>Vintage contact full name</t>
  </si>
  <si>
    <t>VINT.CONT</t>
  </si>
  <si>
    <t>SUBR('!CATS',VINT.CONT.FIRST.NAME,REUSE(' '));SUBR('!CATS',@1,VINT.CONT.SURNAME)</t>
  </si>
  <si>
    <t>VINT.CONT.NAME</t>
  </si>
  <si>
    <t>WIM Vineyard (VIN/VEX) address</t>
  </si>
  <si>
    <t>VIN.VEX.ADD</t>
  </si>
  <si>
    <t>IF VINEYARD.LOCATION = '' THEN ADDRS ELSE VINEYARD.LOCATION;IF @1 = 'N/A' THEN ADDRS</t>
  </si>
  <si>
    <t>VIN.VEX.ADDR</t>
  </si>
  <si>
    <t>Vendor</t>
  </si>
  <si>
    <t>'08':@ID</t>
  </si>
  <si>
    <t>VENDORKEY</t>
  </si>
  <si>
    <t>Flag if VENDOR record exists</t>
  </si>
  <si>
    <t>IF TRANS(VENDOR,GRWCOY:@ID,0,'X') NE '' THEN 'Y' ELSE 'N'</t>
  </si>
  <si>
    <t>VEND.EXISTS</t>
  </si>
  <si>
    <t>Vintage contact phone number prefix</t>
  </si>
  <si>
    <t>Contact</t>
  </si>
  <si>
    <t>TRIM(CONTACT.PHONE,' ','A')[1,2]</t>
  </si>
  <si>
    <t>VCPH.PREFIX</t>
  </si>
  <si>
    <t>local part of vintage contact phone number</t>
  </si>
  <si>
    <t>TRIM(CONTACT.PHONE,' ','A')[3,99]</t>
  </si>
  <si>
    <t>VCPH.LOCAL</t>
  </si>
  <si>
    <t>Vintage contact fax number prefix</t>
  </si>
  <si>
    <t>TRIM(CONTACT.FAX,' ','A')[1,2]</t>
  </si>
  <si>
    <t>VCFX.PREFIX</t>
  </si>
  <si>
    <t>local part of vintage contact fax number</t>
  </si>
  <si>
    <t>TRIM(CONTACT.FAX,' ','A')[3,99]</t>
  </si>
  <si>
    <t>VCFX.LOCAL</t>
  </si>
  <si>
    <t>Translate to Vintage intake file (single to multi value)</t>
  </si>
  <si>
    <t>TRANS(I.MG.VINT,@ID:MVYEAR,@RECORD,'+');LOWER(@1);TRANS(VINTINTAKE,@2,VINTAGE,'X')</t>
  </si>
  <si>
    <t>TRANS(I.MG.VINT,@ID:MVYEAR,@RECORD,'+');LOWER(@1);TRANS(VINTINTAKE,@2,VARIETY,'X');T</t>
  </si>
  <si>
    <t>Translate to Vintage Intake File (single to multi value)</t>
  </si>
  <si>
    <t>TRANS(I.MG.VINT,@ID:MVYEAR,@RECORD,'+');LOWER(@1);TRANS(VINTINTAKE,@2,VARIETY,'X')</t>
  </si>
  <si>
    <t>TVAR</t>
  </si>
  <si>
    <t>TRANS(I.MG.VINT,@ID:MVYEAR,@RECORD,'+');LOWER(@1);TRANS(VINTINTAKE,@2,TOFFERED,'X')</t>
  </si>
  <si>
    <t>TTOFFERED</t>
  </si>
  <si>
    <t>TRANS(I.MG.VINT,@ID:MVYEAR,@RECORD,'+');LOWER(@1);TRANS(VINTINTAKE,@2,TALLOC,'X')</t>
  </si>
  <si>
    <t>TTALLOC</t>
  </si>
  <si>
    <t>QUOTA</t>
  </si>
  <si>
    <t>TRANS(I.MG.VINT,@ID:MVYEAR,@RECORD,'+');LOWER(@1);TRANS(VINTINTAKE,@2,QUOTA,'X')</t>
  </si>
  <si>
    <t>TQUOTA</t>
  </si>
  <si>
    <t>Grower has a tax file number recorded</t>
  </si>
  <si>
    <t>TFN</t>
  </si>
  <si>
    <t>IF TRANS(VENDOR,GRWCOY:@ID,TAX.NO,'X') NE '' THEN 'Y' ELSE 'N'</t>
  </si>
  <si>
    <t>TFN.EXISTS</t>
  </si>
  <si>
    <t>Translate to Vintage Intake file (single to multi value)</t>
  </si>
  <si>
    <t>TRANS(I.MG.VINT,@ID:MVYEAR,@RECORD,'+');LOWER(@1);TRANS(VINTINTAKE,@2,TDELGROSS,'X')</t>
  </si>
  <si>
    <t>TDELGROSS</t>
  </si>
  <si>
    <t>Retrieve tax file number from Vendor file</t>
  </si>
  <si>
    <t>11LXXX-XXX-XX</t>
  </si>
  <si>
    <t>Tax File</t>
  </si>
  <si>
    <t>TRANS(VENDOR,VENDORKEY,TAX.NO,'X')</t>
  </si>
  <si>
    <t>TAX.NO</t>
  </si>
  <si>
    <t>Translate to Allocation file (single to multi value)</t>
  </si>
  <si>
    <t>TRANS(I.MG.ALLOC,@ID,@RECORD,'+');LOWER(@1);TRANS(DALLOC,@2,GROWERVAR,'X')[7,3]</t>
  </si>
  <si>
    <t>TAVARIETY</t>
  </si>
  <si>
    <t>TRANS(I.MG.ALLOC,@ID,@RECORD,'+');LOWER(@1);TRANS(DALLOC,@2,QTY,'X')</t>
  </si>
  <si>
    <t>TAQTY</t>
  </si>
  <si>
    <t>Carrier Name</t>
  </si>
  <si>
    <t>Carrier name</t>
  </si>
  <si>
    <t>TRANS(MGROWER,STDCARRIER,NAME,'X')</t>
  </si>
  <si>
    <t>STDCARRIER.NAME</t>
  </si>
  <si>
    <t>Date from which grapes to be paid</t>
  </si>
  <si>
    <t>START DATE</t>
  </si>
  <si>
    <t>TRANS(PAYMENT.TERMS,PAYMENT.CODE,START.DATE,'X')</t>
  </si>
  <si>
    <t>START.DATE</t>
  </si>
  <si>
    <t>Special Condition Description</t>
  </si>
  <si>
    <t>46L</t>
  </si>
  <si>
    <t>Special</t>
  </si>
  <si>
    <t>TRANS(MGROWER.CONDITIONS,SPEC.COND.CODE,'CONDITION.DESC','X')</t>
  </si>
  <si>
    <t>SPEC.COND.DESC</t>
  </si>
  <si>
    <t>SOURCE AREA</t>
  </si>
  <si>
    <t>TRANS(SOURCE,SOURCE,DESCP,'X')</t>
  </si>
  <si>
    <t>SOURCE.NAME</t>
  </si>
  <si>
    <t>Source Description (max 15 characters)</t>
  </si>
  <si>
    <t>Select record as some crush locations match selected crush location</t>
  </si>
  <si>
    <t>selected</t>
  </si>
  <si>
    <t>SUBR('*SEL.CRUSH.LOCN',ACCOUNT,'')</t>
  </si>
  <si>
    <t>SEL.CRUSH.LOCN</t>
  </si>
  <si>
    <t>set to Y if SCW acount else set to N</t>
  </si>
  <si>
    <t>TRANS(CONTRACT.TYPE,CONTRACT.TYPE,SCW.CONTRACT,'X')</t>
  </si>
  <si>
    <t>First character of Reference Number</t>
  </si>
  <si>
    <t>RN</t>
  </si>
  <si>
    <t>ROSE.REF[1,1]</t>
  </si>
  <si>
    <t>RN.GROUP</t>
  </si>
  <si>
    <t>Calculate year in which contract should be reviewed</t>
  </si>
  <si>
    <t>Review</t>
  </si>
  <si>
    <t>CNTRCT.LASTVIN+0-CNTRCT.TRMNTN[1,1]+0</t>
  </si>
  <si>
    <t>REVIEW.YEAR</t>
  </si>
  <si>
    <t>Phylloxera Y/N</t>
  </si>
  <si>
    <t>Phylloxera</t>
  </si>
  <si>
    <t>TRANS(SOURCE,SOURCE,PHYLLOXERA,'X')</t>
  </si>
  <si>
    <t>PHYLLOXERA</t>
  </si>
  <si>
    <t>Phone number prefix</t>
  </si>
  <si>
    <t>Phone</t>
  </si>
  <si>
    <t>TRIM(PHONE.NO,' ','A')[1,2]</t>
  </si>
  <si>
    <t>PH.PREFIX</t>
  </si>
  <si>
    <t>local part of phone number</t>
  </si>
  <si>
    <t>TRIM(PHONE.NO,' ','A')[3,99]</t>
  </si>
  <si>
    <t>PH.LOCAL</t>
  </si>
  <si>
    <t>% age payment to be made</t>
  </si>
  <si>
    <t>% PAY</t>
  </si>
  <si>
    <t>TRANS(PAYMENT.TERMS,PAYMENT.CODE,PCNT,'X')</t>
  </si>
  <si>
    <t>Date on which payment to be made</t>
  </si>
  <si>
    <t>PAY DATE</t>
  </si>
  <si>
    <t>Source for Own Grown fruit Y/N</t>
  </si>
  <si>
    <t>Own</t>
  </si>
  <si>
    <t>TRANS(SOURCE,SOURCE,OWN.SOURCE,'X')</t>
  </si>
  <si>
    <t>OWN.SOURCE</t>
  </si>
  <si>
    <t>OWN GRAPES CODE  S = SEPPELT  '' = OTHER</t>
  </si>
  <si>
    <t>OWN</t>
  </si>
  <si>
    <t>TRANS(SOURCE,SOURCE,OWN.GRAPES,'X')</t>
  </si>
  <si>
    <t>OWN.GRAPES</t>
  </si>
  <si>
    <t>Number of contact names</t>
  </si>
  <si>
    <t>DCOUNT(CONTACT.NAMES,@VM)</t>
  </si>
  <si>
    <t>NNAMES</t>
  </si>
  <si>
    <t>Number of comment lines</t>
  </si>
  <si>
    <t>DCOUNT(COMMENT,@VM)</t>
  </si>
  <si>
    <t>NCOMM</t>
  </si>
  <si>
    <t>Number of account codes</t>
  </si>
  <si>
    <t>DCOUNT(ACCOUNT.CODES,@VM)</t>
  </si>
  <si>
    <t>NACC.CDE</t>
  </si>
  <si>
    <t>Account status for My Contacts</t>
  </si>
  <si>
    <t>MC.STATUS</t>
  </si>
  <si>
    <t>IF MGACTIVE = 'C' THEN 'ACTIVE' ELSE 'INACTIVE'</t>
  </si>
  <si>
    <t>Grower name length</t>
  </si>
  <si>
    <t>LEN(GROWER)</t>
  </si>
  <si>
    <t>LEN.NAME</t>
  </si>
  <si>
    <t>2nd - 6th characters of grower id</t>
  </si>
  <si>
    <t>@ID[2,5]</t>
  </si>
  <si>
    <t>GRWRSEQ</t>
  </si>
  <si>
    <t>Grower company (branch code)</t>
  </si>
  <si>
    <t>Grow</t>
  </si>
  <si>
    <t>TRANS(BW.CONTROL,'PAYMT.PARAMS',PAYP.GRWCOY,'X')</t>
  </si>
  <si>
    <t>GRWCOY</t>
  </si>
  <si>
    <t>Grower sequence number</t>
  </si>
  <si>
    <t>GROW</t>
  </si>
  <si>
    <t>GROWERID[3,4]</t>
  </si>
  <si>
    <t>GROWERNO</t>
  </si>
  <si>
    <t>Grower liason officers Grange 2020 user name</t>
  </si>
  <si>
    <t>GLO User Name</t>
  </si>
  <si>
    <t>TRANS(USER.ACCESS,UPCASE(GLO.LOGNAME),'USERNAME','X')</t>
  </si>
  <si>
    <t>GLO.USERNAME.G20</t>
  </si>
  <si>
    <t>Grower liason officers DEFINE user name</t>
  </si>
  <si>
    <t>TRANS(DEF.SYS.USERS,UPCASE(GLO.LOGNAME),'NAME','X')</t>
  </si>
  <si>
    <t>GLO.USERNAME</t>
  </si>
  <si>
    <t>GLO Short Id.</t>
  </si>
  <si>
    <t>GLO</t>
  </si>
  <si>
    <t>TRANS(USERS.DEFAULTS,DOWNCASE(GLO.LOGNAME),'DEFVAL','X')</t>
  </si>
  <si>
    <t>GLO.SHORTID</t>
  </si>
  <si>
    <t>GI Zone description</t>
  </si>
  <si>
    <t>TRANS(GI.FILE,GI.ZONE,GI.SDESC,'X')</t>
  </si>
  <si>
    <t>Fax number prefix</t>
  </si>
  <si>
    <t>Fax</t>
  </si>
  <si>
    <t>TRIM(FAX,' ','A')[1,2]</t>
  </si>
  <si>
    <t>FX.PREFIX</t>
  </si>
  <si>
    <t>local part of fax number</t>
  </si>
  <si>
    <t>TRIM(FAX,' ','A')[3,99]</t>
  </si>
  <si>
    <t>FX.LOCAL</t>
  </si>
  <si>
    <t>Contract type estimate basis</t>
  </si>
  <si>
    <t>Estimate basis</t>
  </si>
  <si>
    <t>TRANS(CONTRACT.TYPE,CONTRACT.TYPE,ESTIMATE,'X')</t>
  </si>
  <si>
    <t>ESTIMATE</t>
  </si>
  <si>
    <t>Date to which grapes are to be paid</t>
  </si>
  <si>
    <t>END DATE</t>
  </si>
  <si>
    <t>TRANS(PAYMENT.TERMS,PAYMENT.CODE,END.DATE,'X')</t>
  </si>
  <si>
    <t>END.DATE</t>
  </si>
  <si>
    <t>Bank account name for EFT transfer</t>
  </si>
  <si>
    <t>Account Name</t>
  </si>
  <si>
    <t>TRANS(VENDOR,VENDORKEY,EFT.NAME,'X')</t>
  </si>
  <si>
    <t>EFT.NAME</t>
  </si>
  <si>
    <t>Bank account number for EFT transfer</t>
  </si>
  <si>
    <t>Account Number</t>
  </si>
  <si>
    <t>TRANS(VENDOR,VENDORKEY,EFT.ACCT,'X')</t>
  </si>
  <si>
    <t>EFT.ACCT</t>
  </si>
  <si>
    <t>default value</t>
  </si>
  <si>
    <t>CODE</t>
  </si>
  <si>
    <t>TRANS(USERS.DEFAULTS,GLO.LOGNAME,'DEFVAL','X')</t>
  </si>
  <si>
    <t>DEFVAL</t>
  </si>
  <si>
    <t>crush location of 1st current block (current year VINTINTAKE)</t>
  </si>
  <si>
    <t>SUBR(SUBR.PENBW:'PBWI1069',@ID,39)</t>
  </si>
  <si>
    <t>CRUSH.LOCN</t>
  </si>
  <si>
    <t>Count</t>
  </si>
  <si>
    <t>Full name</t>
  </si>
  <si>
    <t>CONT1.FIRST.NAME:' ':CONT1.SURNAME</t>
  </si>
  <si>
    <t>CONT1.FULLNAME</t>
  </si>
  <si>
    <t>Name of Consultant</t>
  </si>
  <si>
    <t>CONSULT</t>
  </si>
  <si>
    <t>Name of</t>
  </si>
  <si>
    <t>TRANS(MGROWER.CONSULTANTS,CONSULT.CODE,CONSULTANT.NAME,'X')</t>
  </si>
  <si>
    <t>CONSULTANT.NAME</t>
  </si>
  <si>
    <t>GROWERID[1,2]</t>
  </si>
  <si>
    <t>Contract short description</t>
  </si>
  <si>
    <t>TRANS(CONTRACT.TYPE,CONTRACT.TYPE,CNTRCT.SDESC,'X')</t>
  </si>
  <si>
    <t>CNTRCT.SDESC</t>
  </si>
  <si>
    <t>Contract description</t>
  </si>
  <si>
    <t>Contract Description</t>
  </si>
  <si>
    <t>TRANS(CONTRACT.TYPE,CONTRACT.TYPE,CNTRCT.DESC,'X')</t>
  </si>
  <si>
    <t>CNTRCT.DESC</t>
  </si>
  <si>
    <t>Long Contract Code</t>
  </si>
  <si>
    <t>TRANS(CONTRACT.TYPE,CONTRACT.TYPE,CONTRACT.LCODE,'X')</t>
  </si>
  <si>
    <t>CNT5DESC</t>
  </si>
  <si>
    <t>Carrier mobile</t>
  </si>
  <si>
    <t>TRANS(MGROWER,STDCARRIER,CONT1.MOBILE,'X')</t>
  </si>
  <si>
    <t>CARRIER.MOBILE</t>
  </si>
  <si>
    <t>Carrier fax</t>
  </si>
  <si>
    <t>TRANS(MGROWER,STDCARRIER,CONT1.FAX,'X')</t>
  </si>
  <si>
    <t>CARRIER.FAX</t>
  </si>
  <si>
    <t>Carrier email</t>
  </si>
  <si>
    <t>TRANS(MGROWER,STDCARRIER,CONT1.EMAIL,'X')</t>
  </si>
  <si>
    <t>CARRIER.EMAIL</t>
  </si>
  <si>
    <t>Carrier contact surname</t>
  </si>
  <si>
    <t>28L</t>
  </si>
  <si>
    <t>TRANS(MGROWER,STDCARRIER,CONT1.SURNAME,'X')</t>
  </si>
  <si>
    <t>CARRIER.CONT.SUR</t>
  </si>
  <si>
    <t>Carrier contact Name</t>
  </si>
  <si>
    <t>Carrier contact name</t>
  </si>
  <si>
    <t>TRANS(MGROWER,STDCARRIER,CONT1.FIRST.NAME,'X')</t>
  </si>
  <si>
    <t>CARRIER.CONT</t>
  </si>
  <si>
    <t>@id</t>
  </si>
  <si>
    <t>CARRIER.CODE</t>
  </si>
  <si>
    <t>Bank account BSB number</t>
  </si>
  <si>
    <t>BSB Number</t>
  </si>
  <si>
    <t>TRANS(VENDOR,VENDORKEY,BSB.NO,'X')</t>
  </si>
  <si>
    <t>BSB.NO</t>
  </si>
  <si>
    <t>Variety for blocks</t>
  </si>
  <si>
    <t>BLKS</t>
  </si>
  <si>
    <t>TRANS(MBLOCKS,BLOCK,VARIETY,'X')</t>
  </si>
  <si>
    <t>BLOCK.VARIETY</t>
  </si>
  <si>
    <t>Block short descriptions</t>
  </si>
  <si>
    <t>Block Descs</t>
  </si>
  <si>
    <t>Block names</t>
  </si>
  <si>
    <t>Block Descriptions</t>
  </si>
  <si>
    <t>SUBR(SUBR.PENBW:'PVIZ141','','',BLOCK)</t>
  </si>
  <si>
    <t>Block full descriptions</t>
  </si>
  <si>
    <t>BLS</t>
  </si>
  <si>
    <t>Activity code for blocks</t>
  </si>
  <si>
    <t>TRANS(MBLOCKS,BLOCK,ACTIVITY,'X')</t>
  </si>
  <si>
    <t>BLOCK.ACTIVITY</t>
  </si>
  <si>
    <t>Address line 6</t>
  </si>
  <si>
    <t>ADDRS&lt;1,6&gt;</t>
  </si>
  <si>
    <t>ADDRS.L6</t>
  </si>
  <si>
    <t>Address line 5</t>
  </si>
  <si>
    <t>ADDRS&lt;1,5&gt;</t>
  </si>
  <si>
    <t>ADDRS.L5</t>
  </si>
  <si>
    <t>Address line 4</t>
  </si>
  <si>
    <t>ADDRS&lt;1,4&gt;</t>
  </si>
  <si>
    <t>ADDRS.L4</t>
  </si>
  <si>
    <t>Address line 3</t>
  </si>
  <si>
    <t>Address Line 3</t>
  </si>
  <si>
    <t>ADDRS&lt;1,3&gt;</t>
  </si>
  <si>
    <t>ADDRS.L3</t>
  </si>
  <si>
    <t>Address line 2</t>
  </si>
  <si>
    <t>Address Line 2</t>
  </si>
  <si>
    <t>ADDRS&lt;1,2&gt;</t>
  </si>
  <si>
    <t>ADDRS.L2</t>
  </si>
  <si>
    <t>Address line 1</t>
  </si>
  <si>
    <t>Address Line 1</t>
  </si>
  <si>
    <t>ADDRS&lt;1,1&gt;</t>
  </si>
  <si>
    <t>ADDRS.L1</t>
  </si>
  <si>
    <t>Get Account Group name from ACCOUNT.GROUP file</t>
  </si>
  <si>
    <t>Account Group Name</t>
  </si>
  <si>
    <t>TRANS(ACCOUNT.GROUP,ACCOUNT.GROUP,GROUP.DESC,'X')</t>
  </si>
  <si>
    <t>JDEG ABCLASS02</t>
  </si>
  <si>
    <t>ABCLASS02</t>
  </si>
  <si>
    <t>IF RTYPE = 'G' THEN '514' ELSE '552'</t>
  </si>
  <si>
    <t>JDEG ABCLASS01</t>
  </si>
  <si>
    <t>ABCLASS01</t>
  </si>
  <si>
    <t>IF RTYPE = 'G' THEN '113' ELSE '114'</t>
  </si>
  <si>
    <t>Sustainable Winegrowing Australia Name</t>
  </si>
  <si>
    <t>100L</t>
  </si>
  <si>
    <t>SWA.MEM.NAME</t>
  </si>
  <si>
    <t>Last updated by</t>
  </si>
  <si>
    <t>Upd</t>
  </si>
  <si>
    <t>Grower classification</t>
  </si>
  <si>
    <t>GROWER.CLASS</t>
  </si>
  <si>
    <t>Vintage contact details have been sent to ICM</t>
  </si>
  <si>
    <t>Contacts</t>
  </si>
  <si>
    <t>SENT.CONT.ICM</t>
  </si>
  <si>
    <t>Set to Y when new or changed account has been sent to ICM. Cleared</t>
  </si>
  <si>
    <t>SENT.ICM</t>
  </si>
  <si>
    <t>Date RS data entered</t>
  </si>
  <si>
    <t>RS.DATA.ENTERED.E</t>
  </si>
  <si>
    <t>RS.DATA.ENTERED</t>
  </si>
  <si>
    <t>Date GSA data entered</t>
  </si>
  <si>
    <t>GSA</t>
  </si>
  <si>
    <t>GSA.DATA.ENTERED.E</t>
  </si>
  <si>
    <t>GSA.DATA.ENTERED</t>
  </si>
  <si>
    <t>Vintage contact details have been sent to AgCode</t>
  </si>
  <si>
    <t>SENT.CONT.AGCODE</t>
  </si>
  <si>
    <t>Set to Y when new or changed account has been sent to AgCode.</t>
  </si>
  <si>
    <t>Harvester Contact First Name</t>
  </si>
  <si>
    <t>Harvester Cont</t>
  </si>
  <si>
    <t>HARV.CONT.FIRST.NAME</t>
  </si>
  <si>
    <t>Harvester Contact Fax No</t>
  </si>
  <si>
    <t>HARV.CONT.FAX</t>
  </si>
  <si>
    <t>PMS Date (Potassiume Metabisulphite)</t>
  </si>
  <si>
    <t>PMS Date</t>
  </si>
  <si>
    <t>PMS.DATE.E</t>
  </si>
  <si>
    <t>PMS.DATE</t>
  </si>
  <si>
    <t>ACCOUNT.NUMBER</t>
  </si>
  <si>
    <t>BSB</t>
  </si>
  <si>
    <t>Bank Account Name</t>
  </si>
  <si>
    <t>Bank Account</t>
  </si>
  <si>
    <t>BANK.ACCOUNT.NAME</t>
  </si>
  <si>
    <t>Grapeweb username</t>
  </si>
  <si>
    <t>Grapeweb</t>
  </si>
  <si>
    <t>GRAPEWEB.USERNAME</t>
  </si>
  <si>
    <t>Consultant Code</t>
  </si>
  <si>
    <t>CONSULT.CODE</t>
  </si>
  <si>
    <t>Harvester Contact Email Address</t>
  </si>
  <si>
    <t>Harvester Contact Email</t>
  </si>
  <si>
    <t>HARV.CONT.EMAIL</t>
  </si>
  <si>
    <t>Harvester Contact Mobile No</t>
  </si>
  <si>
    <t>HARV.CONT.MOBILE</t>
  </si>
  <si>
    <t>Harvester Contact Surname</t>
  </si>
  <si>
    <t>29L</t>
  </si>
  <si>
    <t>Harvester</t>
  </si>
  <si>
    <t>HARV.CONT.SURNAME</t>
  </si>
  <si>
    <t>Vintage Contact Availability</t>
  </si>
  <si>
    <t>VINT.CONT.AVAIL</t>
  </si>
  <si>
    <t>Distance to Winery (NOT USED)</t>
  </si>
  <si>
    <t>Distance</t>
  </si>
  <si>
    <t>DISTANCE.TO.WINERY</t>
  </si>
  <si>
    <t>Responsible Winery</t>
  </si>
  <si>
    <t>RESPONSIBLE.WINERY</t>
  </si>
  <si>
    <t>Vintage Contact Position</t>
  </si>
  <si>
    <t>VINT.CONT.POSITION</t>
  </si>
  <si>
    <t>Preferred Method of Communication</t>
  </si>
  <si>
    <t>Preferred</t>
  </si>
  <si>
    <t>COMM.PREF</t>
  </si>
  <si>
    <t>Vintage Contact First Name</t>
  </si>
  <si>
    <t>VINT.CONT.FIRST.NAME</t>
  </si>
  <si>
    <t>Environmental Return Submitted Date</t>
  </si>
  <si>
    <t>Date Env</t>
  </si>
  <si>
    <t>ENV.RET.DATE.E</t>
  </si>
  <si>
    <t>ENV.RET.DATE</t>
  </si>
  <si>
    <t>TWE to pay EntWine Membership for FY</t>
  </si>
  <si>
    <t>EntWine</t>
  </si>
  <si>
    <t>ENT.MEM.PAY</t>
  </si>
  <si>
    <t>Special Condition Code</t>
  </si>
  <si>
    <t>SPEC.COND.CODE</t>
  </si>
  <si>
    <t>Number of Grower Cards</t>
  </si>
  <si>
    <t>No of</t>
  </si>
  <si>
    <t>GROWER.NUM.OF.CARDS</t>
  </si>
  <si>
    <t>Grower Card Issue Date</t>
  </si>
  <si>
    <t>Issue</t>
  </si>
  <si>
    <t>GROW.CARD.ISSUE.DATE.E</t>
  </si>
  <si>
    <t>GROW.CARD.ISSUE.DATE</t>
  </si>
  <si>
    <t>Grower Card Number</t>
  </si>
  <si>
    <t>GROWER.CARD.NO</t>
  </si>
  <si>
    <t>Year of AP</t>
  </si>
  <si>
    <t>Year of</t>
  </si>
  <si>
    <t>YEAR.AP</t>
  </si>
  <si>
    <t>Number of AP's</t>
  </si>
  <si>
    <t>NUM.APS</t>
  </si>
  <si>
    <t>Date Schedule Revised</t>
  </si>
  <si>
    <t>Date Sched</t>
  </si>
  <si>
    <t>DATE.SCHED.REVISED</t>
  </si>
  <si>
    <t>Contact 2 Email Address</t>
  </si>
  <si>
    <t>47L</t>
  </si>
  <si>
    <t>Contact 2 Email</t>
  </si>
  <si>
    <t>CONT2.EMAIL</t>
  </si>
  <si>
    <t>Contact 2 Fax No</t>
  </si>
  <si>
    <t>CONT2.FAX</t>
  </si>
  <si>
    <t>Contact 2 Mobile No</t>
  </si>
  <si>
    <t>CONT2.MOBILE</t>
  </si>
  <si>
    <t>Contact 2 Phone No</t>
  </si>
  <si>
    <t>CONT2.PHONE</t>
  </si>
  <si>
    <t>Contact 2 Surname</t>
  </si>
  <si>
    <t>CONT2.SURNAME</t>
  </si>
  <si>
    <t>Contact 1 Surname</t>
  </si>
  <si>
    <t>CONT1.SURNAME</t>
  </si>
  <si>
    <t>Contact 2 First Name</t>
  </si>
  <si>
    <t>CONT2.FIRST.NAME</t>
  </si>
  <si>
    <t>Contact 1 First Name</t>
  </si>
  <si>
    <t>CONT1.FIRST.NAME</t>
  </si>
  <si>
    <t>Contact 2 Position</t>
  </si>
  <si>
    <t>CONT2.POSITION</t>
  </si>
  <si>
    <t>Contact 1 Position</t>
  </si>
  <si>
    <t>CONT1.POSITION</t>
  </si>
  <si>
    <t>Name of Vineyard</t>
  </si>
  <si>
    <t>Vineyard Name</t>
  </si>
  <si>
    <t>VINEYARD.NAME</t>
  </si>
  <si>
    <t>Multiple Accounts Y/N</t>
  </si>
  <si>
    <t>Multiple</t>
  </si>
  <si>
    <t>ENT.MULT.ACCOUNTS</t>
  </si>
  <si>
    <t>Sustainable Winegrowing Australia Comments</t>
  </si>
  <si>
    <t>SWA Comments</t>
  </si>
  <si>
    <t>WPNH</t>
  </si>
  <si>
    <t>SWA.COMMENTS</t>
  </si>
  <si>
    <t>EntWine Comments - not MV for Grange 2020</t>
  </si>
  <si>
    <t>ENT.COMMENTS</t>
  </si>
  <si>
    <t>TWE to deduct EntWine Membership (Y/N)</t>
  </si>
  <si>
    <t>ENT.MEM.DEDUCT</t>
  </si>
  <si>
    <t>@ID of JDEG supplier file</t>
  </si>
  <si>
    <t>ABTICKER</t>
  </si>
  <si>
    <t>EntWine Membership Status</t>
  </si>
  <si>
    <t>EntWine Member</t>
  </si>
  <si>
    <t>ENT.MEM.STATUS</t>
  </si>
  <si>
    <t>EntWine Membership Expiry Date - Not Used</t>
  </si>
  <si>
    <t>Not Used</t>
  </si>
  <si>
    <t>ENT.MEM.EXP.DATE</t>
  </si>
  <si>
    <t>EntWine Membership Number</t>
  </si>
  <si>
    <t>ENT.MEM.NUMBER</t>
  </si>
  <si>
    <t>Freshcare Certification Expiry Date</t>
  </si>
  <si>
    <t>Freshcare Cert</t>
  </si>
  <si>
    <t>FRESH.CERT.EXP.DATE.E</t>
  </si>
  <si>
    <t>FRESH.CERT.EXP.DATE</t>
  </si>
  <si>
    <t>Freshcare Certification Number</t>
  </si>
  <si>
    <t>Freshcare</t>
  </si>
  <si>
    <t>FRESH.CERT.NUMBER</t>
  </si>
  <si>
    <t>Y/'' if the account is interfaced to PAM AusVit</t>
  </si>
  <si>
    <t>PAM</t>
  </si>
  <si>
    <t>PAM.INTERFACED</t>
  </si>
  <si>
    <t>Y/'' if the account is interfaced to AgCode</t>
  </si>
  <si>
    <t>AGCODE.ACCOUNT</t>
  </si>
  <si>
    <t>If this record is for a WIM vineyard then this is the grange account</t>
  </si>
  <si>
    <t>Account for</t>
  </si>
  <si>
    <t>ACCOUNT.VYARD</t>
  </si>
  <si>
    <t>WIM.DATA</t>
  </si>
  <si>
    <t>WIM.DATA.TYPE</t>
  </si>
  <si>
    <t>The @ID grower is actually the same person as this grower. This</t>
  </si>
  <si>
    <t>Same as</t>
  </si>
  <si>
    <t>WIM.SAME.AS</t>
  </si>
  <si>
    <t>WIM vintage contacts address book number</t>
  </si>
  <si>
    <t>WIM.VC.ABNO</t>
  </si>
  <si>
    <t>WIM Vineyard address book number</t>
  </si>
  <si>
    <t>VINEYARD</t>
  </si>
  <si>
    <t>WIM.VYRD.ABNO</t>
  </si>
  <si>
    <t>WIM grower address book number</t>
  </si>
  <si>
    <t>WIM.GWR.ABNO</t>
  </si>
  <si>
    <t>Oracle Vendor number</t>
  </si>
  <si>
    <t>ORACLE.VNO</t>
  </si>
  <si>
    <t>Oracle site name</t>
  </si>
  <si>
    <t>SITE.NAME</t>
  </si>
  <si>
    <t>Oracle vendor name</t>
  </si>
  <si>
    <t>VENDOR.NAME</t>
  </si>
  <si>
    <t>Set to 'N' if the Oracle vendor record has been de-activated</t>
  </si>
  <si>
    <t>VENDOR.ACTIVE</t>
  </si>
  <si>
    <t>WIM vineyard code</t>
  </si>
  <si>
    <t>WIM.VINEYARD</t>
  </si>
  <si>
    <t>Oracle based vendor site Id</t>
  </si>
  <si>
    <t>ORACLE.SITE</t>
  </si>
  <si>
    <t>Oracle based vendor number</t>
  </si>
  <si>
    <t>ORACLE.VENDOR</t>
  </si>
  <si>
    <t>Is vendor GST registered?</t>
  </si>
  <si>
    <t>GST</t>
  </si>
  <si>
    <t>GST.REG</t>
  </si>
  <si>
    <t>ABN</t>
  </si>
  <si>
    <t>Contract Number</t>
  </si>
  <si>
    <t>CNTRCT.NO</t>
  </si>
  <si>
    <t>Flag 'Y' is bank details have been verified.</t>
  </si>
  <si>
    <t>Bank</t>
  </si>
  <si>
    <t>BANK.VER</t>
  </si>
  <si>
    <t>Relationship of Sub Account to main Account.</t>
  </si>
  <si>
    <t>SUB-ACC</t>
  </si>
  <si>
    <t>Sub</t>
  </si>
  <si>
    <t>SUBACCOUNT.RELN</t>
  </si>
  <si>
    <t>Percentage of payment to go to Sub Account.</t>
  </si>
  <si>
    <t>SUBACCOUNT.%</t>
  </si>
  <si>
    <t>Sub Account of Main Account. Used for splitting payments.</t>
  </si>
  <si>
    <t>SUBACCOUNT</t>
  </si>
  <si>
    <t>Logname of Grower Liaison Officer responsible for this Account.</t>
  </si>
  <si>
    <t>GLO Logname</t>
  </si>
  <si>
    <t>GLO.LOGNAME</t>
  </si>
  <si>
    <t>Contact number of main Harvester used by Account.</t>
  </si>
  <si>
    <t>Harvester Phone</t>
  </si>
  <si>
    <t>HARVESTER.PHONE</t>
  </si>
  <si>
    <t>Main Harvester used by Account.</t>
  </si>
  <si>
    <t>Harvester Name</t>
  </si>
  <si>
    <t>HARVESTER.NAME</t>
  </si>
  <si>
    <t>Contact number of main Carrier used by Account. (Carrier might not</t>
  </si>
  <si>
    <t>Carrier Phone</t>
  </si>
  <si>
    <t>CARRIER.PHONE</t>
  </si>
  <si>
    <t>Grower's own carrier details  (not registered)</t>
  </si>
  <si>
    <t>GODET</t>
  </si>
  <si>
    <t>GROWERS.OWN.DET</t>
  </si>
  <si>
    <t>Main Carrier used by Account. (Does not have to be registered).</t>
  </si>
  <si>
    <t>Vintage Contact Email Address</t>
  </si>
  <si>
    <t>Vintage Contact Email</t>
  </si>
  <si>
    <t>VINT.CONT.EMAIL</t>
  </si>
  <si>
    <t>Contact Email</t>
  </si>
  <si>
    <t>CONTACT.EMAIL</t>
  </si>
  <si>
    <t>Vintage Contact Mobile Number</t>
  </si>
  <si>
    <t>Vintage Contact Mobile No</t>
  </si>
  <si>
    <t>VINT.CONT.MOBILE</t>
  </si>
  <si>
    <t>Contact Mobile</t>
  </si>
  <si>
    <t>CONTACT.MOBILE</t>
  </si>
  <si>
    <t>Vintage Contact Fax Number</t>
  </si>
  <si>
    <t>Vintage Contact Fax No</t>
  </si>
  <si>
    <t>VINT.CONT.FAX</t>
  </si>
  <si>
    <t>Contact Fax</t>
  </si>
  <si>
    <t>CONTACT.FAX</t>
  </si>
  <si>
    <t>Vintage Contact Phone Number</t>
  </si>
  <si>
    <t>Vintage Contact Phone No</t>
  </si>
  <si>
    <t>VINT.CONT.PHONE</t>
  </si>
  <si>
    <t>Contact Phone</t>
  </si>
  <si>
    <t>CONTACT.PHONE</t>
  </si>
  <si>
    <t>Vineyard direction</t>
  </si>
  <si>
    <t>VINEYARD.DI</t>
  </si>
  <si>
    <t>55L</t>
  </si>
  <si>
    <t>VINEYARD.DIRECTION</t>
  </si>
  <si>
    <t>Vintage Contact Surname</t>
  </si>
  <si>
    <t>VINT.CONT.SURNAME</t>
  </si>
  <si>
    <t>Contact names</t>
  </si>
  <si>
    <t>Contact Names</t>
  </si>
  <si>
    <t>CONTACT.NAMES</t>
  </si>
  <si>
    <t>Review comments</t>
  </si>
  <si>
    <t>REVIEW.COMM</t>
  </si>
  <si>
    <t>REVIEW.COMMENTS</t>
  </si>
  <si>
    <t>Address of Vineyard</t>
  </si>
  <si>
    <t>VINEYARD.LO</t>
  </si>
  <si>
    <t>Vineyard Location</t>
  </si>
  <si>
    <t>VINEYARD.LOCATION</t>
  </si>
  <si>
    <t>Date on which written notice was sent to the Grower</t>
  </si>
  <si>
    <t>Written</t>
  </si>
  <si>
    <t>WRITTEN.NOTICE.E</t>
  </si>
  <si>
    <t>WRITTEN.NOTICE</t>
  </si>
  <si>
    <t>Review Status</t>
  </si>
  <si>
    <t>REVIEW.STATUS</t>
  </si>
  <si>
    <t>Date the contract was last reviewed</t>
  </si>
  <si>
    <t>DATE.REVIEWED.E</t>
  </si>
  <si>
    <t>DATE.REVIEWED</t>
  </si>
  <si>
    <t>Date Contract expiration notification sent</t>
  </si>
  <si>
    <t>DATE.NOTIFIED.E</t>
  </si>
  <si>
    <t>DATE.NOTIFIED</t>
  </si>
  <si>
    <t>Last vintage the company is required to take fruit from the grower.</t>
  </si>
  <si>
    <t>COMM.LASTVIN</t>
  </si>
  <si>
    <t>Number of years the contract may be extended</t>
  </si>
  <si>
    <t>Ext</t>
  </si>
  <si>
    <t>EXT.PERIOD</t>
  </si>
  <si>
    <t>Initial Term in years</t>
  </si>
  <si>
    <t>Initial Term</t>
  </si>
  <si>
    <t>INITIAL.TERM</t>
  </si>
  <si>
    <t>GST Percentage charged by growers on Recip Created Tax Inv</t>
  </si>
  <si>
    <t>RCTI</t>
  </si>
  <si>
    <t>RCTI.PER</t>
  </si>
  <si>
    <t>Grower maturity notification type, E = email, F = Fax, null = none</t>
  </si>
  <si>
    <t>Maturity</t>
  </si>
  <si>
    <t>NTFY.TYPE</t>
  </si>
  <si>
    <t>Rosemount, BBWE, and Cellarmaster reference number</t>
  </si>
  <si>
    <t>Reference</t>
  </si>
  <si>
    <t>ROSE.REF</t>
  </si>
  <si>
    <t>Email address</t>
  </si>
  <si>
    <t>EMAIL</t>
  </si>
  <si>
    <t>Contact 1 Email Address</t>
  </si>
  <si>
    <t>Contact 1 Email</t>
  </si>
  <si>
    <t>CONT1.EMAIL</t>
  </si>
  <si>
    <t>Mobile Phone</t>
  </si>
  <si>
    <t>MPHONE</t>
  </si>
  <si>
    <t>Contact 1 Mobile No</t>
  </si>
  <si>
    <t>CONT1.MOBILE</t>
  </si>
  <si>
    <t>Fax number</t>
  </si>
  <si>
    <t>FAX</t>
  </si>
  <si>
    <t>Contact 1 Fax No</t>
  </si>
  <si>
    <t>CONT1.FAX</t>
  </si>
  <si>
    <t>Account Group</t>
  </si>
  <si>
    <t>Date RPS details were last maintained</t>
  </si>
  <si>
    <t>Payee</t>
  </si>
  <si>
    <t>PAYEE.MAINTDATE.E</t>
  </si>
  <si>
    <t>PAYEE.MAINTDATE</t>
  </si>
  <si>
    <t>Logname of user who last maintained RPS details</t>
  </si>
  <si>
    <t>Payee Last</t>
  </si>
  <si>
    <t>PAYEE.MAINTBY</t>
  </si>
  <si>
    <t>Date RPS details were authorised</t>
  </si>
  <si>
    <t>PAYEE.AUTHDATE.E</t>
  </si>
  <si>
    <t>PAYEE.AUTHDATE</t>
  </si>
  <si>
    <t>Logname of user who authorised RPS details</t>
  </si>
  <si>
    <t>Payee Auth</t>
  </si>
  <si>
    <t>PAYEE.AUTHBY</t>
  </si>
  <si>
    <t>RPS declaration details checked (Y/N)</t>
  </si>
  <si>
    <t>PAYEE.CHECKED</t>
  </si>
  <si>
    <t>Payee trading name (from RPS declaration)</t>
  </si>
  <si>
    <t>Payee Trading Name</t>
  </si>
  <si>
    <t>PAYEE.TRADENAME</t>
  </si>
  <si>
    <t>Payee contact phone number (from RPS declaration)</t>
  </si>
  <si>
    <t>Payee Phone No.</t>
  </si>
  <si>
    <t>PAYEE.PHONE</t>
  </si>
  <si>
    <t>Payee contact name (from RPS declaration)</t>
  </si>
  <si>
    <t>Payee Contact Name</t>
  </si>
  <si>
    <t>PAYEE.CONTACT</t>
  </si>
  <si>
    <t>Block codes (key to MBLOCKS file)</t>
  </si>
  <si>
    <t>Account code changed by</t>
  </si>
  <si>
    <t>ACC.CDE</t>
  </si>
  <si>
    <t>ACC.CHG.BY</t>
  </si>
  <si>
    <t>Date that the account code became effective</t>
  </si>
  <si>
    <t>Date Code</t>
  </si>
  <si>
    <t>DTE.CODE.EFFECT.E</t>
  </si>
  <si>
    <t>DTE.CODE.EFFECT</t>
  </si>
  <si>
    <t>Grower or company block account codes</t>
  </si>
  <si>
    <t>ACCOUNT.CODES</t>
  </si>
  <si>
    <t>Payee entity type code (from RPS declaration)</t>
  </si>
  <si>
    <t>Pay</t>
  </si>
  <si>
    <t>PAYEE.ENTITY</t>
  </si>
  <si>
    <t>26-08-96 W607080010 : Bank details only on VENDOR file</t>
  </si>
  <si>
    <t>BANK ACCOUNT NAME</t>
  </si>
  <si>
    <t>NOUSE.BANK.ACCOUNT.N</t>
  </si>
  <si>
    <t>Payee postcode (from RPS declaration)</t>
  </si>
  <si>
    <t>Payee Postcode</t>
  </si>
  <si>
    <t>PAYEE.POSTCODE</t>
  </si>
  <si>
    <t>BANK ACCOUNT</t>
  </si>
  <si>
    <t>NOUSE.BANK.ACCOUNT</t>
  </si>
  <si>
    <t>Payee Address (from RPS declaration)</t>
  </si>
  <si>
    <t>PYADD</t>
  </si>
  <si>
    <t>Payee Address</t>
  </si>
  <si>
    <t>PAYEE.ADDRESS</t>
  </si>
  <si>
    <t>NOUSE.BSB.CODE</t>
  </si>
  <si>
    <t>BANK</t>
  </si>
  <si>
    <t>NOUSE.BANK.CODE</t>
  </si>
  <si>
    <t>Generic grower indicator (used for booking only)</t>
  </si>
  <si>
    <t>Contract reconstuction agreement comm date</t>
  </si>
  <si>
    <t>CNTRCT.RECONDATE</t>
  </si>
  <si>
    <t>Contract cartage location or value</t>
  </si>
  <si>
    <t>CNTRCT.CRTG</t>
  </si>
  <si>
    <t>Contract last vintage</t>
  </si>
  <si>
    <t>Contract Last Vintage</t>
  </si>
  <si>
    <t>CNTRCT.LASTVIN</t>
  </si>
  <si>
    <t>Contract termination notice required</t>
  </si>
  <si>
    <t>CNTRCT.TRMNTN</t>
  </si>
  <si>
    <t>Contract Expiration Notification Required</t>
  </si>
  <si>
    <t>CNTRCT.EXP.NOT</t>
  </si>
  <si>
    <t>Contract commencement date</t>
  </si>
  <si>
    <t>CNTRCT.COMM.E</t>
  </si>
  <si>
    <t>CNTRCT.COMM</t>
  </si>
  <si>
    <t>Contract signed date</t>
  </si>
  <si>
    <t>CNTRCT.SIGN.E</t>
  </si>
  <si>
    <t>CNTRCT.SIGN</t>
  </si>
  <si>
    <t>Contract Type</t>
  </si>
  <si>
    <t>Name used for Inversion File and sorting by Name</t>
  </si>
  <si>
    <t>Default Price Code - A,B,C,D</t>
  </si>
  <si>
    <t>Payee Name for this grower (from RPS declaration)</t>
  </si>
  <si>
    <t>Payee Name</t>
  </si>
  <si>
    <t>PAYEE.NAME</t>
  </si>
  <si>
    <t>Standard Carrier for this Grower</t>
  </si>
  <si>
    <t>STDCARRIER</t>
  </si>
  <si>
    <t>Agent Number for Grower</t>
  </si>
  <si>
    <t>AGENT NO</t>
  </si>
  <si>
    <t>Agent Flag</t>
  </si>
  <si>
    <t>MAGENT</t>
  </si>
  <si>
    <t>Alternative mailing address</t>
  </si>
  <si>
    <t>ALTADDRS</t>
  </si>
  <si>
    <t>ALTERNATIVE ADDRESS</t>
  </si>
  <si>
    <t>Recipient Name</t>
  </si>
  <si>
    <t>RECIPIENT.NAME</t>
  </si>
  <si>
    <t>Alternative mailing name</t>
  </si>
  <si>
    <t>ALTNAME</t>
  </si>
  <si>
    <t>ALTERNATIVE NAME</t>
  </si>
  <si>
    <t>Company ACN for the payee (from RPS Declaration)</t>
  </si>
  <si>
    <t>Payee ACN</t>
  </si>
  <si>
    <t>PAYEE.ACN</t>
  </si>
  <si>
    <t>Grapes - list of currently supplied grapes.</t>
  </si>
  <si>
    <t>GRAPE</t>
  </si>
  <si>
    <t>GRVAR</t>
  </si>
  <si>
    <t>Grape Growers levies to be deducted Y/N</t>
  </si>
  <si>
    <t>G/G</t>
  </si>
  <si>
    <t>GGLEVIE</t>
  </si>
  <si>
    <t>Bank Code - STA-State Bank, CTB-Com Trading Bank, ANZ-ANZ, WES-Westpac</t>
  </si>
  <si>
    <t>Fruit Payment Code "C" - Cheque, "B" - to Bank</t>
  </si>
  <si>
    <t>PAYTO</t>
  </si>
  <si>
    <t>Grape Source Area Code</t>
  </si>
  <si>
    <t>SOURCE.OLD</t>
  </si>
  <si>
    <t>GRSOURCE.OLD</t>
  </si>
  <si>
    <t>Comments - available to users - not MV for Grange 2020</t>
  </si>
  <si>
    <t>COMMENT</t>
  </si>
  <si>
    <t>Growers phone number alternative format</t>
  </si>
  <si>
    <t>PHONE.NO</t>
  </si>
  <si>
    <t>Phone No</t>
  </si>
  <si>
    <t>Phone No.</t>
  </si>
  <si>
    <t>PHONE</t>
  </si>
  <si>
    <t>Contact 1 Phone No</t>
  </si>
  <si>
    <t>CONT1.PHONE</t>
  </si>
  <si>
    <t>Trading Name of Grower, Company vineyard Block or Carrier</t>
  </si>
  <si>
    <t>42L</t>
  </si>
  <si>
    <t>Trade Name</t>
  </si>
  <si>
    <t>TRADING.NAME</t>
  </si>
  <si>
    <t>Name of Account of Grower, Company vineyard Block or Carrier</t>
  </si>
  <si>
    <t>Grower name</t>
  </si>
  <si>
    <t>Grower Name</t>
  </si>
  <si>
    <t>Record Creation Date</t>
  </si>
  <si>
    <t>RDATE.E</t>
  </si>
  <si>
    <t>RDATE</t>
  </si>
  <si>
    <t>Record Type  S - Shareholder, D - Debtor, B - Buyer of juice or wine, V - Vendor, M</t>
  </si>
  <si>
    <t>MGACTIVE</t>
  </si>
  <si>
    <t>Record activity code -  "C" - Active "D" - delete  "S" - suspended "H" - history</t>
  </si>
  <si>
    <t>MGACTIV</t>
  </si>
  <si>
    <t>Company Code/Grower No  xx/yyyy  where xx - LW Loxton Co-op Winery LS Loxton Co-op</t>
  </si>
  <si>
    <t>GROWER ID</t>
  </si>
  <si>
    <t>GROWERID.OLD</t>
  </si>
  <si>
    <t>Account Number of Grower, Company Vineyard Block or Carrier</t>
  </si>
  <si>
    <t>MGROWER</t>
  </si>
  <si>
    <t>WINE.TYPE ALLOC.TONNES RECPT.TONNES WT.LTRS WT.CRUSHED</t>
  </si>
  <si>
    <t>WT</t>
  </si>
  <si>
    <t>TOTAL CONTRACT TOTAL OFFERED TOTAL AGREED TOTAL REVISION TOTAL DELIV DELCOMP TOTAL</t>
  </si>
  <si>
    <t>TOT.TONNES</t>
  </si>
  <si>
    <t>CONTRACT OFFERED AGREED REVISION DELIV DELCOMP FORECAST</t>
  </si>
  <si>
    <t>Selects NZ records</t>
  </si>
  <si>
    <t>WITH STATE = NEZ</t>
  </si>
  <si>
    <t>NZ</t>
  </si>
  <si>
    <t>WITH VINTAGE = MVYEAR.NY</t>
  </si>
  <si>
    <t>NY</t>
  </si>
  <si>
    <t>WITH VINTAGE = MVYEAR.LY</t>
  </si>
  <si>
    <t>LY</t>
  </si>
  <si>
    <t>GR.CONT.PRICE GR.NEG.PRICE GR.PREM.PRICE GR.REV.PRICE GR.CURR.PRICE GR.FCAST.PRICE</t>
  </si>
  <si>
    <t>LIST.GR.PRICES</t>
  </si>
  <si>
    <t>GROWERID VINTAGE VARIETY BLOCK CONTRACT OFFERED REVISION AGREED</t>
  </si>
  <si>
    <t>LIST.BLOCKS</t>
  </si>
  <si>
    <t>@ID GROWERID VINTAGE VARIETY HPRODN QUOTA TOFFERED TALLOC TDELGROSS QUOTACD</t>
  </si>
  <si>
    <t>INPUT</t>
  </si>
  <si>
    <t>GRADE GROUP ENDUSE</t>
  </si>
  <si>
    <t>FLAGS</t>
  </si>
  <si>
    <t>TOTAL FCAST00 TOTAL FCAST01 TOTAL FCAST02 TOTAL FCAST03 TOTAL FCAST04 TOTAL FCAST05</t>
  </si>
  <si>
    <t>F.YRS</t>
  </si>
  <si>
    <t>TOTAL DEL95 TOTAL DEL96 TOTAL DEL97 TOTAL DEL98 TOTAL DEL99</t>
  </si>
  <si>
    <t>D.YRS</t>
  </si>
  <si>
    <t>WITH VINTAGE = MVYEAR</t>
  </si>
  <si>
    <t>CY</t>
  </si>
  <si>
    <t>TOTAL CONT00 TOTAL CONT01 TOTAL CONT02 TOTAL CONT03 TOTAL CONT04 TOTAL CONT05</t>
  </si>
  <si>
    <t>C.YRS</t>
  </si>
  <si>
    <t>BY VINTAGE VINTAGE</t>
  </si>
  <si>
    <t>BY.Y</t>
  </si>
  <si>
    <t>Sort blocks by sequence of events</t>
  </si>
  <si>
    <t>Only selects Australian records</t>
  </si>
  <si>
    <t>WITH STATE = ACT NSW NTE QLD SAS TAS VIC WAU</t>
  </si>
  <si>
    <t>AUS</t>
  </si>
  <si>
    <t>BY GROWERID BY @ID GROWERID VINTAGE VARIETY HPRODN QUOTA TOFFERED TALLOC TDELGROSS</t>
  </si>
  <si>
    <t>FOR ENTRO DEFAULT FIELD LIST CREATED 11:56:36 09 NOV 1983</t>
  </si>
  <si>
    <t>@ID GROWERID VINTAGE VARIETY COMMENT HREMOVED HPLANT HNBEAR HPRODN HMECH QUOTACD</t>
  </si>
  <si>
    <t>List of items for Price Audit Trail report</t>
  </si>
  <si>
    <t>AUD.DATE AUD.DESC GROWERID VARIETY BLOCK BLOCK.NAME VINTAGE CONPRICE PRICE.CODE RATE</t>
  </si>
  <si>
    <t>@AUDIT.PRICE</t>
  </si>
  <si>
    <t>List of items for Audit Trail report</t>
  </si>
  <si>
    <t>AUD.DATE AUD.DESC GROWERID VARIETY BLOCK BLOCK.NAME VINTAGE CONTRACT       OFFERED</t>
  </si>
  <si>
    <t>BY GROWERID GROWERID VINTAGE VARIETY HPRODN HMECH TOFFERED QUOTA</t>
  </si>
  <si>
    <t>ID.SUP SOURCE ACCOUNT VARIETY BLOCK.NAME VINTAGE CONTRACT OFFERED AGREED REVISION</t>
  </si>
  <si>
    <t>Maximum tonnes per hectare allowed under contract</t>
  </si>
  <si>
    <t>Yield</t>
  </si>
  <si>
    <t>TRANS(MBLOCKS,BLOCK,YIELD.CAP,'X')</t>
  </si>
  <si>
    <t>YIELD.CAP</t>
  </si>
  <si>
    <t>Tonnes from block divided by hectares of variety</t>
  </si>
  <si>
    <t>T/Ha</t>
  </si>
  <si>
    <t>IF HECTARES &gt; 0 THEN FORECAST/HECTARES ELSE ''</t>
  </si>
  <si>
    <t>Yesterday</t>
  </si>
  <si>
    <t>DATE()-1</t>
  </si>
  <si>
    <t>YESTERDAY</t>
  </si>
  <si>
    <t>Name of responsible winemaker</t>
  </si>
  <si>
    <t>TRANS(USER.ACCESS,UPCASE(TRANS(SHORTIDS,WNMKR.SHORTID,LOGNAME,'X')),USERNAME,'X')</t>
  </si>
  <si>
    <t>WNMKR.USERNAME</t>
  </si>
  <si>
    <t>TRANS(DEF.SYS.USERS,UPCASE(TRANS(SHORTIDS,WNMKR.SHORTID,LOGNAME,'X')),NAME,'X')</t>
  </si>
  <si>
    <t>WNMKR.NAME</t>
  </si>
  <si>
    <t>TRANS(MGROWER,ACCOUNT,'WIM.VINEYARD','X');</t>
  </si>
  <si>
    <t>WIM Vineyard Operations Sub Region Code. All growers are "GR"</t>
  </si>
  <si>
    <t>TRANS(MGROWER,GROWERID,SOURCE,'X');TRANS(SOURCE,@1,VO.SUBREG,'X');IF OWN.BLOCK = 'Y'</t>
  </si>
  <si>
    <t>WIM vintage block name</t>
  </si>
  <si>
    <t>WIM.BLOCK:'-':VINTAGE</t>
  </si>
  <si>
    <t>WIM.VINTBLOCK</t>
  </si>
  <si>
    <t>TRANS(MBLOCKS,BLOCK,'WIM.VINEYARD','X')</t>
  </si>
  <si>
    <t>TRANS(MGROWER,ACCOUNT,'WIM.VC.ABNO','X')</t>
  </si>
  <si>
    <t>WIM produced site (winery location)</t>
  </si>
  <si>
    <t>TRANS(MBLOCKS,BLOCK,'WIM.PRODUCED.SITE','X')</t>
  </si>
  <si>
    <t>WIM.PRODUCED.SITE</t>
  </si>
  <si>
    <t>WIM DATE MATURE</t>
  </si>
  <si>
    <t>IF MATURE = '' THEN '' ELSE '01/01/':MATURE</t>
  </si>
  <si>
    <t>WIM.MATURE</t>
  </si>
  <si>
    <t>TRANS(MGROWER,ACCOUNT,'WIM.SAME.AS','X'); IF @1 = '' THEN</t>
  </si>
  <si>
    <t>WIM geographic area</t>
  </si>
  <si>
    <t>WIM.GA</t>
  </si>
  <si>
    <t>TRANS(GENERIC.FILE,GENERIC,'WIM.EUR','X') ;IF @1 = '' THEN 'ZZUNUNK' ELSE @1</t>
  </si>
  <si>
    <t>WIM DATE capital project start</t>
  </si>
  <si>
    <t>IF CAP.PROJ.START = '' THEN '' ELSE '01/01/':CAP.PROJ.START</t>
  </si>
  <si>
    <t>WIM.CAP.PROJSTRT</t>
  </si>
  <si>
    <t>WIM DATE capital project finish</t>
  </si>
  <si>
    <t>IF CAP.PROJ.FINISH = '' THEN '' ELSE '01/01/':CAP.PROJ.FINISH</t>
  </si>
  <si>
    <t>WIM.CAP.PROJFIN</t>
  </si>
  <si>
    <t>WIM block code</t>
  </si>
  <si>
    <t>TRANS(MBLOCKS,BLOCK,'WIM.BLOCK','X')</t>
  </si>
  <si>
    <t>WIM.BLOCK</t>
  </si>
  <si>
    <t>VSUG</t>
  </si>
  <si>
    <t>VARIETY:SOURCE:ENDUSE:FCAST.GRADE</t>
  </si>
  <si>
    <t>Variety Group Description</t>
  </si>
  <si>
    <t>Variety Group</t>
  </si>
  <si>
    <t>TRANS(MVARIETY,VP1.CODE,VARDESCP,'X')</t>
  </si>
  <si>
    <t>VP1.DESCP</t>
  </si>
  <si>
    <t>Code for Vintage Planning Grouping 1</t>
  </si>
  <si>
    <t>VP1 code</t>
  </si>
  <si>
    <t>TRANS(MVARIETY,VARIETY,VP1.CODE,'X')</t>
  </si>
  <si>
    <t>VP1.CODE</t>
  </si>
  <si>
    <t>Description for Vineyard Operations Subregion</t>
  </si>
  <si>
    <t>Vineyard Operations</t>
  </si>
  <si>
    <t>TRANS(MGROWER,GROWERID,SOURCE,'X');TRANS(SOURCE,@,VO.SUBREG,'X');SUBR(SUBR.PENBW:'PV</t>
  </si>
  <si>
    <t>VO.SUBREG.DESC</t>
  </si>
  <si>
    <t>Vineyard Operations Region Code or Sub Region Code</t>
  </si>
  <si>
    <t>TRANS(MGROWER,GROWERID,SOURCE,'X');TRANS(SOURCE,@,VO.SUBREG,'X')</t>
  </si>
  <si>
    <t>Description for Vineyard Operations Region</t>
  </si>
  <si>
    <t>Vineyard Operations Region</t>
  </si>
  <si>
    <t>TRANS(MGROWER,GROWERID,SOURCE,'X');TRANS(SOURCE,@,VO.SUBREG,'X')[1,1];SUBR(SUBR.PENB</t>
  </si>
  <si>
    <t>VO.REG.DESC</t>
  </si>
  <si>
    <t>TRANS(MGROWER,GROWERID,SOURCE,'X');TRANS(SOURCE,@,VO.SUBREG,'X')[1,1]</t>
  </si>
  <si>
    <t>Vinyard Operations Region Description</t>
  </si>
  <si>
    <t>TRANS(MGROWER, GROWERID, SOURCE, 'X'); TRANS(SOURCE, @, VO.SUBREG,'X');</t>
  </si>
  <si>
    <t>VIYEAR + 2 for AgCode extracts.</t>
  </si>
  <si>
    <t>VIYEAR+2</t>
  </si>
  <si>
    <t>Translate to Control file for current vintage as per VIYEAR.</t>
  </si>
  <si>
    <t>Hectares which were (/will be) in existence for this vintage.</t>
  </si>
  <si>
    <t>IF PLANTED THEN PLANTED + 1 ELSE 1111; IF RECORDS.START THEN RECORDS.START ELSE</t>
  </si>
  <si>
    <t>VINTAGE.HECTARES</t>
  </si>
  <si>
    <t>Variety Colour</t>
  </si>
  <si>
    <t>Var</t>
  </si>
  <si>
    <t>TRANS(MVARIETY,VARIETY,15,'X')</t>
  </si>
  <si>
    <t>Variety &amp; price code</t>
  </si>
  <si>
    <t>VARIETY:PRICE.CODE</t>
  </si>
  <si>
    <t>VARIETY.PRICE</t>
  </si>
  <si>
    <t>Code and Description of the Variety Group</t>
  </si>
  <si>
    <t>VP1.CODE:' ':TRANS(MVARIETY,VP1.CODE,VARDESCP,'X')</t>
  </si>
  <si>
    <t>VARIETY.GROUP</t>
  </si>
  <si>
    <t>Variation between Estimates &amp; Deliveries</t>
  </si>
  <si>
    <t>VARIATION</t>
  </si>
  <si>
    <t>TACCEPT - (TDELGROSS + TNYDEL)</t>
  </si>
  <si>
    <t>Lookup of variety description from MVARIETY</t>
  </si>
  <si>
    <t>VARDESP1</t>
  </si>
  <si>
    <t>Lookup of variety colour code from MVARIETY</t>
  </si>
  <si>
    <t>VARCOLR</t>
  </si>
  <si>
    <t>TALLOC * RATE</t>
  </si>
  <si>
    <t>Grouping Code for Uitilization Surveys</t>
  </si>
  <si>
    <t>TRANS(MGROWER,GROWERID,SOURCE,'X');TRANS(SOURCE,@,UTILIZE,'X')</t>
  </si>
  <si>
    <t>% of weighnotes with Actual Use</t>
  </si>
  <si>
    <t>Use</t>
  </si>
  <si>
    <t>SUBR(SUBR.PENBW:"PVII191",GROWERID,VINTAGE,BLOCK,'U','')</t>
  </si>
  <si>
    <t>USE.%</t>
  </si>
  <si>
    <t>Tonnes still to be booked (forecast)</t>
  </si>
  <si>
    <t>Unbooked</t>
  </si>
  <si>
    <t>MD20P,</t>
  </si>
  <si>
    <t>SUBR(SUBR.PENBW:"GVIZ129",'UF',@RECORD,'')+0</t>
  </si>
  <si>
    <t>UNBOOKED.FCAST</t>
  </si>
  <si>
    <t>Tonnes still to be booked (agreed)</t>
  </si>
  <si>
    <t>SUBR(SUBR.PENBW:"GVIZ129",'U',@RECORD,'')</t>
  </si>
  <si>
    <t>UNBOOKED.AGREED</t>
  </si>
  <si>
    <t>Tonnes still to be booked</t>
  </si>
  <si>
    <t>Unbkd</t>
  </si>
  <si>
    <t>UNBOOKED</t>
  </si>
  <si>
    <t>NEW</t>
  </si>
  <si>
    <t>TOTAL(TACCEPT+TADJ1+TADJ2)</t>
  </si>
  <si>
    <t>TOTALADJ</t>
  </si>
  <si>
    <t>DF.TOT.EXT * FORECAST</t>
  </si>
  <si>
    <t>Today</t>
  </si>
  <si>
    <t>DATE()</t>
  </si>
  <si>
    <t>Date of Tests</t>
  </si>
  <si>
    <t>TRANS(MATURITY,MATURITY.ID,TESTDATE,'X')</t>
  </si>
  <si>
    <t>TESTDATE</t>
  </si>
  <si>
    <t>Third YAN</t>
  </si>
  <si>
    <t>3rd YAN</t>
  </si>
  <si>
    <t>SUBR("*PVIL274",MATURITY.ID,'12','R','3')</t>
  </si>
  <si>
    <t>TEST.YAN.3</t>
  </si>
  <si>
    <t>Second YAN</t>
  </si>
  <si>
    <t>2nd YAN</t>
  </si>
  <si>
    <t>SUBR("*PVIL274",MATURITY.ID,'12','R','2')</t>
  </si>
  <si>
    <t>TEST.YAN.2</t>
  </si>
  <si>
    <t>First YAN</t>
  </si>
  <si>
    <t>1st YAN</t>
  </si>
  <si>
    <t>SUBR("*PVIL274",MATURITY.ID,'12','R','1')</t>
  </si>
  <si>
    <t>TEST.YAN.1</t>
  </si>
  <si>
    <t>Week.day of 3rd last maturity test</t>
  </si>
  <si>
    <t>Test Wk.Day</t>
  </si>
  <si>
    <t>TRANS(MATURITY,MATURITY.ID,TESTDATE,'X');EXTRACT(@1,1,1,3) ;SUBR("*GVIZ264",</t>
  </si>
  <si>
    <t>TEST.WK.D3</t>
  </si>
  <si>
    <t>Week.day of 2ND last maturity test</t>
  </si>
  <si>
    <t>TRANS(MATURITY,MATURITY.ID,TESTDATE,'X');EXTRACT(@1,1,1,2) ;SUBR("*GVIZ264",</t>
  </si>
  <si>
    <t>TEST.WK.D2</t>
  </si>
  <si>
    <t>Week.day of last maturity test</t>
  </si>
  <si>
    <t>TRANS(MATURITY,MATURITY.ID,TESTDATE,'X');EXTRACT(@1,1,1,1) ;SUBR("*GVIZ264",</t>
  </si>
  <si>
    <t>TEST.WK.D1</t>
  </si>
  <si>
    <t>Total Acid of third last maturity test</t>
  </si>
  <si>
    <t>TRANS(MATURITY,MATURITY.ID,ACID,'X');EXTRACT(@1,1,1,3)</t>
  </si>
  <si>
    <t>TEST.TA3</t>
  </si>
  <si>
    <t>Total Acid of second last maturity test</t>
  </si>
  <si>
    <t>TRANS(MATURITY,MATURITY.ID,ACID,'X');EXTRACT(@1,1,1,2)</t>
  </si>
  <si>
    <t>TEST.TA2</t>
  </si>
  <si>
    <t>Total Acid of last maturity test</t>
  </si>
  <si>
    <t>TRANS(MATURITY,MATURITY.ID,ACID,'X');EXTRACT(@1,1,1,1)</t>
  </si>
  <si>
    <t>TEST.TA1</t>
  </si>
  <si>
    <t>pH of third last maturity test</t>
  </si>
  <si>
    <t>TRANS(MATURITY,MATURITY.ID,PH,'X');EXTRACT(@1,1,1,3)</t>
  </si>
  <si>
    <t>TEST.PH3</t>
  </si>
  <si>
    <t>pH of second last maturity test</t>
  </si>
  <si>
    <t>TRANS(MATURITY,MATURITY.ID,PH,'X');EXTRACT(@1,1,1,2)</t>
  </si>
  <si>
    <t>TEST.PH2</t>
  </si>
  <si>
    <t>pH of last maturity test</t>
  </si>
  <si>
    <t>TRANS(MATURITY,MATURITY.ID,PH,'X');EXTRACT(@1,1,1,1)</t>
  </si>
  <si>
    <t>TEST.PH1</t>
  </si>
  <si>
    <t>Third pH</t>
  </si>
  <si>
    <t>3rd pH</t>
  </si>
  <si>
    <t>MD20PZ</t>
  </si>
  <si>
    <t>SUBR("*PVIL274",MATURITY.ID,'4','R','3')</t>
  </si>
  <si>
    <t>TEST.PH.3</t>
  </si>
  <si>
    <t>Second pH</t>
  </si>
  <si>
    <t>2nd pH</t>
  </si>
  <si>
    <t>SUBR("*PVIL274",MATURITY.ID,'4','R','2')</t>
  </si>
  <si>
    <t>TEST.PH.2</t>
  </si>
  <si>
    <t>First pH</t>
  </si>
  <si>
    <t>1st pH</t>
  </si>
  <si>
    <t>SUBR("*PVIL274",MATURITY.ID,'4','R','1')</t>
  </si>
  <si>
    <t>TEST.PH.1</t>
  </si>
  <si>
    <t>Third NA</t>
  </si>
  <si>
    <t>3rd NA</t>
  </si>
  <si>
    <t>SUBR("*PVIL274",MATURITY.ID,'17','R','3')</t>
  </si>
  <si>
    <t>TEST.NA.3</t>
  </si>
  <si>
    <t>Second NA</t>
  </si>
  <si>
    <t>2nd NA</t>
  </si>
  <si>
    <t>SUBR("*PVIL274",MATURITY.ID,'17','R','2')</t>
  </si>
  <si>
    <t>TEST.NA.2</t>
  </si>
  <si>
    <t>First NA</t>
  </si>
  <si>
    <t>1st NA</t>
  </si>
  <si>
    <t>SUBR("*PVIL274",MATURITY.ID,'17','R','1')</t>
  </si>
  <si>
    <t>TEST.NA.1</t>
  </si>
  <si>
    <t>Third Malic</t>
  </si>
  <si>
    <t>3rd</t>
  </si>
  <si>
    <t>MD10PZ</t>
  </si>
  <si>
    <t>SUBR("*PVIL274",MATURITY.ID,'10','R','3')</t>
  </si>
  <si>
    <t>TEST.MALIC.3</t>
  </si>
  <si>
    <t>Second Malic</t>
  </si>
  <si>
    <t>2nd</t>
  </si>
  <si>
    <t>SUBR("*PVIL274",MATURITY.ID,'10','R','2')</t>
  </si>
  <si>
    <t>TEST.MALIC.2</t>
  </si>
  <si>
    <t>First Malic</t>
  </si>
  <si>
    <t>1st</t>
  </si>
  <si>
    <t>SUBR("*PVIL274",MATURITY.ID,'10','R','1')</t>
  </si>
  <si>
    <t>TEST.MALIC.1</t>
  </si>
  <si>
    <t>Date of third last maturity test</t>
  </si>
  <si>
    <t>Testdate</t>
  </si>
  <si>
    <t>TRANS(MATURITY,MATURITY.ID,TESTDATE,'X');EXTRACT(@1,1,1,3)</t>
  </si>
  <si>
    <t>TEST.DATE3</t>
  </si>
  <si>
    <t>Date of second last maturity test</t>
  </si>
  <si>
    <t>TRANS(MATURITY,MATURITY.ID,TESTDATE,'X');EXTRACT(@1,1,1,2)</t>
  </si>
  <si>
    <t>TEST.DATE2</t>
  </si>
  <si>
    <t>Date of last maturity test</t>
  </si>
  <si>
    <t>TRANS(MATURITY,MATURITY.ID,TESTDATE,'X');EXTRACT(@1,1,1,1)</t>
  </si>
  <si>
    <t>TEST.DATE1</t>
  </si>
  <si>
    <t>Comment of third last maturity test</t>
  </si>
  <si>
    <t>Test Comment 3</t>
  </si>
  <si>
    <t>TRANS(MATURITY,MATURITY.ID,COMMENT,'X');EXTRACT(@1,1,1,3) ;CONVERT(CHAR(250),' ',@)</t>
  </si>
  <si>
    <t>TEST.COMMENT3</t>
  </si>
  <si>
    <t>Comment of second last maturity test</t>
  </si>
  <si>
    <t>Test Comment 2</t>
  </si>
  <si>
    <t>TRANS(MATURITY,MATURITY.ID,COMMENT,'X');EXTRACT(@1,1,1,2) ;CONVERT(CHAR(250),' ',@)</t>
  </si>
  <si>
    <t>TEST.COMMENT2</t>
  </si>
  <si>
    <t>Comment of last maturity test</t>
  </si>
  <si>
    <t>Test Comment 1</t>
  </si>
  <si>
    <t>TRANS(MATURITY,MATURITY.ID,COMMENT,'X');EXTRACT(@1,1,1,1) ;</t>
  </si>
  <si>
    <t>TEST.COMMENT1</t>
  </si>
  <si>
    <t>Baume of third last maturity test</t>
  </si>
  <si>
    <t>TRANS(MATURITY,MATURITY.ID,BEAUME,'X');EXTRACT(@1,1,1,3)</t>
  </si>
  <si>
    <t>TEST.BE3</t>
  </si>
  <si>
    <t>Baume of second last maturity test</t>
  </si>
  <si>
    <t>TRANS(MATURITY,MATURITY.ID,BEAUME,'X');EXTRACT(@1,1,1,2)</t>
  </si>
  <si>
    <t>TEST.BE2</t>
  </si>
  <si>
    <t>Baume of last maturity test</t>
  </si>
  <si>
    <t>TRANS(MATURITY,MATURITY.ID,BEAUME,'X');EXTRACT(@1,1,1,1)</t>
  </si>
  <si>
    <t>TEST.BE1</t>
  </si>
  <si>
    <t>Third Beaume</t>
  </si>
  <si>
    <t>3rd Be</t>
  </si>
  <si>
    <t>SUBR("*PVIL274",MATURITY.ID,'3','R','3')</t>
  </si>
  <si>
    <t>TEST.BE.3</t>
  </si>
  <si>
    <t>Second Beaume</t>
  </si>
  <si>
    <t>2nd Be</t>
  </si>
  <si>
    <t>SUBR("*PVIL274",MATURITY.ID,'3','R','2')</t>
  </si>
  <si>
    <t>TEST.BE.2</t>
  </si>
  <si>
    <t>First Beaume</t>
  </si>
  <si>
    <t>1st Be</t>
  </si>
  <si>
    <t>SUBR("*PVIL274",MATURITY.ID,'3','R','1')</t>
  </si>
  <si>
    <t>TEST.BE.1</t>
  </si>
  <si>
    <t>Third Acid</t>
  </si>
  <si>
    <t>3rd Acid</t>
  </si>
  <si>
    <t>SUBR("*PVIL274",MATURITY.ID,'5','R','3')</t>
  </si>
  <si>
    <t>TEST.ACID.3</t>
  </si>
  <si>
    <t>Second Acid</t>
  </si>
  <si>
    <t>2nd Acid</t>
  </si>
  <si>
    <t>SUBR("*PVIL274",MATURITY.ID,'5','R','2')</t>
  </si>
  <si>
    <t>TEST.ACID.2</t>
  </si>
  <si>
    <t>First Acid</t>
  </si>
  <si>
    <t>1st Acid</t>
  </si>
  <si>
    <t>SUBR("*PVIL274",MATURITY.ID,'5','R','1')</t>
  </si>
  <si>
    <t>TEST.ACID.1</t>
  </si>
  <si>
    <t>Third YAN Date</t>
  </si>
  <si>
    <t>SUBR("*PVIL274",MATURITY.ID,'12','D','3')</t>
  </si>
  <si>
    <t>TDATE.YAN.3</t>
  </si>
  <si>
    <t>Second YAN Date</t>
  </si>
  <si>
    <t>SUBR("*PVIL274",MATURITY.ID,'12','D','2')</t>
  </si>
  <si>
    <t>TDATE.YAN.2</t>
  </si>
  <si>
    <t>First YAN Date</t>
  </si>
  <si>
    <t>SUBR("*PVIL274",MATURITY.ID,'12','D','1')</t>
  </si>
  <si>
    <t>TDATE.YAN.1</t>
  </si>
  <si>
    <t>Third pH Date</t>
  </si>
  <si>
    <t>SUBR("*PVIL274",MATURITY.ID,'4','D','3')</t>
  </si>
  <si>
    <t>TDATE.PH.3</t>
  </si>
  <si>
    <t>Second pH Date</t>
  </si>
  <si>
    <t>SUBR("*PVIL274",MATURITY.ID,'4','D','2')</t>
  </si>
  <si>
    <t>TDATE.PH.2</t>
  </si>
  <si>
    <t>First pH Date</t>
  </si>
  <si>
    <t>SUBR("*PVIL274",MATURITY.ID,'4','D','1')</t>
  </si>
  <si>
    <t>TDATE.PH.1</t>
  </si>
  <si>
    <t>Third NA Date</t>
  </si>
  <si>
    <t>SUBR("*PVIL274",MATURITY.ID,'17','D','3')</t>
  </si>
  <si>
    <t>TDATE.NA.3</t>
  </si>
  <si>
    <t>Second NA Date</t>
  </si>
  <si>
    <t>SUBR("*PVIL274",MATURITY.ID,'17','D','2')</t>
  </si>
  <si>
    <t>TDATE.NA.2</t>
  </si>
  <si>
    <t>First NA Date</t>
  </si>
  <si>
    <t>SUBR("*PVIL274",MATURITY.ID,'17','D','1')</t>
  </si>
  <si>
    <t>TDATE.NA.1</t>
  </si>
  <si>
    <t>Third Malic Date</t>
  </si>
  <si>
    <t>3rd Malic</t>
  </si>
  <si>
    <t>SUBR("*PVIL274",MATURITY.ID,'10','D','3')</t>
  </si>
  <si>
    <t>TDATE.MALIC.3</t>
  </si>
  <si>
    <t>Second Malic Date</t>
  </si>
  <si>
    <t>2nd Malic</t>
  </si>
  <si>
    <t>SUBR("*PVIL274",MATURITY.ID,'10','D','2')</t>
  </si>
  <si>
    <t>TDATE.MALIC.2</t>
  </si>
  <si>
    <t>First Malic Date</t>
  </si>
  <si>
    <t>1st Malic</t>
  </si>
  <si>
    <t>SUBR("*PVIL274",MATURITY.ID,'10','D','1')</t>
  </si>
  <si>
    <t>TDATE.MALIC.1</t>
  </si>
  <si>
    <t>Third Beaume Date</t>
  </si>
  <si>
    <t>SUBR("*PVIL274",MATURITY.ID,'3','D','3')</t>
  </si>
  <si>
    <t>TDATE.BE.3</t>
  </si>
  <si>
    <t>Second Beaume Date</t>
  </si>
  <si>
    <t>SUBR("*PVIL274",MATURITY.ID,'3','D','2')</t>
  </si>
  <si>
    <t>TDATE.BE.2</t>
  </si>
  <si>
    <t>First Beaume Date</t>
  </si>
  <si>
    <t>SUBR("*PVIL274",MATURITY.ID,'3','D','1')</t>
  </si>
  <si>
    <t>TDATE.BE.1</t>
  </si>
  <si>
    <t>Third Acid Date</t>
  </si>
  <si>
    <t>SUBR("*PVIL274",MATURITY.ID,'5','D','3')</t>
  </si>
  <si>
    <t>TDATE.ACID.3</t>
  </si>
  <si>
    <t>Second Acid Date</t>
  </si>
  <si>
    <t>SUBR("*PVIL274",MATURITY.ID,'5','D','2')</t>
  </si>
  <si>
    <t>TDATE.ACID.2</t>
  </si>
  <si>
    <t>First Acid Date</t>
  </si>
  <si>
    <t>SUBR("*PVIL274",MATURITY.ID,'5','D','1')</t>
  </si>
  <si>
    <t>TDATE.ACID.1</t>
  </si>
  <si>
    <t>DO NOT USE</t>
  </si>
  <si>
    <t>SUBR(SUBR.PENBW:'PVII189',GROWERID, VINTAGE,BLOCK,'')</t>
  </si>
  <si>
    <t>TANK.GV</t>
  </si>
  <si>
    <t>TANK.GL</t>
  </si>
  <si>
    <t>Sustainable Price</t>
  </si>
  <si>
    <t>Sustainable</t>
  </si>
  <si>
    <t>TRANS(GRAPE.PRICE,@ID,SUSTNBLPRC,'X')</t>
  </si>
  <si>
    <t>SUSTNBLPRC</t>
  </si>
  <si>
    <t>Extract sub vineyard from MBLOCKS</t>
  </si>
  <si>
    <t>Sub-Vineyard</t>
  </si>
  <si>
    <t>TRANS(MBLOCKS,BLOCK,DESCRIPTION,'X');FIELD(@1,'}',2)</t>
  </si>
  <si>
    <t>SUB.VINEYARD</t>
  </si>
  <si>
    <t>Standard price (calculated)</t>
  </si>
  <si>
    <t>Std</t>
  </si>
  <si>
    <t>SUBR(SUBR.PENBW:'PVIZ157',@ID:@FM:'ST*V','','','')</t>
  </si>
  <si>
    <t>STANDARD.PRICE</t>
  </si>
  <si>
    <t>Translate to MGROWER to get source then translate to source to get descp</t>
  </si>
  <si>
    <t>SOURCE DESCP</t>
  </si>
  <si>
    <t>TRANS(MGROWER,GROWERID,SOURCE,'X');TRANS(SOURCE,@,DESCP,'X')</t>
  </si>
  <si>
    <t>SOURCEDESCP1</t>
  </si>
  <si>
    <t>SOURCEDESCP</t>
  </si>
  <si>
    <t>Translate to Grower Master for source area</t>
  </si>
  <si>
    <t>SOURCE1.OLD</t>
  </si>
  <si>
    <t>SOURCE1</t>
  </si>
  <si>
    <t>Source &amp; variety &amp; price code</t>
  </si>
  <si>
    <t>TRANS(MGROWER,GROWERID,SOURCE,'X');@:VARIETY:PRICE.CODE</t>
  </si>
  <si>
    <t>SOURCE.VARIETY.PRICE</t>
  </si>
  <si>
    <t>Grape Source Type</t>
  </si>
  <si>
    <t>Src</t>
  </si>
  <si>
    <t>SOURCE;TRANS(SOURCE,@,OWN.SOURCE,'X');IF @='Y' THEN 'OWN' ELSE 'GROWER'</t>
  </si>
  <si>
    <t>Short Description (15 characters)</t>
  </si>
  <si>
    <t>TRANS(MGROWER,GROWERID,SOURCE,'X');TRANS(SOURCE,@,SOURCE.DESC,'X')</t>
  </si>
  <si>
    <t>Source Country Name</t>
  </si>
  <si>
    <t>TRANS(SOURCE.COUNTRY,COUNTRY,'SOURCE.COUNT.NAME','X')</t>
  </si>
  <si>
    <t>SOURCE.COUNT.NAME</t>
  </si>
  <si>
    <t>combination of premium rate and standard rate used for sorting in</t>
  </si>
  <si>
    <t>SORT</t>
  </si>
  <si>
    <t>SUBR('*PZZZ128',PREM.RATE,RATE)</t>
  </si>
  <si>
    <t>SORT.RATE</t>
  </si>
  <si>
    <t>Lookup of grower short name from MGROWER for sorting</t>
  </si>
  <si>
    <t>SHORTID.NAME</t>
  </si>
  <si>
    <t>TRANS(SOURCE,SDISTRICT,SOURCE.DESC,'X')</t>
  </si>
  <si>
    <t>SDISTRICT.DESC</t>
  </si>
  <si>
    <t>S-4</t>
  </si>
  <si>
    <t>S-3</t>
  </si>
  <si>
    <t>S-2</t>
  </si>
  <si>
    <t>Display Source ID</t>
  </si>
  <si>
    <t>S-1</t>
  </si>
  <si>
    <t>Lookup of account type from MGROWER</t>
  </si>
  <si>
    <t>Description of a rootstock</t>
  </si>
  <si>
    <t>Rootstock</t>
  </si>
  <si>
    <t>IF ROOTSTOCK NE 'OWN' THEN TRANS(MVARIETY,ROOTSTOCK,VARDESCP,'X') ELSE</t>
  </si>
  <si>
    <t>ROOTSTOCK.DESC</t>
  </si>
  <si>
    <t>'OWN' if growing on own roots, else variety code of rootstock</t>
  </si>
  <si>
    <t>Stk</t>
  </si>
  <si>
    <t>TRANS(MBLOCKS,BLOCK,ROOTSTOCK,'X')</t>
  </si>
  <si>
    <t>ROOTSTOCK</t>
  </si>
  <si>
    <t>Rollon tonnage calculation</t>
  </si>
  <si>
    <t>Roll on</t>
  </si>
  <si>
    <t>IF AGREED&lt;AVAILABLE THEN AGREED ELSE AVAILABLE; IF PRORATA&lt;AVAILABLE THEN PRORATA</t>
  </si>
  <si>
    <t>ROLLON</t>
  </si>
  <si>
    <t>Revision price from GRAPE.PRICE file</t>
  </si>
  <si>
    <t>TRANS(GRAPE.PRICE,@ID,REVIS.PRICE,'X')</t>
  </si>
  <si>
    <t>Year contract is to be reviewed in</t>
  </si>
  <si>
    <t>CNTRCT.LASTVIN+0 - CNTRCT.TRMNTN[1,1]+0</t>
  </si>
  <si>
    <t>Residue sample required from block</t>
  </si>
  <si>
    <t>Res</t>
  </si>
  <si>
    <t>SUBR("*ITYPE.CONTROL.LU", "PART.OF.PROGRAM", PART.OF.PROGRAM, "BLKPGM.CODE",</t>
  </si>
  <si>
    <t>RES.SAMPLE</t>
  </si>
  <si>
    <t>Year in which the block is planned to be, or was, removed, that is,</t>
  </si>
  <si>
    <t>Year</t>
  </si>
  <si>
    <t>TRANS(MBLOCKS,BLOCK.CODE,'REMOVED','X')</t>
  </si>
  <si>
    <t>REMOVED</t>
  </si>
  <si>
    <t>Remaining allocation</t>
  </si>
  <si>
    <t>Remain</t>
  </si>
  <si>
    <t>ALLTONS - BKDTNNS - TDELGROSS</t>
  </si>
  <si>
    <t>REMALLOC</t>
  </si>
  <si>
    <t>First vintage when this block is in active use within our system.</t>
  </si>
  <si>
    <t>Start</t>
  </si>
  <si>
    <t>TRANS(MBLOCKS,BLOCK.CODE,'RECORDS.START','X')</t>
  </si>
  <si>
    <t>RECORDS.START</t>
  </si>
  <si>
    <t>Last vintage when this block is in active use within our system.</t>
  </si>
  <si>
    <t>TRANS(MBLOCKS,BLOCK.CODE,'RECORDS.END','X')</t>
  </si>
  <si>
    <t>RECORDS.END</t>
  </si>
  <si>
    <t>Price per tonne</t>
  </si>
  <si>
    <t>TRANS(VARPRICE,VARIETY:PRICE.CODE:SOURCE,RATE,'X')</t>
  </si>
  <si>
    <t>DF.PRS.EXT * FORECAST</t>
  </si>
  <si>
    <t>Prorata tonnage calculation</t>
  </si>
  <si>
    <t>Prorata</t>
  </si>
  <si>
    <t>SUBR(SUBR.PENBW:'PVIZ213',@RECORD)</t>
  </si>
  <si>
    <t>PRORATA</t>
  </si>
  <si>
    <t>Proj</t>
  </si>
  <si>
    <t>INT(PROJ.MAT)</t>
  </si>
  <si>
    <t>PROJ.MAT.WEEK</t>
  </si>
  <si>
    <t>Projected maturity date using indicator block if used.</t>
  </si>
  <si>
    <t>SUBR("*GVII284",BLOCK,INDICATOR.BLK,VINTAGE);</t>
  </si>
  <si>
    <t>PROJ.MAT.IB.DATE</t>
  </si>
  <si>
    <t>Projected maturity week.day using indicator block if used.</t>
  </si>
  <si>
    <t>PROJ.MAT.IB</t>
  </si>
  <si>
    <t>Projected maturity date</t>
  </si>
  <si>
    <t>SUBR(SUBR.PENBW:"PVIZ216",MATURITY.ID,TBAUME:'**D')</t>
  </si>
  <si>
    <t>PROJ.MAT.DATE</t>
  </si>
  <si>
    <t>Projected maturity week.day</t>
  </si>
  <si>
    <t>SUBR(SUBR.PENBW:"PVIZ216",MATURITY.ID,TBAUME)</t>
  </si>
  <si>
    <t>PROJ.MAT.BACKUP</t>
  </si>
  <si>
    <t>Project Maturity Week.Day</t>
  </si>
  <si>
    <t>Proj Matur</t>
  </si>
  <si>
    <t>SUBR("*GVIZ216")</t>
  </si>
  <si>
    <t>PROJ.MAT</t>
  </si>
  <si>
    <t>Production price</t>
  </si>
  <si>
    <t>Production Price</t>
  </si>
  <si>
    <t>IF OWN.BLOCK NE '' THEN  TRANS(GRAPE.PRICE,@ID,NEG.PRICE,'X') ELSE</t>
  </si>
  <si>
    <t>PRODUCTION.PRICE</t>
  </si>
  <si>
    <t>Price Description</t>
  </si>
  <si>
    <t>TRANS(PRICECODE,PRICE.CODE,DESC,'X')</t>
  </si>
  <si>
    <t>PRICE.DESC</t>
  </si>
  <si>
    <t>Premium price per tonne</t>
  </si>
  <si>
    <t>TRANS(VARPRICE,VARIETY:PRMPRC:SOURCE,RATE,'X')</t>
  </si>
  <si>
    <t>PREM.RATE</t>
  </si>
  <si>
    <t>Premium price from GRAPE.PRICE file</t>
  </si>
  <si>
    <t>Prem</t>
  </si>
  <si>
    <t>TRANS(GRAPE.PRICE,@ID,PREM.PRICE,'X')</t>
  </si>
  <si>
    <t>PREM.PRICE</t>
  </si>
  <si>
    <t>Tonnes for which it has already been okayed to accept</t>
  </si>
  <si>
    <t>Preapp</t>
  </si>
  <si>
    <t>AGREED;CONTRACT;OVER.TONNES.SPLIT ;IF @1 &gt; @2 THEN @1 ELSE @2; IF @4&gt;0     THEN @4 +</t>
  </si>
  <si>
    <t>PREAPPROVED</t>
  </si>
  <si>
    <t>Premium Price per tonne any year</t>
  </si>
  <si>
    <t>Premium</t>
  </si>
  <si>
    <t>TRANS(VINT.VARPRICE,VARIETY:PRMPRC:SOURCE:'*':VINTAGE[3,2],RATE,'X')</t>
  </si>
  <si>
    <t>PRATEYR</t>
  </si>
  <si>
    <t>Part of program warning required flag</t>
  </si>
  <si>
    <t>POP</t>
  </si>
  <si>
    <t>SUBR(SUBR.PENBW:'POP.LKUP',PART.OF.PROGRAM,3)</t>
  </si>
  <si>
    <t>POP.WFLAG</t>
  </si>
  <si>
    <t>Part of program description</t>
  </si>
  <si>
    <t>Part of Program</t>
  </si>
  <si>
    <t>SUBR(SUBR.PENBW:'POP.LKUP',PART.OF.PROGRAM,2)</t>
  </si>
  <si>
    <t>POP.DESC</t>
  </si>
  <si>
    <t>Planted</t>
  </si>
  <si>
    <t>TRANS(MBLOCKS,BLOCK,PLANTED,'X')</t>
  </si>
  <si>
    <t>PLANTED</t>
  </si>
  <si>
    <t>Phylloxera (Y/N)</t>
  </si>
  <si>
    <t>TRANS(MGROWER,GROWERID,SOURCE,'X');TRANS(SOURCE,@,PHYLLOXERA,'X')</t>
  </si>
  <si>
    <t>Grower's phone number</t>
  </si>
  <si>
    <t>TRANS(MGROWER,GROWERID,PHONE,'X')</t>
  </si>
  <si>
    <t>TRANS(MGROWER,ACCOUNT,'PAYMENT.CODE','X')</t>
  </si>
  <si>
    <t>Block program description</t>
  </si>
  <si>
    <t>SUBR('*GVII199',PART.OF.PROGRAM,"PART.OF.PROGRAM","")</t>
  </si>
  <si>
    <t>PART.OF.PGM.DESC</t>
  </si>
  <si>
    <t>PAM AusVit tonnage</t>
  </si>
  <si>
    <t>PAM Rev</t>
  </si>
  <si>
    <t>SUBR(SUBR.PENBW:"GVIZ129",'PR',@RECORD,'')+0</t>
  </si>
  <si>
    <t>PAM.REVISED</t>
  </si>
  <si>
    <t>TRANS(MGROWER,GROWERID,'PAM.INTERFACED','X')</t>
  </si>
  <si>
    <t>Description of Ownership of block</t>
  </si>
  <si>
    <t>Owner</t>
  </si>
  <si>
    <t>IF OWN.BLOCK = 'Y' THEN 'Own' ELSE 'Grower'</t>
  </si>
  <si>
    <t>OWN.BLOCK.DESC</t>
  </si>
  <si>
    <t>Tonnage tolerance before an over tonnes split is done.</t>
  </si>
  <si>
    <t>TRANS(CONTROL,'OVER.TONNES.SPLIT','OVER.TONNES.SPLIT','X')</t>
  </si>
  <si>
    <t>OVER.TONNES.SPLIT</t>
  </si>
  <si>
    <t>TRANS(SOURCE,ORIGIN,SOURCE.DESC,'X')</t>
  </si>
  <si>
    <t>ORIGIN.DESC</t>
  </si>
  <si>
    <t>Onerous price (calculated)</t>
  </si>
  <si>
    <t>Onerous</t>
  </si>
  <si>
    <t>SUBR(SUBR.PENBW:'PVIZ157',@ID:@FM:'O*V','','','')</t>
  </si>
  <si>
    <t>ONEROUS.PRICE</t>
  </si>
  <si>
    <t>Tonnes for which it is still okay to create a booking</t>
  </si>
  <si>
    <t>7R2</t>
  </si>
  <si>
    <t>Still OK</t>
  </si>
  <si>
    <t>AGREED;CONTRACT;0;DELIVERED + BOOKED;IF @1 &gt; @2 THEN @1 ELSE @2; IF @5&gt;0 THEN @5 +</t>
  </si>
  <si>
    <t>OK.TO.BOOK</t>
  </si>
  <si>
    <t>Tonnes which have been accepted above what was approved.</t>
  </si>
  <si>
    <t>AGREED;CONTRACT;OVER.TONNES.SPLIT ;DELIVERED;IF @1 &gt; @2 THEN @1 ELSE @2;   IF @5&gt;0</t>
  </si>
  <si>
    <t>OK.TO.ACCEPT</t>
  </si>
  <si>
    <t>Num</t>
  </si>
  <si>
    <t>IF NUM(@ID) THEN 1 ELSE 0</t>
  </si>
  <si>
    <t>NUMKEY</t>
  </si>
  <si>
    <t>Check @id is numeric</t>
  </si>
  <si>
    <t>@ID is</t>
  </si>
  <si>
    <t>NUMID</t>
  </si>
  <si>
    <t>Negotiated Price per tonne any year</t>
  </si>
  <si>
    <t>Negotiated</t>
  </si>
  <si>
    <t>TRANS(VINT.VARPRICE,VARIETY:PRICE.CODE:SOURCE:'*':VINTAGE[3,2],RATE,'X')</t>
  </si>
  <si>
    <t>NRATEYR</t>
  </si>
  <si>
    <t>COUNT(@RECORD,@FM)+(@RECORD#'')</t>
  </si>
  <si>
    <t>NO.FLDS</t>
  </si>
  <si>
    <t>Date of Next Test</t>
  </si>
  <si>
    <t>Next Test</t>
  </si>
  <si>
    <t>TRANS(MATURITY, MATURITY.ID,1,'X')</t>
  </si>
  <si>
    <t>NEXTTEST.E</t>
  </si>
  <si>
    <t>Negotiated price from GRAPE.PRICE file</t>
  </si>
  <si>
    <t>TRANS(GRAPE.PRICE,@ID,NEG.PRICE,'X')</t>
  </si>
  <si>
    <t>Name of Account of Grower, Company Vineyard Block or Carrier</t>
  </si>
  <si>
    <t>TRANS(MGROWER,ACCOUNT,NAME,'X')</t>
  </si>
  <si>
    <t>NAME30</t>
  </si>
  <si>
    <t>Number of Tests</t>
  </si>
  <si>
    <t>N Tests</t>
  </si>
  <si>
    <t>DCOUNT(TESTDATE,@VM)</t>
  </si>
  <si>
    <t>N.TESTS</t>
  </si>
  <si>
    <t>Next Year</t>
  </si>
  <si>
    <t>TRANS(CONTROL,'MVYEAR',MVYEAR,'X');@+1</t>
  </si>
  <si>
    <t>MVYEAR.NY</t>
  </si>
  <si>
    <t>PREVIOUS</t>
  </si>
  <si>
    <t>Modelling price 5</t>
  </si>
  <si>
    <t>Model</t>
  </si>
  <si>
    <t>TRANS(GRAPE.PRICE,@ID,'MODPRC5','X')</t>
  </si>
  <si>
    <t>MODPRC5</t>
  </si>
  <si>
    <t>Modelling price 4</t>
  </si>
  <si>
    <t>TRANS(GRAPE.PRICE,@ID,'MODPRC4','X')</t>
  </si>
  <si>
    <t>MODPRC4</t>
  </si>
  <si>
    <t>Modelling price 3</t>
  </si>
  <si>
    <t>TRANS(GRAPE.PRICE,@ID,'MODPRC3','X')</t>
  </si>
  <si>
    <t>MODPRC3</t>
  </si>
  <si>
    <t>Modelling price 2</t>
  </si>
  <si>
    <t>TRANS(GRAPE.PRICE,@ID,'MODPRC2','X')</t>
  </si>
  <si>
    <t>MODPRC2</t>
  </si>
  <si>
    <t>Modelling price 1</t>
  </si>
  <si>
    <t>TRANS(GRAPE.PRICE,@ID,'MODPRC1','X')</t>
  </si>
  <si>
    <t>MODPRC1</t>
  </si>
  <si>
    <t>"ACTIVE"</t>
  </si>
  <si>
    <t>Maximum tonnes which are to be booked</t>
  </si>
  <si>
    <t>6R0</t>
  </si>
  <si>
    <t>Max To</t>
  </si>
  <si>
    <t>AGREED;CONTRACT;0;IF @1 &gt; @2 THEN @1 ELSE @2; IF @4&gt;0 THEN @4 + @3 ELSE 0</t>
  </si>
  <si>
    <t>MAX.TO.BOOK</t>
  </si>
  <si>
    <t>MATURITY.ID</t>
  </si>
  <si>
    <t>Year in which block reaches full production</t>
  </si>
  <si>
    <t>Full</t>
  </si>
  <si>
    <t>TRANS(MBLOCKS,BLOCK,MATURE,'X')</t>
  </si>
  <si>
    <t>MATURE</t>
  </si>
  <si>
    <t>Maturity YAN combined actual and indicator block</t>
  </si>
  <si>
    <t>MATI</t>
  </si>
  <si>
    <t>SUBR("*GVII284",BLOCK,INDICATOR.BLK,VINTAGE);@1&lt;12&gt;</t>
  </si>
  <si>
    <t>MAT.YAN</t>
  </si>
  <si>
    <t>G2020 Maturity Test dates combined with actual and indicator block</t>
  </si>
  <si>
    <t>Maturity Test Date</t>
  </si>
  <si>
    <t>SUBR("*GVII284",BLOCK,INDICATOR.BLK,VINTAGE);@1&lt;2&gt;</t>
  </si>
  <si>
    <t>MAT.TESTDATE</t>
  </si>
  <si>
    <t>Maturity test dates combined actual and indicator block - 1st MV</t>
  </si>
  <si>
    <t>SUBR("*GVII284",BLOCK,INDICATOR.BLK,VINTAGE);@1&lt;2&gt;;EXTRACT(@2,1,1,1)</t>
  </si>
  <si>
    <t>MAT.TDATE1</t>
  </si>
  <si>
    <t>Maturity PH combined actual and indicator block</t>
  </si>
  <si>
    <t>SUBR("*GVII284",BLOCK,INDICATOR.BLK,VINTAGE);@1&lt;4&gt;</t>
  </si>
  <si>
    <t>MAT.PH</t>
  </si>
  <si>
    <t>Maturity NA combined actual and indicator block</t>
  </si>
  <si>
    <t>SUBR("*GVII284",BLOCK,INDICATOR.BLK,VINTAGE);@1&lt;17&gt;</t>
  </si>
  <si>
    <t>MAT.NA</t>
  </si>
  <si>
    <t>SUBR("*GVII284",BLOCK,INDICATOR.BLK,VINTAGE); DCOUNT(@1&lt;2&gt;,@VM)</t>
  </si>
  <si>
    <t>MAT.N.TESTS</t>
  </si>
  <si>
    <t>Maturity MALIC combined actual and indicator block</t>
  </si>
  <si>
    <t>SUBR("*GVII284",BLOCK,INDICATOR.BLK,VINTAGE);@1&lt;10&gt;</t>
  </si>
  <si>
    <t>MAT.MALIC</t>
  </si>
  <si>
    <t>Flag indicating if last maturity result is from an indicator block</t>
  </si>
  <si>
    <t>From</t>
  </si>
  <si>
    <t>SUBR("*GVII284",BLOCK,INDICATOR.BLK,VINTAGE);@1&lt;16&gt;;EXTRACT(@2,1,1,1)</t>
  </si>
  <si>
    <t>MAT.INDIC1</t>
  </si>
  <si>
    <t>Flag indicating if maturity result is from an indicator block</t>
  </si>
  <si>
    <t>SUBR("*GVII284",BLOCK,INDICATOR.BLK,VINTAGE);@1&lt;16&gt;</t>
  </si>
  <si>
    <t>MAT.INDIC</t>
  </si>
  <si>
    <t>Maturity COMMENT combined actual and indicator block</t>
  </si>
  <si>
    <t>SUBR("*GVII284",BLOCK,INDICATOR.BLK,VINTAGE);@1&lt;6&gt;</t>
  </si>
  <si>
    <t>MAT.COMMENT</t>
  </si>
  <si>
    <t>Maturity baume combined actual and indicator block - 1st MV</t>
  </si>
  <si>
    <t>SUBR("*GVII284",BLOCK,INDICATOR.BLK,VINTAGE);@1&lt;3&gt;;EXTRACT(@2,1,1,1)</t>
  </si>
  <si>
    <t>MAT.BE1</t>
  </si>
  <si>
    <t>Maturity baume combined actual and indicator block</t>
  </si>
  <si>
    <t>SUBR("*GVII284",BLOCK,INDICATOR.BLK,VINTAGE);@1&lt;3&gt;</t>
  </si>
  <si>
    <t>MAT.BAUME</t>
  </si>
  <si>
    <t>Maturity ACID combined actual and indicator block</t>
  </si>
  <si>
    <t>SUBR("*GVII284",BLOCK,INDICATOR.BLK,VINTAGE);@1&lt;5&gt;</t>
  </si>
  <si>
    <t>MAT.ACID</t>
  </si>
  <si>
    <t>Market price (from Forecast Price) for Company vineyards with Market</t>
  </si>
  <si>
    <t>Market</t>
  </si>
  <si>
    <t>SUBR(SUBR.PENBW:'PVIZ157',@ID:@FM:'M*V','','','')</t>
  </si>
  <si>
    <t>MARKET.PRICE</t>
  </si>
  <si>
    <t>TRANS(SHORTIDS,SHORTID,'LOGNAME','X')</t>
  </si>
  <si>
    <t>Hierarchy level number (1-4)</t>
  </si>
  <si>
    <t>TRANS(SOURCE,SOURCE,LEVEL,'X')</t>
  </si>
  <si>
    <t>LEVEL</t>
  </si>
  <si>
    <t>Legacy price (calculated)</t>
  </si>
  <si>
    <t>Legacy</t>
  </si>
  <si>
    <t>SUBR(SUBR.PENBW:'PVIZ157',@ID:@FM:'L*V','','','')</t>
  </si>
  <si>
    <t>LEGACY.PRICE</t>
  </si>
  <si>
    <t>Tonnes left to be delivered</t>
  </si>
  <si>
    <t>Left</t>
  </si>
  <si>
    <t>SUBR(SUBR.PENBW:"GVIZ129",'L',@RECORD,'')</t>
  </si>
  <si>
    <t>LEFT</t>
  </si>
  <si>
    <t>Initial Tank Grade Level</t>
  </si>
  <si>
    <t>SUBR('*GVII189',GROWERID, VINTAGE,BLOCK,'')</t>
  </si>
  <si>
    <t>INITIAL.TANK.GL</t>
  </si>
  <si>
    <t>Percentage of block currently traced to initial tank GL</t>
  </si>
  <si>
    <t>Percentage</t>
  </si>
  <si>
    <t>SUBR('*GVII189',GROWERID,VINTAGE,BLOCK,'PCT')</t>
  </si>
  <si>
    <t>INIT.TANK.GL.PCT</t>
  </si>
  <si>
    <t>Variety code for indicator block</t>
  </si>
  <si>
    <t>Indic</t>
  </si>
  <si>
    <t>TRANS(MBLOCKS,INDICATOR.BLK,'VARIETY','X')</t>
  </si>
  <si>
    <t>INDIC.VARIETY</t>
  </si>
  <si>
    <t>Indicator blocks source code</t>
  </si>
  <si>
    <t>TRANS(MGROWER,INDIC.ACCOUNT,SOURCE,'X')</t>
  </si>
  <si>
    <t>INDIC.SOURCE</t>
  </si>
  <si>
    <t>Name for indicator block</t>
  </si>
  <si>
    <t>TRANS(MBLOCKS,INDICATOR.BLK,'NAME','X')</t>
  </si>
  <si>
    <t>INDIC.NAME</t>
  </si>
  <si>
    <t>Account code for indicator block</t>
  </si>
  <si>
    <t>TRANS(MBLOCKS,INDICATOR.BLK,'ACCOUNT','X')</t>
  </si>
  <si>
    <t>INDIC.ACCOUNT</t>
  </si>
  <si>
    <t>Intake batch reason is "Winemaking Trial"</t>
  </si>
  <si>
    <t>Winemaking Trial</t>
  </si>
  <si>
    <t>SUBR(SUBR.PENBW:'GVII001',INTAKE.BATCH,'T','Y')</t>
  </si>
  <si>
    <t>IBR.WINEMAKING.TRIAL.Y</t>
  </si>
  <si>
    <t>SUBR(SUBR.PENBW:'GVII001',INTAKE.BATCH,'T','Winemaking Trial')</t>
  </si>
  <si>
    <t>IBR.WINEMAKING.TRIAL</t>
  </si>
  <si>
    <t>Intake batch reason is "Whole Bunch"</t>
  </si>
  <si>
    <t>Whole Bunch</t>
  </si>
  <si>
    <t>SUBR(SUBR.PENBW:'GVII001',INTAKE.BATCH,'B','Y')</t>
  </si>
  <si>
    <t>IBR.WHOLE.BUNCH.Y</t>
  </si>
  <si>
    <t>Intake batch whole bunch percentage stalks</t>
  </si>
  <si>
    <t>IBR.WHOLE.BUNCH.PCT</t>
  </si>
  <si>
    <t>SUBR(SUBR.PENBW:'GVII001',INTAKE.BATCH,'B','Whole Bunch')</t>
  </si>
  <si>
    <t>IBR.WHOLE.BUNCH</t>
  </si>
  <si>
    <t>Intake batch reason is "Whole Berry"</t>
  </si>
  <si>
    <t>Whole Berry</t>
  </si>
  <si>
    <t>SUBR(SUBR.PENBW:'GVII001',INTAKE.BATCH,'W','Y')</t>
  </si>
  <si>
    <t>IBR.WHOLE.BERRY.Y</t>
  </si>
  <si>
    <t>SUBR(SUBR.PENBW:'GVII001',INTAKE.BATCH,'W','Whole Berry')</t>
  </si>
  <si>
    <t>IBR.WHOLE.BERRY</t>
  </si>
  <si>
    <t>Intake batch reason is "Uplift"</t>
  </si>
  <si>
    <t>Uplift</t>
  </si>
  <si>
    <t>SUBR(SUBR.PENBW:'GVII001',INTAKE.BATCH,'U','Y')</t>
  </si>
  <si>
    <t>IBR.UPLIFT.Y</t>
  </si>
  <si>
    <t>SUBR(SUBR.PENBW:'GVII001',INTAKE.BATCH,'U','Uplift')</t>
  </si>
  <si>
    <t>IBR.UPLIFT</t>
  </si>
  <si>
    <t>Intake batch reason is "Rollers In"</t>
  </si>
  <si>
    <t>Rollers In</t>
  </si>
  <si>
    <t>SUBR(SUBR.PENBW:'GVII001',INTAKE.BATCH,'R','Y')</t>
  </si>
  <si>
    <t>IBR.ROLLERS.IN.Y</t>
  </si>
  <si>
    <t>SUBR(SUBR.PENBW:'GVII001',INTAKE.BATCH,'R','Rollers In')</t>
  </si>
  <si>
    <t>IBR.ROLLERS.IN</t>
  </si>
  <si>
    <t>Intake batch reason is "QA Issue VYard"</t>
  </si>
  <si>
    <t>QA Issue VYard</t>
  </si>
  <si>
    <t>SUBR(SUBR.PENBW:'GVII001',INTAKE.BATCH,'Q','Y')</t>
  </si>
  <si>
    <t>IBR.QA.ISSUE.VY.Y</t>
  </si>
  <si>
    <t>SUBR(SUBR.PENBW:'GVII001',INTAKE.BATCH,'Q','QA Issue VYard')</t>
  </si>
  <si>
    <t>IBR.QA.ISSUE.VY</t>
  </si>
  <si>
    <t>Intake batch reason is "Project"</t>
  </si>
  <si>
    <t>Project</t>
  </si>
  <si>
    <t>SUBR(SUBR.PENBW:'GVII001',INTAKE.BATCH,'P','Y')</t>
  </si>
  <si>
    <t>IBR.PROJECT.Y</t>
  </si>
  <si>
    <t>SUBR(SUBR.PENBW:'GVII001',INTAKE.BATCH,'P','Project')</t>
  </si>
  <si>
    <t>IBR.PROJECT</t>
  </si>
  <si>
    <t>Intake batch reason is "No HDB"</t>
  </si>
  <si>
    <t>No HDB</t>
  </si>
  <si>
    <t>SUBR(SUBR.PENBW:'GVII001',INTAKE.BATCH,'N','Y')</t>
  </si>
  <si>
    <t>IBR.NO.HDB.Y</t>
  </si>
  <si>
    <t>SUBR(SUBR.PENBW:'GVII001',INTAKE.BATCH,'N','No HDB')</t>
  </si>
  <si>
    <t>IBR.NO.HDB</t>
  </si>
  <si>
    <t>Intake batch reason is "Keep Separate"</t>
  </si>
  <si>
    <t>Keep Separate</t>
  </si>
  <si>
    <t>SUBR(SUBR.PENBW:'GVII001',INTAKE.BATCH,'K','Y')</t>
  </si>
  <si>
    <t>IBR.KEEP.SEPARATE.Y</t>
  </si>
  <si>
    <t>SUBR(SUBR.PENBW:'GVII001',INTAKE.BATCH,'K','Keep Separate')</t>
  </si>
  <si>
    <t>IBR.KEEP.SEPARATE</t>
  </si>
  <si>
    <t>Intake batch reason is "Hand Picked"</t>
  </si>
  <si>
    <t>Hand Picked</t>
  </si>
  <si>
    <t>SUBR(SUBR.PENBW:'GVII001',INTAKE.BATCH,'H','Y')</t>
  </si>
  <si>
    <t>IBR.HAND.PICKED.Y</t>
  </si>
  <si>
    <t>SUBR(SUBR.PENBW:'GVII001',INTAKE.BATCH,'H','Hand Picked')</t>
  </si>
  <si>
    <t>IBR.HAND.PICKED</t>
  </si>
  <si>
    <t>Intake batch reason is "Cold Soak"</t>
  </si>
  <si>
    <t>Cold Soak</t>
  </si>
  <si>
    <t>SUBR(SUBR.PENBW:'GVII001',INTAKE.BATCH,'C','Y')</t>
  </si>
  <si>
    <t>IBR.COLD.SOAK.Y</t>
  </si>
  <si>
    <t>SUBR(SUBR.PENBW:'GVII001',INTAKE.BATCH,'C','Cold Soak')</t>
  </si>
  <si>
    <t>IBR.COLD.SOAK</t>
  </si>
  <si>
    <t>Intake batch reason is "Berry Sorter"</t>
  </si>
  <si>
    <t>Berry Sorter</t>
  </si>
  <si>
    <t>SUBR(SUBR.PENBW:'GVII001',INTAKE.BATCH,'S','Y')</t>
  </si>
  <si>
    <t>IBR.BERRY.SORTER.Y</t>
  </si>
  <si>
    <t>SUBR(SUBR.PENBW:'GVII001',INTAKE.BATCH,'S','Berry Sorter')</t>
  </si>
  <si>
    <t>IBR.BERRY.SORTER</t>
  </si>
  <si>
    <t>Intake batch - batch number</t>
  </si>
  <si>
    <t>IBR.BATCH.NUM</t>
  </si>
  <si>
    <t>Hectares of blocks which are still current</t>
  </si>
  <si>
    <t>IF BLOCK.ACTIVITY = '' THEN HECTARES ELSE ''</t>
  </si>
  <si>
    <t>HECTARES.CURRENT</t>
  </si>
  <si>
    <t>Hectares of Variety</t>
  </si>
  <si>
    <t>Ha</t>
  </si>
  <si>
    <t>TRANS(MBLOCKS,BLOCK,BLOCK.AREA,'X')</t>
  </si>
  <si>
    <t>HECTARES</t>
  </si>
  <si>
    <t>TRANS(MGROWER,GROWERID,'HARVESTER.PHONE','X')</t>
  </si>
  <si>
    <t>TRANS(MGROWER,GROWERID,'HARVESTER.NAME','X')</t>
  </si>
  <si>
    <t>Combines grower id and variety code (as GROWER * VARIETY)</t>
  </si>
  <si>
    <t>Grower Id</t>
  </si>
  <si>
    <t>GROWERID:'*':VARIETY</t>
  </si>
  <si>
    <t>GROWVAR</t>
  </si>
  <si>
    <t>Translate to Grower Master for activity code</t>
  </si>
  <si>
    <t>GROWER ACTIV</t>
  </si>
  <si>
    <t>Grower Rosemount reference</t>
  </si>
  <si>
    <t>TRANS(MGROWER,GROWERID,ROSE.REF,'X')</t>
  </si>
  <si>
    <t>GROWER.ROSE.REF</t>
  </si>
  <si>
    <t>Get flag for generic growers</t>
  </si>
  <si>
    <t>Grower's</t>
  </si>
  <si>
    <t>TRANS(MGROWER,GROWERID,GENERIC,'X')</t>
  </si>
  <si>
    <t>GROWER.GENERIC</t>
  </si>
  <si>
    <t>Lookup of grower name from MGROWER</t>
  </si>
  <si>
    <t>IF GROUP = 'R' THEN 'Red' ELSE IF GROUP = 'F' AND VARCOLR = 'R' THEN     'Red' ELSE</t>
  </si>
  <si>
    <t>GROUP.SYSTEM</t>
  </si>
  <si>
    <t>Grid reference number</t>
  </si>
  <si>
    <t>TRANS(MBLOCKS,BLOCK,GRID.REF,'X')</t>
  </si>
  <si>
    <t>GRID.REF</t>
  </si>
  <si>
    <t>Grid price (calculated)</t>
  </si>
  <si>
    <t>SUBR(SUBR.PENBW:'PVIZ157',@ID:@FM:'GRID*V','','','')</t>
  </si>
  <si>
    <t>Grade sequence</t>
  </si>
  <si>
    <t>TRANS(GRADE.FILE,GRADE,'SEQ','X')</t>
  </si>
  <si>
    <t>GRADE.SEQ</t>
  </si>
  <si>
    <t>Grade GL</t>
  </si>
  <si>
    <t>GRADE:TRANS(GRADE.FILE,GRADE,'RANGE','X')</t>
  </si>
  <si>
    <t>GRADE.GL</t>
  </si>
  <si>
    <t>GRAPE.PRICE</t>
  </si>
  <si>
    <t>OCONV(TRANS(GRAPE.PRICE,@ID,REVIS.PRICE,'X'),'MD00P')</t>
  </si>
  <si>
    <t>GR.REV.PRICE</t>
  </si>
  <si>
    <t>OCONV(TRANS(GRAPE.PRICE,@ID,PREM.PRICE,'X'),'MD00P')</t>
  </si>
  <si>
    <t>GR.PREM.PRICE</t>
  </si>
  <si>
    <t>OCONV(TRANS(GRAPE.PRICE,@ID,NEG.PRICE,'X'),'MD00P')</t>
  </si>
  <si>
    <t>GR.NEG.PRICE</t>
  </si>
  <si>
    <t>SUBR(SUBR.PENBW:'PVIZ157',@ID:@FM:'FV','','','')</t>
  </si>
  <si>
    <t>GR.FCAST.PRICE</t>
  </si>
  <si>
    <t>SUBR(SUBR.PENBW:'PVIZ157',@ID:@FM:'CV','','','')</t>
  </si>
  <si>
    <t>GR.CURR.PRICE</t>
  </si>
  <si>
    <t>Contract price from GRAPE.PRICE file</t>
  </si>
  <si>
    <t>OCONV(TRANS(GRAPE.PRICE,@ID,CONT.PRICE,'X'),'MD00P')</t>
  </si>
  <si>
    <t>GR.CONT.PRICE</t>
  </si>
  <si>
    <t>Grower liason officers short Id.</t>
  </si>
  <si>
    <t>TRANS(MGROWER,GROWERID,'GLO.LOGNAME','X')</t>
  </si>
  <si>
    <t>Generic description</t>
  </si>
  <si>
    <t>GENERIC.DESC</t>
  </si>
  <si>
    <t>DF.FRN.EXT * FORECAST</t>
  </si>
  <si>
    <t>Forecast tonnes rounded to no decimal places within subroutine</t>
  </si>
  <si>
    <t>SUBR(SUBR.PENBW:"GVIZ129",'FD',@RECORD,'') +0</t>
  </si>
  <si>
    <t>FORECAST.RND</t>
  </si>
  <si>
    <t>Tonnes Forecast</t>
  </si>
  <si>
    <t>FORECAST.R8.DEC</t>
  </si>
  <si>
    <t>FORECAST.DEC</t>
  </si>
  <si>
    <t>FORECAST.2DEC</t>
  </si>
  <si>
    <t>Tonnes forecast</t>
  </si>
  <si>
    <t>SUBR(SUBR.PENBW:"GVIZ129",'F',@RECORD,'') +0</t>
  </si>
  <si>
    <t>FORECAST</t>
  </si>
  <si>
    <t>Flagged Generic Name</t>
  </si>
  <si>
    <t>Flagged MPF Name</t>
  </si>
  <si>
    <t>TRANS(GENERIC.FILE,FLG.GENERIC,NAME,'X')</t>
  </si>
  <si>
    <t>FLG.GEN.NAME</t>
  </si>
  <si>
    <t>Field Generic Name</t>
  </si>
  <si>
    <t>TRANS(GENERIC.FILE,FLD.GENERIC,NAME,'X')</t>
  </si>
  <si>
    <t>FLD.GEN.NAME</t>
  </si>
  <si>
    <t>Field Grade GL</t>
  </si>
  <si>
    <t>FIELD.GRADE:TRANS(GRADE.FILE,FIELD.GRADE,'RANGE','X')</t>
  </si>
  <si>
    <t>FIELD.GRADE.GL</t>
  </si>
  <si>
    <t>Teomporary Fcst Tonnes calc until Vintage Intake - tonnage project</t>
  </si>
  <si>
    <t>Fcst Tonnes</t>
  </si>
  <si>
    <t>SUBR(SUBR.PENBW:'PVIZ116',RECFINAL,TDELGROSS,ALLTONS,BKDTNNS,ESTTONS,CONTONS)</t>
  </si>
  <si>
    <t>FCST.TONNES</t>
  </si>
  <si>
    <t>Forecast Generic Name</t>
  </si>
  <si>
    <t>TRANS(GENERIC.FILE,FCAST.GENERIC,NAME,'X')</t>
  </si>
  <si>
    <t>FCST.GEN.NAME</t>
  </si>
  <si>
    <t>Tonnes forecast for 1999</t>
  </si>
  <si>
    <t>IF VINTAGE = '1999' THEN FORECAST ELSE ''</t>
  </si>
  <si>
    <t>FCAST99</t>
  </si>
  <si>
    <t>Tonnes forecast for 1998</t>
  </si>
  <si>
    <t>IF VINTAGE = '1998' THEN FORECAST ELSE ''</t>
  </si>
  <si>
    <t>FCAST98</t>
  </si>
  <si>
    <t>Tonnes forecast for 2015</t>
  </si>
  <si>
    <t>IF VINTAGE = '2015' THEN FORECAST ELSE ''</t>
  </si>
  <si>
    <t>FCAST15</t>
  </si>
  <si>
    <t>Tonnes forecast for 2014</t>
  </si>
  <si>
    <t>IF VINTAGE = '2014' THEN FORECAST ELSE ''</t>
  </si>
  <si>
    <t>FCAST14</t>
  </si>
  <si>
    <t>Tonnes forecast for 2013</t>
  </si>
  <si>
    <t>IF VINTAGE = '2013' THEN FORECAST ELSE ''</t>
  </si>
  <si>
    <t>FCAST13</t>
  </si>
  <si>
    <t>Tonnes forecast for 2012</t>
  </si>
  <si>
    <t>IF VINTAGE = '2012' THEN FORECAST ELSE ''</t>
  </si>
  <si>
    <t>FCAST12</t>
  </si>
  <si>
    <t>Tonnes forecast for 2011</t>
  </si>
  <si>
    <t>IF VINTAGE = '2011' THEN FORECAST ELSE ''</t>
  </si>
  <si>
    <t>FCAST11</t>
  </si>
  <si>
    <t>Tonnes forecast for 2010</t>
  </si>
  <si>
    <t>IF VINTAGE = '2010' THEN FORECAST ELSE ''</t>
  </si>
  <si>
    <t>FCAST10</t>
  </si>
  <si>
    <t>Tonnes forecast for 2009</t>
  </si>
  <si>
    <t>IF VINTAGE = '2009' THEN FORECAST ELSE ''</t>
  </si>
  <si>
    <t>FCAST09</t>
  </si>
  <si>
    <t>Tonnes forecast for 2008</t>
  </si>
  <si>
    <t>IF VINTAGE = '2008' THEN FORECAST ELSE ''</t>
  </si>
  <si>
    <t>FCAST08</t>
  </si>
  <si>
    <t>Tonnes forecast for 2007</t>
  </si>
  <si>
    <t>IF VINTAGE = '2007' THEN FORECAST ELSE ''</t>
  </si>
  <si>
    <t>FCAST07</t>
  </si>
  <si>
    <t>Tonnes forecast for 2006</t>
  </si>
  <si>
    <t>IF VINTAGE = '2006' THEN FORECAST ELSE ''</t>
  </si>
  <si>
    <t>FCAST06</t>
  </si>
  <si>
    <t>Tonnes forecast for 2005</t>
  </si>
  <si>
    <t>IF VINTAGE = '2005' THEN FORECAST ELSE ''</t>
  </si>
  <si>
    <t>FCAST05</t>
  </si>
  <si>
    <t>Tonnes forecast for 2004</t>
  </si>
  <si>
    <t>IF VINTAGE = '2004' THEN FORECAST ELSE ''</t>
  </si>
  <si>
    <t>FCAST04</t>
  </si>
  <si>
    <t>Tonnes forecast for 2003</t>
  </si>
  <si>
    <t>IF VINTAGE = '2003' THEN FORECAST ELSE ''</t>
  </si>
  <si>
    <t>FCAST03</t>
  </si>
  <si>
    <t>Tonnes forecast for 2002</t>
  </si>
  <si>
    <t>IF VINTAGE = '2002' THEN FORECAST ELSE ''</t>
  </si>
  <si>
    <t>FCAST02</t>
  </si>
  <si>
    <t>Tonnes forecast for 2001</t>
  </si>
  <si>
    <t>IF VINTAGE = '2001' THEN FORECAST ELSE ''</t>
  </si>
  <si>
    <t>FCAST01</t>
  </si>
  <si>
    <t>Tonnes forecast for 2000</t>
  </si>
  <si>
    <t>IF VINTAGE = '2000' THEN FORECAST ELSE ''</t>
  </si>
  <si>
    <t>FCAST00</t>
  </si>
  <si>
    <t>Forecast Unbooked</t>
  </si>
  <si>
    <t>FCAST;DELIVERED;BOOKED;IF @3+0 GT @1-@2 THEN 0 ELSE @1 - @2 - @3</t>
  </si>
  <si>
    <t>FCAST.UNBOOKED</t>
  </si>
  <si>
    <t>Forecast tonnes per hectare</t>
  </si>
  <si>
    <t>IF BLOCK.AREA THEN FORECAST.2DEC / BLOCK.AREA ELSE ''</t>
  </si>
  <si>
    <t>FCAST.TNN.HA</t>
  </si>
  <si>
    <t>SUBR(SUBR.PENBW:'PVIZ157',@ID:@FM:'F*V','','','')</t>
  </si>
  <si>
    <t>Forecast Grade sequence</t>
  </si>
  <si>
    <t>TRANS(GRADE.FILE,FCAST.GRADE,'SEQ','X')</t>
  </si>
  <si>
    <t>FCAST.GRADE.SEQ</t>
  </si>
  <si>
    <t>Forecast of most likely Actual Grade</t>
  </si>
  <si>
    <t>FCAST.GL[1,1]</t>
  </si>
  <si>
    <t>IF ACTUAL.GL THEN ACTUAL.GL ELSE IF CALC.GL THEN CALC.GL ELSE IF FIELD.GRADE THEN</t>
  </si>
  <si>
    <t>FCAST.GL</t>
  </si>
  <si>
    <t>Forecast generic</t>
  </si>
  <si>
    <t>IF FLD.GENERIC # '' THEN FLD.GENERIC ELSE FLG.GENERIC</t>
  </si>
  <si>
    <t>SUBR("*GVIZ129",'FD',@RECORD,'') +0</t>
  </si>
  <si>
    <t>FCAST</t>
  </si>
  <si>
    <t>Excess</t>
  </si>
  <si>
    <t>AGREED;CONTRACT;OVER.TONNES.SPLIT;DELIVERED;IF @1 &gt;   @2 THEN @1 ELSE @2;  IF @5&gt;0</t>
  </si>
  <si>
    <t>EXCESS</t>
  </si>
  <si>
    <t>OCONV(BLOCK.NAME,'MC</t>
  </si>
  <si>
    <t>OCONV(BLOCK.NAME,'MCL')</t>
  </si>
  <si>
    <t>EVAL18072.9</t>
  </si>
  <si>
    <t>OCONV(VARIETY,'MCL')</t>
  </si>
  <si>
    <t>EVAL18072.8</t>
  </si>
  <si>
    <t>OCONV(GROWERID,'MCL'</t>
  </si>
  <si>
    <t>OCONV(GROWERID,'MCL')</t>
  </si>
  <si>
    <t>EVAL18072.7</t>
  </si>
  <si>
    <t>'  '</t>
  </si>
  <si>
    <t>EVAL18072.12</t>
  </si>
  <si>
    <t>EVAL18072.11</t>
  </si>
  <si>
    <t>GROWERID:' ':GROWER:</t>
  </si>
  <si>
    <t>GROWERID:' ':GROWER:'   ':VARIETY:' ':VARDESCP:'   ':BLOCK.NAME</t>
  </si>
  <si>
    <t>EVAL18072.10</t>
  </si>
  <si>
    <t>IF ENDUSE = 'R' THEN 'Red' ELSE IF ENDUSE = 'F' AND VARCOLR = 'R' THEN     'Red'</t>
  </si>
  <si>
    <t>End use Description</t>
  </si>
  <si>
    <t>End Use</t>
  </si>
  <si>
    <t>TRANS(ENDUSE,ENDUSE,'DESC','X')</t>
  </si>
  <si>
    <t>ENDUSE.DESC</t>
  </si>
  <si>
    <t>90L</t>
  </si>
  <si>
    <t>ELOG TEXT FIRST</t>
  </si>
  <si>
    <t>ELOG.TEXT&lt;1,1&gt;</t>
  </si>
  <si>
    <t>ELOG.TEXT.FIRST</t>
  </si>
  <si>
    <t>IF DRY.IRR='D' THEN 'Dryland' ELSE IF DRY.IRR='I' THEN 'Irrigated' ELSE 'N/A'</t>
  </si>
  <si>
    <t>DRY.IRR.DESCP</t>
  </si>
  <si>
    <t>(D)ry / (I)rrigated / (N)on-applicable</t>
  </si>
  <si>
    <t>TRANS(SOURCE,SOURCE,DRY.IRR,'X')</t>
  </si>
  <si>
    <t>SUBR(SUBR.PENBW:'PVII246',VARIETY,SOURCE,ENDUSE,FCAST.GRADE,VARCOLR,3)</t>
  </si>
  <si>
    <t>SUBR(SUBR.PENBW:'PVII246',VARIETY,SOURCE,ENDUSE,FCAST.GRADE,VARCOLR,4)</t>
  </si>
  <si>
    <t>SUBR(SUBR.PENBW:'PVII246',VARIETY,SOURCE,ENDUSE,FCAST.GRADE,VARCOLR,2)</t>
  </si>
  <si>
    <t>SUBR(SUBR.PENBW:'PVII246',VARIETY,SOURCE,ENDUSE,FCAST.GRADE,VARCOLR,1)</t>
  </si>
  <si>
    <t>SUBR(SUBR.PENBW:'PVII246',VARIETY,SOURCE,ENDUSE,FCAST.GRADE,VARCOLR,5)</t>
  </si>
  <si>
    <t>Average number of vines per hectare</t>
  </si>
  <si>
    <t>Vines</t>
  </si>
  <si>
    <t>TRANS(MBLOCKS,BLOCK,DENSITY,'X')</t>
  </si>
  <si>
    <t>DENSITY</t>
  </si>
  <si>
    <t>Correct problem with numbers being treated as characters</t>
  </si>
  <si>
    <t>MD02P</t>
  </si>
  <si>
    <t>DELIVERED + 0</t>
  </si>
  <si>
    <t>DELIV</t>
  </si>
  <si>
    <t>This Vintage - 8</t>
  </si>
  <si>
    <t>DELETE</t>
  </si>
  <si>
    <t>TRANS(CONTROL,'MVYEAR',MVYEAR,'X');@-8</t>
  </si>
  <si>
    <t>DELETE.VINTAGE</t>
  </si>
  <si>
    <t>Used to calculate to average delivered tonnage over selection of</t>
  </si>
  <si>
    <t>IF DELIVERED + 0 &gt; 0 THEN 1 ELSE ''</t>
  </si>
  <si>
    <t>DELCOUNT</t>
  </si>
  <si>
    <t>Tonnes delivered in 1999</t>
  </si>
  <si>
    <t>IF VINTAGE = '1999' THEN DELIVERED ELSE ''</t>
  </si>
  <si>
    <t>DEL99</t>
  </si>
  <si>
    <t>Tonnes delivered in 1998</t>
  </si>
  <si>
    <t>IF VINTAGE = '1998' THEN DELIVERED ELSE ''</t>
  </si>
  <si>
    <t>DEL98</t>
  </si>
  <si>
    <t>Tonnes delivered in 1997</t>
  </si>
  <si>
    <t>IF VINTAGE = '1997' THEN DELIVERED ELSE ''</t>
  </si>
  <si>
    <t>DEL97</t>
  </si>
  <si>
    <t>Tonnes delivered in 1996</t>
  </si>
  <si>
    <t>IF VINTAGE = '1996' THEN DELIVERED ELSE ''</t>
  </si>
  <si>
    <t>DEL96</t>
  </si>
  <si>
    <t>Tonnes delivered in 1995</t>
  </si>
  <si>
    <t>IF VINTAGE = '1995' THEN DELIVERED ELSE ''</t>
  </si>
  <si>
    <t>DEL95</t>
  </si>
  <si>
    <t>Tonnes delivered in 1994</t>
  </si>
  <si>
    <t>IF VINTAGE = '1994' THEN DELIVERED ELSE ''</t>
  </si>
  <si>
    <t>DEL94</t>
  </si>
  <si>
    <t>Tonnes delivered in 1993</t>
  </si>
  <si>
    <t>IF VINTAGE = '1993' THEN DELIVERED ELSE ''</t>
  </si>
  <si>
    <t>DEL93</t>
  </si>
  <si>
    <t>Tonnes delivered in 1992</t>
  </si>
  <si>
    <t>IF VINTAGE = '1992' THEN DELIVERED ELSE ''</t>
  </si>
  <si>
    <t>DEL92</t>
  </si>
  <si>
    <t>Delivered tonnage if 2010</t>
  </si>
  <si>
    <t>IF VINTAGE = '2010' THEN DELIVERED ELSE ''</t>
  </si>
  <si>
    <t>DEL10</t>
  </si>
  <si>
    <t>Delivered tonnage if 2009</t>
  </si>
  <si>
    <t>IF VINTAGE = '2009' THEN DELIVERED ELSE ''</t>
  </si>
  <si>
    <t>DEL09</t>
  </si>
  <si>
    <t>Delivered tonnage if 2008</t>
  </si>
  <si>
    <t>IF VINTAGE = '2008' THEN DELIVERED ELSE ''</t>
  </si>
  <si>
    <t>DEL08</t>
  </si>
  <si>
    <t>Delivered tonnage if 2007</t>
  </si>
  <si>
    <t>IF VINTAGE = '2007' THEN DELIVERED ELSE ''</t>
  </si>
  <si>
    <t>DEL07</t>
  </si>
  <si>
    <t>Delivered tonnage if 2006</t>
  </si>
  <si>
    <t>IF VINTAGE = '2006' THEN DELIVERED ELSE ''</t>
  </si>
  <si>
    <t>DEL06</t>
  </si>
  <si>
    <t>Delivered tonnage if 2005</t>
  </si>
  <si>
    <t>IF VINTAGE = '2005' THEN DELIVERED ELSE ''</t>
  </si>
  <si>
    <t>DEL05</t>
  </si>
  <si>
    <t>Delivered tonnage if 2004</t>
  </si>
  <si>
    <t>IF VINTAGE = '2004' THEN DELIVERED ELSE ''</t>
  </si>
  <si>
    <t>DEL04</t>
  </si>
  <si>
    <t>Delivered tonnage if 2003</t>
  </si>
  <si>
    <t>IF VINTAGE = '2003' THEN DELIVERED ELSE ''</t>
  </si>
  <si>
    <t>DEL03</t>
  </si>
  <si>
    <t>Delivered tonnage if 2002</t>
  </si>
  <si>
    <t>IF VINTAGE = '2002' THEN DELIVERED ELSE ''</t>
  </si>
  <si>
    <t>DEL02</t>
  </si>
  <si>
    <t>Tonnes delevered in 2001</t>
  </si>
  <si>
    <t>IF VINTAGE = 2001 THEN DELIVERED ELSE ''</t>
  </si>
  <si>
    <t>DEL01</t>
  </si>
  <si>
    <t>Delivered tonnage if 2000</t>
  </si>
  <si>
    <t>IF VINTAGE = 2000 THEN DELIVERED ELSE ''</t>
  </si>
  <si>
    <t>DEL00</t>
  </si>
  <si>
    <t>Default delivery date week.day if the record is for current vintage</t>
  </si>
  <si>
    <t>SUBR(SUBR.PENBW:"PVIZ101", DEFAULT.DLVRY.DATE)</t>
  </si>
  <si>
    <t>DEF.DEL.WK.DAY.CV</t>
  </si>
  <si>
    <t>Default delivery date week.day</t>
  </si>
  <si>
    <t>SUBR("*GVIZ264", DEFAULT.DLVRY.DATE,VINTAGE)</t>
  </si>
  <si>
    <t>DEF.DEL.WK.DAY</t>
  </si>
  <si>
    <t>Default delivery date week if the record is for current vintage</t>
  </si>
  <si>
    <t>FIELD(SUBR(SUBR.PENBW:"PVIZ101", DEFAULT.DLVRY.DATE),'.',1)</t>
  </si>
  <si>
    <t>DEF.DEL.WK.CV</t>
  </si>
  <si>
    <t>Current record from VINTINTAKE when accessed from .REPT file</t>
  </si>
  <si>
    <t>TRANS('VINTINTAKE',AUD.KEY,-1,'X')</t>
  </si>
  <si>
    <t>CURR.RECORD</t>
  </si>
  <si>
    <t>SUBR(SUBR.PENBW:'PVIZ157',@ID:@FM:'C*V','','','')</t>
  </si>
  <si>
    <t>Current forecast from VINTINTAKE when accessed from .REPT file</t>
  </si>
  <si>
    <t>SUBR(SUBR.PENBW:'GVIZ129','F',RAISE(CURR.RECORD),'')+0</t>
  </si>
  <si>
    <t>CURR.FORECAST</t>
  </si>
  <si>
    <t>current vintage + 1 year</t>
  </si>
  <si>
    <t>Cur</t>
  </si>
  <si>
    <t>CUR.VINT+1</t>
  </si>
  <si>
    <t>CUR.VINT</t>
  </si>
  <si>
    <t>Cost Group Description</t>
  </si>
  <si>
    <t>Cost Group</t>
  </si>
  <si>
    <t>TRANS(SOURCE.COSTGRPS,COSTGRP,DESC,'X')</t>
  </si>
  <si>
    <t>CSTGRPDESC</t>
  </si>
  <si>
    <t>CRUSH.WINERY.LOC</t>
  </si>
  <si>
    <t>TRANS(CRUSHSITE,CRUSH.LOCN,'DESC','X')</t>
  </si>
  <si>
    <t>CRUSH.LOCN.DESC</t>
  </si>
  <si>
    <t>Percent of deliveries from the block which went to its Actual</t>
  </si>
  <si>
    <t>CS%</t>
  </si>
  <si>
    <t>SUBR(SUBR.PENBW:'PVII191',GROWERID,VINTAGE,BLOCK,'D','')</t>
  </si>
  <si>
    <t>CRSITE.%</t>
  </si>
  <si>
    <t>Crush Plan</t>
  </si>
  <si>
    <t>VARIETY:'*':SOURCE:'*':VINTAGE:'*':CONTRACT.TYPE</t>
  </si>
  <si>
    <t>CPLAN.KEY3</t>
  </si>
  <si>
    <t>Crush Plan Key</t>
  </si>
  <si>
    <t>VARIETY:'*':SOURCE:'*':GROUP:'*':CRUSH.LOCN</t>
  </si>
  <si>
    <t>VARIETY:'*':SOURCE:'*':ENDUSE:'*':CRUSH.LOCN</t>
  </si>
  <si>
    <t>CPLAN.KEY</t>
  </si>
  <si>
    <t>Source country</t>
  </si>
  <si>
    <t>Country</t>
  </si>
  <si>
    <t>TRANS(SOURCE,SOURCE,'COUNTRY','X')</t>
  </si>
  <si>
    <t>COUNTRY</t>
  </si>
  <si>
    <t>Source Cost Group</t>
  </si>
  <si>
    <t>TRANS(SOURCE,SOURCE,COSTGRP,'X')</t>
  </si>
  <si>
    <t>COSTGRP</t>
  </si>
  <si>
    <t>Cost price (from Current Price) for Company vineyards with Market</t>
  </si>
  <si>
    <t>SUBR(SUBR.PENBW:'PVIZ157',@ID:@FM:'V*V','','','')</t>
  </si>
  <si>
    <t>COST.PRICE</t>
  </si>
  <si>
    <t>Lookup of contract type from MGROWER</t>
  </si>
  <si>
    <t>CONTTYPE</t>
  </si>
  <si>
    <t>Style of Contract: Own, Tonnage, Market Value, Variety</t>
  </si>
  <si>
    <t>TRANS(CONTRACT.TYPE, CONTTYPE, STYLE,'X')</t>
  </si>
  <si>
    <t>CONTSTYLE</t>
  </si>
  <si>
    <t>Description of current Contract Type of Account</t>
  </si>
  <si>
    <t>TRANS(MGROWER,GROWERID,CONTRACT.TYPE,'X');TRANS(CONTRACT.TYPE,@,CNTRCT.DESC,'X')</t>
  </si>
  <si>
    <t>CONTRACT.TYPE.DESC</t>
  </si>
  <si>
    <t>CONTRACT.STYLE</t>
  </si>
  <si>
    <t>Contractual Obligation</t>
  </si>
  <si>
    <t>IF GROWER.GENERIC = 'Y' THEN REVISION+0 ELSE (IF (AGREED+0 = 0 AND DELIVERED+0 = 0</t>
  </si>
  <si>
    <t>CONTRACT.OBLIGATION</t>
  </si>
  <si>
    <t>Tonnes contract for 1999</t>
  </si>
  <si>
    <t>IF VINTAGE = '1999' THEN CONTRACT ELSE ''</t>
  </si>
  <si>
    <t>CONT99</t>
  </si>
  <si>
    <t>Tonnes contract for 1998</t>
  </si>
  <si>
    <t>IF VINTAGE = '1998' THEN CONTRACT ELSE ''</t>
  </si>
  <si>
    <t>CONT98</t>
  </si>
  <si>
    <t>Contract tonnage if 1997</t>
  </si>
  <si>
    <t>Cont 97</t>
  </si>
  <si>
    <t>IF VINTAGE = 1997 THEN CONTRACT ELSE ''</t>
  </si>
  <si>
    <t>CONT97</t>
  </si>
  <si>
    <t>Contract tonnage if 1996</t>
  </si>
  <si>
    <t>Cont 96</t>
  </si>
  <si>
    <t>IF VINTAGE = 1996 THEN CONTRACT ELSE ''</t>
  </si>
  <si>
    <t>CONT96</t>
  </si>
  <si>
    <t>Tonnes contract for 2014</t>
  </si>
  <si>
    <t>IF VINTAGE = '2014' THEN CONTRACT ELSE ''</t>
  </si>
  <si>
    <t>CONT14</t>
  </si>
  <si>
    <t>Tonnes contract for 2013</t>
  </si>
  <si>
    <t>IF VINTAGE = '2013' THEN CONTRACT ELSE ''</t>
  </si>
  <si>
    <t>CONT13</t>
  </si>
  <si>
    <t>Tonnes contract for 2012</t>
  </si>
  <si>
    <t>IF VINTAGE = '2012' THEN CONTRACT ELSE ''</t>
  </si>
  <si>
    <t>CONT12</t>
  </si>
  <si>
    <t>Tonnes contract for 2011</t>
  </si>
  <si>
    <t>IF VINTAGE = '2011' THEN CONTRACT ELSE ''</t>
  </si>
  <si>
    <t>CONT11</t>
  </si>
  <si>
    <t>Tonnes contract for 2010</t>
  </si>
  <si>
    <t>IF VINTAGE = '2010' THEN CONTRACT ELSE ''</t>
  </si>
  <si>
    <t>CONT10</t>
  </si>
  <si>
    <t>Tonnes contract for 2009</t>
  </si>
  <si>
    <t>IF VINTAGE = '2009' THEN CONTRACT ELSE ''</t>
  </si>
  <si>
    <t>CONT09</t>
  </si>
  <si>
    <t>Tonnes contract for 2008</t>
  </si>
  <si>
    <t>IF VINTAGE = '2008' THEN CONTRACT ELSE ''</t>
  </si>
  <si>
    <t>CONT08</t>
  </si>
  <si>
    <t>Tonnes contract for 2007</t>
  </si>
  <si>
    <t>IF VINTAGE = '2007' THEN CONTRACT ELSE ''</t>
  </si>
  <si>
    <t>CONT07</t>
  </si>
  <si>
    <t>Tonnes contract for 2006</t>
  </si>
  <si>
    <t>IF VINTAGE = '2006' THEN CONTRACT ELSE ''</t>
  </si>
  <si>
    <t>CONT06</t>
  </si>
  <si>
    <t>Tonnes contract for 2005</t>
  </si>
  <si>
    <t>IF VINTAGE = '2005' THEN CONTRACT ELSE ''</t>
  </si>
  <si>
    <t>CONT05</t>
  </si>
  <si>
    <t>Tonnes contract for 2004</t>
  </si>
  <si>
    <t>IF VINTAGE = '2004' THEN CONTRACT ELSE ''</t>
  </si>
  <si>
    <t>CONT04</t>
  </si>
  <si>
    <t>Tonnes contract for 2003</t>
  </si>
  <si>
    <t>IF VINTAGE = '2003' THEN CONTRACT ELSE ''</t>
  </si>
  <si>
    <t>CONT03</t>
  </si>
  <si>
    <t>Tonnes contract for 2002</t>
  </si>
  <si>
    <t>IF VINTAGE = '2002' THEN CONTRACT ELSE ''</t>
  </si>
  <si>
    <t>CONT02</t>
  </si>
  <si>
    <t>Tonnes contract for 2001</t>
  </si>
  <si>
    <t>IF VINTAGE = '2001' THEN CONTRACT ELSE ''</t>
  </si>
  <si>
    <t>CONT01</t>
  </si>
  <si>
    <t>Tonnes contract for 2000</t>
  </si>
  <si>
    <t>IF VINTAGE = '2000' THEN CONTRACT ELSE ''</t>
  </si>
  <si>
    <t>CONT00</t>
  </si>
  <si>
    <t>TRANS(GRAPE.PRICE,@ID,CONT.PRICE,'X')</t>
  </si>
  <si>
    <t>CONT.PRICE</t>
  </si>
  <si>
    <t>Committed tonnage calculation</t>
  </si>
  <si>
    <t>Committed</t>
  </si>
  <si>
    <t>COMMITTED</t>
  </si>
  <si>
    <t>Commitment</t>
  </si>
  <si>
    <t>TRANS(CONTRACT.TYPE,CONTTYPE,COMMITMENT,'X')</t>
  </si>
  <si>
    <t>COMMITMENT</t>
  </si>
  <si>
    <t>7R0,</t>
  </si>
  <si>
    <t>Tonnes</t>
  </si>
  <si>
    <t>IF AGREED&lt;AVAILABLE THEN AGREED ELSE AVAILABLE ; IF PRORATA&lt;AVAILABLE THEN PRORATA</t>
  </si>
  <si>
    <t>COMMIT14</t>
  </si>
  <si>
    <t>COMMIT13</t>
  </si>
  <si>
    <t>COMMIT12</t>
  </si>
  <si>
    <t>COMMIT11</t>
  </si>
  <si>
    <t>COMMIT10</t>
  </si>
  <si>
    <t>COMMIT09</t>
  </si>
  <si>
    <t>COMMIT08</t>
  </si>
  <si>
    <t>COMMIT07</t>
  </si>
  <si>
    <t>COMMIT06</t>
  </si>
  <si>
    <t>COMMIT05</t>
  </si>
  <si>
    <t>COMMIT04</t>
  </si>
  <si>
    <t>COMMIT03</t>
  </si>
  <si>
    <t>Colour Description for Variety</t>
  </si>
  <si>
    <t>Contract Termination Notification Years</t>
  </si>
  <si>
    <t>TRANS(MGROWER,GROWERID,CNTRCT.TRMNTN,'X')</t>
  </si>
  <si>
    <t>TRANS(MGROWER,ACCOUNT,'CNTRCT.SIGN','X')</t>
  </si>
  <si>
    <t>TRANS(MGROWER,GROWERID,CNTRCT.LASTVIN,'X')</t>
  </si>
  <si>
    <t>TRANS(MGROWER,ACCOUNT,'CNTRCT.COMM','X')</t>
  </si>
  <si>
    <t>Clone of Scion</t>
  </si>
  <si>
    <t>Clone</t>
  </si>
  <si>
    <t>TRANS(MBLOCKS,BLOCK,CLONE,'X')</t>
  </si>
  <si>
    <t>CLONE</t>
  </si>
  <si>
    <t>TRANS(SOURCE,CLIMATE,SOURCE.DESC,'X')</t>
  </si>
  <si>
    <t>CLIMATE.DESC</t>
  </si>
  <si>
    <t>TRANS(MGROWER, GROWERID, SOURCE, 'X'); TRANS(SOURCE, @, CLIM, 'X');</t>
  </si>
  <si>
    <t>Climate Grouping Code</t>
  </si>
  <si>
    <t>TRANS(MGROWER,GROWERID,SOURCE,'X');TRANS(SOURCE,@,CLIM,'X')</t>
  </si>
  <si>
    <t>Flag is 'P' if this audit record includes price field changes</t>
  </si>
  <si>
    <t>CHG</t>
  </si>
  <si>
    <t>FIELD(@ID,'*',7)</t>
  </si>
  <si>
    <t>CHG.PRICE</t>
  </si>
  <si>
    <t>TRANS(MGROWER,GROWERID,'CARRIER.PHONE','X')</t>
  </si>
  <si>
    <t>TRANS(MGROWER,GROWERID,'CARRIER.NAME','X')</t>
  </si>
  <si>
    <t>First year in which Block is capital</t>
  </si>
  <si>
    <t>Cap</t>
  </si>
  <si>
    <t>TRANS(MBLOCKS,BLOCK,CAP.PROJ.START,'X')</t>
  </si>
  <si>
    <t>CAP.PROJ.START</t>
  </si>
  <si>
    <t>Capital Number of Block</t>
  </si>
  <si>
    <t>Capital</t>
  </si>
  <si>
    <t>TRANS(MBLOCKS,BLOCK,CAP.PROJ.NO,'X')</t>
  </si>
  <si>
    <t>CAP.PROJ.NO</t>
  </si>
  <si>
    <t>Last year in which Block is capital</t>
  </si>
  <si>
    <t>TRANS(MBLOCKS,BLOCK,CAP.PROJ.FINISH,'X')</t>
  </si>
  <si>
    <t>CAP.PROJ.FINISH</t>
  </si>
  <si>
    <t>Is it to be considered as capital for this vintage</t>
  </si>
  <si>
    <t>IF CAP.PROJ.START LE VINTAGE AND CAP.PROJ.FINISH GE VINTAGE AND VINTAGE # '' THEN</t>
  </si>
  <si>
    <t>CAP.FOR.VINTAGE</t>
  </si>
  <si>
    <t>SUBR(SUBR.PENBW:"PVII190",@ID,'')</t>
  </si>
  <si>
    <t>CALC.GV</t>
  </si>
  <si>
    <t>Calculated Grade Level (This is a weighted average of field, initial</t>
  </si>
  <si>
    <t>Calc</t>
  </si>
  <si>
    <t>SUBR("*GVII190",@ID,'')</t>
  </si>
  <si>
    <t>CALC.GL</t>
  </si>
  <si>
    <t>Budget Grade for budget enduse and budget grape value</t>
  </si>
  <si>
    <t>Bud</t>
  </si>
  <si>
    <t>SUBR(SUBR.PENBW:"PVII188",BUDGET.GV,BUDGET.USE,'')</t>
  </si>
  <si>
    <t>BUDGET.GRADE.OLD</t>
  </si>
  <si>
    <t>Booked Unforecast</t>
  </si>
  <si>
    <t>FCAST;DELIVERED;BOOKED;IF @3+0 GT @1-@2 THEN @3-@1+@2 ELSE 0</t>
  </si>
  <si>
    <t>BOOKED.UNFCAST</t>
  </si>
  <si>
    <t>Booked Forecast</t>
  </si>
  <si>
    <t>FCAST;DELIVERED;BOOKED;IF @3+0 GT @1-@2 THEN @1-@2 ELSE @3</t>
  </si>
  <si>
    <t>BOOKED.FCAST</t>
  </si>
  <si>
    <t>Number of blocks left</t>
  </si>
  <si>
    <t>6R0,</t>
  </si>
  <si>
    <t>Blocks Left</t>
  </si>
  <si>
    <t>IF DELCOMP = 'Y' THEN 0 ELSE 1</t>
  </si>
  <si>
    <t>BLOCKS.LEFT</t>
  </si>
  <si>
    <t>Alternate key to VINTINTAKE: BLOCK*VINTAGEYR</t>
  </si>
  <si>
    <t>ALT KEY</t>
  </si>
  <si>
    <t>BLOCK:'*':VINTAGE</t>
  </si>
  <si>
    <t>BLOCK.YEAR</t>
  </si>
  <si>
    <t>Variety on the BLOCK records</t>
  </si>
  <si>
    <t>BLOCK.VAR</t>
  </si>
  <si>
    <t>Rosemount Block reference number</t>
  </si>
  <si>
    <t>TRANS(MBLOCKS,BLOCK,ROSE.REF,'X')</t>
  </si>
  <si>
    <t>BLOCK.ROSE.REF</t>
  </si>
  <si>
    <t>TRANS(GRAPE.PRICE,@ID,BLOCK.PRICE.CODE,'X')</t>
  </si>
  <si>
    <t>Block name</t>
  </si>
  <si>
    <t>Blk</t>
  </si>
  <si>
    <t>SUBSTRINGS(TRANS(MBLOCKS,BLOCK,NAME,'X'),1,4)</t>
  </si>
  <si>
    <t>BLOCK.NAME4</t>
  </si>
  <si>
    <t>Where this block is to be grouped with another one, this field</t>
  </si>
  <si>
    <t>TRANS(MBLOCKS,BLOCK.CODE,'BLOCK.GROUP','X')</t>
  </si>
  <si>
    <t>BLOCK.GROUP</t>
  </si>
  <si>
    <t>SUBR(SUBR.PENBW:'PVIZ141','#','',BLOCK)</t>
  </si>
  <si>
    <t>BLOCK.FDESC#</t>
  </si>
  <si>
    <t>Area of the block in hectares</t>
  </si>
  <si>
    <t>TRANS(MBLOCKS,BLOCK,'BLOCK.AREA','X')</t>
  </si>
  <si>
    <t>BLOCK.AREA</t>
  </si>
  <si>
    <t>Activity code: '' - current/active, 'S' - suspended, 'H' -</t>
  </si>
  <si>
    <t>Tonnes expected to be available to the Company</t>
  </si>
  <si>
    <t>Avail</t>
  </si>
  <si>
    <t>SUBR(SUBR.PENBW:"GVIZ129",'V',@RECORD,'')</t>
  </si>
  <si>
    <t>AVAILABLE</t>
  </si>
  <si>
    <t>IF VINTAGE='2014' THEN AVAILABLE ELSE ""</t>
  </si>
  <si>
    <t>AVAIL14</t>
  </si>
  <si>
    <t>IF VINTAGE='2013' THEN AVAILABLE ELSE ""</t>
  </si>
  <si>
    <t>AVAIL13</t>
  </si>
  <si>
    <t>IF VINTAGE='2012' THEN AVAILABLE ELSE ""</t>
  </si>
  <si>
    <t>AVAIL12</t>
  </si>
  <si>
    <t>IF VINTAGE='2011' THEN AVAILABLE ELSE ""</t>
  </si>
  <si>
    <t>AVAIL11</t>
  </si>
  <si>
    <t>IF VINTAGE='2010' THEN AVAILABLE ELSE ""</t>
  </si>
  <si>
    <t>AVAIL10</t>
  </si>
  <si>
    <t>IF VINTAGE='2009' THEN AVAILABLE ELSE ""</t>
  </si>
  <si>
    <t>AVAIL09</t>
  </si>
  <si>
    <t>IF VINTAGE='2008' THEN AVAILABLE ELSE ""</t>
  </si>
  <si>
    <t>AVAIL08</t>
  </si>
  <si>
    <t>IF VINTAGE='2007' THEN AVAILABLE ELSE ""</t>
  </si>
  <si>
    <t>AVAIL07</t>
  </si>
  <si>
    <t>IF VINTAGE='2006' THEN AVAILABLE ELSE ""</t>
  </si>
  <si>
    <t>AVAIL06</t>
  </si>
  <si>
    <t>IF VINTAGE='2005' THEN AVAILABLE ELSE ""</t>
  </si>
  <si>
    <t>AVAIL05</t>
  </si>
  <si>
    <t>IF VINTAGE='2004' THEN AVAILABLE ELSE ""</t>
  </si>
  <si>
    <t>AVAIL04</t>
  </si>
  <si>
    <t>IF VINTAGE='2003' THEN AVAILABLE ELSE ""</t>
  </si>
  <si>
    <t>AVAIL03</t>
  </si>
  <si>
    <t>UPCASE(FIELD(@ID,'*',6))</t>
  </si>
  <si>
    <t>Area</t>
  </si>
  <si>
    <t>TRANS(CONTRACT.TYPE,CONTTYPE,AREA.TONNES,'X')</t>
  </si>
  <si>
    <t>AREA.TONNES</t>
  </si>
  <si>
    <t>Alternate key to VINTINTAKE: GROWER*VARIETY*VINTAGEYR</t>
  </si>
  <si>
    <t>ALTERNATE KEY</t>
  </si>
  <si>
    <t>ALTKEY</t>
  </si>
  <si>
    <t>AGENT CODE</t>
  </si>
  <si>
    <t>OCONV(DATE(),'D4/');IF @1[4,2] &gt;= 07 AND @1[4,2] &lt;= 12 THEN @1[4]+1 ELSE @1[4];@2+2</t>
  </si>
  <si>
    <t>AGCODE.VINTAGE+2</t>
  </si>
  <si>
    <t>Vintage as applies in AgCode - changes 1 July</t>
  </si>
  <si>
    <t>OCONV(DATE(),'D4/');IF @1[4,2] &gt;= 07 AND @1[4,2] &lt;= 12 THEN @1[4]+1 ELSE @1[4]</t>
  </si>
  <si>
    <t>AGCODE.VINTAGE</t>
  </si>
  <si>
    <t>TRANS(MGROWER,ACCOUNT,'AGCODE.ACCOUNT','X')</t>
  </si>
  <si>
    <t>LEN(UPDBY)</t>
  </si>
  <si>
    <t>Tonnage calculated for printing onto Pricing Advice.</t>
  </si>
  <si>
    <t>Pricing</t>
  </si>
  <si>
    <t>SUBR(SUBR.PENBW:"GVIZ129", 'PA', @RECORD, '')</t>
  </si>
  <si>
    <t>ADVICE</t>
  </si>
  <si>
    <t>Actual Use percentage</t>
  </si>
  <si>
    <t>SUBR("*GVII191",GROWERID,VINTAGE,BLOCK,'U','')</t>
  </si>
  <si>
    <t>ACTUAL.USE.PCT</t>
  </si>
  <si>
    <t>Modal Use from weighnotes. Weighted on Nett Tonnes.</t>
  </si>
  <si>
    <t>SUBR("*GVII191",GROWERID,VINTAGE,BLOCK,'A','')</t>
  </si>
  <si>
    <t>ACTUAL.USE</t>
  </si>
  <si>
    <t>SUBR(SUBR.PENBW:"PVII205",ACTUAL.GL)</t>
  </si>
  <si>
    <t>ACTUAL.GL.CONV</t>
  </si>
  <si>
    <t>Actual crushsite percentage</t>
  </si>
  <si>
    <t>SUBR('*GVII191',GROWERID,VINTAGE,BLOCK,'D','')</t>
  </si>
  <si>
    <t>ACTUAL.CRSITE.PCT</t>
  </si>
  <si>
    <t>Actual crushsite - Crushsite where largest portion of the weighnotes</t>
  </si>
  <si>
    <t>SUBR('*GVII191',GROWERID,VINTAGE,BLOCK,'C','')</t>
  </si>
  <si>
    <t>ACTUAL.CRSITE</t>
  </si>
  <si>
    <t>Returns 1 if row is active, 0 if not.  Row is active if grower is</t>
  </si>
  <si>
    <t>@ID EQ ' ' OR (GROWERACTIV EQ 'C' AND BLOCK.ACTIVITY EQ '')</t>
  </si>
  <si>
    <t>ACTIVE.ROW</t>
  </si>
  <si>
    <t>ACTUAL.GL[1,1]</t>
  </si>
  <si>
    <t>ACT.GRADE</t>
  </si>
  <si>
    <t>Hectares which were present in 2014</t>
  </si>
  <si>
    <t>2014HA</t>
  </si>
  <si>
    <t>Hectares which were present in 2013</t>
  </si>
  <si>
    <t>2013HA</t>
  </si>
  <si>
    <t>Hectares which were present in 2012</t>
  </si>
  <si>
    <t>2012HA</t>
  </si>
  <si>
    <t>Hectares which were present in 2011</t>
  </si>
  <si>
    <t>2011HA</t>
  </si>
  <si>
    <t>Hectares which were present in 2010</t>
  </si>
  <si>
    <t>2010HA</t>
  </si>
  <si>
    <t>Hectares which were present in 2009</t>
  </si>
  <si>
    <t>2009HA</t>
  </si>
  <si>
    <t>Hectares which were present in 2008</t>
  </si>
  <si>
    <t>2008HA</t>
  </si>
  <si>
    <t>Hectares which were present in 2007</t>
  </si>
  <si>
    <t>2007HA</t>
  </si>
  <si>
    <t>Hectares which were present in 2006</t>
  </si>
  <si>
    <t>2006HA</t>
  </si>
  <si>
    <t>Hectares which were present in 2005</t>
  </si>
  <si>
    <t>2005HA</t>
  </si>
  <si>
    <t>Hectares which were present in 2004</t>
  </si>
  <si>
    <t>2004HA</t>
  </si>
  <si>
    <t>Hectares which were present in 2003</t>
  </si>
  <si>
    <t>2003HA</t>
  </si>
  <si>
    <t>Hectares which were present in 2002</t>
  </si>
  <si>
    <t>2002HA</t>
  </si>
  <si>
    <t>Hectares which were present in 2001</t>
  </si>
  <si>
    <t>2001HA</t>
  </si>
  <si>
    <t>External Harvest Date Prediction</t>
  </si>
  <si>
    <t>External Harvest</t>
  </si>
  <si>
    <t>EXT.HARV.DATE.PRED.E</t>
  </si>
  <si>
    <t>EXT.HARV.DATE.PRED</t>
  </si>
  <si>
    <t>External Estimate</t>
  </si>
  <si>
    <t>External</t>
  </si>
  <si>
    <t>EXT.ESTIMATE</t>
  </si>
  <si>
    <t>Crush pit (optional for planning)</t>
  </si>
  <si>
    <t>CRUSH.PIT</t>
  </si>
  <si>
    <t>used to identify blocks we can penalise if they fail to meet Target Baume</t>
  </si>
  <si>
    <t>TARGET.BAUME.PENALTY</t>
  </si>
  <si>
    <t>Record has been sent to ICM (Y) or has been changed and needs to be</t>
  </si>
  <si>
    <t>Block @ID of the block that is used as the indicator block for</t>
  </si>
  <si>
    <t>Indicator</t>
  </si>
  <si>
    <t>INDICATOR.BLK</t>
  </si>
  <si>
    <t>Flag indicating if block is an annual purchase.</t>
  </si>
  <si>
    <t>Annual</t>
  </si>
  <si>
    <t>ANNUAL.PURCHASE</t>
  </si>
  <si>
    <t>Storage winery location</t>
  </si>
  <si>
    <t>STOR.LOC</t>
  </si>
  <si>
    <t>Fermentation winery location</t>
  </si>
  <si>
    <t>Fermentation</t>
  </si>
  <si>
    <t>FERM.LOC</t>
  </si>
  <si>
    <t>Majority winery location where FGL was captured</t>
  </si>
  <si>
    <t>Maj</t>
  </si>
  <si>
    <t>MAJ.FGL.WL</t>
  </si>
  <si>
    <t>Majority winery location where PGL was captured</t>
  </si>
  <si>
    <t>MAJ.PGL.WL</t>
  </si>
  <si>
    <t>Majority winery location where IGL was captured</t>
  </si>
  <si>
    <t>MAJ.IGL.WL</t>
  </si>
  <si>
    <t>Record (allocation fields) has been sent to AgCode (Y) or has been</t>
  </si>
  <si>
    <t>SENT.AGCODEBA</t>
  </si>
  <si>
    <t>Record has been sent to AgCode (Y) or has been changed and needs to</t>
  </si>
  <si>
    <t>'Y' If winemaker requests handpicking</t>
  </si>
  <si>
    <t>WREQ.HAND</t>
  </si>
  <si>
    <t>Flag indicating if the block is part of a special program for the</t>
  </si>
  <si>
    <t>Part</t>
  </si>
  <si>
    <t>PART.OF.PROGRAM</t>
  </si>
  <si>
    <t>'Y' If Block grade may be uplifted in future</t>
  </si>
  <si>
    <t>BLOCK.UPLIFT</t>
  </si>
  <si>
    <t>Earliest Harvest date</t>
  </si>
  <si>
    <t>EARLIEST.HDATE.E</t>
  </si>
  <si>
    <t>EARLIEST.HDATE</t>
  </si>
  <si>
    <t>Event log time</t>
  </si>
  <si>
    <t>ELOG</t>
  </si>
  <si>
    <t>Log Time</t>
  </si>
  <si>
    <t>ELOG.TIME</t>
  </si>
  <si>
    <t>Date event log added</t>
  </si>
  <si>
    <t>Log Date</t>
  </si>
  <si>
    <t>ELOG.DATE</t>
  </si>
  <si>
    <t>Event log text</t>
  </si>
  <si>
    <t>ELOG.TEXT</t>
  </si>
  <si>
    <t>'Y'/'' Barred grade not communicated flag</t>
  </si>
  <si>
    <t>Barred</t>
  </si>
  <si>
    <t>BARRED.GRADE.NCOMM</t>
  </si>
  <si>
    <t>Source of default delivery date, L=last year, M=Manual entry</t>
  </si>
  <si>
    <t>DLVRY.TYPE</t>
  </si>
  <si>
    <t>DEFAULT.DLVRY.TYPE</t>
  </si>
  <si>
    <t>Default Forecast delivery date - populated from last year or manual entry</t>
  </si>
  <si>
    <t>DEFAULT.DLVRY.EDATE</t>
  </si>
  <si>
    <t>DEFAULT.DLVRY.DATE</t>
  </si>
  <si>
    <t>Generic code</t>
  </si>
  <si>
    <t>Flagged MPF</t>
  </si>
  <si>
    <t>FLG.GENERIC</t>
  </si>
  <si>
    <t>Winemaker Short ID</t>
  </si>
  <si>
    <t>WNMKR.SHORTID</t>
  </si>
  <si>
    <t>Responsible winemakers short id</t>
  </si>
  <si>
    <t>SHORTID</t>
  </si>
  <si>
    <t>Userid running the program when FIXED values were updated</t>
  </si>
  <si>
    <t>Fixing</t>
  </si>
  <si>
    <t>FIXING.USERID</t>
  </si>
  <si>
    <t>Time when FIXED values were updated</t>
  </si>
  <si>
    <t>Time</t>
  </si>
  <si>
    <t>FIXING.TIME</t>
  </si>
  <si>
    <t>Date on which the FIXED values were updated</t>
  </si>
  <si>
    <t>FIXING.DATE.E</t>
  </si>
  <si>
    <t>FIXING.DATE</t>
  </si>
  <si>
    <t>Calculated grade level loaded in at time of 'fixing'</t>
  </si>
  <si>
    <t>Fixed</t>
  </si>
  <si>
    <t>FIXED.CALC.GL</t>
  </si>
  <si>
    <t>Percentage of block that was traced to a final grade level at time</t>
  </si>
  <si>
    <t>Fixed Final</t>
  </si>
  <si>
    <t>FIXED.FWL.PCT</t>
  </si>
  <si>
    <t>Copy of FINAL.WINE.GL at time of 'fixing'</t>
  </si>
  <si>
    <t>FIXED.FWL</t>
  </si>
  <si>
    <t>Percentage of block that was traced to preliminary wine grade level</t>
  </si>
  <si>
    <t>Fixed Prelim</t>
  </si>
  <si>
    <t>FIXED.PWL.PCT</t>
  </si>
  <si>
    <t>Copy of PRELIME.WINE.GL at time of 'fixing'</t>
  </si>
  <si>
    <t>FIXED.PWL</t>
  </si>
  <si>
    <t>Percentage of block tat was traced to an initial tank GL at time of</t>
  </si>
  <si>
    <t>FIXED.IGL.PCT</t>
  </si>
  <si>
    <t>Initial tank grade level loaded in at time of 'fixing'</t>
  </si>
  <si>
    <t>FIXED.IGL</t>
  </si>
  <si>
    <t>Fixed Field Grade</t>
  </si>
  <si>
    <t>FIXED.FIELD.GRADE</t>
  </si>
  <si>
    <t>Copy of FIELD.GL at time of 'fixing'</t>
  </si>
  <si>
    <t>FIXED.FIELD.GL</t>
  </si>
  <si>
    <t>Percentage of block that was traced to a final wine grade level at</t>
  </si>
  <si>
    <t>Final</t>
  </si>
  <si>
    <t>FINAL.WINE.GL.PCT</t>
  </si>
  <si>
    <t>Percentage of block that was traced to a prelim wine grade level at</t>
  </si>
  <si>
    <t>Preliminary</t>
  </si>
  <si>
    <t>PRELIM.WINE.GL.PCT</t>
  </si>
  <si>
    <t>Maximum crop level (Tonnes/hectare)</t>
  </si>
  <si>
    <t>Max Crop Level</t>
  </si>
  <si>
    <t>MAX.CROPLEV</t>
  </si>
  <si>
    <t>Contract Crop Level (tonnes/hectare)</t>
  </si>
  <si>
    <t>Contract Crop Level</t>
  </si>
  <si>
    <t>CONT.CROPLEV</t>
  </si>
  <si>
    <t>Contract Grade or Grade level</t>
  </si>
  <si>
    <t>Contract Grade/Grade Level</t>
  </si>
  <si>
    <t>CONT.GRADE.GL</t>
  </si>
  <si>
    <t>TWE Estimate</t>
  </si>
  <si>
    <t>TWE.ESTIMATE</t>
  </si>
  <si>
    <t>SCW Estimate</t>
  </si>
  <si>
    <t>SCW.ESTIMATE</t>
  </si>
  <si>
    <t>BUDGET.GRADE</t>
  </si>
  <si>
    <t>Reject tonnes</t>
  </si>
  <si>
    <t>Rej</t>
  </si>
  <si>
    <t>REJECT.TONNES</t>
  </si>
  <si>
    <t>GV.COMMENT</t>
  </si>
  <si>
    <t>Grade Level Comment</t>
  </si>
  <si>
    <t>85L</t>
  </si>
  <si>
    <t>Grade Level</t>
  </si>
  <si>
    <t>GL.COMMENT</t>
  </si>
  <si>
    <t>Grade of Actual Grape Value</t>
  </si>
  <si>
    <t>ACTUAL.GRADE</t>
  </si>
  <si>
    <t>ACTUAL.GV</t>
  </si>
  <si>
    <t>Actual Level determined for grapes as purchased</t>
  </si>
  <si>
    <t>ACTUAL.GL</t>
  </si>
  <si>
    <t>FINAL.WV</t>
  </si>
  <si>
    <t>FINAL.WL</t>
  </si>
  <si>
    <t>Grade Level after final classification</t>
  </si>
  <si>
    <t>Finl</t>
  </si>
  <si>
    <t>FINAL.WINE.GL</t>
  </si>
  <si>
    <t>FINAL.GL</t>
  </si>
  <si>
    <t>PRELIM.WV</t>
  </si>
  <si>
    <t>PRELIM.WL</t>
  </si>
  <si>
    <t>Grade Level after preliminary classification</t>
  </si>
  <si>
    <t>Prlm</t>
  </si>
  <si>
    <t>PRELIM.WINE.GL</t>
  </si>
  <si>
    <t>PRELIM.GL</t>
  </si>
  <si>
    <t>FIELD.GV</t>
  </si>
  <si>
    <t>FIELD.GRADE</t>
  </si>
  <si>
    <t>Grade Level measured in the Field</t>
  </si>
  <si>
    <t>FIELD.GL</t>
  </si>
  <si>
    <t>Snapshot of User of Budget</t>
  </si>
  <si>
    <t>BUDGET.USE</t>
  </si>
  <si>
    <t>BUDGET.GV</t>
  </si>
  <si>
    <t>BUDGET.GL</t>
  </si>
  <si>
    <t>Budget Tonnage</t>
  </si>
  <si>
    <t>Budget</t>
  </si>
  <si>
    <t>BUDGET.TON</t>
  </si>
  <si>
    <t>Intake Batch</t>
  </si>
  <si>
    <t>Intake</t>
  </si>
  <si>
    <t>INTAKE.BATCH</t>
  </si>
  <si>
    <t>Block code (key to MBLOCKS file, also to blocks in Vineyard Costing in SAP)</t>
  </si>
  <si>
    <t>Block Code</t>
  </si>
  <si>
    <t>BLOCK.CODE</t>
  </si>
  <si>
    <t>Block code (key to MBLOCKS file)</t>
  </si>
  <si>
    <t>Logname of user who last changed 'controlled access' fruit flag</t>
  </si>
  <si>
    <t>Controlled</t>
  </si>
  <si>
    <t>CAF.USER</t>
  </si>
  <si>
    <t>'Controlled access' fruit flag (W/B/)</t>
  </si>
  <si>
    <t>C</t>
  </si>
  <si>
    <t>CAF</t>
  </si>
  <si>
    <t>Forecast tonnes</t>
  </si>
  <si>
    <t>FCSTONS</t>
  </si>
  <si>
    <t>Grape Grade</t>
  </si>
  <si>
    <t>BLOCKS</t>
  </si>
  <si>
    <t>Record updated last by (@LOGNAME)</t>
  </si>
  <si>
    <t>Premium price code</t>
  </si>
  <si>
    <t>Prm</t>
  </si>
  <si>
    <t>PRMPRC</t>
  </si>
  <si>
    <t>Booking location code</t>
  </si>
  <si>
    <t>B/L</t>
  </si>
  <si>
    <t>BOOK.LOCN</t>
  </si>
  <si>
    <t>Harvest rate (Tonnes per day)</t>
  </si>
  <si>
    <t>Harv</t>
  </si>
  <si>
    <t>HRATE</t>
  </si>
  <si>
    <t>Default Harvest method</t>
  </si>
  <si>
    <t>Actual contract price</t>
  </si>
  <si>
    <t>CONPRICE</t>
  </si>
  <si>
    <t>Forecast Use</t>
  </si>
  <si>
    <t>Target Sugar content (0-20)</t>
  </si>
  <si>
    <t>Beaume</t>
  </si>
  <si>
    <t>TBEAUME</t>
  </si>
  <si>
    <t>Targ</t>
  </si>
  <si>
    <t>TBAUME</t>
  </si>
  <si>
    <t>Crush location code</t>
  </si>
  <si>
    <t>Crush Location</t>
  </si>
  <si>
    <t>Potential Use</t>
  </si>
  <si>
    <t>Category (group) code</t>
  </si>
  <si>
    <t>Tonnes booked</t>
  </si>
  <si>
    <t>Bookd</t>
  </si>
  <si>
    <t>BOOKED</t>
  </si>
  <si>
    <t>BKDTNNS</t>
  </si>
  <si>
    <t>Wine tonnes crushed</t>
  </si>
  <si>
    <t>WT.CRUSHED</t>
  </si>
  <si>
    <t>Wine ltrs crushed</t>
  </si>
  <si>
    <t>LTRS</t>
  </si>
  <si>
    <t>WT.LTRS</t>
  </si>
  <si>
    <t>Wine tonnes received</t>
  </si>
  <si>
    <t>RECP`T</t>
  </si>
  <si>
    <t>RECPT.TONNES</t>
  </si>
  <si>
    <t>Default wine tonnes</t>
  </si>
  <si>
    <t>WINE.TONNES</t>
  </si>
  <si>
    <t>Default wine tonnes allocated</t>
  </si>
  <si>
    <t>ALLOC.TONNES</t>
  </si>
  <si>
    <t>Default Price Code for deliveries this vintage</t>
  </si>
  <si>
    <t>Price Code</t>
  </si>
  <si>
    <t>Average Beame</t>
  </si>
  <si>
    <t>AVE BE</t>
  </si>
  <si>
    <t>AVEBEAME</t>
  </si>
  <si>
    <t>Average Baume</t>
  </si>
  <si>
    <t>Ave</t>
  </si>
  <si>
    <t>AVEBAUME</t>
  </si>
  <si>
    <t>Final Delivery Flag (Y/N)</t>
  </si>
  <si>
    <t>Deliveries complete flag (Y/N)</t>
  </si>
  <si>
    <t>Record activity code  " " - active , "d" - deleted , "s" - suspended</t>
  </si>
  <si>
    <t>VTACTIV</t>
  </si>
  <si>
    <t>Tonnage of deliveries to date to special pool</t>
  </si>
  <si>
    <t>DELIVERIES</t>
  </si>
  <si>
    <t>DELSPEC</t>
  </si>
  <si>
    <t>Expected gross payment for gross intake to date</t>
  </si>
  <si>
    <t>EXPECTED</t>
  </si>
  <si>
    <t>DELPAY</t>
  </si>
  <si>
    <t>Tonnage still to be delivered from mechanical harvest</t>
  </si>
  <si>
    <t>MECH</t>
  </si>
  <si>
    <t>MNYDEL</t>
  </si>
  <si>
    <t>Total tonnage of gross deliveries this year mechanical harvested (including rejects)</t>
  </si>
  <si>
    <t>MECH DELIV</t>
  </si>
  <si>
    <t>MDELGROSS</t>
  </si>
  <si>
    <t>Total adjusted tonnage accepted for intake to be mechanical harvested</t>
  </si>
  <si>
    <t>MADJ2</t>
  </si>
  <si>
    <t>MADJ1</t>
  </si>
  <si>
    <t>Total tonnage accepted by LCW for intake to be mechanical harvested</t>
  </si>
  <si>
    <t>MECH ACCEPT</t>
  </si>
  <si>
    <t>MACCEPT</t>
  </si>
  <si>
    <t>Total tonnage allocated by LCW to be mechanical harvested</t>
  </si>
  <si>
    <t>MECH ALLOC</t>
  </si>
  <si>
    <t>MALLOC</t>
  </si>
  <si>
    <t>Total tonnage offered by grower to be mechanical harvested</t>
  </si>
  <si>
    <t>MECH OFFER</t>
  </si>
  <si>
    <t>MOFFERED</t>
  </si>
  <si>
    <t>Total tonnage still to be delivered this Vintage</t>
  </si>
  <si>
    <t>TNYDEL1</t>
  </si>
  <si>
    <t>TOTAL N-Y-DEL</t>
  </si>
  <si>
    <t>TNYDEL</t>
  </si>
  <si>
    <t>Total tonnage of gross deleveries this Vintage (including rejects)</t>
  </si>
  <si>
    <t>TDELGROSS1</t>
  </si>
  <si>
    <t>TOTAL DELIV</t>
  </si>
  <si>
    <t>Tonnes delivered so far this vintage</t>
  </si>
  <si>
    <t>Delivd</t>
  </si>
  <si>
    <t>Additional adjusted tonnage for intake by LCW</t>
  </si>
  <si>
    <t>TOTAL ADJ 2</t>
  </si>
  <si>
    <t>TADJ2</t>
  </si>
  <si>
    <t>TOTAL ADJ 1</t>
  </si>
  <si>
    <t>TADJ1</t>
  </si>
  <si>
    <t>Total tonnage accepted for intake by LCW at begin of Vintage</t>
  </si>
  <si>
    <t>TACCEPT1</t>
  </si>
  <si>
    <t>TOTAL ACCEPT</t>
  </si>
  <si>
    <t>TACCEPT</t>
  </si>
  <si>
    <t>Number of tonnes currently allocated to be received from the grower (varies during</t>
  </si>
  <si>
    <t>ALLOCATED</t>
  </si>
  <si>
    <t>ALLTONS</t>
  </si>
  <si>
    <t>Tonnes agreed between company and grower</t>
  </si>
  <si>
    <t>Agree</t>
  </si>
  <si>
    <t>AGREED</t>
  </si>
  <si>
    <t>Total tonnage allocated by LCW</t>
  </si>
  <si>
    <t>TOTAL ALLOC</t>
  </si>
  <si>
    <t>TALLOC</t>
  </si>
  <si>
    <t>Tonnes in adjusted allocation</t>
  </si>
  <si>
    <t>REVISION</t>
  </si>
  <si>
    <t>Revised number of tonnes we have budgeted to receive from grower</t>
  </si>
  <si>
    <t>BUDTONS</t>
  </si>
  <si>
    <t>Total Tonnage offered by grower</t>
  </si>
  <si>
    <t>TOTAL OFFER</t>
  </si>
  <si>
    <t>TOFFERED</t>
  </si>
  <si>
    <t>Tonnes offered by grower</t>
  </si>
  <si>
    <t>Offer</t>
  </si>
  <si>
    <t>OFFERED</t>
  </si>
  <si>
    <t>Number of tonnes that the grower estimates he can supply</t>
  </si>
  <si>
    <t>ESTTONS</t>
  </si>
  <si>
    <t>Base quota (tonnes) assigned by LCW based on last years performance</t>
  </si>
  <si>
    <t>BASE QUOTA</t>
  </si>
  <si>
    <t>Tonnes company has contracted with grower to buy</t>
  </si>
  <si>
    <t>Contract Tonnes</t>
  </si>
  <si>
    <t>CONTRACT</t>
  </si>
  <si>
    <t>Number of tonnes the company contracts to buy from the grower</t>
  </si>
  <si>
    <t>CONTONS</t>
  </si>
  <si>
    <t>Code on which next years quota will be based  - "A"-Allocated, "B"-???</t>
  </si>
  <si>
    <t>QUOTA CD</t>
  </si>
  <si>
    <t>QUOTACD</t>
  </si>
  <si>
    <t>Hectares of this variety to be mechanical harvested this year</t>
  </si>
  <si>
    <t>HECT MECH</t>
  </si>
  <si>
    <t>HMECH</t>
  </si>
  <si>
    <t>Hectares of this variety in current production</t>
  </si>
  <si>
    <t>HECT PRODN</t>
  </si>
  <si>
    <t>HPRODN</t>
  </si>
  <si>
    <t>Hectares of this variety not yet bearing</t>
  </si>
  <si>
    <t>HECT NOT-BRG</t>
  </si>
  <si>
    <t>HNBEAR</t>
  </si>
  <si>
    <t>Hectares of this variety planted since last Vintage</t>
  </si>
  <si>
    <t>HECT PLANTED</t>
  </si>
  <si>
    <t>HPLANT</t>
  </si>
  <si>
    <t>Hectares of this variety removed since last Vintage</t>
  </si>
  <si>
    <t>HECT REMOVED</t>
  </si>
  <si>
    <t>HREMOVED</t>
  </si>
  <si>
    <t>User defined comments field</t>
  </si>
  <si>
    <t>Variety code  -  see MVARIETY</t>
  </si>
  <si>
    <t>VARIETY1</t>
  </si>
  <si>
    <t>Var-</t>
  </si>
  <si>
    <t>Grower id (account)</t>
  </si>
  <si>
    <t>SEQ NO</t>
  </si>
  <si>
    <t>SEQ</t>
  </si>
  <si>
    <t>LONG FORMAT KEY</t>
  </si>
  <si>
    <t>Long @ID</t>
  </si>
  <si>
    <t>35R</t>
  </si>
  <si>
    <t>VINTINTAKE</t>
  </si>
  <si>
    <t>@ID.LONG</t>
  </si>
  <si>
    <t>Selection &amp; sort phrase for PW.MBLOCKS pop-up</t>
  </si>
  <si>
    <t>WITH GROWER.ACTIV EQ 'C' BY GROWER.NAME BY VARIETY BY NAME</t>
  </si>
  <si>
    <t>PW.MBLOCKS</t>
  </si>
  <si>
    <t>Winemakers name</t>
  </si>
  <si>
    <t>Winemakers</t>
  </si>
  <si>
    <t>TRANS(DEF.SYS.USERS,UPCASE(WINEMAKER),'NAME','X')</t>
  </si>
  <si>
    <t>WINEMAKER.NAME</t>
  </si>
  <si>
    <t>Winemaker logname (current year VINTINTAKE)</t>
  </si>
  <si>
    <t>SUBR(SUBR.PENBW:'PBWI1070',ACCOUNT,BLOCK,'W57')</t>
  </si>
  <si>
    <t>WIM Vintage contact address book number</t>
  </si>
  <si>
    <t>WIM DATE REMOVED</t>
  </si>
  <si>
    <t>IF REMOVED = '' THEN '' ELSE '01/01/':REMOVED</t>
  </si>
  <si>
    <t>WIM.REMOVED</t>
  </si>
  <si>
    <t>WIM DATE PLANTED</t>
  </si>
  <si>
    <t>IF PLANTED = '' THEN '' ELSE '01/01/':PLANTED</t>
  </si>
  <si>
    <t>WIM.PLANTED</t>
  </si>
  <si>
    <t>WIM Geographic area</t>
  </si>
  <si>
    <t>WIM CONTRACT</t>
  </si>
  <si>
    <t>WIM DATE capital project started</t>
  </si>
  <si>
    <t>WIM.CAP.PROJ.STRT</t>
  </si>
  <si>
    <t>WIM DATE capital project finished</t>
  </si>
  <si>
    <t>WIM.CAP.PROJ.FIN</t>
  </si>
  <si>
    <t>WIM Block type</t>
  </si>
  <si>
    <t>WIM.BLOCK.TYPE</t>
  </si>
  <si>
    <t>Associated vineyard account has been sent to AgCode</t>
  </si>
  <si>
    <t>Vineyard</t>
  </si>
  <si>
    <t>TRANS(MGROWER,ACCOUNT,'SENT.AGCODE','X')</t>
  </si>
  <si>
    <t>VYARD.SENT.AGCODE</t>
  </si>
  <si>
    <t>Vine row direction description</t>
  </si>
  <si>
    <t>TRANS(VINE.ROW.DIR,VRD.CODE,'VRD.DESC','X')</t>
  </si>
  <si>
    <t>VRD.DESC</t>
  </si>
  <si>
    <t>Description of vineyard operations subregion</t>
  </si>
  <si>
    <t>SUBR(SUBR.PENBW:'PVII199',VO.SUBREG,'V','')</t>
  </si>
  <si>
    <t>Vineyard Operations Sub Region Code</t>
  </si>
  <si>
    <t>TRANS(VNSTRUC,VNS.CODE,'VNS.DESC','X')</t>
  </si>
  <si>
    <t>VNS.DESC</t>
  </si>
  <si>
    <t>SUBR(SUBR.PENBW:'PBWI1070',ACCOUNT,BLOCK,40)</t>
  </si>
  <si>
    <t>Remaining Tonnes</t>
  </si>
  <si>
    <t>Remaining</t>
  </si>
  <si>
    <t>VI.MAXTNNS - VI.DLVTNNE</t>
  </si>
  <si>
    <t>Price code for current vintage intake year</t>
  </si>
  <si>
    <t>SUBR(SUBR.PENBW:'PBWI1070',ACCOUNT,BLOCK,'P23')</t>
  </si>
  <si>
    <t>VI.PRICE.CODE</t>
  </si>
  <si>
    <t>Premium price for current vintage intake year</t>
  </si>
  <si>
    <t>SUBR(SUBR.PENBW:'PBWI1070',ACCOUNT,BLOCK,'P9')</t>
  </si>
  <si>
    <t>VI.PREMPRICE</t>
  </si>
  <si>
    <t>Other Tonnes</t>
  </si>
  <si>
    <t>Other</t>
  </si>
  <si>
    <t>IF VI.AGREETONS &gt; VI.CONTONS THEN VI.AGREETONS ELSE</t>
  </si>
  <si>
    <t>Harvest method for current vintage intake year</t>
  </si>
  <si>
    <t>SUBR(SUBR.PENBW:'PBWI1070',ACCOUNT,BLOCK,'43')</t>
  </si>
  <si>
    <t>VI.HMETHOD</t>
  </si>
  <si>
    <t>Flagged grade code for current vintage intake year</t>
  </si>
  <si>
    <t>SUBR(SUBR.PENBW:'PBWI1070',ACCOUNT,BLOCK,'51')</t>
  </si>
  <si>
    <t>VI.FLAGGED.GRADE</t>
  </si>
  <si>
    <t>Enduse code for current vintage intake year</t>
  </si>
  <si>
    <t>SUBR(SUBR.PENBW:'PBWI1070',ACCOUNT,BLOCK,'41')</t>
  </si>
  <si>
    <t>VI.ENDUSE</t>
  </si>
  <si>
    <t>Delivered tonnes for current vintage intake year</t>
  </si>
  <si>
    <t>SUBR(SUBR.PENBW:'PBWI1070',ACCOUNT,BLOCK,17 )</t>
  </si>
  <si>
    <t>Crush locn for current vintage intake year</t>
  </si>
  <si>
    <t>SUBR(SUBR.PENBW:'PBWI1070',ACCOUNT,BLOCK,39)</t>
  </si>
  <si>
    <t>VI.CRUSH.LOCN</t>
  </si>
  <si>
    <t>Contact tonnes for current vintage intake year</t>
  </si>
  <si>
    <t>SUBR(SUBR.PENBW:'PBWI1070',ACCOUNT,BLOCK,11)</t>
  </si>
  <si>
    <t>VI.CONTONS</t>
  </si>
  <si>
    <t>SUBR(SUBR.PENBW:'PBWI1070',ACCOUNT,BLOCK,56)</t>
  </si>
  <si>
    <t>Contact price for current vintage intake year</t>
  </si>
  <si>
    <t>SUBR(SUBR.PENBW:'PBWI1070',ACCOUNT,BLOCK,'P5')</t>
  </si>
  <si>
    <t>VI.CONPRICE</t>
  </si>
  <si>
    <t>Contract grade/grade level code for current vintage intake year</t>
  </si>
  <si>
    <t>SUBR(SUBR.PENBW:'PBWI1070',ACCOUNT,BLOCK,'70')</t>
  </si>
  <si>
    <t>VI.CONGRADE</t>
  </si>
  <si>
    <t>Booked tonnes for current vintage intake year</t>
  </si>
  <si>
    <t>SUBR(SUBR.PENBW:'PBWI1070',ACCOUNT,BLOCK,37 )</t>
  </si>
  <si>
    <t>Agreed tonnes for current vintage intake year</t>
  </si>
  <si>
    <t>SUBR(SUBR.PENBW:'PBWI1070',ACCOUNT,BLOCK,14 )</t>
  </si>
  <si>
    <t>VI.AGREETONS</t>
  </si>
  <si>
    <t>VB.ENDUSE</t>
  </si>
  <si>
    <t>Variety Description</t>
  </si>
  <si>
    <t>VARIETY.DESC</t>
  </si>
  <si>
    <t>VARCOLOUR</t>
  </si>
  <si>
    <t>Trellis Type Code Description</t>
  </si>
  <si>
    <t>Trellis Type Code</t>
  </si>
  <si>
    <t>TRANS(TRELLIS.CODE,TRELLIS.CODE,'DESCP','X')</t>
  </si>
  <si>
    <t>TRELLIS.DESCP</t>
  </si>
  <si>
    <t>Trading</t>
  </si>
  <si>
    <t>TRANS(MGROWER,ACCOUNT,'TRADING.NAME','X')</t>
  </si>
  <si>
    <t>Total canopy length</t>
  </si>
  <si>
    <t>IF NUM.OF.VINES THEN NUM.OF.VINES * VINE.SPACING ELSE IF ROW.WIDTH THEN</t>
  </si>
  <si>
    <t>TOT.CANOPY.LEN</t>
  </si>
  <si>
    <t>Subvineyard from description</t>
  </si>
  <si>
    <t>FIELD(DESCRIPTION,'}',2)</t>
  </si>
  <si>
    <t>Full description of block status.</t>
  </si>
  <si>
    <t>Status Description</t>
  </si>
  <si>
    <t>IF ACTIVITY = '' THEN 'Current' ELSE IF ACTIVITY = 'D' THEN 'Deleted' ELSE IF</t>
  </si>
  <si>
    <t>STATUS.DESCRIPTION</t>
  </si>
  <si>
    <t>Short description of block status</t>
  </si>
  <si>
    <t>IF ACTIVITY = '' THEN 'Curr' ELSE IF ACTIVITY = 'D' THEN 'Del ' ELSE IF ACTIVITY =</t>
  </si>
  <si>
    <t>STATUS.DESC</t>
  </si>
  <si>
    <t>Status of block, where P = Proposed, C = Current, S = Suspended, H</t>
  </si>
  <si>
    <t>St</t>
  </si>
  <si>
    <t>IF ACTIVITY = '' THEN 'C' ELSE ACTIVITY</t>
  </si>
  <si>
    <t>GI State description</t>
  </si>
  <si>
    <t>TRANS(GI.FILE,STATE,GI.SDESC,'X')</t>
  </si>
  <si>
    <t>STATE.SDESC</t>
  </si>
  <si>
    <t>Source description</t>
  </si>
  <si>
    <t>TRANS(SOURCE,SOURCE,'DESCP','X')</t>
  </si>
  <si>
    <t>SOURCE.DESCP</t>
  </si>
  <si>
    <t>TRANS(SOURCE,SOURCE,'SOURCE.DESC','X')</t>
  </si>
  <si>
    <t>Source area code (from Grower record)</t>
  </si>
  <si>
    <t>TRANS(MGROWER,GROWER.ID,SOURCE,'X')</t>
  </si>
  <si>
    <t>SOURCE.AREA</t>
  </si>
  <si>
    <t>Source code</t>
  </si>
  <si>
    <t>OCONV(SORT.NAME,'MCU')</t>
  </si>
  <si>
    <t>SORT.NAME.UC</t>
  </si>
  <si>
    <t>Grower sort name</t>
  </si>
  <si>
    <t>TRANS(MGROWER,GROWER.ID,SORT.NAME,'X')</t>
  </si>
  <si>
    <t>Soil Type Code Description</t>
  </si>
  <si>
    <t>SOIL TYPE DESCRIPTION</t>
  </si>
  <si>
    <t>TRANS(SOIL.CODE,SOILCD,'DESCP','X')</t>
  </si>
  <si>
    <t>SOILCD.DESCP</t>
  </si>
  <si>
    <t>Short description of block</t>
  </si>
  <si>
    <t>OCONV(SHORT.DESC,'MCU')</t>
  </si>
  <si>
    <t>SHORT.DESC.UC</t>
  </si>
  <si>
    <t>SUBR('*SEL.CRUSH.LOCN',ACCOUNT,BLOCK)</t>
  </si>
  <si>
    <t>Style district description</t>
  </si>
  <si>
    <t>TRANS(SOURCE,SDISTRICT,'DESCP','X')</t>
  </si>
  <si>
    <t>Style district</t>
  </si>
  <si>
    <t>TRANS(SOURCE,SOURCE,'SDISTRICT','X')</t>
  </si>
  <si>
    <t>Rootstock Description</t>
  </si>
  <si>
    <t>TRANS(MVARIETY,IFS(EQS(ROOTSTOCK,REUSE('OWN')),REUSE(VARIETY),ROOTSTOCK),VARDESCP,'X</t>
  </si>
  <si>
    <t>Prune Method Code Description</t>
  </si>
  <si>
    <t>PRUNE METHOD DESCRIPTION</t>
  </si>
  <si>
    <t>TRANS(PRUNE.CODE,PRUNE.CODE,'DESCP','X')</t>
  </si>
  <si>
    <t>PRUNECD.DESCP</t>
  </si>
  <si>
    <t>TRANS(MGROWER,GROWER.ID,'PAYTO','X')</t>
  </si>
  <si>
    <t>GROWER truncated to 20 characters</t>
  </si>
  <si>
    <t>PAM Vineyard</t>
  </si>
  <si>
    <t>GROWER.NAME[1,20]</t>
  </si>
  <si>
    <t>PAM.VINEYARD</t>
  </si>
  <si>
    <t>IF ACTIVITY='' AND GROWER.ACTIV='C' AND PAM.INTERFACED='Y' THEN 1 ELSE 0</t>
  </si>
  <si>
    <t>PAM.STATUS</t>
  </si>
  <si>
    <t>IF ROOTSTOCK.DESC='' THEN 'Unknown' ELSE ROOTSTOCK.DESC&lt;1,1&gt;</t>
  </si>
  <si>
    <t>PAM.ROOTSTOCK</t>
  </si>
  <si>
    <t>TRANS(MGROWER,GROWER.ID,PAM.INTERFACED,'X')</t>
  </si>
  <si>
    <t>IF CLONE='' THEN 'Unknown' ELSE CLONE&lt;1,1&gt;</t>
  </si>
  <si>
    <t>PAM.CLONE</t>
  </si>
  <si>
    <t>TRANS(MGROWER,ACCOUNT,OWN.BLOCK,'X')</t>
  </si>
  <si>
    <t>Origin description</t>
  </si>
  <si>
    <t>TRANS(SOURCE,ORIGIN,'DESCP','X')</t>
  </si>
  <si>
    <t>NUM(GROWER.ID)</t>
  </si>
  <si>
    <t>NUM.GROWERID</t>
  </si>
  <si>
    <t>Number of GROWER IDS</t>
  </si>
  <si>
    <t>DCOUNT(GROWER.IDS,@VM)</t>
  </si>
  <si>
    <t>NGROWER.CODES</t>
  </si>
  <si>
    <t>DCOUNT(COMMENTS,@VM)</t>
  </si>
  <si>
    <t>N.COMM</t>
  </si>
  <si>
    <t>MPF Owner Name</t>
  </si>
  <si>
    <t>TRANS(MPF.OWNER,MPF.OWNER.CODE,MPF.OWNER.NAME,'X')</t>
  </si>
  <si>
    <t>MPF.OWNER.NAME</t>
  </si>
  <si>
    <t>Block/Grower Link</t>
  </si>
  <si>
    <t>SUBR(SUBR.PENBW:'PVII218',@ID,@RECORD)</t>
  </si>
  <si>
    <t>MGROWER.LINK</t>
  </si>
  <si>
    <t>IF ACTIVITY = '' THEN 'ACTIVE' ELSE 'INACTIVE'</t>
  </si>
  <si>
    <t>TRANS(MGROWER,GROWER.ID,'JDEBU','X')</t>
  </si>
  <si>
    <t>Irrigation Method Code Description</t>
  </si>
  <si>
    <t>Irrigation Description</t>
  </si>
  <si>
    <t>TRANS(IRRIG.CODE,IRRIG.TYPE.CODE,'DESCP','X')</t>
  </si>
  <si>
    <t>IRRIG.DESCP</t>
  </si>
  <si>
    <t>Block has activity for current AgCode vintage</t>
  </si>
  <si>
    <t>OCONV(DATE(),'D4/');IF @1[4,2] &gt;= 07 AND @1[4,2] &lt;= 12 THEN @1[4]+1 ELSE @1[4];</t>
  </si>
  <si>
    <t>HAS.AGCODE.VINT</t>
  </si>
  <si>
    <t>TRANS(MGROWER,GROWER.ID,'HARVESTER.PHONE','X')</t>
  </si>
  <si>
    <t>TRANS(MGROWER,GROWER.ID,'HARVESTER.NAME','X')</t>
  </si>
  <si>
    <t>OCONV(TRANS(MGROWER,GROWER.ID,GROWER,'X'),'MCU')</t>
  </si>
  <si>
    <t>GROWER.NAME.UC</t>
  </si>
  <si>
    <t>TRANS(MGROWER,GROWER.ID,GROWER,'X')</t>
  </si>
  <si>
    <t>GROWER.NAME</t>
  </si>
  <si>
    <t>Grower activity code</t>
  </si>
  <si>
    <t>TRANS(MGROWER,GROWER.ID,MGACTIV,'X')</t>
  </si>
  <si>
    <t>GROWER.ACTIV</t>
  </si>
  <si>
    <t>TRANS(MGROWER,GROWER.ID,'GLO.LOGNAME','X')</t>
  </si>
  <si>
    <t>GI Superzone description</t>
  </si>
  <si>
    <t>TRANS(GI.FILE,GI.SUPERZONE,GI.SDESC,'X')</t>
  </si>
  <si>
    <t>GI.SUPERZONE.SDESC</t>
  </si>
  <si>
    <t>GI Superzone in Australia</t>
  </si>
  <si>
    <t>TRANS(SOURCE,SOURCE,'GI.SUPERZONE','X')</t>
  </si>
  <si>
    <t>GI Subregion description</t>
  </si>
  <si>
    <t>TRANS(GI.FILE,GI.SUBREGION,GI.SDESC,'X')</t>
  </si>
  <si>
    <t>GI.SUBREGION.SDESC</t>
  </si>
  <si>
    <t>GI Subregion in Australia</t>
  </si>
  <si>
    <t>TRANS(SOURCE,SOURCE,'GI.SUBREGION','X')</t>
  </si>
  <si>
    <t>TRANS('GI.FILE',GI.INDIC,'GI.SDESC','X')</t>
  </si>
  <si>
    <t>GI Region description</t>
  </si>
  <si>
    <t>TRANS(GI.FILE,GI.REGION,GI.SDESC,'X')</t>
  </si>
  <si>
    <t>GI.REGION.SDESC</t>
  </si>
  <si>
    <t>GI Region in Australia</t>
  </si>
  <si>
    <t>TRANS(SOURCE,SOURCE,'GI.REGION','X')</t>
  </si>
  <si>
    <t>Level description</t>
  </si>
  <si>
    <t>'GI Sub Region*GI Region*GI Zone*GI Superzone*State';</t>
  </si>
  <si>
    <t>GI.LEVEL.DESC</t>
  </si>
  <si>
    <t>GI Level</t>
  </si>
  <si>
    <t>TRANS('GI.FILE',GI.INDIC,LEVEL,'X')</t>
  </si>
  <si>
    <t>GI.LEVEL</t>
  </si>
  <si>
    <t>Generic code (current year VINTINTAKE)</t>
  </si>
  <si>
    <t>SUBR(SUBR.PENBW:'PBWI1070',ACCOUNT,BLOCK,'G57')</t>
  </si>
  <si>
    <t>Frost protection description</t>
  </si>
  <si>
    <t>Frost</t>
  </si>
  <si>
    <t>TRANS(FROSTPROT,FP.CODE,'FP.DESC','X')</t>
  </si>
  <si>
    <t>FP.DESC</t>
  </si>
  <si>
    <t>Full block description</t>
  </si>
  <si>
    <t>OCONV(DESCRIPTION,'MCU')</t>
  </si>
  <si>
    <t>DESCRIPTION.UC</t>
  </si>
  <si>
    <t>Block has activity for current vintage</t>
  </si>
  <si>
    <t>SUBR(SUBR.PENBW:'PBWI1070',ACCOUNT,BLOCK,0)</t>
  </si>
  <si>
    <t>CURR.VINT</t>
  </si>
  <si>
    <t>Crushsite Status</t>
  </si>
  <si>
    <t>Crushsite</t>
  </si>
  <si>
    <t>TRANS(CRUSHSITE,CSITE.CODE,STATUS, 'X')</t>
  </si>
  <si>
    <t>CSITE.STATUS</t>
  </si>
  <si>
    <t>Crushsite Description</t>
  </si>
  <si>
    <t>Crushshite</t>
  </si>
  <si>
    <t>TRANS(CRUSHSITE,CSITE.CODE, DESC, 'X')</t>
  </si>
  <si>
    <t>CSITE.DESC</t>
  </si>
  <si>
    <t>TRANS(CRUSHSITE,VI.CRUSH.LOCN,'WINERY.LOC','X')</t>
  </si>
  <si>
    <t>TRANS(MGROWER,ACCOUNT,CONTRACT.TYPE,'X')</t>
  </si>
  <si>
    <t>Climate description</t>
  </si>
  <si>
    <t>TRANS(SOURCE,CLIMATE,'DESCP','X')</t>
  </si>
  <si>
    <t>TRANS(SOURCE,SOURCE,'CLIMATE','X')</t>
  </si>
  <si>
    <t>Cartage Description</t>
  </si>
  <si>
    <t>TRANS(MGROWER,GROWER.ID,'CARRIER.PHONE','X')</t>
  </si>
  <si>
    <t>TRANS(MGROWER,GROWER.ID,'CARRIER.NAME','X')</t>
  </si>
  <si>
    <t>5 Character description of block</t>
  </si>
  <si>
    <t>OCONV(BLOCK.NAME,'MCU')</t>
  </si>
  <si>
    <t>BLOCK.NAME.UC</t>
  </si>
  <si>
    <t>Uses the BLOCK.GROUP value where it is there, else uses the Block</t>
  </si>
  <si>
    <t>IF BLOCK.GROUP # '' THEN BLOCK.GROUP ELSE @ID</t>
  </si>
  <si>
    <t>BLOCK.GROUPING</t>
  </si>
  <si>
    <t>SUBR(SUBR.PENBW:'PVIZ141','',@RECORD,'')</t>
  </si>
  <si>
    <t>Block description from full description</t>
  </si>
  <si>
    <t>Block in</t>
  </si>
  <si>
    <t>FIELD(DESCRIPTION,'}',3)</t>
  </si>
  <si>
    <t>BLOCK.DESCP</t>
  </si>
  <si>
    <t>IF ACTIVITY = '' THEN HECTARES ELSE ''</t>
  </si>
  <si>
    <t>BLOCK.AREA.CURRENT</t>
  </si>
  <si>
    <t>IF ACTIVITY='' AND GROWER.ACTIV='C' AND AGCODE.ACCOUNT ='Y' THEN 1 ELSE 0</t>
  </si>
  <si>
    <t>AGCODE.STATUS</t>
  </si>
  <si>
    <t>ADW1</t>
  </si>
  <si>
    <t>IF GROWER.ID MATCHES '6A' THEN 'Y' ELSE ''</t>
  </si>
  <si>
    <t>Description of activity status code</t>
  </si>
  <si>
    <t>IF ACTIVITY EQ '' THEN 'Current' ELSE IF ACTIVITY EQ 'S' THEN 'Suspended'  ELSE IF</t>
  </si>
  <si>
    <t>ACTIV.DESC</t>
  </si>
  <si>
    <t>Account name</t>
  </si>
  <si>
    <t>TRANS(MGROWER,ACCOUNT,GROWER,'X')</t>
  </si>
  <si>
    <t>ACCOUNT.NAME</t>
  </si>
  <si>
    <t>flag company owned blocks with their defined Treasury Division</t>
  </si>
  <si>
    <t>MPF.OWNER.CODE</t>
  </si>
  <si>
    <t>indicate if the block is flagged as sustainable</t>
  </si>
  <si>
    <t>Set to Y when block sent to ICM, cleared by screen when maintenance</t>
  </si>
  <si>
    <t>If 'Y' block is an annual purchase block</t>
  </si>
  <si>
    <t>Distance to Winery</t>
  </si>
  <si>
    <t>Emitter spacing</t>
  </si>
  <si>
    <t>Emitter</t>
  </si>
  <si>
    <t>EMITTER.SPACING</t>
  </si>
  <si>
    <t>Frost protection code</t>
  </si>
  <si>
    <t>FP.CODE</t>
  </si>
  <si>
    <t>Vine Structure Code</t>
  </si>
  <si>
    <t>Vine</t>
  </si>
  <si>
    <t>VNS.CODE</t>
  </si>
  <si>
    <t>Prune code</t>
  </si>
  <si>
    <t>Prune</t>
  </si>
  <si>
    <t>PRUNE.CODE</t>
  </si>
  <si>
    <t>Vineyard row direction code</t>
  </si>
  <si>
    <t>Row</t>
  </si>
  <si>
    <t>VRD.CODE</t>
  </si>
  <si>
    <t>Soil type code</t>
  </si>
  <si>
    <t>Soil</t>
  </si>
  <si>
    <t>SOILCD</t>
  </si>
  <si>
    <t>Trellis type code</t>
  </si>
  <si>
    <t>Trellis</t>
  </si>
  <si>
    <t>TRELLIS.CODE</t>
  </si>
  <si>
    <t>Irrigation emitter rate</t>
  </si>
  <si>
    <t>EMITTER.RATE</t>
  </si>
  <si>
    <t>Irrigation type code</t>
  </si>
  <si>
    <t>Irrigation Type Code</t>
  </si>
  <si>
    <t>IRRIG.TYPE.CODE</t>
  </si>
  <si>
    <t>Budded/grafted/retrianed date</t>
  </si>
  <si>
    <t>Budded</t>
  </si>
  <si>
    <t>BUD.GRAFT.DATE.E</t>
  </si>
  <si>
    <t>BUD.GRAFT.DATE</t>
  </si>
  <si>
    <t>Number of vines on block</t>
  </si>
  <si>
    <t>NUM.OF.VINES</t>
  </si>
  <si>
    <t>Set to Y when block sent to AgCode, cleared by screen when</t>
  </si>
  <si>
    <t>CSITE.CODE</t>
  </si>
  <si>
    <t>Row Width</t>
  </si>
  <si>
    <t>ROW.WIDTH</t>
  </si>
  <si>
    <t>Vine Spacing</t>
  </si>
  <si>
    <t>VINE.SPACING</t>
  </si>
  <si>
    <t>Y/'' to indicate the block has been sent as an active block to Pam</t>
  </si>
  <si>
    <t>PAM.ACTIVE</t>
  </si>
  <si>
    <t>GrapeWeb Block Id</t>
  </si>
  <si>
    <t>GrapeWeb</t>
  </si>
  <si>
    <t>GRAPEWEB.ID</t>
  </si>
  <si>
    <t>Block is organically grown</t>
  </si>
  <si>
    <t>Organic</t>
  </si>
  <si>
    <t>ORGANIC</t>
  </si>
  <si>
    <t>'Y' indicates the Block is subject to an onerous contract</t>
  </si>
  <si>
    <t>ONEROUS</t>
  </si>
  <si>
    <t>FIELD NOT USED</t>
  </si>
  <si>
    <t>GI.INDIC.NOT.USED</t>
  </si>
  <si>
    <t>Geographic Indicator</t>
  </si>
  <si>
    <t>Geographic</t>
  </si>
  <si>
    <t>GI.INDIC</t>
  </si>
  <si>
    <t>Comment on how or why the block became inactive within our system.</t>
  </si>
  <si>
    <t>End Year Comment</t>
  </si>
  <si>
    <t>RECORDS.END.COMMENT</t>
  </si>
  <si>
    <t>Comment on how or why the block became active in our system.</t>
  </si>
  <si>
    <t>Start Year Comment</t>
  </si>
  <si>
    <t>RECORDS.START.COMMENT</t>
  </si>
  <si>
    <t>RECORDS.START.CMMNT</t>
  </si>
  <si>
    <t>Comment on how or why the block will be/is no longer in existence.</t>
  </si>
  <si>
    <t>Removed Comment</t>
  </si>
  <si>
    <t>REMOVED.COMMENT</t>
  </si>
  <si>
    <t>ID Changed By</t>
  </si>
  <si>
    <t>GR.CODES</t>
  </si>
  <si>
    <t>ID.CHG.BY</t>
  </si>
  <si>
    <t>Date the Grower ID changed</t>
  </si>
  <si>
    <t>Date ID</t>
  </si>
  <si>
    <t>DATE.ID.EFFECT.E</t>
  </si>
  <si>
    <t>DATE.ID.EFFECT</t>
  </si>
  <si>
    <t>Grower IDs</t>
  </si>
  <si>
    <t>GROWER.IDS</t>
  </si>
  <si>
    <t>Potential Grape Value - not used - if reinstated should be potential</t>
  </si>
  <si>
    <t>Not</t>
  </si>
  <si>
    <t>POTENTIAL.GV</t>
  </si>
  <si>
    <t>Last year of capital project for developing this block</t>
  </si>
  <si>
    <t>First Year of Capital Project for developing this block</t>
  </si>
  <si>
    <t>Cap.</t>
  </si>
  <si>
    <t>Capital project number for developing this block</t>
  </si>
  <si>
    <t>Order</t>
  </si>
  <si>
    <t>Rootstock Variety Code</t>
  </si>
  <si>
    <t>Year in which block was/will be planted</t>
  </si>
  <si>
    <t>Hectares</t>
  </si>
  <si>
    <t>HECTAR</t>
  </si>
  <si>
    <t>General comments about block</t>
  </si>
  <si>
    <t>Date block record was created</t>
  </si>
  <si>
    <t>CREATE.DATE.E</t>
  </si>
  <si>
    <t>CREATE.DATE</t>
  </si>
  <si>
    <t>Id of grower who owns the block</t>
  </si>
  <si>
    <t>GROWER.ID</t>
  </si>
  <si>
    <t>Account code of Grower or Company Vinyard</t>
  </si>
  <si>
    <t>Variety code of grapes on block</t>
  </si>
  <si>
    <t>Variety Code</t>
  </si>
  <si>
    <t>SHORT.DESC</t>
  </si>
  <si>
    <t>Block name - 5 char. description</t>
  </si>
  <si>
    <t>Block code (sequential number)</t>
  </si>
  <si>
    <t>MBLOCKS</t>
  </si>
  <si>
    <t>VINT.LOC VINT.PCT</t>
  </si>
  <si>
    <t>SHOW.CODE SHOW.YEAR SHOW.CLASS AWARD.CODE</t>
  </si>
  <si>
    <t>RECORDS1</t>
  </si>
  <si>
    <t>CLASS YEAR SHOW MEDAL TROPHY</t>
  </si>
  <si>
    <t>RECORDS</t>
  </si>
  <si>
    <t>PACK.TYPE PACK.DETAILS</t>
  </si>
  <si>
    <t>PACK</t>
  </si>
  <si>
    <t>MAT.VESSEL MAT.YEARS MAT.MTHS MAT.TYPE</t>
  </si>
  <si>
    <t>JK.SHOW</t>
  </si>
  <si>
    <t>ANAL.TYPE ANAL.READ</t>
  </si>
  <si>
    <t>ANAL</t>
  </si>
  <si>
    <t>FOR ENTRO DEFAULT FIELD LIST CREATED 14:23:05 09 JUN 1989</t>
  </si>
  <si>
    <t>@ID VINTAGE DESCRIPTION GRAPE.VAR GRAPE.% VINEYARD VINEYARD.% CLASS YEAR SHOW MEDAL</t>
  </si>
  <si>
    <t>Wine Type</t>
  </si>
  <si>
    <t>TRANS(GENERIC.FILE,GENERIC.CODE,WINETYPE,'X')</t>
  </si>
  <si>
    <t>WINETYPE</t>
  </si>
  <si>
    <t>Wine maker name</t>
  </si>
  <si>
    <t>BP</t>
  </si>
  <si>
    <t>Wine Maker</t>
  </si>
  <si>
    <t>TRANS(DEF.SYS.USERS,UPCASE(BLEND.WINE.MAKER),NAME,'X')</t>
  </si>
  <si>
    <t>Winemaker comments</t>
  </si>
  <si>
    <t>105L</t>
  </si>
  <si>
    <t>TRANS(BLEND.PROP.ARCHIVE,BLEND.PROP.ID,'WINE.COMMENTS','X');SUBR('*GWDBCMNTS',@1)</t>
  </si>
  <si>
    <t>WINE.COMMENTS.NEW</t>
  </si>
  <si>
    <t>TRANS(BLEND.PROP.ARCHIVE,BLEND.PROP.ID,'WINE.COMMENTS','X')</t>
  </si>
  <si>
    <t>WINE.COMMENTS</t>
  </si>
  <si>
    <t>Vintaged at Winery description</t>
  </si>
  <si>
    <t>Vintaged at Winery</t>
  </si>
  <si>
    <t>TRANS(WINERY.LOCATION,WDVINT.AT,DESC,'X')</t>
  </si>
  <si>
    <t>WDVINT.AT.DESC</t>
  </si>
  <si>
    <t>WD Vintaged at winery</t>
  </si>
  <si>
    <t>TRANS(BLEND.PROP.ARCHIVE,BLEND.PROP.ID,'WDVINT.AT','X')</t>
  </si>
  <si>
    <t>WDVINT.AT</t>
  </si>
  <si>
    <t>The region as held on the label alcohol rules record</t>
  </si>
  <si>
    <t>Region</t>
  </si>
  <si>
    <t>TRANS(BLEND.PROP.ARCHIVE, BLEND.PROP.ID, 'WDREGION', 'X')</t>
  </si>
  <si>
    <t>WDREGION</t>
  </si>
  <si>
    <t>WD Vintaged at winery percentage of wine</t>
  </si>
  <si>
    <t>TRANS(BLEND.PROP.ARCHIVE,BLEND.PROP.ID,'WDPERC.AT','X')</t>
  </si>
  <si>
    <t>WDPERC.AT</t>
  </si>
  <si>
    <t>Maturation years</t>
  </si>
  <si>
    <t>Years</t>
  </si>
  <si>
    <t>TRANS(BLEND.PROP.ARCHIVE,BLEND.PROP.ID,'WDMAT.YRS','X')</t>
  </si>
  <si>
    <t>WDMAT.YRS</t>
  </si>
  <si>
    <t>Maturation type</t>
  </si>
  <si>
    <t>TRANS(BLEND.PROP.ARCHIVE,BLEND.PROP.ID,'WDMAT.TYPE','X')</t>
  </si>
  <si>
    <t>WDMAT.TYPE</t>
  </si>
  <si>
    <t>Maturation type percentage</t>
  </si>
  <si>
    <t>TRANS(BLEND.PROP.ARCHIVE,BLEND.PROP.ID,'WDMAT.PERC','X')</t>
  </si>
  <si>
    <t>WDMAT.PERC</t>
  </si>
  <si>
    <t>Maturation months</t>
  </si>
  <si>
    <t>Mths</t>
  </si>
  <si>
    <t>TRANS(BLEND.PROP.ARCHIVE,BLEND.PROP.ID,'WDMAT.MTHS','X')</t>
  </si>
  <si>
    <t>WDMAT.MTHS</t>
  </si>
  <si>
    <t>Retrieve label alcohol over each region if valid to do so.</t>
  </si>
  <si>
    <t>Label</t>
  </si>
  <si>
    <t>SUBR('*GWDI909R',BLEND.PROP.ID)</t>
  </si>
  <si>
    <t>WDLABEL.ALCOHOL</t>
  </si>
  <si>
    <t>Percentage that the block contributed to the blend</t>
  </si>
  <si>
    <t>SUBR('*WDBLK.PERC',WDBLK.LITRES,TOT.LITRES)</t>
  </si>
  <si>
    <t>WDBLK.PERC</t>
  </si>
  <si>
    <t>Litres the Block contributed to the blend</t>
  </si>
  <si>
    <t>TRANS(BLEND.PROP.ARCHIVE,BLEND.PROP.ID,'WDBLK.LITRES','X')</t>
  </si>
  <si>
    <t>WDBLK.LITRES</t>
  </si>
  <si>
    <t>Block Grower Name</t>
  </si>
  <si>
    <t>TRANS(MGROWER,WDBLK.ACCT,NAME,'X')</t>
  </si>
  <si>
    <t>WDBLK.ACCT.NAME</t>
  </si>
  <si>
    <t>Block account (eg grower) code</t>
  </si>
  <si>
    <t>TRANS(BLEND.PROP.ARCHIVE,BLEND.PROP.ID,'WDBLK.ACCT','X')</t>
  </si>
  <si>
    <t>WDBLK.ACCT</t>
  </si>
  <si>
    <t>TRANS(BLEND.PROP.ARCHIVE,BLEND.PROP.ID,'WDBLK','X')</t>
  </si>
  <si>
    <t>WDBLK</t>
  </si>
  <si>
    <t>From Tanks applicable additive mg/L</t>
  </si>
  <si>
    <t>mg/L</t>
  </si>
  <si>
    <t>TRANS(BLEND.PROP.ARCHIVE,BLEND.PROP.ID,'WDADD.MGL','X')</t>
  </si>
  <si>
    <t>WDADD.MGL</t>
  </si>
  <si>
    <t>From Tanks applicable additive and Lot code descriptions</t>
  </si>
  <si>
    <t>WD applicable</t>
  </si>
  <si>
    <t>TRANS(BLEND.PROP.ARCHIVE, BLEND.PROP.ID, 'WDADD.DESC', 'X')</t>
  </si>
  <si>
    <t>WDADD.DESC</t>
  </si>
  <si>
    <t>i-type Wine Data Variety Litre Percentage subvalue 5</t>
  </si>
  <si>
    <t>Variety Litre 5 %</t>
  </si>
  <si>
    <t>SUBR('*PZZI418',WD.VARLTR.PERC,5)</t>
  </si>
  <si>
    <t>WD.VARLTR.PERC5</t>
  </si>
  <si>
    <t>i-type Wine Data Variety Litre Percentage subvalue 4</t>
  </si>
  <si>
    <t>Variety Litre 4 %</t>
  </si>
  <si>
    <t>SUBR('*PZZI418',WD.VARLTR.PERC,4)</t>
  </si>
  <si>
    <t>WD.VARLTR.PERC4</t>
  </si>
  <si>
    <t>i-type Wine Data Variety Litre Percentage subvalue 3</t>
  </si>
  <si>
    <t>Variety Litre 3 %</t>
  </si>
  <si>
    <t>SUBR('*PZZI418',WD.VARLTR.PERC,3)</t>
  </si>
  <si>
    <t>WD.VARLTR.PERC3</t>
  </si>
  <si>
    <t>i-type Wine Data Variety Litre Percentage subvalue 2</t>
  </si>
  <si>
    <t>Variety Litre 2 %</t>
  </si>
  <si>
    <t>SUBR('*PZZI418',WD.VARLTR.PERC,2)</t>
  </si>
  <si>
    <t>WD.VARLTR.PERC2</t>
  </si>
  <si>
    <t>i-type Wine Data Variety Litre Percentage subvalue 1</t>
  </si>
  <si>
    <t>Variety Litre 1 %</t>
  </si>
  <si>
    <t>SUBR('*PZZI418',WD.VARLTR.PERC,1)</t>
  </si>
  <si>
    <t>WD.VARLTR.PERC1</t>
  </si>
  <si>
    <t>WD Variety % litres of composition</t>
  </si>
  <si>
    <t>Variety Litre %</t>
  </si>
  <si>
    <t>SUBR('*GWDI910',TOT.LITRES,WD.VAR.LITRES)</t>
  </si>
  <si>
    <t>WD.VARLTR.PERC</t>
  </si>
  <si>
    <t>Grape Variety Description</t>
  </si>
  <si>
    <t>TRANS(MVARIETY,WD.VARIETY,VARIETY.SDESC,'X')</t>
  </si>
  <si>
    <t>WD.VARIETY.SDESC</t>
  </si>
  <si>
    <t>TRANS(MVARIETY,WD.VARIETY,VARDESCP,'X')</t>
  </si>
  <si>
    <t>WD.VARIETY.DESC</t>
  </si>
  <si>
    <t>Grape Variety</t>
  </si>
  <si>
    <t>TRANS(BLEND.PROP.ARCHIVE,BLEND.PROP.ID,WD.VARIETY,'X')</t>
  </si>
  <si>
    <t>WD.VARIETY</t>
  </si>
  <si>
    <t>i-type Wine Data Variety subvalue 5</t>
  </si>
  <si>
    <t>Variety 5</t>
  </si>
  <si>
    <t>SUBR('*PZZI418',WD.VARIETY,5)</t>
  </si>
  <si>
    <t>WD.VAR5</t>
  </si>
  <si>
    <t>i-type Wine Data Variety subvalue 4</t>
  </si>
  <si>
    <t>Variety 4</t>
  </si>
  <si>
    <t>SUBR('*PZZI418',WD.VARIETY,4)</t>
  </si>
  <si>
    <t>WD.VAR4</t>
  </si>
  <si>
    <t>i-type Wine Data Variety subvalue 3</t>
  </si>
  <si>
    <t>Variety 3</t>
  </si>
  <si>
    <t>SUBR('*PZZI418',WD.VARIETY,3)</t>
  </si>
  <si>
    <t>WD.VAR3</t>
  </si>
  <si>
    <t>i-type Wine Data Variety subvalue 2</t>
  </si>
  <si>
    <t>Variety 2</t>
  </si>
  <si>
    <t>SUBR('*PZZI418',WD.VARIETY,2)</t>
  </si>
  <si>
    <t>WD.VAR2</t>
  </si>
  <si>
    <t>i-type Wine Data Variety subvalue 1</t>
  </si>
  <si>
    <t>Variety 1</t>
  </si>
  <si>
    <t>SUBR('*PZZI418',WD.VARIETY,1)</t>
  </si>
  <si>
    <t>WD.VAR1</t>
  </si>
  <si>
    <t>WD.VAR.SDESC</t>
  </si>
  <si>
    <t>Wine Data Variety litres summary</t>
  </si>
  <si>
    <t>WD Var</t>
  </si>
  <si>
    <t>TRANS(BLEND.PROP.ARCHIVE,BLEND.PROP.ID,'WD.VAR.LITRES','X')</t>
  </si>
  <si>
    <t>WD.VAR.LITRES</t>
  </si>
  <si>
    <t>i-type Wine Data Variety Description subvalue 5</t>
  </si>
  <si>
    <t>Variety Desc 5</t>
  </si>
  <si>
    <t>SUBR('*PZZI418',WD.VARIETY.SDESC,5)</t>
  </si>
  <si>
    <t>WD.VAR.DESC5</t>
  </si>
  <si>
    <t>i-type Wine Data Variety Description subvalue 4</t>
  </si>
  <si>
    <t>Variety Desc 4</t>
  </si>
  <si>
    <t>SUBR('*PZZI418',WD.VARIETY.SDESC,4)</t>
  </si>
  <si>
    <t>WD.VAR.DESC4</t>
  </si>
  <si>
    <t>i-type Wine Data Variety Description subvalue 3</t>
  </si>
  <si>
    <t>Variety Desc 3</t>
  </si>
  <si>
    <t>SUBR('*PZZI418',WD.VARIETY.SDESC,3)</t>
  </si>
  <si>
    <t>WD.VAR.DESC3</t>
  </si>
  <si>
    <t>i-type Wine Data Variety Description subvalue 2</t>
  </si>
  <si>
    <t>Variety Desc 2</t>
  </si>
  <si>
    <t>SUBR('*PZZI418',WD.VARIETY.SDESC,2)</t>
  </si>
  <si>
    <t>WD.VAR.DESC2</t>
  </si>
  <si>
    <t>i-type Wine Data Variety Description subvalue 1</t>
  </si>
  <si>
    <t>Variety Desc 1</t>
  </si>
  <si>
    <t>SUBR('*PZZI418',WD.VARIETY.SDESC,1)</t>
  </si>
  <si>
    <t>WD.VAR.DESC1</t>
  </si>
  <si>
    <t>Blend proposal WD transfer setting</t>
  </si>
  <si>
    <t>WD</t>
  </si>
  <si>
    <t>TRANS(BLEND.PROP.ARCHIVE,BLEND.PROP.ID,WD.TRANSFER,'X')</t>
  </si>
  <si>
    <t>WD.TRANSFER</t>
  </si>
  <si>
    <t>i-type Wine Data GI Litre Percentage subvalue 5</t>
  </si>
  <si>
    <t>GI 5 Litre %</t>
  </si>
  <si>
    <t>SUBR('*PZZI418',WD.GILTR.PERC,5)</t>
  </si>
  <si>
    <t>WD.GILTR.PERC5</t>
  </si>
  <si>
    <t>i-type Wine Data GI Litre Percentage subvalue 4</t>
  </si>
  <si>
    <t>GI 4 Litre %</t>
  </si>
  <si>
    <t>SUBR('*PZZI418',WD.GILTR.PERC,4)</t>
  </si>
  <si>
    <t>WD.GILTR.PERC4</t>
  </si>
  <si>
    <t>i-type Wine Data GI Litre Percentage subvalue 3</t>
  </si>
  <si>
    <t>GI 3 Litre %</t>
  </si>
  <si>
    <t>SUBR('*PZZI418',WD.GILTR.PERC,3)</t>
  </si>
  <si>
    <t>WD.GILTR.PERC3</t>
  </si>
  <si>
    <t>i-type Wine Data GI Litre Percentage subvalue 2</t>
  </si>
  <si>
    <t>GI 2 Litre %</t>
  </si>
  <si>
    <t>SUBR('*PZZI418',WD.GILTR.PERC,2)</t>
  </si>
  <si>
    <t>WD.GILTR.PERC2</t>
  </si>
  <si>
    <t>i-type Wine Data GI Litre Percentage subvalue 1</t>
  </si>
  <si>
    <t>GI 1 Litre %</t>
  </si>
  <si>
    <t>SUBR('*PZZI418',WD.GILTR.PERC,1)</t>
  </si>
  <si>
    <t>WD.GILTR.PERC1</t>
  </si>
  <si>
    <t>WD GI % litres of composition</t>
  </si>
  <si>
    <t>SUBR('*GWDI910',TOT.LITRES,WD.GI.LITRES)</t>
  </si>
  <si>
    <t>WD.GILTR.PERC</t>
  </si>
  <si>
    <t>i-type Wine Data GI subvalue 5</t>
  </si>
  <si>
    <t>GI 5</t>
  </si>
  <si>
    <t>SUBR('*PZZI418',WD.GI,5)</t>
  </si>
  <si>
    <t>WD.GI5</t>
  </si>
  <si>
    <t>i-type Wine Data GI subvalue 4</t>
  </si>
  <si>
    <t>GI 4</t>
  </si>
  <si>
    <t>SUBR('*PZZI418',WD.GI,4)</t>
  </si>
  <si>
    <t>WD.GI4</t>
  </si>
  <si>
    <t>i-type Wine Data GI subvalue 3</t>
  </si>
  <si>
    <t>GI 3</t>
  </si>
  <si>
    <t>SUBR('*PZZI418',WD.GI,3)</t>
  </si>
  <si>
    <t>WD.GI3</t>
  </si>
  <si>
    <t>i-type Wine Data GI subvalue 2</t>
  </si>
  <si>
    <t>GI 2</t>
  </si>
  <si>
    <t>SUBR('*PZZI418',WD.GI,2)</t>
  </si>
  <si>
    <t>WD.GI2</t>
  </si>
  <si>
    <t>i-type Wine Data GI subvalue 1</t>
  </si>
  <si>
    <t>GI 1</t>
  </si>
  <si>
    <t>SUBR('*PZZI418',WD.GI,1)</t>
  </si>
  <si>
    <t>WD.GI1</t>
  </si>
  <si>
    <t>I-type Wine Data GI Litres summary</t>
  </si>
  <si>
    <t>WD Area</t>
  </si>
  <si>
    <t>TRANS(BLEND.PROP.ARCHIVE, BLEND.PROP.ID, 'WD.GI.LITRES', 'X')</t>
  </si>
  <si>
    <t>WD.GI.LITRES</t>
  </si>
  <si>
    <t>i-type Wine Data GI Description subvalue 5</t>
  </si>
  <si>
    <t>GI Desc 5</t>
  </si>
  <si>
    <t>SUBR('*PZZI418',WD.GI.DESC,5)</t>
  </si>
  <si>
    <t>WD.GI.DESC5</t>
  </si>
  <si>
    <t>i-type Wine Data GI Description subvalue 4</t>
  </si>
  <si>
    <t>GI Desc 4</t>
  </si>
  <si>
    <t>SUBR('*PZZI418',WD.GI.DESC,4)</t>
  </si>
  <si>
    <t>WD.GI.DESC4</t>
  </si>
  <si>
    <t>i-type Wine Data GI Description subvalue 3</t>
  </si>
  <si>
    <t>GI Desc 3</t>
  </si>
  <si>
    <t>SUBR('*PZZI418',WD.GI.DESC,3)</t>
  </si>
  <si>
    <t>WD.GI.DESC3</t>
  </si>
  <si>
    <t>i-type Wine Data GI Description subvalue 2</t>
  </si>
  <si>
    <t>GI Desc 2</t>
  </si>
  <si>
    <t>SUBR('*PZZI418',WD.GI.DESC,2)</t>
  </si>
  <si>
    <t>WD.GI.DESC2</t>
  </si>
  <si>
    <t>i-type Wine Data GI Description subvalue 1</t>
  </si>
  <si>
    <t>GI Desc 1</t>
  </si>
  <si>
    <t>SUBR('*PZZI418',WD.GI.DESC,1)</t>
  </si>
  <si>
    <t>WD.GI.DESC1</t>
  </si>
  <si>
    <t>TRANS(GI.FILE,WD.GI,'GI.SDESC','X')</t>
  </si>
  <si>
    <t>WD.GI.DESC</t>
  </si>
  <si>
    <t>i-type Wine Data GI Summary</t>
  </si>
  <si>
    <t>TRANS(BLEND.PROP.ARCHIVE, BLEND.PROP.ID, 'WD.GI','X')</t>
  </si>
  <si>
    <t>WD.GI</t>
  </si>
  <si>
    <t>Vintage Planning Use</t>
  </si>
  <si>
    <t>TRANS(GENERIC.FILE,GENERIC.CODE,VP.USE,'X')</t>
  </si>
  <si>
    <t>VP.USE</t>
  </si>
  <si>
    <t>Vintage code</t>
  </si>
  <si>
    <t>VINTAGE.CODE</t>
  </si>
  <si>
    <t>IF REQ.LITRES THEN TOT.SWA.LITRES/REQ.LITRES*100 ELSE 0</t>
  </si>
  <si>
    <t>TOT.SWA.PERC</t>
  </si>
  <si>
    <t>Total SWA litres</t>
  </si>
  <si>
    <t>TRANS(BLEND.PROP.ARCHIVE,BLEND.PROP.ID,'TOT.SWA.LITRES','X')</t>
  </si>
  <si>
    <t>TOT.SWA.LITRES</t>
  </si>
  <si>
    <t>Total Litres of Blend Proposal</t>
  </si>
  <si>
    <t>Tot/Ltrs</t>
  </si>
  <si>
    <t>MD0PZ</t>
  </si>
  <si>
    <t>IF COUNT(LITRES,@SM) THEN SUM(LITRES) ELSE LITRES</t>
  </si>
  <si>
    <t>TOT.LITRES</t>
  </si>
  <si>
    <t>Vintage percentage</t>
  </si>
  <si>
    <t>SUBR('*GWDI910',TOT.LITRES,SVINT.LITRES)</t>
  </si>
  <si>
    <t>SVINT.PERC</t>
  </si>
  <si>
    <t>Vintage summary litres</t>
  </si>
  <si>
    <t>TRANS(BLEND.PROP.ARCHIVE,BLEND.PROP.ID,'SVINT.LITRES','X')</t>
  </si>
  <si>
    <t>SVINT.LITRES</t>
  </si>
  <si>
    <t>Vintage summary</t>
  </si>
  <si>
    <t>TRANS(BLEND.PROP.ARCHIVE,BLEND.PROP.ID,'SVINT','X')</t>
  </si>
  <si>
    <t>SVINT</t>
  </si>
  <si>
    <t>TRANS(SOURCE,SAREA,'SOURCE.DESC','X')</t>
  </si>
  <si>
    <t>'Y' If Show or new format wine data are present</t>
  </si>
  <si>
    <t>IF BLEND.NO#'' OR SHOW.YEAR#'' THEN 'Y' ELSE ''</t>
  </si>
  <si>
    <t>SHOWORWD</t>
  </si>
  <si>
    <t>Show description</t>
  </si>
  <si>
    <t>SHOW DESCRIPTION</t>
  </si>
  <si>
    <t>TRANS(SHOW.MASTER,SHOW.CODE,SHOW.DESCRIPTION,'X')</t>
  </si>
  <si>
    <t>SHOW.DESCRIPTION</t>
  </si>
  <si>
    <t>Source area percentage</t>
  </si>
  <si>
    <t>SUBR('*GWDI910',TOT.LITRES,SAREA.LITRES)</t>
  </si>
  <si>
    <t>SAREA.PERC</t>
  </si>
  <si>
    <t>Area summary litres</t>
  </si>
  <si>
    <t>TRANS(BLEND.PROP.ARCHIVE,BLEND.PROP.ID,'SAREA.LITRES','X')</t>
  </si>
  <si>
    <t>SAREA.LITRES</t>
  </si>
  <si>
    <t>Area Summary</t>
  </si>
  <si>
    <t>TRANS(BLEND.PROP.ARCHIVE,BLEND.PROP.ID,'SAREA','X')</t>
  </si>
  <si>
    <t>SAREA</t>
  </si>
  <si>
    <t>Req Litres</t>
  </si>
  <si>
    <t>TRANS(BLEND.PROP.ARCHIVE,BLEND.PROP.ID,'REQ.LITRES','X')</t>
  </si>
  <si>
    <t>REQ.LITRES</t>
  </si>
  <si>
    <t>Preliminary or final blend</t>
  </si>
  <si>
    <t>IF STATUS = 'P' THEN 'PRELIMINARY' ELSE IF STATUS = 'F' THEN 'FINAL' ELSE ''</t>
  </si>
  <si>
    <t>P.F.LONG</t>
  </si>
  <si>
    <t>Obsolete</t>
  </si>
  <si>
    <t>OBSOLETE</t>
  </si>
  <si>
    <t>TRANS(GENERIC.FILE,GENERIC.CODE,OBSOLETE,'X')</t>
  </si>
  <si>
    <t>NO</t>
  </si>
  <si>
    <t>TRANS(GENERIC.FILE,GENERIC.CODE,'NON.VINTAGED.PRODUCT','X')</t>
  </si>
  <si>
    <t>NON.VINTAGED.PRODUCT</t>
  </si>
  <si>
    <t>Litres removed from tank</t>
  </si>
  <si>
    <t>R/Litres</t>
  </si>
  <si>
    <t>TRANS(BLEND.PROP.ARCHIVE,BLEND.PROP.ID,'LITRES','X')</t>
  </si>
  <si>
    <t>REC. LENGTH</t>
  </si>
  <si>
    <t>DCOUNT(@RECORD,@FM)</t>
  </si>
  <si>
    <t>JK.LEN</t>
  </si>
  <si>
    <t>Grape Grade Level</t>
  </si>
  <si>
    <t>TRANS(GENERIC.FILE,GENERIC.CODE,'GRADE.LEVEL','X')</t>
  </si>
  <si>
    <t>GENERIC.CODE.GL</t>
  </si>
  <si>
    <t>Generic file trade index</t>
  </si>
  <si>
    <t>TRANS(GENERIC.FILE,GENERIC.CODE,TRADE.IND,'X')</t>
  </si>
  <si>
    <t>GEN.CODE.TRADE.IND</t>
  </si>
  <si>
    <t>TRANS(GENERIC.FILE,GENERIC.CODE,NAME,'X')</t>
  </si>
  <si>
    <t>GEN.CODE.DESC</t>
  </si>
  <si>
    <t>Generic file base index</t>
  </si>
  <si>
    <t>TRANS(GENERIC.FILE,GENERIC.CODE,BASE.IND,'X')</t>
  </si>
  <si>
    <t>GEN.CODE.BASE.IND</t>
  </si>
  <si>
    <t>Wine Board style description</t>
  </si>
  <si>
    <t>EB</t>
  </si>
  <si>
    <t>Wine Board Style</t>
  </si>
  <si>
    <t>TRANS(EXP.WBSTYLE,EB.STYLE,DESC,'X')</t>
  </si>
  <si>
    <t>EB.STYLE.DESC</t>
  </si>
  <si>
    <t>Price range description</t>
  </si>
  <si>
    <t>Price Range</t>
  </si>
  <si>
    <t>SUBR(SUBR.PENBW:'PBWIDESC',EB.PRICE.RANGE,'','','PRICE.RANGE')</t>
  </si>
  <si>
    <t>EB.PRICE.RANGE.DESC</t>
  </si>
  <si>
    <t>Pack description</t>
  </si>
  <si>
    <t>SUBR(SUBR.PENBW:'PBWIDESC',EB.PACK,'','','PACK')</t>
  </si>
  <si>
    <t>EB.PACK.DESC</t>
  </si>
  <si>
    <t>Organic description</t>
  </si>
  <si>
    <t>SUBR(SUBR.PENBW:'PBWIDESC',EB.ORG,'','','ORGANIC')</t>
  </si>
  <si>
    <t>EB.ORG.DESC</t>
  </si>
  <si>
    <t>Wine description</t>
  </si>
  <si>
    <t>CLASS.DESC with @SM replaced with spaces</t>
  </si>
  <si>
    <t>Class Description</t>
  </si>
  <si>
    <t>CONVERT(@SM,' ',CLASS.DESC)</t>
  </si>
  <si>
    <t>CLASS.DESC.CONV</t>
  </si>
  <si>
    <t>Category</t>
  </si>
  <si>
    <t>TRANS(GENERIC.FILE,GENERIC.CODE,CATEGORY,'X')</t>
  </si>
  <si>
    <t>Bulk Export Product Description</t>
  </si>
  <si>
    <t>BULK EXPORT</t>
  </si>
  <si>
    <t>SUBR('*PZZI211','CTRL.LOC',BULK.EXPORT.CODE,1:@VM:2,'CONTROL','BULK.EXPORT')</t>
  </si>
  <si>
    <t>BULK.EXPORT.DESC</t>
  </si>
  <si>
    <t>Bulk Export Product Code</t>
  </si>
  <si>
    <t>TRANS(GENERIC.FILE,GENERIC.CODE,BULK.EXPORT,'X')</t>
  </si>
  <si>
    <t>BULK.EXPORT.CODE</t>
  </si>
  <si>
    <t>User name who finalised the blend proposal</t>
  </si>
  <si>
    <t>TRANS(BLEND.PROP.ARCHIVE,BLEND.PROP.ID,FINALBY,'X')</t>
  </si>
  <si>
    <t>BLEND.WINE.MAKER</t>
  </si>
  <si>
    <t>Blend proposal volume</t>
  </si>
  <si>
    <t>TRANS(BLEND.PROP.ARCHIVE,BLEND.PROP.ID,LITRES,'X');IF COUNT(@1,@SM) THEN SUM(@1)</t>
  </si>
  <si>
    <t>Blend proposal TO Tank chemistry Id</t>
  </si>
  <si>
    <t>TO Tank</t>
  </si>
  <si>
    <t>TRANS(BLEND.PROP.ARCHIVE,BLEND.PROP.ID,TTANK.CHEM.ID,'X')</t>
  </si>
  <si>
    <t>BLEND.TTANK.CHEM</t>
  </si>
  <si>
    <t>Blend status description</t>
  </si>
  <si>
    <t>SUBR('*GBWIDESC',BLEND.STATUS,WD.TRANSFER,BLEND.TTANK.CHEM,'STATUS')</t>
  </si>
  <si>
    <t>BLEND.STATUS.DESC</t>
  </si>
  <si>
    <t>Blend winery location description</t>
  </si>
  <si>
    <t>TRANS(WINERY.LOCATION,BLEND.LOCATION,SHORT.DESC,'X')</t>
  </si>
  <si>
    <t>BLEND.LOCN.SDESC</t>
  </si>
  <si>
    <t>Blend winery location</t>
  </si>
  <si>
    <t>Loc</t>
  </si>
  <si>
    <t>TRANS(BLEND.PROP.ARCHIVE,BLEND.PROP.ID,FINAL.LOCATION,'X')</t>
  </si>
  <si>
    <t>BLEND.LOCATION</t>
  </si>
  <si>
    <t>Date Blend was finalised - /E OCONV for Grange 2020</t>
  </si>
  <si>
    <t>TRANS(BLEND.PROP.ARCHIVE,BLEND.PROP.ID,FDATE,'X')</t>
  </si>
  <si>
    <t>BLEND.EDATE</t>
  </si>
  <si>
    <t>Date Blend was finalised</t>
  </si>
  <si>
    <t>BLEND.DATE</t>
  </si>
  <si>
    <t>TRANS(BLEND.PROP.ARCHIVE,BLEND.PROP.ID,BLEND,'X')</t>
  </si>
  <si>
    <t>BLEND.CODE</t>
  </si>
  <si>
    <t>Award description</t>
  </si>
  <si>
    <t>AWARD DESCRIPTION</t>
  </si>
  <si>
    <t>TRANS(AWARD.MASTER,AWARD.CODE,AWARD.DESCRIPTION,'X')</t>
  </si>
  <si>
    <t>AWARD.DESCRIPTION</t>
  </si>
  <si>
    <t>Tank average VA</t>
  </si>
  <si>
    <t>A/VA</t>
  </si>
  <si>
    <t>TRANS(BLEND.PROP.ARCHIVE,BLEND.PROP.ID,'AVA','X')</t>
  </si>
  <si>
    <t>AVA</t>
  </si>
  <si>
    <t>Average Turbitity</t>
  </si>
  <si>
    <t>Ave.</t>
  </si>
  <si>
    <t>TRANS(BLEND.PROP.ARCHIVE,BLEND.PROP.ID,'ATURB','X')</t>
  </si>
  <si>
    <t>ATURB</t>
  </si>
  <si>
    <t>Tank average TS02</t>
  </si>
  <si>
    <t>A/TS02</t>
  </si>
  <si>
    <t>TRANS(BLEND.PROP.ARCHIVE,BLEND.PROP.ID,'ATS02','X')</t>
  </si>
  <si>
    <t>ATS02</t>
  </si>
  <si>
    <t>Average Temp</t>
  </si>
  <si>
    <t>TRANS(BLEND.PROP.ARCHIVE,BLEND.PROP.ID,'ATEMP','X')</t>
  </si>
  <si>
    <t>ATEMP</t>
  </si>
  <si>
    <t>Average TCA</t>
  </si>
  <si>
    <t>TRANS(BLEND.PROP.ARCHIVE,BLEND.PROP.ID,'ATCA','X')</t>
  </si>
  <si>
    <t>ATCA</t>
  </si>
  <si>
    <t>Tank average TA</t>
  </si>
  <si>
    <t>A/TA</t>
  </si>
  <si>
    <t>TRANS(BLEND.PROP.ARCHIVE,BLEND.PROP.ID,'ATA','X')</t>
  </si>
  <si>
    <t>ATA</t>
  </si>
  <si>
    <t>Tank average STR</t>
  </si>
  <si>
    <t>A/Str</t>
  </si>
  <si>
    <t>TRANS(BLEND.PROP.ARCHIVE,BLEND.PROP.ID,'ASTR','X')</t>
  </si>
  <si>
    <t>ASTR</t>
  </si>
  <si>
    <t>Average Sorbic acid</t>
  </si>
  <si>
    <t>TRANS(BLEND.PROP.ARCHIVE,BLEND.PROP.ID,'ASORBIC','X')</t>
  </si>
  <si>
    <t>ASORBIC</t>
  </si>
  <si>
    <t>Average Sodium</t>
  </si>
  <si>
    <t>TRANS(BLEND.PROP.ARCHIVE,BLEND.PROP.ID,'ANA','X')</t>
  </si>
  <si>
    <t>ASNA</t>
  </si>
  <si>
    <t>Tank average SG</t>
  </si>
  <si>
    <t>A/SG</t>
  </si>
  <si>
    <t>TRANS(BLEND.PROP.ARCHIVE,BLEND.PROP.ID,'ASG','X')</t>
  </si>
  <si>
    <t>ASG</t>
  </si>
  <si>
    <t>Tank average RS</t>
  </si>
  <si>
    <t>A/RS</t>
  </si>
  <si>
    <t>TRANS(BLEND.PROP.ARCHIVE,BLEND.PROP.ID,'ARS','X')</t>
  </si>
  <si>
    <t>ARS</t>
  </si>
  <si>
    <t>Tank average pH</t>
  </si>
  <si>
    <t>A/pH</t>
  </si>
  <si>
    <t>TRANS(BLEND.PROP.ARCHIVE,BLEND.PROP.ID,'APH','X')</t>
  </si>
  <si>
    <t>APH</t>
  </si>
  <si>
    <t>Number of analysis readings</t>
  </si>
  <si>
    <t>Analysis</t>
  </si>
  <si>
    <t>DCOUNT(ANAL.TYPE,@VM)</t>
  </si>
  <si>
    <t>ANAL.COUNT</t>
  </si>
  <si>
    <t>ANA</t>
  </si>
  <si>
    <t>Average Milk</t>
  </si>
  <si>
    <t>TRANS(BLEND.PROP.ARCHIVE,BLEND.PROP.ID,'AMILK','X')</t>
  </si>
  <si>
    <t>AMILK</t>
  </si>
  <si>
    <t>Tank average MALATE</t>
  </si>
  <si>
    <t>A/MALATE</t>
  </si>
  <si>
    <t>TRANS(BLEND.PROP.ARCHIVE,BLEND.PROP.ID,'AMALATE','X')</t>
  </si>
  <si>
    <t>AMALATE</t>
  </si>
  <si>
    <t>Average K (potassium) value</t>
  </si>
  <si>
    <t>TRANS(BLEND.PROP.ARCHIVE,BLEND.PROP.ID,'AK','X')</t>
  </si>
  <si>
    <t>AK</t>
  </si>
  <si>
    <t>Average Heat</t>
  </si>
  <si>
    <t>A/Heat</t>
  </si>
  <si>
    <t>TRANS(BLEND.PROP.ARCHIVE,BLEND.PROP.ID,'AHEAT','X')</t>
  </si>
  <si>
    <t>AHEAT</t>
  </si>
  <si>
    <t>Tank average FS02</t>
  </si>
  <si>
    <t>A/FS02</t>
  </si>
  <si>
    <t>TRANS(BLEND.PROP.ARCHIVE,BLEND.PROP.ID,'AFS02','X')</t>
  </si>
  <si>
    <t>AFS02</t>
  </si>
  <si>
    <t>Average Filterability</t>
  </si>
  <si>
    <t>TRANS(BLEND.PROP.ARCHIVE,BLEND.PROP.ID,'AFLTAB','X')</t>
  </si>
  <si>
    <t>AFLTAB</t>
  </si>
  <si>
    <t>Average Iron</t>
  </si>
  <si>
    <t>TRANS(BLEND.PROP.ARCHIVE,BLEND.PROP.ID,'AFE','X')</t>
  </si>
  <si>
    <t>AFE</t>
  </si>
  <si>
    <t>Tank average Extract (Literal)</t>
  </si>
  <si>
    <t>A/Ext</t>
  </si>
  <si>
    <t>TRANS(BLEND.PROP.ARCHIVE,BLEND.PROP.ID,'AEXTRACT','X')</t>
  </si>
  <si>
    <t>AEXTRACT</t>
  </si>
  <si>
    <t>Average Egg</t>
  </si>
  <si>
    <t>TRANS(BLEND.PROP.ARCHIVE,BLEND.PROP.ID,'AEGG','X')</t>
  </si>
  <si>
    <t>AEGG</t>
  </si>
  <si>
    <t>RAISE(TRANS(CONTROL,'BULK.EXPORT',-1, 'X')); @&lt;1&gt;</t>
  </si>
  <si>
    <t>Average DO2Cu</t>
  </si>
  <si>
    <t>TRANS(BLEND.PROP.ARCHIVE,BLEND.PROP.ID,'ADO2','X')</t>
  </si>
  <si>
    <t>ADO2</t>
  </si>
  <si>
    <t>Tank average DENS</t>
  </si>
  <si>
    <t>A/DENS</t>
  </si>
  <si>
    <t>TRANS(BLEND.PROP.ARCHIVE,BLEND.PROP.ID,'ADENS','X')</t>
  </si>
  <si>
    <t>ADENS</t>
  </si>
  <si>
    <t>Number of additives</t>
  </si>
  <si>
    <t>Number of</t>
  </si>
  <si>
    <t>DCOUNT(ADDITIVES,@VM)</t>
  </si>
  <si>
    <t>ADD.COUNT</t>
  </si>
  <si>
    <t>Average CO2</t>
  </si>
  <si>
    <t>TRANS(BLEND.PROP.ARCHIVE,BLEND.PROP.ID,'ADCO2','X')</t>
  </si>
  <si>
    <t>ADCO2</t>
  </si>
  <si>
    <t>Average Cu</t>
  </si>
  <si>
    <t>TRANS(BLEND.PROP.ARCHIVE,BLEND.PROP.ID,'ACU','X')</t>
  </si>
  <si>
    <t>ACU</t>
  </si>
  <si>
    <t>Actual alcohol %</t>
  </si>
  <si>
    <t>SUBR('*GWDI909',BLEND.PROP.ID)</t>
  </si>
  <si>
    <t>ACTUAL.ALC</t>
  </si>
  <si>
    <t>Average Cold conduct</t>
  </si>
  <si>
    <t>TRANS(BLEND.PROP.ARCHIVE,BLEND.PROP.ID,'ACOND','X')</t>
  </si>
  <si>
    <t>ACOND</t>
  </si>
  <si>
    <t>Tank average Compliance</t>
  </si>
  <si>
    <t>A/Comp</t>
  </si>
  <si>
    <t>TRANS(BLEND.PROP.ARCHIVE,BLEND.PROP.ID,'ACOMPLY','X')</t>
  </si>
  <si>
    <t>ACOMPLY</t>
  </si>
  <si>
    <t>Average Cold</t>
  </si>
  <si>
    <t>A/Cold</t>
  </si>
  <si>
    <t>TRANS(BLEND.PROP.ARCHIVE,BLEND.PROP.ID,'ACOLD','X')</t>
  </si>
  <si>
    <t>ACOLD</t>
  </si>
  <si>
    <t>Average Citric acid</t>
  </si>
  <si>
    <t>TRANS(BLEND.PROP.ARCHIVE,BLEND.PROP.ID,'ACITRIC','X')</t>
  </si>
  <si>
    <t>ACITRIC</t>
  </si>
  <si>
    <t>Average Calcium</t>
  </si>
  <si>
    <t>TRANS(BLEND.PROP.ARCHIVE,BLEND.PROP.ID,'ACA','X')</t>
  </si>
  <si>
    <t>ACA</t>
  </si>
  <si>
    <t>Tank average BE</t>
  </si>
  <si>
    <t>A/Be</t>
  </si>
  <si>
    <t>TRANS(BLEND.PROP.ARCHIVE,BLEND.PROP.ID,'ABE','X')</t>
  </si>
  <si>
    <t>ABE</t>
  </si>
  <si>
    <t>Average Asc</t>
  </si>
  <si>
    <t>TRANS(BLEND.PROP.ARCHIVE,BLEND.PROP.ID,'AASC','X')</t>
  </si>
  <si>
    <t>AASC</t>
  </si>
  <si>
    <t>Average A520</t>
  </si>
  <si>
    <t>TRANS(BLEND.PROP.ARCHIVE,BLEND.PROP.ID,'AA520','X')</t>
  </si>
  <si>
    <t>AA520</t>
  </si>
  <si>
    <t>Average A420</t>
  </si>
  <si>
    <t>TRANS(BLEND.PROP.ARCHIVE,BLEND.PROP.ID,'AA420','X')</t>
  </si>
  <si>
    <t>AA420</t>
  </si>
  <si>
    <t>Average 4EP</t>
  </si>
  <si>
    <t>TRANS(BLEND.PROP.ARCHIVE,BLEND.PROP.ID,'A4EP','X')</t>
  </si>
  <si>
    <t>A4EP</t>
  </si>
  <si>
    <t>Indicates that a 'Labels Active' blend is active for the region.</t>
  </si>
  <si>
    <t>REGION.ACTIVE</t>
  </si>
  <si>
    <t>Text explaining region label alcohol override reason</t>
  </si>
  <si>
    <t>Label alcohol override</t>
  </si>
  <si>
    <t>RGN.LBL.ALC.OVRTXT</t>
  </si>
  <si>
    <t>RGN.LBL.ACL.OVRTXT</t>
  </si>
  <si>
    <t>Points awarded at show</t>
  </si>
  <si>
    <t>Points</t>
  </si>
  <si>
    <t>POINTS.SCORE</t>
  </si>
  <si>
    <t>Region Blend was exported to</t>
  </si>
  <si>
    <t>EB.REGION</t>
  </si>
  <si>
    <t>Recommended Label alcohol (based on region exported to)</t>
  </si>
  <si>
    <t>Rec</t>
  </si>
  <si>
    <t>EB.RLABEL.ALC</t>
  </si>
  <si>
    <t>Pack B/G/S/F</t>
  </si>
  <si>
    <t>EB.PACK</t>
  </si>
  <si>
    <t>Price range 1-4/11-12</t>
  </si>
  <si>
    <t>PR</t>
  </si>
  <si>
    <t>EB.PRICE.RANGE</t>
  </si>
  <si>
    <t>Organic 1/2/''</t>
  </si>
  <si>
    <t>EB.ORG</t>
  </si>
  <si>
    <t>Wine Board style</t>
  </si>
  <si>
    <t>EB.STYLE</t>
  </si>
  <si>
    <t>Export Blend creation date - /E OCONV for Grange 2020</t>
  </si>
  <si>
    <t>EB.EDATE</t>
  </si>
  <si>
    <t>Export Blend creation date</t>
  </si>
  <si>
    <t>EB.DATE</t>
  </si>
  <si>
    <t>Export JDE Blend</t>
  </si>
  <si>
    <t>JDE Blend</t>
  </si>
  <si>
    <t>EB.JDE.BLEND</t>
  </si>
  <si>
    <t>Export Blend number</t>
  </si>
  <si>
    <t>BNo</t>
  </si>
  <si>
    <t>EB.BLEND</t>
  </si>
  <si>
    <t>Value of ''/A/I for Labels are Active and Invalid settings</t>
  </si>
  <si>
    <t>BLEND.STATUS</t>
  </si>
  <si>
    <t>Blend proposal Id used to build this blend</t>
  </si>
  <si>
    <t>BLEND.PROP.ID</t>
  </si>
  <si>
    <t>Sequentially assigned blend numbers against this blend</t>
  </si>
  <si>
    <t>Bl</t>
  </si>
  <si>
    <t>BLEND.NO</t>
  </si>
  <si>
    <t>Show class description (SV)</t>
  </si>
  <si>
    <t>CLASS.DESC</t>
  </si>
  <si>
    <t>Number of Blends (null if only 1)</t>
  </si>
  <si>
    <t>N/B</t>
  </si>
  <si>
    <t>NBLENDS</t>
  </si>
  <si>
    <t>Update Time</t>
  </si>
  <si>
    <t>UPDATE.TIME</t>
  </si>
  <si>
    <t>Update Date</t>
  </si>
  <si>
    <t>UPDATE.DATE</t>
  </si>
  <si>
    <t>User ID</t>
  </si>
  <si>
    <t>UPDATED.BY</t>
  </si>
  <si>
    <t>Analysis date</t>
  </si>
  <si>
    <t>ANALYSIS</t>
  </si>
  <si>
    <t>ANAL.DATE</t>
  </si>
  <si>
    <t>Packaging details</t>
  </si>
  <si>
    <t>PACKAGING</t>
  </si>
  <si>
    <t>PACK.TYPE</t>
  </si>
  <si>
    <t>originator of wine data sheet</t>
  </si>
  <si>
    <t>DATA SHEET</t>
  </si>
  <si>
    <t>ORIGINATOR</t>
  </si>
  <si>
    <t>Unit of measure for qty</t>
  </si>
  <si>
    <t>UOM</t>
  </si>
  <si>
    <t>Blend id</t>
  </si>
  <si>
    <t>Comments relative to this trophy/award</t>
  </si>
  <si>
    <t>SHOW.COMMENTS</t>
  </si>
  <si>
    <t>200L</t>
  </si>
  <si>
    <t>SHOW.COMM200</t>
  </si>
  <si>
    <t>Trophy details</t>
  </si>
  <si>
    <t>TROPHY DETAILS</t>
  </si>
  <si>
    <t>TROPHY.DETAILS</t>
  </si>
  <si>
    <t>TROPHY.DET200</t>
  </si>
  <si>
    <t>Award code</t>
  </si>
  <si>
    <t>AWARD</t>
  </si>
  <si>
    <t>AWARD.CODE</t>
  </si>
  <si>
    <t>Wine show class</t>
  </si>
  <si>
    <t>CLASS</t>
  </si>
  <si>
    <t>SHOW.CLASS</t>
  </si>
  <si>
    <t>Show year</t>
  </si>
  <si>
    <t>SHOW.YEAR</t>
  </si>
  <si>
    <t>Show code</t>
  </si>
  <si>
    <t>SHOW</t>
  </si>
  <si>
    <t>SHOW.CODE</t>
  </si>
  <si>
    <t>additives</t>
  </si>
  <si>
    <t>ADDITIVES</t>
  </si>
  <si>
    <t>packaging details</t>
  </si>
  <si>
    <t>PACK DETAILS</t>
  </si>
  <si>
    <t>PACK.DETAILS</t>
  </si>
  <si>
    <t>Analysis reading</t>
  </si>
  <si>
    <t>READING</t>
  </si>
  <si>
    <t>ANAL.READ</t>
  </si>
  <si>
    <t>Analysis type</t>
  </si>
  <si>
    <t>ANALYSIS TYPE</t>
  </si>
  <si>
    <t>ANAL.TYPE</t>
  </si>
  <si>
    <t>Wine maker comments</t>
  </si>
  <si>
    <t>60T</t>
  </si>
  <si>
    <t>WINEMAKER COMMENTS</t>
  </si>
  <si>
    <t>Percentage of total</t>
  </si>
  <si>
    <t>GRAPE %</t>
  </si>
  <si>
    <t>GRAPE.%</t>
  </si>
  <si>
    <t>Vineyard source</t>
  </si>
  <si>
    <t>Grape variety</t>
  </si>
  <si>
    <t>GRAPE.VAR</t>
  </si>
  <si>
    <t>Release standard</t>
  </si>
  <si>
    <t>RELEASE</t>
  </si>
  <si>
    <t>PLAN.RELEASE</t>
  </si>
  <si>
    <t>maturation type</t>
  </si>
  <si>
    <t>MAT.TYPE</t>
  </si>
  <si>
    <t>MAT.MTHS</t>
  </si>
  <si>
    <t>MAT.YEARS</t>
  </si>
  <si>
    <t>Maturation vessel</t>
  </si>
  <si>
    <t>MATURATION</t>
  </si>
  <si>
    <t>MAT.VESSEL</t>
  </si>
  <si>
    <t>Disgorge/Release date</t>
  </si>
  <si>
    <t>DISG/REL</t>
  </si>
  <si>
    <t>DISG.DATE</t>
  </si>
  <si>
    <t>Tirage/Bottle date</t>
  </si>
  <si>
    <t>BOTTLE</t>
  </si>
  <si>
    <t>TIRAGE.DATE</t>
  </si>
  <si>
    <t>vintage %</t>
  </si>
  <si>
    <t>VINT.PCT</t>
  </si>
  <si>
    <t>Vintaged at</t>
  </si>
  <si>
    <t>VINTAGE LOC`N</t>
  </si>
  <si>
    <t>VINT.LOC</t>
  </si>
  <si>
    <t>Date for release</t>
  </si>
  <si>
    <t>RELEASE.DATE</t>
  </si>
  <si>
    <t>Qty for release</t>
  </si>
  <si>
    <t>QTY</t>
  </si>
  <si>
    <t>QTY.RELEASE</t>
  </si>
  <si>
    <t>date of wine data sheet</t>
  </si>
  <si>
    <t>WINE.DB file id</t>
  </si>
  <si>
    <t>VINTAGE*GEN.CODE</t>
  </si>
  <si>
    <t>WINE.DB</t>
  </si>
  <si>
    <t>Vintage details</t>
  </si>
  <si>
    <t>SVINT SVINT.LITRES SVINT.PERC</t>
  </si>
  <si>
    <t>Variety/Area/Vintage details</t>
  </si>
  <si>
    <t>VAR.AREA.VINT VAVLITRES VAVLTR.PERC</t>
  </si>
  <si>
    <t>VCOMP</t>
  </si>
  <si>
    <t>Tank details</t>
  </si>
  <si>
    <t>MFTANK MFBLEND MFBLENDESCP MFBATCH MFVOL LITRES PERC MFCOST TCOST</t>
  </si>
  <si>
    <t>Variety summary details</t>
  </si>
  <si>
    <t>SVARIETY SVAR.LITRES SVARLTR.PERC</t>
  </si>
  <si>
    <t>SVAR</t>
  </si>
  <si>
    <t>Area summary details</t>
  </si>
  <si>
    <t>SAREA SAREA.LITRES SAREALTR.PERC</t>
  </si>
  <si>
    <t>SAR</t>
  </si>
  <si>
    <t>Composition Details</t>
  </si>
  <si>
    <t>VARIETY AREA VALITRES VALTR.PERC</t>
  </si>
  <si>
    <t>Chemistry averages</t>
  </si>
  <si>
    <t>ASTR ARS ATA ABE</t>
  </si>
  <si>
    <t>CHEMA</t>
  </si>
  <si>
    <t>Chemistry details</t>
  </si>
  <si>
    <t>MFTANK STR RS TA BE</t>
  </si>
  <si>
    <t>BLEND BLENDESCP MOPCD STCOST COST.LTR SCOST.LTR</t>
  </si>
  <si>
    <t>Number of Variety/Area composition litres</t>
  </si>
  <si>
    <t>'[':NVA:']'</t>
  </si>
  <si>
    <t>[NVA]</t>
  </si>
  <si>
    <t>Number of Tanks present</t>
  </si>
  <si>
    <t>'[':NTANKS:']'</t>
  </si>
  <si>
    <t>[NTANKS]</t>
  </si>
  <si>
    <t>TRANS(MTANK,MFTANK,'WINERY.LOCATION','X')</t>
  </si>
  <si>
    <t>TRANS(WINERY.LOCATION,WINERY.LOCATION,'WINERY.ACCT','X')</t>
  </si>
  <si>
    <t>VINT.AT</t>
  </si>
  <si>
    <t>ACCT</t>
  </si>
  <si>
    <t>IF TOT.LITRES THEN REUSE(100)*WDBLK.LITRES/REUSE(TOT.LITRES) ELSE  ''</t>
  </si>
  <si>
    <t>WD Vintage % litres of composition</t>
  </si>
  <si>
    <t>WDVINT</t>
  </si>
  <si>
    <t>IF TOT.LITRES THEN REUSE(100)*WD.VINT.LITRES/REUSE(TOT.LITRES) ELSE ''</t>
  </si>
  <si>
    <t>WD.VINTLTR.PERC</t>
  </si>
  <si>
    <t>WDVAR</t>
  </si>
  <si>
    <t>IF TOT.LITRES THEN REUSE(100)*WD.VAR.LITRES/REUSE(TOT.LITRES) ELSE ''</t>
  </si>
  <si>
    <t>WDAREA</t>
  </si>
  <si>
    <t>IF TOT.LITRES THEN REUSE(100)*WD.GI.LITRES/REUSE(TOT.LITRES) ELSE ''</t>
  </si>
  <si>
    <t>GI level</t>
  </si>
  <si>
    <t>TRANS(GI.FILE,WD.GI,'LEVEL','X')</t>
  </si>
  <si>
    <t>WD.GI.LEVELS</t>
  </si>
  <si>
    <t>Vint of Variety/Area/Vint</t>
  </si>
  <si>
    <t>VVint</t>
  </si>
  <si>
    <t>SUBR('*ITYPE.EXT',VAR.AREA.VINT,7,4)</t>
  </si>
  <si>
    <t>VVINT</t>
  </si>
  <si>
    <t>Varity of Variety/Area/Vint</t>
  </si>
  <si>
    <t>VVar</t>
  </si>
  <si>
    <t>SUBR('*ITYPE.EXT',VAR.AREA.VINT,1,3)</t>
  </si>
  <si>
    <t>VVARIETY</t>
  </si>
  <si>
    <t>Variety/GI/Vint % litres of composition</t>
  </si>
  <si>
    <t>VGIV</t>
  </si>
  <si>
    <t>IF TOT.LITRES THEN REUSE(100)*VGIV.LITRES/REUSE(TOT.LITRES) ELSE ''</t>
  </si>
  <si>
    <t>VGIV.PERC</t>
  </si>
  <si>
    <t>Variety/Area/Vint % litres of composition</t>
  </si>
  <si>
    <t>IF TOT.LITRES THEN REUSE(100)*VAVLITRES/REUSE(TOT.LITRES) ELSE ''</t>
  </si>
  <si>
    <t>VAVLTR.PERC</t>
  </si>
  <si>
    <t>Composition Variety</t>
  </si>
  <si>
    <t>SUBR('*ITYPE.EXT',VAR.AREA,1,3)</t>
  </si>
  <si>
    <t>Area of Variety/Area/Vint</t>
  </si>
  <si>
    <t>VArea</t>
  </si>
  <si>
    <t>SUBR('*ITYPE.EXT',VAR.AREA.VINT,4,3)</t>
  </si>
  <si>
    <t>VAREA</t>
  </si>
  <si>
    <t>Variance per litre</t>
  </si>
  <si>
    <t>Var/Litre</t>
  </si>
  <si>
    <t>SCOST.LTR-COST.LTR</t>
  </si>
  <si>
    <t>VAR.LTR</t>
  </si>
  <si>
    <t>Variety/Area % litres of composition</t>
  </si>
  <si>
    <t>IF TOT.LITRES THEN REUSE(100)*VALITRES/REUSE(TOT.LITRES) ELSE ''</t>
  </si>
  <si>
    <t>VALTR.PERC</t>
  </si>
  <si>
    <t>TRANS(USER.ACCESS,ULOGIN,'USERNAME','X')</t>
  </si>
  <si>
    <t>USERNAME</t>
  </si>
  <si>
    <t>UPCASE(LOGIN)</t>
  </si>
  <si>
    <t>ULOGIN</t>
  </si>
  <si>
    <t>Capacity of Tank</t>
  </si>
  <si>
    <t>TRANS(MTANK,MTTANK,TTABLE,'X')</t>
  </si>
  <si>
    <t>TB</t>
  </si>
  <si>
    <t>IF BLEND[1,1] = "T" THEN "**" ELSE ""</t>
  </si>
  <si>
    <t>TRADE.BLEND</t>
  </si>
  <si>
    <t>Total variance</t>
  </si>
  <si>
    <t>Tot Var</t>
  </si>
  <si>
    <t>MD0P&lt;</t>
  </si>
  <si>
    <t>VAR.LTR*TOT.LITRES</t>
  </si>
  <si>
    <t>TOT.VAR</t>
  </si>
  <si>
    <t>Total Tank Cost of proposed Blend</t>
  </si>
  <si>
    <t>Tot/Cost</t>
  </si>
  <si>
    <t>SUM(MFTCOST)</t>
  </si>
  <si>
    <t>TOT.MFTCOST</t>
  </si>
  <si>
    <t>Percentage of Tank volume removed</t>
  </si>
  <si>
    <t>IF MFVOL THEN REUSE(100)*LITRES/MFVOL ELSE ''</t>
  </si>
  <si>
    <t>TANK.PERC</t>
  </si>
  <si>
    <t>SWATM.PWL</t>
  </si>
  <si>
    <t>TRANS(WINERY.LOCATION,SWATM.PWL,'DESC','X')</t>
  </si>
  <si>
    <t>SWATM.PWL.NAME</t>
  </si>
  <si>
    <t>"Sustainable Winegrowing  Australia" membership number</t>
  </si>
  <si>
    <t>TRANS(WINERY.LOCATION,SWATM.PWL,'SWA.NUMBER','X')</t>
  </si>
  <si>
    <t>SWATM.PWL.MNBR</t>
  </si>
  <si>
    <t>Vint % litres of composition</t>
  </si>
  <si>
    <t>IF TOT.LITRES THEN REUSE(100)*SVINT.LITRES/REUSE(TOT.LITRES) ELSE ''</t>
  </si>
  <si>
    <t>Standard Variable ITEM.MSTR Cost</t>
  </si>
  <si>
    <t>Std Var Cost</t>
  </si>
  <si>
    <t>TRANS(ITEM.MSTR,BLEND,SCOST.VAR,'X')</t>
  </si>
  <si>
    <t>SVCOST.LTR</t>
  </si>
  <si>
    <t>Variety % litres of composition</t>
  </si>
  <si>
    <t>IF TOT.LITRES THEN REUSE(100)*SVAR.LITRES/REUSE(TOT.LITRES) ELSE ''</t>
  </si>
  <si>
    <t>SVARLTR.PERC</t>
  </si>
  <si>
    <t>TRANS(MVARIETY,SVARIETY,'VARDESCP','X')</t>
  </si>
  <si>
    <t>SVARIETY.DESC</t>
  </si>
  <si>
    <t>Sum of Total Tank costs</t>
  </si>
  <si>
    <t>Tot Cost</t>
  </si>
  <si>
    <t>SUM(TCOST)</t>
  </si>
  <si>
    <t>STCOST</t>
  </si>
  <si>
    <t>Sum of Tank Percentages</t>
  </si>
  <si>
    <t>Tot Perc</t>
  </si>
  <si>
    <t>SUM(PERC)</t>
  </si>
  <si>
    <t>SPERC</t>
  </si>
  <si>
    <t>Sum of Cost per Litre Tank costs</t>
  </si>
  <si>
    <t>SUM(MFCOST)</t>
  </si>
  <si>
    <t>SMFCOST</t>
  </si>
  <si>
    <t>Standard value/litre</t>
  </si>
  <si>
    <t>Std Cost</t>
  </si>
  <si>
    <t>SUBR('*GBWI1119',BLEND)</t>
  </si>
  <si>
    <t>SCOST.LTR</t>
  </si>
  <si>
    <t>Area % litres of composition</t>
  </si>
  <si>
    <t>IF TOT.LITRES THEN REUSE(100)*SAREA.LITRES/REUSE(TOT.LITRES) ELSE ''</t>
  </si>
  <si>
    <t>SAREALTR.PERC</t>
  </si>
  <si>
    <t>Prelim/Final text</t>
  </si>
  <si>
    <t>IF PRELIM.FINAL = 'P' THEN "Preliminary" ELSE "Finalised"</t>
  </si>
  <si>
    <t>PRE.FIN.TXT</t>
  </si>
  <si>
    <t>Proposed Cost/Ltr</t>
  </si>
  <si>
    <t>PCost/Ltr</t>
  </si>
  <si>
    <t>IF TOT.LITRES+0=0 THEN '' ELSE TOT.MFTCOST/TOT.LITRES</t>
  </si>
  <si>
    <t>PMFCOST</t>
  </si>
  <si>
    <t>Number of Variety/Area/Vint composition litres</t>
  </si>
  <si>
    <t>IF VAR.AREA.VINT THEN DCOUNT(VAR.AREA.VINT,@VM) ELSE ''</t>
  </si>
  <si>
    <t>NVVA</t>
  </si>
  <si>
    <t>Number of Vint composition litres</t>
  </si>
  <si>
    <t>IF SVINT THEN DCOUNT(SVINT,@VM) ELSE ''</t>
  </si>
  <si>
    <t>NVI</t>
  </si>
  <si>
    <t>IF VAR.AREA THEN 1+COUNT(VAR.AREA,@VM) ELSE ''</t>
  </si>
  <si>
    <t>NVA</t>
  </si>
  <si>
    <t>Number of Variety composition litres</t>
  </si>
  <si>
    <t>IF SVARIETY THEN 1+COUNT(SVARIETY,@VM) ELSE ''</t>
  </si>
  <si>
    <t>NV</t>
  </si>
  <si>
    <t>IF MFTANK THEN 1+COUNT(MFTANK,@VM) ELSE ''</t>
  </si>
  <si>
    <t>NTANKS</t>
  </si>
  <si>
    <t>IF MTTANK THEN 1+COUNT(MTTANK,@VM) ELSE ''</t>
  </si>
  <si>
    <t>NT</t>
  </si>
  <si>
    <t>TRANS(DEF.SYS.USERS,OCONV(MOPCD,'MCU'),NAME,'X')</t>
  </si>
  <si>
    <t>Number of Area composition litres</t>
  </si>
  <si>
    <t>IF SAREA THEN 1+COUNT(SAREA,@VM) ELSE ''</t>
  </si>
  <si>
    <t>NA</t>
  </si>
  <si>
    <t>Total cost per Tank Blend</t>
  </si>
  <si>
    <t>MFCOST*LITRES</t>
  </si>
  <si>
    <t>MFTCOST</t>
  </si>
  <si>
    <t>From tank Blend description</t>
  </si>
  <si>
    <t>Blend Description</t>
  </si>
  <si>
    <t>TRANS(MBLEND,MFBLEND,BLENDESCP,'X')</t>
  </si>
  <si>
    <t>MFBLENDESCP</t>
  </si>
  <si>
    <t>TRANS(WINERY.LOCATION,WINERY.LOCATION,'MAN.BY.ACCT','X')</t>
  </si>
  <si>
    <t>TRANS(SHORTIDS,MOPCD,LOGNAME,'X')</t>
  </si>
  <si>
    <t>TRANS(BWALLOC,MFTANK,GRADE.LEVEL,'X')</t>
  </si>
  <si>
    <t>TRANS(GI.FILE,GI,'GI.DESC','X')</t>
  </si>
  <si>
    <t>GIS.DESC</t>
  </si>
  <si>
    <t>Vint of Variety/GI/Vint</t>
  </si>
  <si>
    <t>SUBR('*ITYPE.EXT',VGIV,7,4)</t>
  </si>
  <si>
    <t>GI.VINT</t>
  </si>
  <si>
    <t>Varity of Variety/GI/Vint</t>
  </si>
  <si>
    <t>SUBR('*ITYPE.EXT',VGIV,1,3)</t>
  </si>
  <si>
    <t>GI.VARIETY</t>
  </si>
  <si>
    <t>GI % litres of composition</t>
  </si>
  <si>
    <t>IF TOT.LITRES THEN REUSE(100)*GI.LITRES/REUSE(TOT.LITRES) ELSE ''</t>
  </si>
  <si>
    <t>GI.PERC</t>
  </si>
  <si>
    <t>GI of Variety/GI/Vint</t>
  </si>
  <si>
    <t>SUBR('*ITYPE.EXT',VGIV,4,3)</t>
  </si>
  <si>
    <t>GI.GI</t>
  </si>
  <si>
    <t>TRANS(GI.FILE,WD.GI,'GI.DESC','X')</t>
  </si>
  <si>
    <t>TRANS(GENERIC.FILE,BLEND[5,3],GRADE.LEVEL,'X')</t>
  </si>
  <si>
    <t>IF DVARIETY THEN 1+COUNT(DVARIETY,@VM) ELSE ''</t>
  </si>
  <si>
    <t>DNV</t>
  </si>
  <si>
    <t>Days not in use</t>
  </si>
  <si>
    <t>IF LAST.UPD#'' THEN DATE()-LAST.UPD ELSE '0'</t>
  </si>
  <si>
    <t>DAYS.NOT.USED</t>
  </si>
  <si>
    <t>Proposed cost/litre</t>
  </si>
  <si>
    <t>Cost/Ltr</t>
  </si>
  <si>
    <t>STCOST+SUM(REC.BRATE)</t>
  </si>
  <si>
    <t>COST.LTR</t>
  </si>
  <si>
    <t>BLEND[2,2]</t>
  </si>
  <si>
    <t>BYEAR</t>
  </si>
  <si>
    <t>Std cost at B - Base / T - Trade</t>
  </si>
  <si>
    <t>B/T</t>
  </si>
  <si>
    <t>BLEND[1,1]</t>
  </si>
  <si>
    <t>BT.IND</t>
  </si>
  <si>
    <t>Proposed Blend description</t>
  </si>
  <si>
    <t>TRANS(ITEM.MSTR,BLEND,PRODNAME,'X')</t>
  </si>
  <si>
    <t>TRANS(MBATCH,MFBATCH,'BATCH.DESC','X')</t>
  </si>
  <si>
    <t>BB</t>
  </si>
  <si>
    <t>IF BLEND[1,1] = "B" THEN "**" ELSE ""</t>
  </si>
  <si>
    <t>BASE.BLEND</t>
  </si>
  <si>
    <t>Composition Area</t>
  </si>
  <si>
    <t>SUBR('*ITYPE.EXT',VAR.AREA,4,3)</t>
  </si>
  <si>
    <t>IF WD.TRANSFER = 'O' THEN "Analysis outstanding" ELSE ""</t>
  </si>
  <si>
    <t>ANALYSIS.TXT</t>
  </si>
  <si>
    <t>TRANS(ITEM.MSTR,BLEND,SCOST.TOT,'X')</t>
  </si>
  <si>
    <t>SWATMSP</t>
  </si>
  <si>
    <t>SWATM.SPLR.PERC.BLEND</t>
  </si>
  <si>
    <t>SWA Trust mark application processing winery location was SWA valid</t>
  </si>
  <si>
    <t>SWATM.PWL.VALID</t>
  </si>
  <si>
    <t>SWA Trust mark application supplied qualifying percentage</t>
  </si>
  <si>
    <t>SWATM.SPLR.PERC</t>
  </si>
  <si>
    <t>SWA Trust mark application supplied form (Grapes/Wine)</t>
  </si>
  <si>
    <t>SWATM.SPLR.FORM</t>
  </si>
  <si>
    <t>SWA Trust mark application supplied vintage</t>
  </si>
  <si>
    <t>SWATM.SPLR.VINT</t>
  </si>
  <si>
    <t>SWA Trust mark application supplier membership name</t>
  </si>
  <si>
    <t>SWATM.SPLR.MNAME</t>
  </si>
  <si>
    <t>SWA Trust mark application supplier membership number</t>
  </si>
  <si>
    <t>SWATM.SPLR.MNBR</t>
  </si>
  <si>
    <t>Tank SWA litres</t>
  </si>
  <si>
    <t>To tank K (potassium) value</t>
  </si>
  <si>
    <t>TO.TANK</t>
  </si>
  <si>
    <t>Tank K (potassium) value</t>
  </si>
  <si>
    <t>VGIV.LITRES</t>
  </si>
  <si>
    <t>Variety, GI, Vintage</t>
  </si>
  <si>
    <t>GI.LITRES</t>
  </si>
  <si>
    <t>GI summary</t>
  </si>
  <si>
    <t>From Tanks Wine Data applicable Lot quantities (@SV)</t>
  </si>
  <si>
    <t>MFWDLOTS.QTY</t>
  </si>
  <si>
    <t>From Tanks Wine Data applicable additive quantities (@SV)</t>
  </si>
  <si>
    <t>MFWDADD.QTY</t>
  </si>
  <si>
    <t>From Tanks Wine Data applicable additive codes mg/L (@SV)</t>
  </si>
  <si>
    <t>MFWDADD.MGL</t>
  </si>
  <si>
    <t>To tank Milk</t>
  </si>
  <si>
    <t>Tank Milk</t>
  </si>
  <si>
    <t>MILK</t>
  </si>
  <si>
    <t>To tank Egg</t>
  </si>
  <si>
    <t>Tank Egg</t>
  </si>
  <si>
    <t>EGG</t>
  </si>
  <si>
    <t>To tank TCA</t>
  </si>
  <si>
    <t>Tank TCA</t>
  </si>
  <si>
    <t>STCA</t>
  </si>
  <si>
    <t>To tank Cold conduct</t>
  </si>
  <si>
    <t>Tank Cold conduct</t>
  </si>
  <si>
    <t>To tank 4EP</t>
  </si>
  <si>
    <t>Tank 4EP</t>
  </si>
  <si>
    <t>To tank Citric acid</t>
  </si>
  <si>
    <t>Tank Citric acid</t>
  </si>
  <si>
    <t>To tank Filterability</t>
  </si>
  <si>
    <t>Tank Filterability</t>
  </si>
  <si>
    <t>FLTAB</t>
  </si>
  <si>
    <t>To tank CO2</t>
  </si>
  <si>
    <t>TDCO2</t>
  </si>
  <si>
    <t>Tank CO2</t>
  </si>
  <si>
    <t>DCO2</t>
  </si>
  <si>
    <t>To tank Sorbic acid</t>
  </si>
  <si>
    <t>Tank Sorbic acid</t>
  </si>
  <si>
    <t>SORBIC</t>
  </si>
  <si>
    <t>To tank DO2</t>
  </si>
  <si>
    <t>TDO2</t>
  </si>
  <si>
    <t>Tank DO2</t>
  </si>
  <si>
    <t>To tank A520</t>
  </si>
  <si>
    <t>Tank A520</t>
  </si>
  <si>
    <t>To tank A420</t>
  </si>
  <si>
    <t>Tank A420</t>
  </si>
  <si>
    <t>To tank Turbitity</t>
  </si>
  <si>
    <t>Tank Turbitity</t>
  </si>
  <si>
    <t>TURB</t>
  </si>
  <si>
    <t>To tank Calcium</t>
  </si>
  <si>
    <t>Tank Calcium</t>
  </si>
  <si>
    <t>CA</t>
  </si>
  <si>
    <t>To tank Sodium</t>
  </si>
  <si>
    <t>Tank Sodium</t>
  </si>
  <si>
    <t>SNA</t>
  </si>
  <si>
    <t>To tank Iron</t>
  </si>
  <si>
    <t>Tank Iron</t>
  </si>
  <si>
    <t>To tank Asc</t>
  </si>
  <si>
    <t>Tank Asc</t>
  </si>
  <si>
    <t>ASC</t>
  </si>
  <si>
    <t>To tank Temp</t>
  </si>
  <si>
    <t>Tank Temp</t>
  </si>
  <si>
    <t>Consolidated From Tank Processing history volumes</t>
  </si>
  <si>
    <t>SPH</t>
  </si>
  <si>
    <t>Consolidated From Tank Processing History keys</t>
  </si>
  <si>
    <t>From Tanks Processing history volumes (@SV)</t>
  </si>
  <si>
    <t>TMAST.VOL</t>
  </si>
  <si>
    <t>From Tanks Processing History keys (@SV)</t>
  </si>
  <si>
    <t>TMAST.PHIST.KEY</t>
  </si>
  <si>
    <t>ADD.DESC</t>
  </si>
  <si>
    <t>Blend proposal type of WD (Wine Data) or BAF (Bottling approval</t>
  </si>
  <si>
    <t>BPTYPE</t>
  </si>
  <si>
    <t>To tank cold</t>
  </si>
  <si>
    <t>To tank heat</t>
  </si>
  <si>
    <t>To tank malate</t>
  </si>
  <si>
    <t>To tank Cu</t>
  </si>
  <si>
    <t>Tank Cu</t>
  </si>
  <si>
    <t>CU</t>
  </si>
  <si>
    <t>TO Tank Be chemistry</t>
  </si>
  <si>
    <t>TO Tank Compliance chemistry</t>
  </si>
  <si>
    <t>Comply</t>
  </si>
  <si>
    <t>TCOMPLY</t>
  </si>
  <si>
    <t>TO Tank Extract chemistry</t>
  </si>
  <si>
    <t>Extr</t>
  </si>
  <si>
    <t>TEXTRACT</t>
  </si>
  <si>
    <t>TO Tank TS02 chemistry</t>
  </si>
  <si>
    <t>TO Tank FS02 chemistry</t>
  </si>
  <si>
    <t>TO Tank TA chemistry</t>
  </si>
  <si>
    <t>TO Tank PH chemistry</t>
  </si>
  <si>
    <t>TO Tank VA chemistry</t>
  </si>
  <si>
    <t>TO Tank RS chemistry</t>
  </si>
  <si>
    <t>TO Tank STR chemistry</t>
  </si>
  <si>
    <t>Str</t>
  </si>
  <si>
    <t>TO Tank DENS chemistry</t>
  </si>
  <si>
    <t>TO Tank SG chemistry</t>
  </si>
  <si>
    <t>Date of Chemistry request raised against a TO Tank</t>
  </si>
  <si>
    <t>Chem Date</t>
  </si>
  <si>
    <t>TTANK.CHEM.DATE</t>
  </si>
  <si>
    <t>Chemistry request raised against a TO Tank</t>
  </si>
  <si>
    <t>To Tank</t>
  </si>
  <si>
    <t>TTANK.CHEM.ID</t>
  </si>
  <si>
    <t>Wine Data assigned Blend number</t>
  </si>
  <si>
    <t>WD.BLEND.NO</t>
  </si>
  <si>
    <t>Chit Id(s) used to produce this blend</t>
  </si>
  <si>
    <t>Chit Id</t>
  </si>
  <si>
    <t>BLEND.CHIT.ID</t>
  </si>
  <si>
    <t>GI level the Wine Data has been accumulated to</t>
  </si>
  <si>
    <t>WD.GI.LEVEL</t>
  </si>
  <si>
    <t>Outstanding chemistry raised to allow for analysis transfer</t>
  </si>
  <si>
    <t>OS.CHEM.ID</t>
  </si>
  <si>
    <t>@LOGNAME of the user that finalized the Blend proposal</t>
  </si>
  <si>
    <t>Final By</t>
  </si>
  <si>
    <t>FINALBY</t>
  </si>
  <si>
    <t>Account based winery location from which the Blend Proposal was</t>
  </si>
  <si>
    <t>FINAL.LOCATION</t>
  </si>
  <si>
    <t>Wine Data Id (Vint*Gcode)</t>
  </si>
  <si>
    <t>WD Id</t>
  </si>
  <si>
    <t>WINE.DATA.ID</t>
  </si>
  <si>
    <t>Tank Grade level</t>
  </si>
  <si>
    <t>TGL</t>
  </si>
  <si>
    <t>WP</t>
  </si>
  <si>
    <t>Calculated label alcohol over each region</t>
  </si>
  <si>
    <t>REGION</t>
  </si>
  <si>
    <t>Tank Compliance chemistry</t>
  </si>
  <si>
    <t>COMPLY</t>
  </si>
  <si>
    <t>From Tanks Wine Data applicable Lot codes (@SV)</t>
  </si>
  <si>
    <t>Lots</t>
  </si>
  <si>
    <t>MFWDLOTS</t>
  </si>
  <si>
    <t>From Tanks Wine Data applicable additive codes (@SV)</t>
  </si>
  <si>
    <t>Additives</t>
  </si>
  <si>
    <t>MFWDADD</t>
  </si>
  <si>
    <t>From Tanks Litres allocations (@SV)</t>
  </si>
  <si>
    <t>MFALLOC.LITRES</t>
  </si>
  <si>
    <t>From Tanks Vintage allocations (@SV)</t>
  </si>
  <si>
    <t>MFALLOC.VINT</t>
  </si>
  <si>
    <t>From Tanks Generic code allocations (@SV)</t>
  </si>
  <si>
    <t>MFALLOC.GEN</t>
  </si>
  <si>
    <t>Set to 'Y' if the Finalized Blend proposal has had its analysis data</t>
  </si>
  <si>
    <t>Wine Data Vintage litres summary</t>
  </si>
  <si>
    <t>WD Vint</t>
  </si>
  <si>
    <t>WD.VINT.LITRES</t>
  </si>
  <si>
    <t>Wine Data Vintage summary</t>
  </si>
  <si>
    <t>WD.VINT</t>
  </si>
  <si>
    <t>Wine Data GI litres summary</t>
  </si>
  <si>
    <t>Wine Data GI summary</t>
  </si>
  <si>
    <t>Wine Data Variety summary</t>
  </si>
  <si>
    <t>Tank Extract chemistry</t>
  </si>
  <si>
    <t>EXTRACT</t>
  </si>
  <si>
    <t>Tank TS02 chemistry</t>
  </si>
  <si>
    <t>Tank FS02 chemistry</t>
  </si>
  <si>
    <t>Tank DENS chemistry</t>
  </si>
  <si>
    <t>Tank SG chemistry</t>
  </si>
  <si>
    <t>Final Date</t>
  </si>
  <si>
    <t>FDATE.E</t>
  </si>
  <si>
    <t>FDATE</t>
  </si>
  <si>
    <t>AVLITRES</t>
  </si>
  <si>
    <t>AREA.VINT</t>
  </si>
  <si>
    <t>VVLITRES</t>
  </si>
  <si>
    <t>VAR.VINT</t>
  </si>
  <si>
    <t>Chits</t>
  </si>
  <si>
    <t>CHITS</t>
  </si>
  <si>
    <t>Last Update Date</t>
  </si>
  <si>
    <t>Last Update</t>
  </si>
  <si>
    <t>LAST.UPD</t>
  </si>
  <si>
    <t>To tanks</t>
  </si>
  <si>
    <t>MTTANK</t>
  </si>
  <si>
    <t>DVAR</t>
  </si>
  <si>
    <t>Desired</t>
  </si>
  <si>
    <t>D.PERC</t>
  </si>
  <si>
    <t>Vint summary</t>
  </si>
  <si>
    <t>DVINT</t>
  </si>
  <si>
    <t>D.VINT</t>
  </si>
  <si>
    <t>DAREA</t>
  </si>
  <si>
    <t>D.AREA</t>
  </si>
  <si>
    <t>Variety summary</t>
  </si>
  <si>
    <t>DVARIETY</t>
  </si>
  <si>
    <t>D.VARIETY</t>
  </si>
  <si>
    <t>CALC.GR.LEVEL</t>
  </si>
  <si>
    <t>Perc</t>
  </si>
  <si>
    <t>PERC.FIX</t>
  </si>
  <si>
    <t>Tank MALATE chemistry</t>
  </si>
  <si>
    <t>MALATE</t>
  </si>
  <si>
    <t>Tank COLD chemistry</t>
  </si>
  <si>
    <t>COLD</t>
  </si>
  <si>
    <t>Tank HEAT chemistry</t>
  </si>
  <si>
    <t>HEAT</t>
  </si>
  <si>
    <t>Tank VA chemistry</t>
  </si>
  <si>
    <t>Tank PH chemistry</t>
  </si>
  <si>
    <t>P/F</t>
  </si>
  <si>
    <t>PRELIM.FINAL</t>
  </si>
  <si>
    <t>Variety/Area/Vint litres</t>
  </si>
  <si>
    <t>VarAreaV</t>
  </si>
  <si>
    <t>VAVLITRES</t>
  </si>
  <si>
    <t>Variety/Area/Vint composition</t>
  </si>
  <si>
    <t>VarAreaVint</t>
  </si>
  <si>
    <t>VAR.AREA.VINT</t>
  </si>
  <si>
    <t>READU Update by user id</t>
  </si>
  <si>
    <t>READU Update count</t>
  </si>
  <si>
    <t>Tank summary composition litres (SV within VM)</t>
  </si>
  <si>
    <t>SC.LITRES</t>
  </si>
  <si>
    <t>Tank Variety/Price code/Area/Vint (SV within VM)</t>
  </si>
  <si>
    <t>VarPArea*Vint</t>
  </si>
  <si>
    <t>SC.VPA</t>
  </si>
  <si>
    <t>Tank BE chemistry</t>
  </si>
  <si>
    <t>Tank TA chemistry</t>
  </si>
  <si>
    <t>Tank RS chemistry</t>
  </si>
  <si>
    <t>Tank STR chemistry</t>
  </si>
  <si>
    <t>Variety summary litres</t>
  </si>
  <si>
    <t>SVAR.LITRES</t>
  </si>
  <si>
    <t>SVARIETY</t>
  </si>
  <si>
    <t>Variety/Area Litres</t>
  </si>
  <si>
    <t>VALITRES</t>
  </si>
  <si>
    <t>Variety Area composition</t>
  </si>
  <si>
    <t>VarArea</t>
  </si>
  <si>
    <t>VAR.AREA</t>
  </si>
  <si>
    <t>Total cost component</t>
  </si>
  <si>
    <t>Percentage of total Litres used</t>
  </si>
  <si>
    <t>Standard cost per litre of tank blend</t>
  </si>
  <si>
    <t>MFCOST</t>
  </si>
  <si>
    <t>From tank volume</t>
  </si>
  <si>
    <t>From tank Batch</t>
  </si>
  <si>
    <t>From tank Blend</t>
  </si>
  <si>
    <t>From tanks - no conversion</t>
  </si>
  <si>
    <t>MFTANK.UC</t>
  </si>
  <si>
    <t>From tanks</t>
  </si>
  <si>
    <t>Creation Date</t>
  </si>
  <si>
    <t>CDATE.E</t>
  </si>
  <si>
    <t>Recovery rate applied (based on % used)</t>
  </si>
  <si>
    <t>REC.BRATE</t>
  </si>
  <si>
    <t>Recovery percentage</t>
  </si>
  <si>
    <t>REC.PERC</t>
  </si>
  <si>
    <t>Recovery rate/litre</t>
  </si>
  <si>
    <t>REC.RATE</t>
  </si>
  <si>
    <t>Recovery Inventory level</t>
  </si>
  <si>
    <t>REC.ILEVEL</t>
  </si>
  <si>
    <t>Originator Login ID</t>
  </si>
  <si>
    <t>Login Id</t>
  </si>
  <si>
    <t>MOPCD</t>
  </si>
  <si>
    <t>LOGIN</t>
  </si>
  <si>
    <t>PROPOSAL.NO</t>
  </si>
  <si>
    <t>Proposal No.</t>
  </si>
  <si>
    <t>Proposal</t>
  </si>
  <si>
    <t>NEXTOPNO</t>
  </si>
  <si>
    <t>Phrase for Truck Number Association for Stock Movement Notes</t>
  </si>
  <si>
    <t>MTRUCKNO MTRBLEND MTRLITRES IMTLEVEL</t>
  </si>
  <si>
    <t>TRUCK.NOS</t>
  </si>
  <si>
    <t>ALL.PRODNO ALL.BLEND TANKS VOLUME</t>
  </si>
  <si>
    <t>TOT.MOVE</t>
  </si>
  <si>
    <t>Association for data relating to the "To" tanks</t>
  </si>
  <si>
    <t>MTTANK MTCNOTE MTBLEND MTBATCH MTSTATUS MTDIPB4 MTDIPAFT MTVOL MTCOMMENT MTCHEMNO</t>
  </si>
  <si>
    <t>TO.TANKS</t>
  </si>
  <si>
    <t>Out tanks</t>
  </si>
  <si>
    <t>PRODNO.OUT TYPE.OUT BLEND.OUT.TYPE BLEND.OUT VOLUME.OUT</t>
  </si>
  <si>
    <t>OUT</t>
  </si>
  <si>
    <t>In tanks</t>
  </si>
  <si>
    <t>PRODNO.IN TYPE.IN BLEND.IN.TYPE BLEND.IN VOLUME.IN</t>
  </si>
  <si>
    <t>IN.TANKS</t>
  </si>
  <si>
    <t>Association for data relating to the "From" tanks</t>
  </si>
  <si>
    <t>MFTANK MFCNOTE MFBLEND MFBATCH MFSTATUS MFDIPB4 MFDIPAFT MFVOL MFTSTAT MFOPCTR</t>
  </si>
  <si>
    <t>MOPCD MFTANK MFBLEND MFCNOTE MTTANK MTBLEND MTCNOTE</t>
  </si>
  <si>
    <t>CORTANKS</t>
  </si>
  <si>
    <t>Association for additives data</t>
  </si>
  <si>
    <t>MASTATUS MADDCD MADESCP MAQTYISS MAUOMISS</t>
  </si>
  <si>
    <t>ADD.QTY.UOM</t>
  </si>
  <si>
    <t>FOR ENTRO DEFAULT FIELD LIST CREATED 16:25:47 25 FEB 1985</t>
  </si>
  <si>
    <t>@ID MACTIV MRDATE MRTIME MADATE MOPCD MATIME</t>
  </si>
  <si>
    <t>Yesterday's day</t>
  </si>
  <si>
    <t>YEILD</t>
  </si>
  <si>
    <t>MOVEMENT / SUM(MFBLEND)</t>
  </si>
  <si>
    <t>Chit year</t>
  </si>
  <si>
    <t>YR</t>
  </si>
  <si>
    <t>@ID[4,2]</t>
  </si>
  <si>
    <t>Truck quality for wine tank optimisation</t>
  </si>
  <si>
    <t>TRANS(BWALLOC,BWALLOC.ID,'GRADE.LEVEL','X');SUBR('!SUBSTRINGS',@1,1,1);</t>
  </si>
  <si>
    <t>WTO.TRUCK.QUALITY</t>
  </si>
  <si>
    <t>WTO.STATUS description</t>
  </si>
  <si>
    <t>WTO Status</t>
  </si>
  <si>
    <t>SUBR('*PZZI415',WTO.STATUS,'OPT.STATUS',1,2)</t>
  </si>
  <si>
    <t>WTO.STATUS.DESC</t>
  </si>
  <si>
    <t>MACTIV value on WTO.CHITS.ORIG file, used to check if on file</t>
  </si>
  <si>
    <t>TRANS(WTO.CHITS.ORIG,@ID,'MACTIV','X')</t>
  </si>
  <si>
    <t>WTO.MACTIV.ORIG</t>
  </si>
  <si>
    <t>Number of days before due date that chit was written</t>
  </si>
  <si>
    <t>Lead</t>
  </si>
  <si>
    <t>ORIG.MRDATE - CREATE.DATE</t>
  </si>
  <si>
    <t>WTO.LEAD.DAYS</t>
  </si>
  <si>
    <t>From tank quality for wine tank optimisation</t>
  </si>
  <si>
    <t>TRANS(BWALLOC,MFTANK,'GRADE.LEVEL','X');SUBR('!SUBSTRINGS',@1,1,1);</t>
  </si>
  <si>
    <t>WTO.FT.QUALITY</t>
  </si>
  <si>
    <t>TRANS(MOPS,MOPCD,WM.WOOD.FLAG,'X')</t>
  </si>
  <si>
    <t>WM.WOOD.FLAG</t>
  </si>
  <si>
    <t>Number of Process Orders</t>
  </si>
  <si>
    <t>Process Order</t>
  </si>
  <si>
    <t>DCOUNT(WK.ORDER,@VM)</t>
  </si>
  <si>
    <t>WK.ORDER.CNT</t>
  </si>
  <si>
    <t>Wine type (R, Red, W, White, etc) same as style in bulk wine system</t>
  </si>
  <si>
    <t>TRANS(GENERIC.FILE,MOVE.MPF,'WINETYPE','X')</t>
  </si>
  <si>
    <t>Winery Location of tanks on chit</t>
  </si>
  <si>
    <t>SUBR(SUBR.PENBW:'PBWI1103',@RECORD)</t>
  </si>
  <si>
    <t>SUBR(SUBR.PENBW:'FIND.WIN.LOC',@RECORD,MFTANK,MTTANK)</t>
  </si>
  <si>
    <t>@WHO[2]</t>
  </si>
  <si>
    <t>WINERY.CODE</t>
  </si>
  <si>
    <t>Winery account</t>
  </si>
  <si>
    <t>WHO</t>
  </si>
  <si>
    <t>Description of Warning Message</t>
  </si>
  <si>
    <t>WARNING</t>
  </si>
  <si>
    <t>TRANS(WARNING.MESSAGES,WARNING.NO,DESC,'X')</t>
  </si>
  <si>
    <t>WARNING.MESSAGE</t>
  </si>
  <si>
    <t>Volume to</t>
  </si>
  <si>
    <t>IN</t>
  </si>
  <si>
    <t>MTVOLA - MTVOL;IF MOPCD = 'STMN' THEN MTRLITRES ELSE @</t>
  </si>
  <si>
    <t>VOLUME.TO</t>
  </si>
  <si>
    <t>Volume moved out</t>
  </si>
  <si>
    <t>MFVOL - MFVOLA</t>
  </si>
  <si>
    <t>VOLUME.OUT</t>
  </si>
  <si>
    <t>Volume lost on cellar note</t>
  </si>
  <si>
    <t>GAIN</t>
  </si>
  <si>
    <t>MTVOLA - MTVOL;IF MOPCD = 'STMN' THEN MTRLITRES ELSE @;MFVOL - MFVOLA;SUM(@2)-SUM(@)</t>
  </si>
  <si>
    <t>VOLUME.LOST</t>
  </si>
  <si>
    <t>Volume moved in</t>
  </si>
  <si>
    <t>VOLUME.IN</t>
  </si>
  <si>
    <t>Volume from</t>
  </si>
  <si>
    <t>VOLUME.FROM</t>
  </si>
  <si>
    <t>Volume moved</t>
  </si>
  <si>
    <t>VOLUME MOVED</t>
  </si>
  <si>
    <t>MFVOLA - MFVOL;MTVOLA - MTVOL;IF MOPCD = 'STMN' THEN MTRLITRES ELSE @;@1:@VM:@</t>
  </si>
  <si>
    <t>Total volume moved</t>
  </si>
  <si>
    <t>Total Vol</t>
  </si>
  <si>
    <t>IF SUM(MTRLITRES) &gt; 0 THEN SUM(MTRLITRES) ELSE IF SUM(MTVOLA) - SUM(MTVOL) &gt; 0 THEN</t>
  </si>
  <si>
    <t>VOL.MOVED</t>
  </si>
  <si>
    <t>Variety:source</t>
  </si>
  <si>
    <t>VARIETY/SOURCE</t>
  </si>
  <si>
    <t>MVAR[1,3]:MVAR[5,1]</t>
  </si>
  <si>
    <t>VAR.SRC</t>
  </si>
  <si>
    <t>Universe account that chit was completed in</t>
  </si>
  <si>
    <t>Universe</t>
  </si>
  <si>
    <t>TRANS(BW.STD.CST.OPS,@ID,'UV.ACCOUNT','X')</t>
  </si>
  <si>
    <t>UV.ACCOUNT</t>
  </si>
  <si>
    <t>Operation update code - used for screen validations/updates</t>
  </si>
  <si>
    <t>TRANS(MOPS,MOPCD,UPDATE.CODE,'X') ; TRANS(MOPS.DEL,MOPCD,UPDATE.CODE,'X') ; IF @1</t>
  </si>
  <si>
    <t>UPDATE.CODE.NEW</t>
  </si>
  <si>
    <t>TRANS(MOPS,MOPCD,UPDATE.CODE,'X')</t>
  </si>
  <si>
    <t>UPDATE.CODE</t>
  </si>
  <si>
    <t>Unit cost</t>
  </si>
  <si>
    <t>Unit Cost</t>
  </si>
  <si>
    <t>TRANS(PODETAIL,PODETAIL.ID,UNIT.COST,'X')</t>
  </si>
  <si>
    <t>UNIT.COST</t>
  </si>
  <si>
    <t>QTY received from uncosted</t>
  </si>
  <si>
    <t>PURWINE</t>
  </si>
  <si>
    <t>SUM(CHIT.QTY) - REC.QTY</t>
  </si>
  <si>
    <t>UNCOSTED.RECV</t>
  </si>
  <si>
    <t>UserID SortID</t>
  </si>
  <si>
    <t>TRANS(USERS.DEFAULTS,USERID,'LASTVAL','X'); @1&lt;1,1,1&gt;</t>
  </si>
  <si>
    <t>UID.SID</t>
  </si>
  <si>
    <t>TO BLEND</t>
  </si>
  <si>
    <t>IF TYPE.CODE='4' THEN TRANS(OPSMOVE,FIELD(@ID,'-',1),MTBLEND,'X') ELSE ''</t>
  </si>
  <si>
    <t>TYPE4.MTBLEND</t>
  </si>
  <si>
    <t>From blend types</t>
  </si>
  <si>
    <t>FROM TYPE</t>
  </si>
  <si>
    <t>MFBLEND;TRANS(MBLEND,@,BTYPECODE,'X')</t>
  </si>
  <si>
    <t>TYPE.OUT</t>
  </si>
  <si>
    <t>To type codes</t>
  </si>
  <si>
    <t>TO TYPE</t>
  </si>
  <si>
    <t>MTBLEND;IF MOPCD = 'STMN' THEN MTRBLEND ELSE @;TRANS(MBLEND,@,BTYPECODE,'X')</t>
  </si>
  <si>
    <t>TYPE.IN</t>
  </si>
  <si>
    <t>Operation code type</t>
  </si>
  <si>
    <t>TRANS(MOPS,MOPCD,TYPE.CODE,'X') ; TRANS(MOPS.DEL,MOPCD,TYPE.CODE,'X') ; IF @1 THEN</t>
  </si>
  <si>
    <t>TYPE.CODE.NEW</t>
  </si>
  <si>
    <t>TRANS(MOPS,MOPCD,TYPE.CODE,'X')</t>
  </si>
  <si>
    <t>Variety and source concatenated together</t>
  </si>
  <si>
    <t>To blend</t>
  </si>
  <si>
    <t>SUBR("*PZZI211",'SUBSTR',MTBLEND,5,6,'')</t>
  </si>
  <si>
    <t>TVARSRC</t>
  </si>
  <si>
    <t>SUBR("*PZZI211",'SUBSTR',MTBLEND,5,3,'')</t>
  </si>
  <si>
    <t>Total volume moved to TO tanks</t>
  </si>
  <si>
    <t>Total vol</t>
  </si>
  <si>
    <t>SUM(TTVOLM)</t>
  </si>
  <si>
    <t>TTVOLM.TOT</t>
  </si>
  <si>
    <t>Get va from 'To' tanks</t>
  </si>
  <si>
    <t>TO TANK</t>
  </si>
  <si>
    <t>SUBR(SUBR.PENBW:'PBWI821',MTCHEMNO,'10')</t>
  </si>
  <si>
    <t>TTANK.VA</t>
  </si>
  <si>
    <t>To tank ullage</t>
  </si>
  <si>
    <t>TRANS(MTANK,MTTANK,TTABLE,'X');TRANS(DIPTABLE,@,DCAP,'X');@ - MTVOLA</t>
  </si>
  <si>
    <t>TTANK.ULLAGE</t>
  </si>
  <si>
    <t>Get ts02 from 'To' tanks</t>
  </si>
  <si>
    <t>SUBR(SUBR.PENBW:'PBWI821',MTCHEMNO,'6')</t>
  </si>
  <si>
    <t>TTANK.TS02</t>
  </si>
  <si>
    <t>Get TA from 'To' tanks</t>
  </si>
  <si>
    <t>SUBR(SUBR.PENBW:'PBWI821',MTCHEMNO,'9')</t>
  </si>
  <si>
    <t>TTANK.TA</t>
  </si>
  <si>
    <t>Get residual sugar from 'To' tanks</t>
  </si>
  <si>
    <t>SUBR(SUBR.PENBW:'PBWI821',MTCHEMNO,'12')</t>
  </si>
  <si>
    <t>TTANK.RS</t>
  </si>
  <si>
    <t>Get pH from 'To' tanks</t>
  </si>
  <si>
    <t>SUBR(SUBR.PENBW:'PBWI821',MTCHEMNO,'11')</t>
  </si>
  <si>
    <t>TTANK.PH</t>
  </si>
  <si>
    <t>Get malate from 'To' tanks</t>
  </si>
  <si>
    <t>SUBR(SUBR.PENBW:'PBWI821',MTCHEMNO,'47')</t>
  </si>
  <si>
    <t>TTANK.MALATE</t>
  </si>
  <si>
    <t>Capacity of To Tanks</t>
  </si>
  <si>
    <t>TRANS(MTANK,MTTANK,TTABLE,'X');TRANS(DIPTABLE,@,DCAP,'X')</t>
  </si>
  <si>
    <t>TTANK.CAP</t>
  </si>
  <si>
    <t>Get baume from 'To' tanks</t>
  </si>
  <si>
    <t>SUBR(SUBR.PENBW:'PBWI821',MTCHEMNO,'2')</t>
  </si>
  <si>
    <t>TTANK.BA</t>
  </si>
  <si>
    <t>To tank allocation codes from BWALLOC file</t>
  </si>
  <si>
    <t>TRANS(BWALLOC,MTTANK,GENERIC,'X'); CONVERT(@SM,' ',@)</t>
  </si>
  <si>
    <t>TTANK.ALLOC</t>
  </si>
  <si>
    <t>Get alc from 'To' tanks</t>
  </si>
  <si>
    <t>SUBR(SUBR.PENBW:'PBWI821',MTCHEMNO,'5')</t>
  </si>
  <si>
    <t>TTANK.ALC</t>
  </si>
  <si>
    <t>Alloc To tank numbers</t>
  </si>
  <si>
    <t>ALLOC.TTANK</t>
  </si>
  <si>
    <t>TRANS(BWALLOC.OPSMOVE,MCNOTE,'TTANK','X')</t>
  </si>
  <si>
    <t>To tank value per litre</t>
  </si>
  <si>
    <t>SUBR(SUBR.PENBW:'PBWI1184',RAISE(BWOP$REC),MTTANK,MTBLEND,'T')</t>
  </si>
  <si>
    <t>TT.VAL.LTR</t>
  </si>
  <si>
    <t>All Trucks blend Standard Costs</t>
  </si>
  <si>
    <t>Trucks</t>
  </si>
  <si>
    <t>SUBR(SUBR.PENBW:'PBWZ787','CHIT.TRUCKS',@ID,'','','','','',@RECORD,'' )</t>
  </si>
  <si>
    <t>TRUCKS.STD.COSTS</t>
  </si>
  <si>
    <t>Truck blend Standard Cost - Variable</t>
  </si>
  <si>
    <t>FIELDS(TRUCK.STD.COSTS,'*',1)</t>
  </si>
  <si>
    <t>TRUCK.STD.VAR.COST</t>
  </si>
  <si>
    <t>Truck blend Standard Cost - Total</t>
  </si>
  <si>
    <t>FIELDS(TRUCK.STD.COSTS,'*',2)</t>
  </si>
  <si>
    <t>TRUCK.STD.TOT.COST</t>
  </si>
  <si>
    <t>Truck Standard Costs</t>
  </si>
  <si>
    <t>CONVERT(@SM,'*',TRUCKS.STD.COSTS)</t>
  </si>
  <si>
    <t>TRUCK.STD.COSTS</t>
  </si>
  <si>
    <t>Truck blends inventory level</t>
  </si>
  <si>
    <t>SUBR('!SUBSTRINGS',MTRBLEND,1,1)</t>
  </si>
  <si>
    <t>TRUCK.ILEVEL</t>
  </si>
  <si>
    <t>Truck batch desc.</t>
  </si>
  <si>
    <t>TRANS(MBATCH,TRUCK.BATCH,BATCH.DESC,'X')</t>
  </si>
  <si>
    <t>TRUCK.BAT.DESC</t>
  </si>
  <si>
    <t>Which To tanks were filled from each truck</t>
  </si>
  <si>
    <t>SUBR('*PZZI211','MVSVI2',MTRUCKNO,RC.LITRES,MTTANK,'')</t>
  </si>
  <si>
    <t>TRKTNKS</t>
  </si>
  <si>
    <t>Litres into each to tank from each truck</t>
  </si>
  <si>
    <t>Tanker</t>
  </si>
  <si>
    <t>SUBR('*PZZI211','MVSVI1',MTRUCKNO,RC.LITRES,'','')</t>
  </si>
  <si>
    <t>TRKTNKLITS</t>
  </si>
  <si>
    <t>Truck blend variety</t>
  </si>
  <si>
    <t>SUBR("*PZZI211",'SUBSTR&gt;',MTRBLEND,5,3,10)</t>
  </si>
  <si>
    <t>TR.BL.VAR</t>
  </si>
  <si>
    <t>Truck blend source</t>
  </si>
  <si>
    <t>SUBR("*PZZI211",'SUBSTR&gt;',MTRBLEND,8,3,10)</t>
  </si>
  <si>
    <t>TR.BL.SRC</t>
  </si>
  <si>
    <t>Truck blend generic</t>
  </si>
  <si>
    <t>SUBR("*PZZI211",'SUBSTR&lt;',MTRBLEND,5,3,9)</t>
  </si>
  <si>
    <t>TR.BL.GEN</t>
  </si>
  <si>
    <t>Grade Level of the TO tank</t>
  </si>
  <si>
    <t>RAISE(TRANS(BWALLOC.OPSMOVE,@ID,TQUALITY,'X'))</t>
  </si>
  <si>
    <t>TQUALITY</t>
  </si>
  <si>
    <t>To Tank Size Dip Table</t>
  </si>
  <si>
    <t>TOTTBL</t>
  </si>
  <si>
    <t>Total Volume Salvaged from Original Bottling Chit</t>
  </si>
  <si>
    <t>SALV</t>
  </si>
  <si>
    <t>Volume Salvaged</t>
  </si>
  <si>
    <t>SUM(VOLUME.SALVAGED)</t>
  </si>
  <si>
    <t>TOTAL.VOLUME.SALVAGE</t>
  </si>
  <si>
    <t>VOLUME OUT</t>
  </si>
  <si>
    <t>MFVOL - MFVOLA; SUM(@); IF MOPCD MATCHES OP.OFF.TRK THEN MTRLITRES ELSE    @;SUM(@)</t>
  </si>
  <si>
    <t>TOTAL.VOL.OUT</t>
  </si>
  <si>
    <t>VOLUME IN</t>
  </si>
  <si>
    <t>MTVOLA - MTVOL; IF MOPCD MATCHES OPT.TRK.BOT THEN MTRLITRES ELSE @;SUM(@)</t>
  </si>
  <si>
    <t>TOTAL.VOL.IN</t>
  </si>
  <si>
    <t>TOTAL.TTVOLM</t>
  </si>
  <si>
    <t>SUM(MTRLITRES)</t>
  </si>
  <si>
    <t>TOTAL.MTRLITRES</t>
  </si>
  <si>
    <t>SUM(FTVOLM)</t>
  </si>
  <si>
    <t>TOTAL.FTVOLM</t>
  </si>
  <si>
    <t>Total Volume In</t>
  </si>
  <si>
    <t>SUM(MTVOLA) - SUM(MTVOL)</t>
  </si>
  <si>
    <t>TOT.VOL.IN</t>
  </si>
  <si>
    <t>SUM(CHIT.VOLUME.SALVAGED)</t>
  </si>
  <si>
    <t>TOT.CHIT.VOL.SALVAGE</t>
  </si>
  <si>
    <t>TONNAGE</t>
  </si>
  <si>
    <t>SUBR("*TONNAGE.CALC",MFBLEND)</t>
  </si>
  <si>
    <t>Look up of op description from ops master</t>
  </si>
  <si>
    <t>TRANS(MOPS,@ID,ODESCP,'X')</t>
  </si>
  <si>
    <t>TODESCP1</t>
  </si>
  <si>
    <t>TRANS(MOPS,MOPCD,PRODMEAS.TYPE,'X') ; TRANS(MOPS,MOPCD,ODESCP,'X') ; IF @1 THEN @2:'</t>
  </si>
  <si>
    <t>TODESCP.PROD</t>
  </si>
  <si>
    <t>TRANS(MOPS,MOPCD,ODESCP,'X')</t>
  </si>
  <si>
    <t>TODESCP</t>
  </si>
  <si>
    <t>To blends inventory level</t>
  </si>
  <si>
    <t>SUBR('!SUBSTRINGS',MTBLEND,1,1)</t>
  </si>
  <si>
    <t>TO.ILEVEL</t>
  </si>
  <si>
    <t>To inventory level sort sequence</t>
  </si>
  <si>
    <t>TRANS(BWRS.PARMS, SUBR('!CATS',REUSE(@WHO:'*'),TO.ILEVEL), SORT.SEQ,'X')</t>
  </si>
  <si>
    <t>TO.ILEV.SEQ</t>
  </si>
  <si>
    <t>From location description</t>
  </si>
  <si>
    <t>From Location</t>
  </si>
  <si>
    <t>TRANS(WINERY.LOCATION,DE.TLOCN,FREIGHT.AREA,'X'); TRANS(FREIGHT.AREA,@,DESC,'X')</t>
  </si>
  <si>
    <t>TO.FREIGHT.DESC</t>
  </si>
  <si>
    <t>'Y' if a Despatch or receipt is a tirage operation</t>
  </si>
  <si>
    <t>TRANS(MOPS,MOPCD,'TIR.DESP.REC','X')</t>
  </si>
  <si>
    <t>TIR.DESP.REC</t>
  </si>
  <si>
    <t>First generic code for 'to tanks'</t>
  </si>
  <si>
    <t>First</t>
  </si>
  <si>
    <t>RAISE(TRANS(BWALLOC.OPSMOVE,@ID,TGENERIC,'X'));SUBR('*FIRST.SV',@1)</t>
  </si>
  <si>
    <t>TGENERIC.FIRST</t>
  </si>
  <si>
    <t>Generic code for 'to tanks'</t>
  </si>
  <si>
    <t>RAISE(TRANS(BWALLOC.OPSMOVE,@ID,TGENERIC,'X'))</t>
  </si>
  <si>
    <t>TGENERIC</t>
  </si>
  <si>
    <t>User available comment</t>
  </si>
  <si>
    <t>TRANS(MTANK,FIRST.MTTANK,TCOMMENT,'X')</t>
  </si>
  <si>
    <t>Batch description for TTTANK</t>
  </si>
  <si>
    <t>TO TANKS</t>
  </si>
  <si>
    <t>TRANS(MBATCH,MTBATCH,BATCH.DESC,'X')</t>
  </si>
  <si>
    <t>TBATCH.DESC</t>
  </si>
  <si>
    <t>Get the Averae Cost per Litre for the To Blends</t>
  </si>
  <si>
    <t>TO</t>
  </si>
  <si>
    <t>TRANS(MASTER.BLEND,MTBLEND,AVGCOST,"X")</t>
  </si>
  <si>
    <t>TAVGCOST</t>
  </si>
  <si>
    <t>SUBR("*PZZI211",'SUBSTR',MTBLEND,8,3,'')</t>
  </si>
  <si>
    <t>TANK NOS.</t>
  </si>
  <si>
    <t>SUBR("!CATS",REUSE("FROM TANK "),MFTANK):@VM:SUBR("!CATS",REUSE("TO TANK</t>
  </si>
  <si>
    <t>Winery Account</t>
  </si>
  <si>
    <t>IF INDEX(MFTANK,'-',1) OR MFTANK='' THEN '' ELSE MFTANK ; IF MTTANK='' THEN '' ELSE</t>
  </si>
  <si>
    <t>TANK.WINERY.ACCT</t>
  </si>
  <si>
    <t>Tk St</t>
  </si>
  <si>
    <t>IF MFBLEND = '' THEN 'B4 MT' ELSE 'AFT MT' ; IF MFBLEND # '' AND MTVOLA # 0 THEN ''</t>
  </si>
  <si>
    <t>TANK.ST</t>
  </si>
  <si>
    <t>TRANS(TANK.HIST,TANK,TANK,'X')</t>
  </si>
  <si>
    <t>Tank Code</t>
  </si>
  <si>
    <t>TRANS(TANK.HIST,@ID,TANK,'X')</t>
  </si>
  <si>
    <t>First generic % of total litres for 'to tanks'</t>
  </si>
  <si>
    <t>RAISE(TRANS(BWALLOC.OPSMOVE,@ID,TALLOCAFT,'X'));SUBR('*FIRST.SV',@1);SUBR('*SUM.SV',</t>
  </si>
  <si>
    <t>TALLOCAFT.FRST.%</t>
  </si>
  <si>
    <t>First generic litres for 'to tanks'</t>
  </si>
  <si>
    <t>RAISE(TRANS(BWALLOC.OPSMOVE,@ID,TALLOCAFT,'X'));SUBR('*FIRST.SV',@1)</t>
  </si>
  <si>
    <t>TALLOCAFT.FIRST</t>
  </si>
  <si>
    <t>generic litres for 'to tanks'</t>
  </si>
  <si>
    <t>RAISE(TRANS(BWALLOC.OPSMOVE,@ID,TALLOCAFT,'X'))</t>
  </si>
  <si>
    <t>TALLOCAFT</t>
  </si>
  <si>
    <t>Lookup of Additive Description from Mops file</t>
  </si>
  <si>
    <t>ADDITIVE DESCRIPTION</t>
  </si>
  <si>
    <t>TRANS(MOPS,MADDCD,ODESCP,'X')</t>
  </si>
  <si>
    <t>TADESCP</t>
  </si>
  <si>
    <t>LIST OF SELECTED ADDITIVE TO FROM TANKS</t>
  </si>
  <si>
    <t>From tank Acid</t>
  </si>
  <si>
    <t>'ACT':';':CONVERT(@VM,';',MFTANK); TRIM(SUBR("*PBWI823",@))</t>
  </si>
  <si>
    <t>TA.ADDITIVE</t>
  </si>
  <si>
    <t>Grade level of the TO tank</t>
  </si>
  <si>
    <t>T.GRADE.LEVEL</t>
  </si>
  <si>
    <t>SUBR("*PBWZ171",TOTTBL,MTDIPAFT,"V")+0</t>
  </si>
  <si>
    <t>T.DIP.VOL</t>
  </si>
  <si>
    <t>SWA %</t>
  </si>
  <si>
    <t>IF MFVOL&lt;1,1&gt; THEN (SWA.LITRES/SUM(MFVOL))*100 ELSE 0</t>
  </si>
  <si>
    <t>Test to see if operation is movement into or out of small wood</t>
  </si>
  <si>
    <t>SW.CHECK</t>
  </si>
  <si>
    <t>SUBR("*PBWZ403",MFTANK,MTTANK); IF @ = 1 THEN 'S/W' ELSE 'B/W'</t>
  </si>
  <si>
    <t>Sum of truck litres</t>
  </si>
  <si>
    <t>SUM(MTRLITRES)+0</t>
  </si>
  <si>
    <t>SUMTRKLTS</t>
  </si>
  <si>
    <t>SUM(CHIT.QTY)</t>
  </si>
  <si>
    <t>SUM.CHIT.QTY</t>
  </si>
  <si>
    <t>SUGAR HEADING</t>
  </si>
  <si>
    <t>Sugar</t>
  </si>
  <si>
    <t>""</t>
  </si>
  <si>
    <t>SUGARH</t>
  </si>
  <si>
    <t>TRANS(BW.STYLE,WINETYPE,'STYLE.DESC','X')</t>
  </si>
  <si>
    <t>MTBLEND&lt;1,1&gt;[4,1];MTRBLEND&lt;1,1&gt;[4,1];MFBLEND&lt;1,1&gt;; IF @1 # '' THEN @1 ELSE IF @2</t>
  </si>
  <si>
    <t>RAISE(TRANS(SUMCOMP.TANK,MFTANK,'STONNES','X'))</t>
  </si>
  <si>
    <t>IF MACTIV = 'R' THEN 'Created' ELSE IF MACTIV = 'C' THEN 'Completed' ELSE ''</t>
  </si>
  <si>
    <t>START</t>
  </si>
  <si>
    <t>TRANS(BWOPS.PRODMEAS,PMCHITID,START.DATE,'X')</t>
  </si>
  <si>
    <t>SD.CRCTN</t>
  </si>
  <si>
    <t>SUBR('!DIVS',SRC.DOC.LITRES,REUSE(SUM(MFVOL)));SUBR('!MULS',@1,REUSE(100))</t>
  </si>
  <si>
    <t>SRC.DOC.PERC</t>
  </si>
  <si>
    <t>SPI Spirit based number</t>
  </si>
  <si>
    <t>IF @ID[1,3]='SPI' THEN 0+FIELD(@ID,'-',1)[5] ELSE 0</t>
  </si>
  <si>
    <t>SPI.NO</t>
  </si>
  <si>
    <t>SOLD.COSTS record</t>
  </si>
  <si>
    <t>TRANS(SOLD.COSTS,@ID,@RECORD,'X')</t>
  </si>
  <si>
    <t>SOLD.COSTS</t>
  </si>
  <si>
    <t>RAISE(TRANS(SUMCOMP.TANK,MFTANK,'SVOLUME','X'))</t>
  </si>
  <si>
    <t>Short id of user</t>
  </si>
  <si>
    <t>Invalid, as BWRS.PARAMS file not in use anymore</t>
  </si>
  <si>
    <t>TRANS(BWRS.PARAMS,MTBLEND[1,1],22,'X'); IF @ # '' THEN @ ELSE</t>
  </si>
  <si>
    <t>SEQ.OLD</t>
  </si>
  <si>
    <t>TRANS(BWRS.PARMS,WINERY.LOCATION:'*':MTBLEND&lt;1,1&gt;[1,1]:'*',22,'X');TRANS(BWRS.PARMS,</t>
  </si>
  <si>
    <t>Count of number of varieties in composition used on DEFINE screens</t>
  </si>
  <si>
    <t>'[':DCOUNT(MVAR,@VM):']'</t>
  </si>
  <si>
    <t>SCR.V.CNT</t>
  </si>
  <si>
    <t>Count of number of TO tanks used on DEFINE screens</t>
  </si>
  <si>
    <t>'[':DCOUNT(MTTANK,@VM):']'</t>
  </si>
  <si>
    <t>SCR.TT.CNT</t>
  </si>
  <si>
    <t>Count of number of from tanks used on DEFINE screens</t>
  </si>
  <si>
    <t>'[':DCOUNT(MFTANK,@VM):']'</t>
  </si>
  <si>
    <t>SCR.FT.CNT</t>
  </si>
  <si>
    <t>Standard Total Value LOSS/GAIN value for stktakes</t>
  </si>
  <si>
    <t>MGAINLOSS * SCOST.TOT.ST</t>
  </si>
  <si>
    <t>SCOST.VAL.ST.OLD</t>
  </si>
  <si>
    <t>SCOST.VAL.ST</t>
  </si>
  <si>
    <t>Get standard total cost for stktake</t>
  </si>
  <si>
    <t>TRANS(ITEM.MSTR,PRODNO.ST,SCOST.TOT,'X')</t>
  </si>
  <si>
    <t>SCOST.TOT.ST.OLD</t>
  </si>
  <si>
    <t>FIELD(SUBR(SUBR.PENBW:'PBWZ787','CHIT.TO',@ID,'','','','','','','' ),@SM,2)</t>
  </si>
  <si>
    <t>SCOST.TOT.ST</t>
  </si>
  <si>
    <t>Standard Cost - Total</t>
  </si>
  <si>
    <t>TRANS(ITEM.MSTR,MTRBLEND,SCOST.TOT,'X')</t>
  </si>
  <si>
    <t>RAISE(TRANS(SUMCOMP.TANK,MFTANK,'SBLEND','X'))</t>
  </si>
  <si>
    <t>This bulk wine account interfaces to SAP</t>
  </si>
  <si>
    <t>SAP</t>
  </si>
  <si>
    <t>SUBR(SUBR.PENBW:'PBWZ1037')</t>
  </si>
  <si>
    <t>SAP.ACCT</t>
  </si>
  <si>
    <t>The warehouse of a sale chit</t>
  </si>
  <si>
    <t>Sale</t>
  </si>
  <si>
    <t>FIELD(MCOMMENT,' ',1)</t>
  </si>
  <si>
    <t>SALE.WH</t>
  </si>
  <si>
    <t>RUN OFF DATE HEADING</t>
  </si>
  <si>
    <t>Run Off</t>
  </si>
  <si>
    <t>" "</t>
  </si>
  <si>
    <t>RUNOFFD</t>
  </si>
  <si>
    <t>Related despatch or receipt note number</t>
  </si>
  <si>
    <t>Related</t>
  </si>
  <si>
    <t>IF DE.TYPE = 'TRF' THEN D.R.LITR.NOTE&lt;1,COUNT(D.R.LITR.NOTE,@VM)+1&gt; ELSE ''</t>
  </si>
  <si>
    <t>RLTD.D.R.NOTE</t>
  </si>
  <si>
    <t>To identify RECEIPT chits</t>
  </si>
  <si>
    <t>IF MOPCD MATCHES OPU.MOVE THEN 'Y' ELSE 'N'</t>
  </si>
  <si>
    <t>RECEIPT.CHIT</t>
  </si>
  <si>
    <t>Received Quantity</t>
  </si>
  <si>
    <t>Received Qty</t>
  </si>
  <si>
    <t>TRANS(PODETAIL,SEL.PODETAIL.ID,'REC.QTY','X')</t>
  </si>
  <si>
    <t>REC.QTY</t>
  </si>
  <si>
    <t>$ value of litres purchased</t>
  </si>
  <si>
    <t>Purchased</t>
  </si>
  <si>
    <t>MPLIT*MTVOLA</t>
  </si>
  <si>
    <t>PURVAL</t>
  </si>
  <si>
    <t>Purchase Cost</t>
  </si>
  <si>
    <t>UNIT.COST*VOL.MOVED</t>
  </si>
  <si>
    <t>PURCHASE.COST</t>
  </si>
  <si>
    <t>Purchasing To Tank BWALLOC GL values</t>
  </si>
  <si>
    <t>TRANS(BWALLOC,MTTANK,GRADE.LEVEL,'X')</t>
  </si>
  <si>
    <t>PURCH.BWALLOC.GL</t>
  </si>
  <si>
    <t>Purchased blend description</t>
  </si>
  <si>
    <t>TRANS(MBLEND,UPDATED.ITEMNOS,'BLENDESCP','X')</t>
  </si>
  <si>
    <t>PURBLENDDESC</t>
  </si>
  <si>
    <t>Use with single value to blends for stk take ops (BSTK ops codes)</t>
  </si>
  <si>
    <t>MTBLEND</t>
  </si>
  <si>
    <t>PRODNO.ST</t>
  </si>
  <si>
    <t>The Production Measurement Data Type Code(s)</t>
  </si>
  <si>
    <t>Prod Meas</t>
  </si>
  <si>
    <t>TRANS(MOPS,MOPCD.PMDREQ,PRODMEAS.TYPE,'X')</t>
  </si>
  <si>
    <t>PRODMEAS.TYPE.PMDREQ</t>
  </si>
  <si>
    <t>The PRODMEAS.TYPE field, with value markers replaced by spaces</t>
  </si>
  <si>
    <t>P.M.Types</t>
  </si>
  <si>
    <t>CONVERT(@SM,' ',PRODMEAS.TYPE)</t>
  </si>
  <si>
    <t>PRODMEAS.TYPE.LIST</t>
  </si>
  <si>
    <t>TRANS(MOPS,MOPCD,PRODMEAS.TYPE,'X')</t>
  </si>
  <si>
    <t>PRODMEAS.TYPE</t>
  </si>
  <si>
    <t>Key to previous OPSMOVE record generated from same chit</t>
  </si>
  <si>
    <t>Prev Op Key</t>
  </si>
  <si>
    <t>IF FIELD(@ID,'-',2) GT 1 THEN FIELD(@ID,'-',1):'-':(FIELD(@ID,'-',2)-1) ELSE ''</t>
  </si>
  <si>
    <t>PREVOPKEY</t>
  </si>
  <si>
    <t>Creation time of Previous OSMOVE from same chit</t>
  </si>
  <si>
    <t>Prev Op</t>
  </si>
  <si>
    <t>IF PREVOPKEY THEN TRANS(OPSMOVE,PREVOPKEY,MATIME,'X') ELSE ''</t>
  </si>
  <si>
    <t>PREVOP.MATIME</t>
  </si>
  <si>
    <t>PODETAIL ID</t>
  </si>
  <si>
    <t>SUBR(SUBR.PENBW:'PODETAIL.ID',MPONOS,MTRBLEND&lt;1,1&gt;)</t>
  </si>
  <si>
    <t>PODETAIL.ID</t>
  </si>
  <si>
    <t>Winery location PO line item was purchased into</t>
  </si>
  <si>
    <t>PO</t>
  </si>
  <si>
    <t>TRANS(PODETAIL,POTRANS.ID,WINERY.LOCATION,'X')</t>
  </si>
  <si>
    <t>PODET.WINLOC</t>
  </si>
  <si>
    <t>Winery Category Code for PO line item winery location</t>
  </si>
  <si>
    <t>PO Line</t>
  </si>
  <si>
    <t>TRANS(WINERY.LOCATION,PODET.WINLOC,'WINERY.CAT.CODE','X')</t>
  </si>
  <si>
    <t>PODET.WINCAT</t>
  </si>
  <si>
    <t>IF UNCOSTED.RECV + TOTAL.MTRLITRES &gt; ORD.QTY THEN 'This receipt will go over the</t>
  </si>
  <si>
    <t>PO.WARN</t>
  </si>
  <si>
    <t>MOPCD ; IF @1 THEN @1 ELSE TRANS(CHIT,@ID,MOPCD,'X') ;</t>
  </si>
  <si>
    <t>PMDREQ.TYPE.LIST</t>
  </si>
  <si>
    <t>Chit ID used to access production measurement inputs (no -n)</t>
  </si>
  <si>
    <t>FIELD(@ID,'-',1)</t>
  </si>
  <si>
    <t>PMCHITID</t>
  </si>
  <si>
    <t>% gain or loss</t>
  </si>
  <si>
    <t>% G/L</t>
  </si>
  <si>
    <t>MTVOLA - MTVOL;IF MOPCD = 'STMN' THEN MTRLITRES ELSE @;SUM(@);MFVOL -</t>
  </si>
  <si>
    <t>PCT.GL</t>
  </si>
  <si>
    <t>PBWU912</t>
  </si>
  <si>
    <t>IF UPD.BY.PROG = 'PBWM381' AND WM.WOOD.FLAG = 'I' THEN 'Y' ELSE IF UPD.BY.PROG =</t>
  </si>
  <si>
    <t>PBWU912.INCL</t>
  </si>
  <si>
    <t>TRANS(GENERIC.FILE,FBLEND.GEN,'PACK.CATEGORY','X')</t>
  </si>
  <si>
    <t>UD Vol Flag</t>
  </si>
  <si>
    <t>TRANS(MOPS,MOPCD,OUDVOL,'X')</t>
  </si>
  <si>
    <t>OUDVOL</t>
  </si>
  <si>
    <t>Type of operations or addition , O - Operations, A - Additions(including comments)</t>
  </si>
  <si>
    <t>TRANS(MOPS,MOPCD,'OTYPE','X')</t>
  </si>
  <si>
    <t>OTYPE</t>
  </si>
  <si>
    <t>To tanks required (Y/N)</t>
  </si>
  <si>
    <t>TRANS(MOPS,MOPCD,'OTOT','X')</t>
  </si>
  <si>
    <t>OTOT</t>
  </si>
  <si>
    <t>Old SWA %</t>
  </si>
  <si>
    <t>TRANS(SUMCOMP.TANK,MFTANK,'SWA.LITRES','X');IF @1 THEN @1 ELSE 0;IF MFVOL&lt;1,1&gt; AND</t>
  </si>
  <si>
    <t>TRANS(SUMCOMP.TANK,MFTANK,'SWA.LITRES','X');IF @1 THEN @1 ELSE 0</t>
  </si>
  <si>
    <t>SUBR('*ISRCDOCS',MFTANK,'3')</t>
  </si>
  <si>
    <t>SUBR('*ISRCDOCS',MFTANK,'4')</t>
  </si>
  <si>
    <t>SUBR('*ISRCDOCS',MFTANK,'2')</t>
  </si>
  <si>
    <t>SUBR('*ISRCDOCS',MFTANK,'1*')</t>
  </si>
  <si>
    <t>Old summary comp %</t>
  </si>
  <si>
    <t>SUBR('!DIVS',SLITRES,REUSE(SUM(MFVOL)));SUBR('!MULS',@1,REUSE(100))</t>
  </si>
  <si>
    <t>Order Quantity</t>
  </si>
  <si>
    <t>TRANS(PODETAIL,SEL.PODETAIL.ID,'ORD.QTY','X')</t>
  </si>
  <si>
    <t>ORD.QTY</t>
  </si>
  <si>
    <t>All survey operation codes</t>
  </si>
  <si>
    <t>OPCODES</t>
  </si>
  <si>
    <t>Survey</t>
  </si>
  <si>
    <t>TRANS(CONTROL,'OPU.SURV',OPCODES,'X')</t>
  </si>
  <si>
    <t>OPU.SURV</t>
  </si>
  <si>
    <t>All stock movement operation codes</t>
  </si>
  <si>
    <t>Stock movement</t>
  </si>
  <si>
    <t>RAISE( TRANS(CONTROL,'OPU.MOVE',OPCODES,'X') )</t>
  </si>
  <si>
    <t>OPU.MOVE</t>
  </si>
  <si>
    <t>All crushnote operation codes</t>
  </si>
  <si>
    <t>TRANS(CONTROL,'OPU.CRUSH',OPCODES,'X')</t>
  </si>
  <si>
    <t>OPU.CRUSH</t>
  </si>
  <si>
    <t>All tirage tank to bottle codes</t>
  </si>
  <si>
    <t>RAISE( TRANS(CONTROL,'OPT.TTB',OPCODES,'X') )</t>
  </si>
  <si>
    <t>OPT.TTB</t>
  </si>
  <si>
    <t>All operation codes where TO volume is in truck or bottle</t>
  </si>
  <si>
    <t>OPT.TRK.BOT</t>
  </si>
  <si>
    <t>OPT.DESP:@VM:OPT.TDI:@VM:OPT.TTB</t>
  </si>
  <si>
    <t>All tirage disgorging operation codes</t>
  </si>
  <si>
    <t>Disgorging</t>
  </si>
  <si>
    <t>RAISE( TRANS(CONTROL,'OPT.TDI',OPCODES,'X') )</t>
  </si>
  <si>
    <t>OPT.TDI</t>
  </si>
  <si>
    <t>All purchase operation codes</t>
  </si>
  <si>
    <t>Purchase</t>
  </si>
  <si>
    <t>RAISE( TRANS(CONTROL,'OPT.PURC',OPCODES,'X') )</t>
  </si>
  <si>
    <t>OPT.PURC</t>
  </si>
  <si>
    <t>All despatch operation codes</t>
  </si>
  <si>
    <t>Despatch</t>
  </si>
  <si>
    <t>RAISE( TRANS(CONTROL,'OPT.DESP',OPCODES,'X') )</t>
  </si>
  <si>
    <t>OPT.DESP</t>
  </si>
  <si>
    <t>TRANS(OPSMOVE,@ID,'@ID','X')</t>
  </si>
  <si>
    <t>OPSM.ID</t>
  </si>
  <si>
    <t>All system (costing) operation codes</t>
  </si>
  <si>
    <t>RAISE( TRANS(CONTROL,'OPS.SYSTEM',4,'X'))</t>
  </si>
  <si>
    <t>OPS.SYSTEM</t>
  </si>
  <si>
    <t>Opsmove id no</t>
  </si>
  <si>
    <t>OPS</t>
  </si>
  <si>
    <t>@ID[6,4]</t>
  </si>
  <si>
    <t>OPS.NO</t>
  </si>
  <si>
    <t>Operators Names, of Operators who worked on the Operation</t>
  </si>
  <si>
    <t>OPERATOR</t>
  </si>
  <si>
    <t>Operator Names</t>
  </si>
  <si>
    <t>TRANS(BWOPS.PRODMEAS,MCNOTE,'OPRNAME','X')</t>
  </si>
  <si>
    <t>OPRNAME</t>
  </si>
  <si>
    <t>First three characters of the chit number</t>
  </si>
  <si>
    <t>OPID</t>
  </si>
  <si>
    <t>MCNOTE[1,3]</t>
  </si>
  <si>
    <t>Operation types excluded from recoveries reports</t>
  </si>
  <si>
    <t>TYPES</t>
  </si>
  <si>
    <t>RAISE(TRANS(CONTROL,'OP.TYPE.EXL.REC',1,'X'))</t>
  </si>
  <si>
    <t>OP.TYPE.EXL.REC</t>
  </si>
  <si>
    <t>All operation codes where FROM volume is in truck</t>
  </si>
  <si>
    <t>OP.OFF.TRK</t>
  </si>
  <si>
    <t>Opcode</t>
  </si>
  <si>
    <t>OPT.PURC:@VM:OPU.MOVE</t>
  </si>
  <si>
    <t>Operation number, code, date and time</t>
  </si>
  <si>
    <t>OP.DATA</t>
  </si>
  <si>
    <t>Operation No Code</t>
  </si>
  <si>
    <t>FMT(MCNOTE,'L#14'):FMT(MOPCD,'L#6'):@VM:OCONV(MADATE,'D4/'):FMT( OCONV(</t>
  </si>
  <si>
    <t>OP.NO.CD.DT.TM</t>
  </si>
  <si>
    <t>From tanks required (Y/N)</t>
  </si>
  <si>
    <t>FROM</t>
  </si>
  <si>
    <t>TRANS(MOPS,MOPCD,'OFROMT','X')</t>
  </si>
  <si>
    <t>OFROMT</t>
  </si>
  <si>
    <t>Description of the operation</t>
  </si>
  <si>
    <t>ODESCP</t>
  </si>
  <si>
    <t>OAK TYPE HEADING</t>
  </si>
  <si>
    <t>Oak Type</t>
  </si>
  <si>
    <t>OAKTH</t>
  </si>
  <si>
    <t>Completion time of the NEXT chit for this TO tank</t>
  </si>
  <si>
    <t>NXT}MATIME</t>
  </si>
  <si>
    <t>TRANS(OPSMOVE,MTCNOTE,MATIME,'X')</t>
  </si>
  <si>
    <t>NXT.MATIME</t>
  </si>
  <si>
    <t>Completion date of the NEXT chit for this TO tank</t>
  </si>
  <si>
    <t>NXT}MADATE</t>
  </si>
  <si>
    <t>TRANS(OPSMOVE,MTCNOTE,MADATE,'X')</t>
  </si>
  <si>
    <t>NXT.MADATE</t>
  </si>
  <si>
    <t>New vintage on summary comp correction</t>
  </si>
  <si>
    <t>SUBR('!SUBSTRINGS',SCVAR,9,2)</t>
  </si>
  <si>
    <t>NVYR</t>
  </si>
  <si>
    <t>SUBR('*GBWI927',NVAR)</t>
  </si>
  <si>
    <t>NVARDESC</t>
  </si>
  <si>
    <t>New variety on summary comp correction</t>
  </si>
  <si>
    <t>SUBR('!SUBSTRINGS',SCVAR,1,3)</t>
  </si>
  <si>
    <t>NVAR</t>
  </si>
  <si>
    <t>DCOUNT(MTRUCKNO,@VM)</t>
  </si>
  <si>
    <t>NUMTRUCKS</t>
  </si>
  <si>
    <t>DCOUNT(MTTANK,@VM)</t>
  </si>
  <si>
    <t>NUM.MTTANKS</t>
  </si>
  <si>
    <t>DCOUNT(MADESCP,@VM)</t>
  </si>
  <si>
    <t>NUM.INSTRUCTIONS</t>
  </si>
  <si>
    <t>C/NOTE</t>
  </si>
  <si>
    <t>IF NUM(@ID) THEN @ID ELSE ''</t>
  </si>
  <si>
    <t>NUM.ID</t>
  </si>
  <si>
    <t>SUBR('*GBWI928',NSRC )</t>
  </si>
  <si>
    <t>NSRCDESC</t>
  </si>
  <si>
    <t>New source on summary comp correction</t>
  </si>
  <si>
    <t>SUBR('!SUBSTRINGS',SCVAR,5,3)</t>
  </si>
  <si>
    <t>NSRC</t>
  </si>
  <si>
    <t>New summary comp %</t>
  </si>
  <si>
    <t>SUBR('!DIVS',SCLITRES,REUSE(SUM(MFVOL)));SUBR('!MULS',@1,REUSE(100))</t>
  </si>
  <si>
    <t>NSCPERC</t>
  </si>
  <si>
    <t>Flag indicating if an operation is not a tirage operation</t>
  </si>
  <si>
    <t>NOT</t>
  </si>
  <si>
    <t>SUBR("*PBWZ548",MOPCD)</t>
  </si>
  <si>
    <t>NOT.TIRAGE</t>
  </si>
  <si>
    <t>NO.RECS</t>
  </si>
  <si>
    <t>No of days from juice drain off to ferment</t>
  </si>
  <si>
    <t>SUBR('*PBWI834',@ID)</t>
  </si>
  <si>
    <t>NO.DAYS.FERM</t>
  </si>
  <si>
    <t>No of days from filtration process to bottling</t>
  </si>
  <si>
    <t>SUBR(SUBR.PENBW:'PBWI831',@ID)</t>
  </si>
  <si>
    <t>NO.DAYS</t>
  </si>
  <si>
    <t>Next chits MATIME</t>
  </si>
  <si>
    <t>Next</t>
  </si>
  <si>
    <t>NEXT.MATIME</t>
  </si>
  <si>
    <t>Next chits MADATE</t>
  </si>
  <si>
    <t>NEXT.MADATE</t>
  </si>
  <si>
    <t>TRANS(DEF.SYS.USERS,UPCASE(USERID),'NAME','X')</t>
  </si>
  <si>
    <t>To tank blends vintage year</t>
  </si>
  <si>
    <t>SUBR('!SUBSTRINGS',MTBLEND,2,2)</t>
  </si>
  <si>
    <t>MTVYR</t>
  </si>
  <si>
    <t>Volume moved into TO tank</t>
  </si>
  <si>
    <t>SUBR('*PZZI211','MSM',MTVOLA,MTVOL,'','')</t>
  </si>
  <si>
    <t>MTVOLMOV</t>
  </si>
  <si>
    <t>SUM(MTVOLA)</t>
  </si>
  <si>
    <t>MTVOLA.TOT</t>
  </si>
  <si>
    <t>MTVOLA + 0</t>
  </si>
  <si>
    <t>MTVOLA+0</t>
  </si>
  <si>
    <t>MTVOLA.I</t>
  </si>
  <si>
    <t>MTVOL+0</t>
  </si>
  <si>
    <t>MTVOL0</t>
  </si>
  <si>
    <t>SUM(MTVOL)</t>
  </si>
  <si>
    <t>MTVOL.TOT</t>
  </si>
  <si>
    <t>MTBLEND[2,2]</t>
  </si>
  <si>
    <t>MTVINTAGE</t>
  </si>
  <si>
    <t>To tank Prefixes</t>
  </si>
  <si>
    <t>SUBR('*PZZI211','SUBSTR', MTTANK,1,1, '')</t>
  </si>
  <si>
    <t>MTTPFIX</t>
  </si>
  <si>
    <t>Formatted To Tank</t>
  </si>
  <si>
    <t>SUBR('*PZZI211','SUBSTI',MTTANK,'SW*':@VM:'*PURCH','SW*':@VM:'PUR*','1,3')</t>
  </si>
  <si>
    <t>MTTANK.F</t>
  </si>
  <si>
    <t>Number of To Tanks</t>
  </si>
  <si>
    <t>MTTANK.CNT</t>
  </si>
  <si>
    <t>SUBR('!SUBSTRINGS',MTBLEND,4,1)</t>
  </si>
  <si>
    <t>MTSTYLE</t>
  </si>
  <si>
    <t>Truck Numbers for Stock Movement Notes as sent to MOVE (drops</t>
  </si>
  <si>
    <t>TRUCK</t>
  </si>
  <si>
    <t>SUBR('!FIELDS',MTRUCKNO,'*',1,1)</t>
  </si>
  <si>
    <t>MTRUCKNO.MOVE</t>
  </si>
  <si>
    <t>Number of Trucks</t>
  </si>
  <si>
    <t>MTRUCKNO</t>
  </si>
  <si>
    <t>MTRUCKNO.CNT</t>
  </si>
  <si>
    <t>Total Truck Litres for Stock Movement Note</t>
  </si>
  <si>
    <t>MTRTOTLT</t>
  </si>
  <si>
    <t>MTRSCOST.NOUSE</t>
  </si>
  <si>
    <t>MTRSCOST</t>
  </si>
  <si>
    <t>Truck Tank Financial Product Number Against The Truck Blend Code</t>
  </si>
  <si>
    <t>MTRBLEND</t>
  </si>
  <si>
    <t>MTRPRODS</t>
  </si>
  <si>
    <t>Truck Tank Financial Product Status Code</t>
  </si>
  <si>
    <t>TRANS(ITEM.MSTR,MTRPRODS,STATUS.CODE,'X')</t>
  </si>
  <si>
    <t>MTRPROD.STATUS</t>
  </si>
  <si>
    <t>Truck Blend description</t>
  </si>
  <si>
    <t>Truck Blend</t>
  </si>
  <si>
    <t>TRANS(MBLEND,MTRBLEND,BLENDESCP,'X')</t>
  </si>
  <si>
    <t>MTRBLENDESC</t>
  </si>
  <si>
    <t>Fisrt value of MTRBLEND</t>
  </si>
  <si>
    <t>First Truck blend</t>
  </si>
  <si>
    <t>FIELD(MTRBLEND,@VM,1)</t>
  </si>
  <si>
    <t>MTRBLEND1</t>
  </si>
  <si>
    <t>Test for different truck blend</t>
  </si>
  <si>
    <t>Different Blend</t>
  </si>
  <si>
    <t>SUBR(SUBR.PENBW:'PZZI211','NON-DUPLICATE',MTRBLEND1,MTRBLEND,'','')</t>
  </si>
  <si>
    <t>MTRBLEND.NON.DUP</t>
  </si>
  <si>
    <t>Volume moved in c/note</t>
  </si>
  <si>
    <t>SUBR("*SPPM080",MCNOTE,"VOL")</t>
  </si>
  <si>
    <t>MTRANSVOL</t>
  </si>
  <si>
    <t>Transfer out volume</t>
  </si>
  <si>
    <t>TRANFER</t>
  </si>
  <si>
    <t>SUBR("*SPPM080",MCNOTE,"OUT")</t>
  </si>
  <si>
    <t>MTRANSOUT</t>
  </si>
  <si>
    <t>Group transfer in volume</t>
  </si>
  <si>
    <t>TRANSFER</t>
  </si>
  <si>
    <t>SUBR("*SPPM080",MCNOTE,"IN")</t>
  </si>
  <si>
    <t>MTRANSIN</t>
  </si>
  <si>
    <t>To Tank Financial Product Number Against The To Blend Code</t>
  </si>
  <si>
    <t>MTPRODS</t>
  </si>
  <si>
    <t>To Tank Financial Product Status Code</t>
  </si>
  <si>
    <t>TRANS(ITEM.MSTR,MTPRODS,STATUS.CODE,'X')</t>
  </si>
  <si>
    <t>MTPROD.STATUS</t>
  </si>
  <si>
    <t>Unique bottled product codes</t>
  </si>
  <si>
    <t>UNIQUE.BOTT</t>
  </si>
  <si>
    <t>Unique</t>
  </si>
  <si>
    <t>SUBR("*PZZI211",'UNIQUE',MTBOTPROD,MTBOTPROD,'','')</t>
  </si>
  <si>
    <t>MTBOTPROD.UNIQUE</t>
  </si>
  <si>
    <t>Financial Product Code Bottled</t>
  </si>
  <si>
    <t>BOTTLING</t>
  </si>
  <si>
    <t>SUBR('!CATS',SUBR('!SUBSTRINGS',TRANS(ITEM.MSTR,MTBOTPROD,PRODNAME,'X'),1,22),' ') ;</t>
  </si>
  <si>
    <t>MTBOTPROD.DESC</t>
  </si>
  <si>
    <t>Bottled</t>
  </si>
  <si>
    <t>TRANS(MBLEND,MTBOTBLEND,BLENDESCP,'X')</t>
  </si>
  <si>
    <t>MTBOTBLEND.DESC</t>
  </si>
  <si>
    <t>To Blend description</t>
  </si>
  <si>
    <t>To Blend</t>
  </si>
  <si>
    <t>TRANS(MBLEND,MTBLEND,BLENDESCP,'X')</t>
  </si>
  <si>
    <t>MTBLENDESC</t>
  </si>
  <si>
    <t>Move To Tank Blend description</t>
  </si>
  <si>
    <t>MTBLEND.DESC</t>
  </si>
  <si>
    <t>Move To Tank Blend description Longer</t>
  </si>
  <si>
    <t>MTBATCH.DESCL</t>
  </si>
  <si>
    <t>MTBATCH.DESC</t>
  </si>
  <si>
    <t>TRANS(MOPS,MT.MOPCD,ODESCP,'X')</t>
  </si>
  <si>
    <t>MT.ODESCP</t>
  </si>
  <si>
    <t>Look up to tank next chit opcode</t>
  </si>
  <si>
    <t>TRANS(OPSMOVE,MTCNOTE,MOPCD,'X')</t>
  </si>
  <si>
    <t>MT.MOPCD</t>
  </si>
  <si>
    <t>Date request made for operations</t>
  </si>
  <si>
    <t>REQUIRED</t>
  </si>
  <si>
    <t>MRDATE ; IF @ THEN @ ELSE TRANS(CHIT,@ID,MRDATE,'X') ; IF @2 THEN @2 ELSE</t>
  </si>
  <si>
    <t>MRDATE.PMDREQ</t>
  </si>
  <si>
    <t>MTVOLA.TOT - MTVOL.TOT</t>
  </si>
  <si>
    <t>MOVEMENT.TO</t>
  </si>
  <si>
    <t>MFVOLA.TOT - MFVOL.TOT</t>
  </si>
  <si>
    <t>MOVEMENT.FROM</t>
  </si>
  <si>
    <t>MOVEMENT</t>
  </si>
  <si>
    <t>MTVOLA.TOT - MFVOLA.TOT</t>
  </si>
  <si>
    <t>Tanks, either From or To for project MOVE use. (First 3)</t>
  </si>
  <si>
    <t>MOVE</t>
  </si>
  <si>
    <t>IF MFTANK # '' THEN MFTANK ELSE MTTANK;SUBR('*CONVERTS',@1,@VM,'~');@2[1,17]</t>
  </si>
  <si>
    <t>MOVE.TANKS</t>
  </si>
  <si>
    <t>Trucks for project MOVE use. (First 2)</t>
  </si>
  <si>
    <t>SUBR('*CONVERTS',MTRUCKNO,@VM,'~');@1[1,13]</t>
  </si>
  <si>
    <t>MOVE.MTRUCKNO</t>
  </si>
  <si>
    <t>Truck blend for project MOVE use. (First 1 )</t>
  </si>
  <si>
    <t>MTRBLEND&lt;1,1&gt;</t>
  </si>
  <si>
    <t>MOVE.MTRBLEND</t>
  </si>
  <si>
    <t>IF MADDCD[4] = 'NOTE' THEN FIELD(D.R.LITR.NOTE,@VM,1,COUNT(D.R.LITR.NOTE,@VM)) ELSE</t>
  </si>
  <si>
    <t>MOVE.LITRES</t>
  </si>
  <si>
    <t>MOVE interface number description</t>
  </si>
  <si>
    <t>IF MOVE.IFACE.NO = 1 THEN 'Created by grange' ELSE IF MOVE.IFACE.NO = 2 THEN</t>
  </si>
  <si>
    <t>MOVE.IFACE.NO.DESC</t>
  </si>
  <si>
    <t>MOVE chit type (despatch or receipt)</t>
  </si>
  <si>
    <t>IF TYPE.CODE = 2 THEN 'DESP' ELSE IF UPDATE.CODE = 3 THEN 'RCPT' ELSE ''</t>
  </si>
  <si>
    <t>MOVE.CHIT.TYPE</t>
  </si>
  <si>
    <t>MOPS before status</t>
  </si>
  <si>
    <t>B4</t>
  </si>
  <si>
    <t>TRANS(MOPS,MOPCD,OBSTAT,'X')</t>
  </si>
  <si>
    <t>MOPS.OBSTAT</t>
  </si>
  <si>
    <t>MOPS after status field 1</t>
  </si>
  <si>
    <t>AFT</t>
  </si>
  <si>
    <t>FIELD(TRANS(MOPS,MOPCD,OASTAT,'X'),@SM,1)</t>
  </si>
  <si>
    <t>MOPS.OASTAT1</t>
  </si>
  <si>
    <t>MOPS after status</t>
  </si>
  <si>
    <t>TRANS(MOPS,MOPCD,OASTAT,'X')</t>
  </si>
  <si>
    <t>MOPS.OASTAT</t>
  </si>
  <si>
    <t>Operation identification code</t>
  </si>
  <si>
    <t>OPERATION CODE</t>
  </si>
  <si>
    <t>MOPCD ; IF @ THEN @ ELSE TRANS(CHIT,@ID,MOPCD,'X')</t>
  </si>
  <si>
    <t>MOPCD.PMDREQ</t>
  </si>
  <si>
    <t>Operation Description</t>
  </si>
  <si>
    <t>MOPCD.DESC</t>
  </si>
  <si>
    <t>Month Number MADATE</t>
  </si>
  <si>
    <t>OCONV(MADATE,'DYM')[6,2]</t>
  </si>
  <si>
    <t>MONTH2</t>
  </si>
  <si>
    <t>From tank blends vintage year</t>
  </si>
  <si>
    <t>SUBR('!SUBSTRINGS',MFBLEND,2,2)</t>
  </si>
  <si>
    <t>MFVYR</t>
  </si>
  <si>
    <t>Volume moved out of FROM tank</t>
  </si>
  <si>
    <t>SUBR('*PZZI211','MSM',MFVOL,MFVOLA,'','')</t>
  </si>
  <si>
    <t>MFVOLMOV</t>
  </si>
  <si>
    <t>From Tank Volume of After Dip</t>
  </si>
  <si>
    <t>FROM TANK</t>
  </si>
  <si>
    <t>SUBR('!ADDS',MFVOLA,REUSE('0'))</t>
  </si>
  <si>
    <t>MFVOLAFT</t>
  </si>
  <si>
    <t>SUM(MFVOLA)</t>
  </si>
  <si>
    <t>MFVOLA.TOT</t>
  </si>
  <si>
    <t>MFVOLA + 0</t>
  </si>
  <si>
    <t>From Tank</t>
  </si>
  <si>
    <t>MFVOLA+0</t>
  </si>
  <si>
    <t>MFVOLA.I</t>
  </si>
  <si>
    <t>SUM(MFVOL)</t>
  </si>
  <si>
    <t>MFVOL.TOT</t>
  </si>
  <si>
    <t>MFBLEND[2,2]</t>
  </si>
  <si>
    <t>MFVINTAGE</t>
  </si>
  <si>
    <t>From tank Prefixesof 2 chars</t>
  </si>
  <si>
    <t>SUBR('*PZZI211','SUBSTR', MFTANK,1,2, '')</t>
  </si>
  <si>
    <t>MFTPFIX2</t>
  </si>
  <si>
    <t>From tank Prefixes</t>
  </si>
  <si>
    <t>SUBR('*PZZI211','SUBSTR', MFTANK,1,1, '')</t>
  </si>
  <si>
    <t>MFTPFIX</t>
  </si>
  <si>
    <t>Formatted From Tank</t>
  </si>
  <si>
    <t>SUBR('*PZZI211','SUBSTI',MFTANK,'SW*':@VM:'*PURCH','SW*':@VM:'PUR*','1,3')</t>
  </si>
  <si>
    <t>MFTANK.F</t>
  </si>
  <si>
    <t>Number of From Tanks</t>
  </si>
  <si>
    <t>DCOUNT(MFTANK,@VM)</t>
  </si>
  <si>
    <t>MFTANK.CNT</t>
  </si>
  <si>
    <t>F/T</t>
  </si>
  <si>
    <t>MFTANK[1,2]</t>
  </si>
  <si>
    <t>MFTANK.2</t>
  </si>
  <si>
    <t>SUBR('!SUBSTRINGS',MFBLEND,4,1)</t>
  </si>
  <si>
    <t>MFSTYLE</t>
  </si>
  <si>
    <t>From Tank status code description</t>
  </si>
  <si>
    <t>TRANS(WINE.STATUS,MFSTATUS,DESC,'X')</t>
  </si>
  <si>
    <t>MFSTATUS.DESC</t>
  </si>
  <si>
    <t>From Tank Financial Product Number Against The From Blend Code</t>
  </si>
  <si>
    <t>MFPRODS</t>
  </si>
  <si>
    <t>From Tank Financial Product Status Code</t>
  </si>
  <si>
    <t>TRANS(ITEM.MSTR,MFPRODS,STATUS.CODE,'X')</t>
  </si>
  <si>
    <t>MFPROD.STATUS</t>
  </si>
  <si>
    <t>From Blend description</t>
  </si>
  <si>
    <t>From Blend</t>
  </si>
  <si>
    <t>MFBLENDESC</t>
  </si>
  <si>
    <t>From Tank Blend Description</t>
  </si>
  <si>
    <t>FROM tank Batch description</t>
  </si>
  <si>
    <t>FROM Batch Description</t>
  </si>
  <si>
    <t>TRANS(MBATCH,MFBATCH,BATCH.DESC,'X')</t>
  </si>
  <si>
    <t>MFBATCH.DESC</t>
  </si>
  <si>
    <t>From Batch/Group Number - 1st character</t>
  </si>
  <si>
    <t>MFBATCH ;@[1,1]</t>
  </si>
  <si>
    <t>MFBATCH.1CHAR</t>
  </si>
  <si>
    <t>TRANS(MOPS,MF.MOPCD,ODESCP,'X')</t>
  </si>
  <si>
    <t>MF.ODESCP</t>
  </si>
  <si>
    <t>Look up from tank previous chit opcode</t>
  </si>
  <si>
    <t>TRANS(OPSMOVE,MFCNOTE,MOPCD,'X')</t>
  </si>
  <si>
    <t>MF.MOPCD</t>
  </si>
  <si>
    <t>MCOMMENT[1,10]</t>
  </si>
  <si>
    <t>MCOMMENT10</t>
  </si>
  <si>
    <t>Blend type group code</t>
  </si>
  <si>
    <t>FIELD(MFBLEND,@VM,1);TRANS(MBLEND,@1,BTYPECODE,'X')</t>
  </si>
  <si>
    <t>MBTYPECODE</t>
  </si>
  <si>
    <t>4 DIGIT MA YEAR</t>
  </si>
  <si>
    <t>MA</t>
  </si>
  <si>
    <t>OCONV(MADATE,'D4/')[4]</t>
  </si>
  <si>
    <t>MAYEAR4</t>
  </si>
  <si>
    <t>Year actual action started</t>
  </si>
  <si>
    <t>OCONV(MADATE,'D2/')[2]</t>
  </si>
  <si>
    <t>MAYEAR</t>
  </si>
  <si>
    <t>Lookup master operation code</t>
  </si>
  <si>
    <t>TRANS(MOPS,MOPCD,MAST.OPCD,'X')</t>
  </si>
  <si>
    <t>Managed by account</t>
  </si>
  <si>
    <t>2 DIGIT MA MONTH</t>
  </si>
  <si>
    <t>OCONV(MADATE,'D2/')[4,2]</t>
  </si>
  <si>
    <t>MAMTH2</t>
  </si>
  <si>
    <t>Number of Instructions</t>
  </si>
  <si>
    <t>MADESCP</t>
  </si>
  <si>
    <t>Inst.</t>
  </si>
  <si>
    <t>MADESCP.CNT</t>
  </si>
  <si>
    <t>Additive code description</t>
  </si>
  <si>
    <t>TRANS(MBATCH,MADDCD,"BATCH.DESC",'X');TRANS(MBATCH.HIST,MADDCD,"BATCH.DESC",'X');</t>
  </si>
  <si>
    <t>MADDCD.DESC</t>
  </si>
  <si>
    <t>Chit status description</t>
  </si>
  <si>
    <t>IF MACTIV = 'R' THEN 'REQUESTED' ELSE 'COMPLETED'</t>
  </si>
  <si>
    <t>MACTIV.DESC</t>
  </si>
  <si>
    <t>'Y' if the additive is lot traced</t>
  </si>
  <si>
    <t>Lot</t>
  </si>
  <si>
    <t>TRANS(MADD,MADDCD,'LOT.TRACED','X')</t>
  </si>
  <si>
    <t>LOT.TRACED</t>
  </si>
  <si>
    <t>Lot Item</t>
  </si>
  <si>
    <t>LOCAL</t>
  </si>
  <si>
    <t>TRANS(OPSMOVE,@ID,@ID,'X')</t>
  </si>
  <si>
    <t>MOVEMENT.TO / TONNAGE</t>
  </si>
  <si>
    <t>LITRE.YIELD</t>
  </si>
  <si>
    <t>Line item from SAP</t>
  </si>
  <si>
    <t>Line Item</t>
  </si>
  <si>
    <t>TRANS(PODETAIL,SEL.PODETAIL.ID,'LINE.ITEM','X')</t>
  </si>
  <si>
    <t>LINE.ITEM</t>
  </si>
  <si>
    <t>Linked Indicator, null=linked / 1=unlinked / 2=unlinked after linked</t>
  </si>
  <si>
    <t>TRANS(CHEM,MTCHEMNO,'LIND','X')</t>
  </si>
  <si>
    <t>last used value</t>
  </si>
  <si>
    <t>Last Value</t>
  </si>
  <si>
    <t>TRANS(USERS.DEFAULTS,USERID,'LASTVAL','X')</t>
  </si>
  <si>
    <t>LASTVAL</t>
  </si>
  <si>
    <t>Loss/Gain LALS</t>
  </si>
  <si>
    <t>L/G</t>
  </si>
  <si>
    <t>SUM(MTLALS) - SUM(MFLALS)</t>
  </si>
  <si>
    <t>LALS.GL</t>
  </si>
  <si>
    <t>SUBR('!CATS',REUSE(MOPCD:'*'),MTTANK)</t>
  </si>
  <si>
    <t>IGV.TANK</t>
  </si>
  <si>
    <t>Group Code:Year</t>
  </si>
  <si>
    <t>@ID[1,5]</t>
  </si>
  <si>
    <t>GRPYR</t>
  </si>
  <si>
    <t>Work Group from OPSMOVE id</t>
  </si>
  <si>
    <t>GRP</t>
  </si>
  <si>
    <t>GRP.CODE</t>
  </si>
  <si>
    <t>GRDOCKET TOTAL TONNAGE</t>
  </si>
  <si>
    <t>GRDOCKET</t>
  </si>
  <si>
    <t>TRANS(GRDOCKET,@ID,TOTALQTY,'X')</t>
  </si>
  <si>
    <t>GRDOCKET.TONNAGE</t>
  </si>
  <si>
    <t>TRANS(BWALLOC,BWALLOC.ID,'GRADE.LEVEL','X')</t>
  </si>
  <si>
    <t>Check if invalid characters in GL.REASON</t>
  </si>
  <si>
    <t>GL.REASON.ERR</t>
  </si>
  <si>
    <t>SUBR("*PZZI211","CC",GL.REASON,'','','')</t>
  </si>
  <si>
    <t>GL.REASON.CHECK</t>
  </si>
  <si>
    <t>G/L %</t>
  </si>
  <si>
    <t>MFVOL - MFVOLA;SUM(@) ;IF MOPCD MATCHES OP.OFF.TRK THEN MTRLITRES ELSE</t>
  </si>
  <si>
    <t>GL.PCT</t>
  </si>
  <si>
    <t>SUBR("*PBWZ403",MFTANK,MTTANK);TRANS(MOPS,MOPCD,ODESCP,'X');IF @1 = 1 THEN 'S/W -</t>
  </si>
  <si>
    <t>GL.DESCP</t>
  </si>
  <si>
    <t>Gain/Loss code description</t>
  </si>
  <si>
    <t>GL.DETS</t>
  </si>
  <si>
    <t>TRANS(GL.REASONS,GL.CODE,DESC,'X')</t>
  </si>
  <si>
    <t>GL.DESC</t>
  </si>
  <si>
    <t>Generic Code of chit</t>
  </si>
  <si>
    <t>SUBR("*FIND.OPSMOVE.GENERIC.CODE",@ID)</t>
  </si>
  <si>
    <t>GAIN/LOSS</t>
  </si>
  <si>
    <t>GAIN.LOSS</t>
  </si>
  <si>
    <t>From blend</t>
  </si>
  <si>
    <t>SUBR("*PZZI211",'SUBSTR',MFBLEND,5,6,'')</t>
  </si>
  <si>
    <t>FVARSRC</t>
  </si>
  <si>
    <t>Total volume moved out of from tanks</t>
  </si>
  <si>
    <t>FTVOLM.TOT</t>
  </si>
  <si>
    <t>From tank standard variable cost per litre before the operation</t>
  </si>
  <si>
    <t>RAISE(TRANS(BW.STD.CST.OPS,MCNOTE,FTB4.STD.VAR.CST,'X'))</t>
  </si>
  <si>
    <t>FTB4.STD.VAR.CST</t>
  </si>
  <si>
    <t>From tank standard total cost per litre before the operation</t>
  </si>
  <si>
    <t>RAISE(TRANS(BW.STD.CST.OPS,MCNOTE,FTB4.STD.TOT.CST,'X'))</t>
  </si>
  <si>
    <t>FTB4.STD.TOT.CST</t>
  </si>
  <si>
    <t>Alloc From tank numbers</t>
  </si>
  <si>
    <t>ALLOC.FTANK</t>
  </si>
  <si>
    <t>TRANS(BWALLOC.OPSMOVE,MCNOTE,'FTANK','X')</t>
  </si>
  <si>
    <t>FTANK</t>
  </si>
  <si>
    <t>From tank value per litre</t>
  </si>
  <si>
    <t>SUBR(SUBR.PENBW:'PBWI1184',RAISE(BWOP$REC),MFTANK,MFBLEND,'F')</t>
  </si>
  <si>
    <t>FT.VAL.LTR</t>
  </si>
  <si>
    <t>From tank blend variety</t>
  </si>
  <si>
    <t>SUBR("*PZZI211",'SUBSTR&gt;',MFBLEND,5,3,10)</t>
  </si>
  <si>
    <t>FT.BL.VAR</t>
  </si>
  <si>
    <t>From tank blend source</t>
  </si>
  <si>
    <t>SUBR("*PZZI211",'SUBSTR&gt;',MFBLEND,8,3,10)</t>
  </si>
  <si>
    <t>FT.BL.SRC</t>
  </si>
  <si>
    <t>From tank blend generic</t>
  </si>
  <si>
    <t>SUBR("*PZZI211",'SUBSTR&lt;',MFBLEND,5,3,9)</t>
  </si>
  <si>
    <t>FT.BL.GEN</t>
  </si>
  <si>
    <t>From Tank Size Dip Table</t>
  </si>
  <si>
    <t>TRANS(MTANK,MFTANK,TTABLE,'X')</t>
  </si>
  <si>
    <t>FRTTBL</t>
  </si>
  <si>
    <t>Total volume transferred from FROM tanks</t>
  </si>
  <si>
    <t>MFVOL.TOT - MFVOLA.TOT</t>
  </si>
  <si>
    <t>FROM.VOL.TOT</t>
  </si>
  <si>
    <t>From blends inventory level</t>
  </si>
  <si>
    <t>SUBR('!SUBSTRINGS',MFBLEND,1,1)</t>
  </si>
  <si>
    <t>FROM.ILEVEL</t>
  </si>
  <si>
    <t>From inventory level sort sequence</t>
  </si>
  <si>
    <t>TRANS(BWRS.PARMS, SUBR('!CATS',REUSE(@WHO:'*'),FROM.ILEVEL), SORT.SEQ,'X')</t>
  </si>
  <si>
    <t>FROM.ILEV.SEQ</t>
  </si>
  <si>
    <t>From freight area</t>
  </si>
  <si>
    <t>IF OW.FROM.FREIGHT.AREA THEN OW.FROM.FREIGHT.AREA ELSE</t>
  </si>
  <si>
    <t>FRM.FREIGHT.DESC</t>
  </si>
  <si>
    <t>Grade Level of the FROM tank</t>
  </si>
  <si>
    <t>RAISE(TRANS(BWALLOC.OPSMOVE,@ID,FQUALITY,'X'))</t>
  </si>
  <si>
    <t>FQUALITY</t>
  </si>
  <si>
    <t>First to tank</t>
  </si>
  <si>
    <t>First to</t>
  </si>
  <si>
    <t>FIELD(MTTANK,@VM,1)</t>
  </si>
  <si>
    <t>FIRST.MTTANK</t>
  </si>
  <si>
    <t>First linked chemistry request</t>
  </si>
  <si>
    <t>FIELD(MTCHEMNO,@VM,1);FIELD(@1,@SM,1)</t>
  </si>
  <si>
    <t>FIRST.MTCHEMNO</t>
  </si>
  <si>
    <t>Financial year</t>
  </si>
  <si>
    <t>Fin</t>
  </si>
  <si>
    <t>OCONV(MADATE,'D2/')[4,2];OCONV(MADATE,'D4/')[4];@2+1; IF @1 &gt;=07 AND @1 &lt;= 12 THEN</t>
  </si>
  <si>
    <t>FINYR</t>
  </si>
  <si>
    <t>FINISH DATE</t>
  </si>
  <si>
    <t>FINISH</t>
  </si>
  <si>
    <t>TRANS(BWOPS.PRODMEAS,PMCHITID,FINISH.DATE,'X')</t>
  </si>
  <si>
    <t>FINISH.DATE</t>
  </si>
  <si>
    <t>SUBR('!CATS',SUBR('!SUBSTRINGS',TRANS(ITEM.MSTR,FIN.GOODS.CODE,PRODNAME,'X'),1,22),'</t>
  </si>
  <si>
    <t>FIN.GOODS.CODE.DESC</t>
  </si>
  <si>
    <t>First generic code for 'from tanks'</t>
  </si>
  <si>
    <t>RAISE(TRANS(BWALLOC.OPSMOVE,@ID,FGENERIC,'X'));SUBR('*FIRST.SV',@1)</t>
  </si>
  <si>
    <t>FGENERIC.FIRST</t>
  </si>
  <si>
    <t>Generic code for 'from tanks'</t>
  </si>
  <si>
    <t>RAISE(TRANS(BWALLOC.OPSMOVE,@ID,FGENERIC,'X'))</t>
  </si>
  <si>
    <t>FGENERIC</t>
  </si>
  <si>
    <t>From tank blend vintage to 4 digits</t>
  </si>
  <si>
    <t>SUBR('!SUBSTRINGS',MFBLEND,2,2);SUBR('!ADDS',REUSE(2000),@1)</t>
  </si>
  <si>
    <t>FBLEND.VINT4</t>
  </si>
  <si>
    <t>From tank blend generic code</t>
  </si>
  <si>
    <t>SUBR('!SUBSTRINGS',MFBLEND,5,3)</t>
  </si>
  <si>
    <t>FBLEND.GEN</t>
  </si>
  <si>
    <t>Get the Averae Cost per Litre for the From Blends</t>
  </si>
  <si>
    <t>TRANS(MASTER.BLEND,MFBLEND,AVGCOST,"X")</t>
  </si>
  <si>
    <t>FAVGCOST</t>
  </si>
  <si>
    <t>First generic % of total litres for 'from tanks'</t>
  </si>
  <si>
    <t>RAISE(TRANS(BWALLOC.OPSMOVE,@ID,FALLOCB4,'X'));SUBR('*FIRST.SV',@1);SUBR('*SUM.SV',@</t>
  </si>
  <si>
    <t>FALLOCB4.FRST.%</t>
  </si>
  <si>
    <t>First generic litres for 'from tanks'</t>
  </si>
  <si>
    <t>RAISE(TRANS(BWALLOC.OPSMOVE,@ID,FALLOCB4,'X'));SUBR('*FIRST.SV',@1)</t>
  </si>
  <si>
    <t>FALLOCB4.FIRST</t>
  </si>
  <si>
    <t>generic litres for 'from tanks'</t>
  </si>
  <si>
    <t>RAISE(TRANS(BWALLOC.OPSMOVE,@ID,FALLOCB4,'X'))</t>
  </si>
  <si>
    <t>FALLOCB4</t>
  </si>
  <si>
    <t>From tank grade level</t>
  </si>
  <si>
    <t>RAISE(TRANS(BWALLOC.OPSMOVE,MCNOTE,'FQUALITY','X'))</t>
  </si>
  <si>
    <t>F.GRADE.LEVEL</t>
  </si>
  <si>
    <t>SUBR("*PBWZ171",FRTTBL,MFDIPAFT,"V")+0</t>
  </si>
  <si>
    <t>F.DIP.VOL</t>
  </si>
  <si>
    <t>Excluded from recoveries reports</t>
  </si>
  <si>
    <t>Excluded</t>
  </si>
  <si>
    <t>SUM(SUBR("!EQS",OP.TYPE.EXL.REC,REUSE(TYPE.CODE))) OR EX.RCVRY = "Y"</t>
  </si>
  <si>
    <t>EXL.REC</t>
  </si>
  <si>
    <t>Exclude from Recoveries Reports</t>
  </si>
  <si>
    <t>Excl</t>
  </si>
  <si>
    <t>TRANS(MOPS,MOPCD,EX.RCVRY,'X')</t>
  </si>
  <si>
    <t>EX.RCVRY</t>
  </si>
  <si>
    <t>Enduse of chit</t>
  </si>
  <si>
    <t>END USE</t>
  </si>
  <si>
    <t>SUBR("*FIND.OPSMOVE.ENDUSE",MTBLEND,MTRBLEND,MFBLEND)</t>
  </si>
  <si>
    <t>TRANS(MTANK,MFTANK,3,'X')</t>
  </si>
  <si>
    <t>DIPTAB.FROM</t>
  </si>
  <si>
    <t>Truck vintages allocated</t>
  </si>
  <si>
    <t>TRANS(BWALLOC,BWALLOC.ID,'VINT','X')</t>
  </si>
  <si>
    <t>DE.VINT</t>
  </si>
  <si>
    <t>To location description</t>
  </si>
  <si>
    <t>To Location</t>
  </si>
  <si>
    <t>TRANS(FREIGHT.AREA,DE.TLOCN,DESC,'X'); IF @='' THEN</t>
  </si>
  <si>
    <t>DE.TLOCN.DESC</t>
  </si>
  <si>
    <t>Value of the truck litres at STANDARD VARIABLE cost</t>
  </si>
  <si>
    <t>SUBR('*PZZI211','MVV',MTRLITRES,TRUCK.STD.VAR.COST,'','')</t>
  </si>
  <si>
    <t>DE.STD.VAR.VALUE</t>
  </si>
  <si>
    <t>SUBR('*PZZI211','MVV',MTRLITRES,MTRSCOST,'','')</t>
  </si>
  <si>
    <t>DE.STD.VALUE</t>
  </si>
  <si>
    <t>Value of the truck litres at STANDARD TOTAL cost</t>
  </si>
  <si>
    <t>SUBR('*PZZI211','MVV',MTRLITRES,TRUCK.STD.TOT.COST,'','')</t>
  </si>
  <si>
    <t>DE.STD.TOT.VALUE</t>
  </si>
  <si>
    <t>Truck generic codes allocated</t>
  </si>
  <si>
    <t>TRANS(BWALLOC,BWALLOC.ID,'GENERIC','X')</t>
  </si>
  <si>
    <t>DE.GENERIC</t>
  </si>
  <si>
    <t>Litres allocated to each generic code on the truck</t>
  </si>
  <si>
    <t>TRANS(BWALLOC,BWALLOC.ID,'LITRES','X')</t>
  </si>
  <si>
    <t>DE.GEN.LITRES</t>
  </si>
  <si>
    <t>Warehouse code used on BSM interface</t>
  </si>
  <si>
    <t>TRANS(SUB.LOCN,DE.FLOCN,WHOUSE,'X'); FIELD(@,@SM,1)</t>
  </si>
  <si>
    <t>DE.FLOCN.WHOUSE</t>
  </si>
  <si>
    <t>TRANS(WINERY.LOCATION,DE.FLOCN,DESC,'X')</t>
  </si>
  <si>
    <t>DE.FLOCN.DESC</t>
  </si>
  <si>
    <t>Despatch Note Consolidated From Tanks Batch Codes</t>
  </si>
  <si>
    <t>DE.DN.FT.SU</t>
  </si>
  <si>
    <t>Despatch Note</t>
  </si>
  <si>
    <t>SUBR(SUBR.PENBW:'PBWI1170',DE.FLOCN,RLTD.D.R.NOTE,7);@1[1,LEN(@1)-11];</t>
  </si>
  <si>
    <t>DE.DN.MFBATCH.SUM</t>
  </si>
  <si>
    <t>Despatch note from tanks batch codes</t>
  </si>
  <si>
    <t>DE.DN.FT</t>
  </si>
  <si>
    <t>D/Note</t>
  </si>
  <si>
    <t>SUBR(SUBR.PENBW:'PBWI1170',DE.FLOCN,RLTD.D.R.NOTE,55)</t>
  </si>
  <si>
    <t>DE.DN.MFBATCH</t>
  </si>
  <si>
    <t>Despatch Note Sum of from tanks volumes moved</t>
  </si>
  <si>
    <t>DE.DN.FTVOLM.SUM</t>
  </si>
  <si>
    <t>Despatch note from tanks volumes moved</t>
  </si>
  <si>
    <t>SUBR(SUBR.PENBW:'PBWI1170',DE.FLOCN,RLTD.D.R.NOTE,7);@1[1,LEN(@1)-11]</t>
  </si>
  <si>
    <t>DE.DN.FTVOLM</t>
  </si>
  <si>
    <t>Current month and year</t>
  </si>
  <si>
    <t>OCONV(DATE(),'D4/')[7]</t>
  </si>
  <si>
    <t>CUR.MTH.YR</t>
  </si>
  <si>
    <t>TRANS(MTANK,CTANK,'CHEMNOTES','X')</t>
  </si>
  <si>
    <t>CTANK.CHEMNOTES</t>
  </si>
  <si>
    <t>Current tank at time of tests</t>
  </si>
  <si>
    <t>TRANS(CHEM,MTCHEMNO,'CTANK','X')</t>
  </si>
  <si>
    <t>CTANK</t>
  </si>
  <si>
    <t>Create month and year</t>
  </si>
  <si>
    <t>OCONV(CREATE.DATE,'D4/')[7]</t>
  </si>
  <si>
    <t>CRT.MTH.YR</t>
  </si>
  <si>
    <t>cost code count</t>
  </si>
  <si>
    <t>DCOUNT(BLEND.COST.CODE,@VM)</t>
  </si>
  <si>
    <t>COST.CODE.CNT</t>
  </si>
  <si>
    <t>Litres corrected to 20 degrees</t>
  </si>
  <si>
    <t>SUBR("*PBWZ383",MTVOLA,MTTEMP,MTSTR)</t>
  </si>
  <si>
    <t>Chit/Opsmove split MRDATE defn used on I.CP.OPSMOVE inversion file</t>
  </si>
  <si>
    <t>IF COUNT(@ID,'-') THEN MRDATE ELSE TRANS(CHIT,@ID,MRDATE,'X')</t>
  </si>
  <si>
    <t>CO.MRDATE</t>
  </si>
  <si>
    <t>Chit/Opsmove split MACTIV defn used on I.CP.OPSMOVE inversion file</t>
  </si>
  <si>
    <t>IF COUNT(@ID,'-') THEN MACTIV ELSE 'R'</t>
  </si>
  <si>
    <t>CO.MACTIV</t>
  </si>
  <si>
    <t>TRANS(MADD,CMADDCD,'AUOMISS','X'); IFS(GTS(LENS(CMADDCD),REUSE(4)),REUSE('LT'),@1)</t>
  </si>
  <si>
    <t>RAISE(TRANS(SUMCOMP.TANK,MFTANK,'ADD.QTY','X'))</t>
  </si>
  <si>
    <t>Description of stock items</t>
  </si>
  <si>
    <t>TRANS(MBATCH,CMADDCD,"BATCH.DESC",'X');TRANS(MBATCH.HIST,CMADDCD,"BATCH.DESC",'X');</t>
  </si>
  <si>
    <t>RAISE(TRANS(SUMCOMP.TANK,MFTANK,'ADD.CODE','X'))</t>
  </si>
  <si>
    <t>Vintage year of the chit</t>
  </si>
  <si>
    <t>CHITYEAR</t>
  </si>
  <si>
    <t>TRANS(CHEM,MTCHEMNO,'CHIT.XREF','X')</t>
  </si>
  <si>
    <t>CHIT.XREF</t>
  </si>
  <si>
    <t>Quantity received on this chit</t>
  </si>
  <si>
    <t>Chit Qty</t>
  </si>
  <si>
    <t>TRANS(PODETAIL,SEL.PODETAIL.ID,'CHIT.QTY','X')</t>
  </si>
  <si>
    <t>CHIT.QTY</t>
  </si>
  <si>
    <t>TRANS(MTANK,MTTANK,'CHEMNOTES','X')</t>
  </si>
  <si>
    <t>CENR DATE HEADING</t>
  </si>
  <si>
    <t>Cenr Date</t>
  </si>
  <si>
    <t>CENRD</t>
  </si>
  <si>
    <t>SUBR('!SUBS',MTVOLA,MTVOL)</t>
  </si>
  <si>
    <t>CALC.TTVOLM</t>
  </si>
  <si>
    <t>Gain/loss</t>
  </si>
  <si>
    <t>SUM(MTVOLA-MTVOL)-SUM(MFVOL-MFVOLA)</t>
  </si>
  <si>
    <t>CALC.GAINLOSS</t>
  </si>
  <si>
    <t>SUBR('!SUBS',MFVOL,MFVOLA)</t>
  </si>
  <si>
    <t>CALC.FTVOLM</t>
  </si>
  <si>
    <t>RAISE(TRANS(SUMCOMP.TANK,MFTANK,'ADD.LOT.QTY','X'))</t>
  </si>
  <si>
    <t>Additive lot description</t>
  </si>
  <si>
    <t>TRANS(LOT,CADD.LOT,DESC,'X')</t>
  </si>
  <si>
    <t>RAISE(TRANS(SUMCOMP.TANK,MFTANK,'ADD.LOT','X'))</t>
  </si>
  <si>
    <t>Record activity code, null = unregistered, R = registered/no</t>
  </si>
  <si>
    <t>REC ACTIV</t>
  </si>
  <si>
    <t>TRANS(CHEM,MTCHEMNO,'CACTIV','X')</t>
  </si>
  <si>
    <t>OPSMOVE Time request made for operation</t>
  </si>
  <si>
    <t>TRANS(OPSMOVE,@ID,3,'X')</t>
  </si>
  <si>
    <t>BWRS.MRTIME</t>
  </si>
  <si>
    <t>OPSMOVE Operation identification code</t>
  </si>
  <si>
    <t>TRANS(OPSMOVE,@ID,MOPCD,'X')</t>
  </si>
  <si>
    <t>BWRS.MOPCD</t>
  </si>
  <si>
    <t>OPSMOVE Time of operation update</t>
  </si>
  <si>
    <t>UPDATED</t>
  </si>
  <si>
    <t>TRANS(OPSMOVE,@ID,68,'X')</t>
  </si>
  <si>
    <t>BWRS.MATIME</t>
  </si>
  <si>
    <t>OPSMOVE Date actual action started</t>
  </si>
  <si>
    <t>TRANS(OPSMOVE,@ID,4,'X')</t>
  </si>
  <si>
    <t>BWRS.MADATE.UN</t>
  </si>
  <si>
    <t>BWRS.MADATE</t>
  </si>
  <si>
    <t>OPSMOVE To Inventory Level</t>
  </si>
  <si>
    <t>TO INV</t>
  </si>
  <si>
    <t>TRANS(OPSMOVE,@ID,83,'X')</t>
  </si>
  <si>
    <t>BWRS.ITLEVEL</t>
  </si>
  <si>
    <t>BWALLOC.OPSMOVE record</t>
  </si>
  <si>
    <t>BWALLOC.OPSMOVE</t>
  </si>
  <si>
    <t>TRANS(BWALLOC.OPSMOVE,MCNOTE,-1,'X')</t>
  </si>
  <si>
    <t>BWOP$REC</t>
  </si>
  <si>
    <t>26R</t>
  </si>
  <si>
    <t>SUBR("!FMTS",MTBLEND,'L%12'); SUBR("!FMTS",MTBATCH,'L%7');</t>
  </si>
  <si>
    <t>BWM.KEY</t>
  </si>
  <si>
    <t>Allocation To Tanks</t>
  </si>
  <si>
    <t>RAISE(TRANS(BWALLOC.OPSMOVE,@ID,TTANK,'X'))</t>
  </si>
  <si>
    <t>BWALLOC.TTANK</t>
  </si>
  <si>
    <t>BWALLOC id for intransit tanks</t>
  </si>
  <si>
    <t>SUBR(SUBR.PENBW:'PBWI934',DE.INT.TANK)</t>
  </si>
  <si>
    <t>Allocation From Tanks</t>
  </si>
  <si>
    <t>RAISE(TRANS(BWALLOC.OPSMOVE,@ID,FTANK,'X'))</t>
  </si>
  <si>
    <t>BWALLOC.FTANK</t>
  </si>
  <si>
    <t>Bulk wine stocktake, To blend &amp; reason</t>
  </si>
  <si>
    <t>BSTK.BLEND.</t>
  </si>
  <si>
    <t>44L</t>
  </si>
  <si>
    <t>To Blend &amp;</t>
  </si>
  <si>
    <t>FIELD(MTBLEND,@VM,1):' ':FIELD(MTBLENDESC,@VM,1):@VM:GL.REASON</t>
  </si>
  <si>
    <t>BSTK.BLEND.REAS</t>
  </si>
  <si>
    <t>From warehouse used on BSM extraction</t>
  </si>
  <si>
    <t>FIELD(FIELD(PROD.ID,@VM,1),'*',3)</t>
  </si>
  <si>
    <t>BSM.FWHOUSE</t>
  </si>
  <si>
    <t>Bottling date from BOTT OPSMOVE record</t>
  </si>
  <si>
    <t>Bottling</t>
  </si>
  <si>
    <t>SUBR(SUBR.PENBW:'PBWI833',@ID)</t>
  </si>
  <si>
    <t>BOTT.DATE</t>
  </si>
  <si>
    <t>FIELD(MFBATCH,@VM,1)</t>
  </si>
  <si>
    <t>BOT.BATCH</t>
  </si>
  <si>
    <t>From Blend Type Code</t>
  </si>
  <si>
    <t>TRANS(MBLEND,BLEND.OUT,BTYPECODE,'X')</t>
  </si>
  <si>
    <t>BLEND.OUT.TYPE</t>
  </si>
  <si>
    <t>To Blend Type Code</t>
  </si>
  <si>
    <t>BLEND.IN.TYPE</t>
  </si>
  <si>
    <t>To Blend Codes</t>
  </si>
  <si>
    <t>MTBLEND;IF MOPCD = 'STMN' THEN MTRBLEND ELSE @</t>
  </si>
  <si>
    <t>BLEND.IN</t>
  </si>
  <si>
    <t>Cost Code Description</t>
  </si>
  <si>
    <t>BCOST</t>
  </si>
  <si>
    <t>Style Code - Fourth character of the blend code</t>
  </si>
  <si>
    <t>MFBLEND[4,1]</t>
  </si>
  <si>
    <t>Approx number of barrels, calculated by dividing volume by 250</t>
  </si>
  <si>
    <t>No</t>
  </si>
  <si>
    <t>TOTAL(SUBR('*PZZI211','DIVC',MTVOLA,250,'',''))</t>
  </si>
  <si>
    <t>BARRELS</t>
  </si>
  <si>
    <t>Total volume moved in - for all op types</t>
  </si>
  <si>
    <t>SUBR('!ADDS',CALC.TTVOLM, MTRLITRES)</t>
  </si>
  <si>
    <t>ALL.TTVOLM</t>
  </si>
  <si>
    <t>Tank codes separated by '/'</t>
  </si>
  <si>
    <t>To Tank codes</t>
  </si>
  <si>
    <t>CONVERT(@VM,'/',MTTANK)</t>
  </si>
  <si>
    <t>ALL.TO.TANKS</t>
  </si>
  <si>
    <t>Tank codes</t>
  </si>
  <si>
    <t>MFTANK:'-':MTTANK;CONVERT(@VM,'/',@) ;IF @2 = '-' THEN '' ELSE @2 ;IF      @3[1] =</t>
  </si>
  <si>
    <t>ALL.TANKS</t>
  </si>
  <si>
    <t>Total volume moved out - for all op types</t>
  </si>
  <si>
    <t>TRANS(MOPS,MOPCD,UPDATE.CODE,'X') ; TRANS(MOPS.DEL,MOPCD,UPDATE.CODE,'X')  ; IF @1</t>
  </si>
  <si>
    <t>ALL.FTVOLM</t>
  </si>
  <si>
    <t>All blends</t>
  </si>
  <si>
    <t>MFBLEND;MTBLEND;IF MOPCD = 'STMN' THEN MTRBLEND ELSE @;@1:@VM:@</t>
  </si>
  <si>
    <t>ALL.BLEND</t>
  </si>
  <si>
    <t>ADW.TYPE</t>
  </si>
  <si>
    <t>DCOUNT(DE.TLOCN,@VM)</t>
  </si>
  <si>
    <t>Additive lot tracing start date (no output conv)</t>
  </si>
  <si>
    <t>TRANS(DESCRIPTION,'ADDLOTSTART',1,'X');IF @ THEN @ ELSE 13881</t>
  </si>
  <si>
    <t>ADDLOTSTART.I</t>
  </si>
  <si>
    <t>Additive lot tracing start date</t>
  </si>
  <si>
    <t>ADDLOTSTART</t>
  </si>
  <si>
    <t>TRANS(LOT,ADD.LOT,DESC,'X')</t>
  </si>
  <si>
    <t>ADD.LOT.DESC</t>
  </si>
  <si>
    <t>Add Item</t>
  </si>
  <si>
    <t>TRANS(MADD,MADDCD,'PRODNO','X')</t>
  </si>
  <si>
    <t>ADD.ITEM</t>
  </si>
  <si>
    <t>ACID ADJUST HEADING</t>
  </si>
  <si>
    <t>ACIDA</t>
  </si>
  <si>
    <t>SWA litres for a purchase chit</t>
  </si>
  <si>
    <t>PUR.SWA.LITRES</t>
  </si>
  <si>
    <t>Source documents have been corrected. (includes cleared)</t>
  </si>
  <si>
    <t>SRCDOCS.CORRECTED</t>
  </si>
  <si>
    <t>Additions and additive lots have been corrected. (includes cleared)</t>
  </si>
  <si>
    <t>ADDS.CORRECTED</t>
  </si>
  <si>
    <t>Summary comp has been corrected.</t>
  </si>
  <si>
    <t>SCOMP.CORRECTED</t>
  </si>
  <si>
    <t>SWA Litres were corrected.</t>
  </si>
  <si>
    <t>SWA.CORRECTED</t>
  </si>
  <si>
    <t>Sustainable Winemaking Australia qualifying litres</t>
  </si>
  <si>
    <t>Time operation updated</t>
  </si>
  <si>
    <t>Time updated</t>
  </si>
  <si>
    <t>TIME.UPDATED</t>
  </si>
  <si>
    <t>Date operation updated</t>
  </si>
  <si>
    <t>Date updated</t>
  </si>
  <si>
    <t>DATE.UPDATED</t>
  </si>
  <si>
    <t>MOVE cellar hand comments (from MOVE)</t>
  </si>
  <si>
    <t>MOVE.CH.COM</t>
  </si>
  <si>
    <t>MOVE cellar hand comments</t>
  </si>
  <si>
    <t>MOVE.CH.COMM</t>
  </si>
  <si>
    <t>MOVE Wine Status captured by DEFUSE extract</t>
  </si>
  <si>
    <t>MOVE.WINE.STATUS</t>
  </si>
  <si>
    <t>MOVE Batch code captured by DEFUSE extract</t>
  </si>
  <si>
    <t>MOVE.BATCH</t>
  </si>
  <si>
    <t>MOVE Blend code captured by DEFUSE extract</t>
  </si>
  <si>
    <t>MOVE.BLEND</t>
  </si>
  <si>
    <t>Total volume on MOVE transport request</t>
  </si>
  <si>
    <t>MOVE.VOLUME</t>
  </si>
  <si>
    <t>MOVE MPF</t>
  </si>
  <si>
    <t>MOVE.MPF</t>
  </si>
  <si>
    <t>MOVE Interface number 1 to 4 (5 excluded) to last update CHIT.</t>
  </si>
  <si>
    <t>MOVE.IFACE.NO</t>
  </si>
  <si>
    <t>MOVE booking number</t>
  </si>
  <si>
    <t>DE.MOVE.BKNG</t>
  </si>
  <si>
    <t>MOVE Transport request number</t>
  </si>
  <si>
    <t>MOVE.TRNSPT.REQ</t>
  </si>
  <si>
    <t>Error text to be sent via interface to project MOVE</t>
  </si>
  <si>
    <t>Error text for MOVE</t>
  </si>
  <si>
    <t>MOVE.ERR.TXT</t>
  </si>
  <si>
    <t>The chit is interfaced with project MOVE</t>
  </si>
  <si>
    <t>MOVE.IFACED</t>
  </si>
  <si>
    <t>Wood batch when operation is a wood insertion</t>
  </si>
  <si>
    <t>WOOD.BATCH</t>
  </si>
  <si>
    <t>Additive lot quantity on purchase and summary comp correction</t>
  </si>
  <si>
    <t>Add</t>
  </si>
  <si>
    <t>Chemistry request number associated with FROM tanks</t>
  </si>
  <si>
    <t>MFCHEMNO</t>
  </si>
  <si>
    <t>Winemaker earliest start date</t>
  </si>
  <si>
    <t>WMEST.DATE</t>
  </si>
  <si>
    <t>Time finished</t>
  </si>
  <si>
    <t>TIME.FINISHED</t>
  </si>
  <si>
    <t>Date finished</t>
  </si>
  <si>
    <t>DATE.FINISHED</t>
  </si>
  <si>
    <t>Time started</t>
  </si>
  <si>
    <t>TIME.STARTED</t>
  </si>
  <si>
    <t>Date started</t>
  </si>
  <si>
    <t>DATE.STARTED</t>
  </si>
  <si>
    <t>CIR number</t>
  </si>
  <si>
    <t>CIR.NUMBER</t>
  </si>
  <si>
    <t>Gain/Loss reason code</t>
  </si>
  <si>
    <t>GL.CODE</t>
  </si>
  <si>
    <t>Chemistry request ID`s generated against trucks on a Despatch chit</t>
  </si>
  <si>
    <t>MTRCHEMNO</t>
  </si>
  <si>
    <t>Selected PODETAIL Id</t>
  </si>
  <si>
    <t>PODETAIL</t>
  </si>
  <si>
    <t>SEL.PODETAIL.ID</t>
  </si>
  <si>
    <t>Sequence on winery operations work order</t>
  </si>
  <si>
    <t>WOP.WKORD.SEQ</t>
  </si>
  <si>
    <t>Winery operations work order</t>
  </si>
  <si>
    <t>WOP.WKORD</t>
  </si>
  <si>
    <t>'To' truck allocation percentage this volume</t>
  </si>
  <si>
    <t>MTRALLOCPERC</t>
  </si>
  <si>
    <t>'From' tank allocation percentage this volume</t>
  </si>
  <si>
    <t>MFALLOCPERC</t>
  </si>
  <si>
    <t>To Tank Allocated Litres</t>
  </si>
  <si>
    <t>MTALLOCLITRES</t>
  </si>
  <si>
    <t>To Tank Allocation Vintage</t>
  </si>
  <si>
    <t>MTALLOCVINT</t>
  </si>
  <si>
    <t>To Tank Generic Code</t>
  </si>
  <si>
    <t>MTGENERIC</t>
  </si>
  <si>
    <t>To Truck Allocated Litres</t>
  </si>
  <si>
    <t>MTRALLOCLITRES</t>
  </si>
  <si>
    <t>To Truck Allocation Vintage</t>
  </si>
  <si>
    <t>MTRALLOCVINT</t>
  </si>
  <si>
    <t>To Truck Generic Code</t>
  </si>
  <si>
    <t>To Truck</t>
  </si>
  <si>
    <t>MTRGENERIC</t>
  </si>
  <si>
    <t>From Tank Allocated Litres</t>
  </si>
  <si>
    <t>MFALLOCLITRES</t>
  </si>
  <si>
    <t>From Tank Allocation Vintage</t>
  </si>
  <si>
    <t>MFALLOCVINT</t>
  </si>
  <si>
    <t>From Tank Generic Code</t>
  </si>
  <si>
    <t>MFGENERIC</t>
  </si>
  <si>
    <t>Overwritten from freight area</t>
  </si>
  <si>
    <t>OW.FROM.FREIGHT.AREA</t>
  </si>
  <si>
    <t>Spirit Class - TO</t>
  </si>
  <si>
    <t>To Class</t>
  </si>
  <si>
    <t>MTCLASS</t>
  </si>
  <si>
    <t>Times the chit has been printed (MV)</t>
  </si>
  <si>
    <t>DATES.PRINT</t>
  </si>
  <si>
    <t>Times</t>
  </si>
  <si>
    <t>TIMES.PRINTED</t>
  </si>
  <si>
    <t>Dates the chit has been printed (MV)</t>
  </si>
  <si>
    <t>Dates</t>
  </si>
  <si>
    <t>DATES.PRINTED</t>
  </si>
  <si>
    <t>Chit has been printed</t>
  </si>
  <si>
    <t>Chit</t>
  </si>
  <si>
    <t>PRINTED</t>
  </si>
  <si>
    <t>YYYYMMDDHHMMSS Date stamp used on WTO.CHITS.ORIG file record</t>
  </si>
  <si>
    <t>WTO.DATESTAMP</t>
  </si>
  <si>
    <t>Opsmove creation date</t>
  </si>
  <si>
    <t>Creation</t>
  </si>
  <si>
    <t>Text with information on assigned equipment and pipe paths</t>
  </si>
  <si>
    <t>WTO.INSTRUC</t>
  </si>
  <si>
    <t>72L</t>
  </si>
  <si>
    <t>WTO.INSTRUCTIONS</t>
  </si>
  <si>
    <t>Wine Tank Optimiser Status</t>
  </si>
  <si>
    <t>WTO.STATUS</t>
  </si>
  <si>
    <t>Original required completion time as entered by winemaker</t>
  </si>
  <si>
    <t>ORIG.MRTIME</t>
  </si>
  <si>
    <t>Original required completion date as entered by winemaker</t>
  </si>
  <si>
    <t>ORIG.MRDATE</t>
  </si>
  <si>
    <t>Free form text that can be used for tracking sales items</t>
  </si>
  <si>
    <t>SALES.ITEM.TEXT</t>
  </si>
  <si>
    <t>Tonnes associated with source document</t>
  </si>
  <si>
    <t>SRC.DOC.TONNES</t>
  </si>
  <si>
    <t>Litres associated with source document</t>
  </si>
  <si>
    <t>SRC.DOC.LITRES</t>
  </si>
  <si>
    <t>Composition correction - source document (purchase chit or weigh</t>
  </si>
  <si>
    <t>SRC.DOC.CRCTN</t>
  </si>
  <si>
    <t>The unit of measure for the lot quantity that updated JDE</t>
  </si>
  <si>
    <t>Lot UOM JDE</t>
  </si>
  <si>
    <t>ADD.LOT.UOM.JDE</t>
  </si>
  <si>
    <t>The quantity of the additive lot sent to JDE as consumption</t>
  </si>
  <si>
    <t>Lot Qty JDE</t>
  </si>
  <si>
    <t>ADD.LOT.QTY.JDE</t>
  </si>
  <si>
    <t>Status of contract weigh notes against To tanks on a receipt chit of</t>
  </si>
  <si>
    <t>CONTRACT.WNFLAG</t>
  </si>
  <si>
    <t>Set to 1 if the To tank Contract weigh note has not been mapped to a</t>
  </si>
  <si>
    <t>CONTRACT.UNMAPPED</t>
  </si>
  <si>
    <t>Contract tonnes against To tanks (SV)</t>
  </si>
  <si>
    <t>CONTRACT.TONNES</t>
  </si>
  <si>
    <t>Contract litres placed into To tanks (SV)</t>
  </si>
  <si>
    <t>CONTRACT.LTRS</t>
  </si>
  <si>
    <t>Contract weigh notes against To tanks (SV)</t>
  </si>
  <si>
    <t>CONTRACT.WNOTES</t>
  </si>
  <si>
    <t>LALs moved in</t>
  </si>
  <si>
    <t>LALs</t>
  </si>
  <si>
    <t>MTLALS.IN</t>
  </si>
  <si>
    <t>Enter % alcohol by volume</t>
  </si>
  <si>
    <t>Entered</t>
  </si>
  <si>
    <t>ENTERED.VV</t>
  </si>
  <si>
    <t>To LALs @ 20oC</t>
  </si>
  <si>
    <t>MTLALS.20</t>
  </si>
  <si>
    <t>To Tank Obscuration Reading</t>
  </si>
  <si>
    <t>MTOBS</t>
  </si>
  <si>
    <t>MTHYD</t>
  </si>
  <si>
    <t>From LALs @ 20oC</t>
  </si>
  <si>
    <t>MFLALS.20</t>
  </si>
  <si>
    <t>From Tank Obscuration Reading</t>
  </si>
  <si>
    <t>MFOBS</t>
  </si>
  <si>
    <t>MFHYD</t>
  </si>
  <si>
    <t>Multivalued list of @IDS to the ADDOP.MAINT file generated by</t>
  </si>
  <si>
    <t>ADDOP.MAINT</t>
  </si>
  <si>
    <t>ADDOP.MAINT.ID</t>
  </si>
  <si>
    <t>Line number for 'SAL' sales notes</t>
  </si>
  <si>
    <t>LINE</t>
  </si>
  <si>
    <t>MTSALLINE</t>
  </si>
  <si>
    <t>Additive lot number</t>
  </si>
  <si>
    <t>Tirage Receival Truck #</t>
  </si>
  <si>
    <t>MTRUCK.NUM</t>
  </si>
  <si>
    <t>Tirage information</t>
  </si>
  <si>
    <t>Tirage info</t>
  </si>
  <si>
    <t>DE.FTIRAGE</t>
  </si>
  <si>
    <t>Volume salvaged from CHIT</t>
  </si>
  <si>
    <t>CHIT.VOLUME.SALVAGED</t>
  </si>
  <si>
    <t>Finished Goods Code * Original Production Date</t>
  </si>
  <si>
    <t>Finished/WIP Code</t>
  </si>
  <si>
    <t>FG.CODE.DATE</t>
  </si>
  <si>
    <t>Original Bottling chit data*whse*bottling line line*product</t>
  </si>
  <si>
    <t>Original Bottling</t>
  </si>
  <si>
    <t>OBC.DWLP</t>
  </si>
  <si>
    <t>Volume Salvaged from Original Bottling Chit</t>
  </si>
  <si>
    <t>VOLUME.SALVAGED</t>
  </si>
  <si>
    <t>Original Bottling chit for Salvage Decant</t>
  </si>
  <si>
    <t>ORIG.BOTTLING.CHIT</t>
  </si>
  <si>
    <t>To Tank Grade Level After</t>
  </si>
  <si>
    <t>TT.GL.AFT</t>
  </si>
  <si>
    <t>To Tank Grade Level Before</t>
  </si>
  <si>
    <t>TT.GL.B4</t>
  </si>
  <si>
    <t>From Tank Grade Level After</t>
  </si>
  <si>
    <t>FT.GL.AFT</t>
  </si>
  <si>
    <t>From Tank Grade Level B4</t>
  </si>
  <si>
    <t>FT.GL.B4</t>
  </si>
  <si>
    <t>Grade Level Vintage Year</t>
  </si>
  <si>
    <t>GL.VIYEAR</t>
  </si>
  <si>
    <t>Old Sub-location prior to conversion to Winery Location</t>
  </si>
  <si>
    <t>TL</t>
  </si>
  <si>
    <t>SAVE.DE.TLOCN</t>
  </si>
  <si>
    <t>FL</t>
  </si>
  <si>
    <t>SAVE.DE.FLOCN</t>
  </si>
  <si>
    <t>Purchasing Grade Level assigned to To Tank</t>
  </si>
  <si>
    <t>PURCH.GL</t>
  </si>
  <si>
    <t>Litres for 'to' tanks</t>
  </si>
  <si>
    <t>WM.TLITRES</t>
  </si>
  <si>
    <t>Fill number for 'to' tanks</t>
  </si>
  <si>
    <t>WM.TFILL.NO</t>
  </si>
  <si>
    <t>Wood type for 'to' tanks</t>
  </si>
  <si>
    <t>WM.TWOOD.TYPE</t>
  </si>
  <si>
    <t>Litres for 'from' tanks</t>
  </si>
  <si>
    <t>WM.FLITRES</t>
  </si>
  <si>
    <t>Fill number for 'from' tanks</t>
  </si>
  <si>
    <t>WM.FFIL.NO</t>
  </si>
  <si>
    <t>Wood type for 'from' tanks</t>
  </si>
  <si>
    <t>WM.FWOOD.TYPE</t>
  </si>
  <si>
    <t>Initial Grape Value for Tank</t>
  </si>
  <si>
    <t>MTIGV</t>
  </si>
  <si>
    <t>Initial Grade Level for Tank</t>
  </si>
  <si>
    <t>MTIGL</t>
  </si>
  <si>
    <t>Grade Level for Tank</t>
  </si>
  <si>
    <t>MTGL</t>
  </si>
  <si>
    <t>Actual Total Overhead cost per litre</t>
  </si>
  <si>
    <t>ACT.TOT.OH.COST</t>
  </si>
  <si>
    <t>Actual Variable Overhead cost per litre</t>
  </si>
  <si>
    <t>ACT.VAR.OH.COST</t>
  </si>
  <si>
    <t>Actual Chips cost per litre</t>
  </si>
  <si>
    <t>ACT.CHIPS.COST</t>
  </si>
  <si>
    <t>Actual Wood cost per litre</t>
  </si>
  <si>
    <t>ACT.WOOD.COST</t>
  </si>
  <si>
    <t>Blend Variable cost/litre</t>
  </si>
  <si>
    <t>Var.</t>
  </si>
  <si>
    <t>BLEND.COST.VAR.LTRS</t>
  </si>
  <si>
    <t>Reason for bulk wine stocktake adjustment</t>
  </si>
  <si>
    <t>Stock Adjustment Reason</t>
  </si>
  <si>
    <t>BSTK.REAS</t>
  </si>
  <si>
    <t>ID to BARREL.REGISTER of where MT barrels go</t>
  </si>
  <si>
    <t>MT Barrel</t>
  </si>
  <si>
    <t>MT.BARREL.DEST</t>
  </si>
  <si>
    <t>ID to BARREL.REGISTER where barrels come FROM</t>
  </si>
  <si>
    <t>Barrel Source</t>
  </si>
  <si>
    <t>BARREL.SOURCE</t>
  </si>
  <si>
    <t>Unit of measure for additive</t>
  </si>
  <si>
    <t>UNIT OF</t>
  </si>
  <si>
    <t>AOUMEAS</t>
  </si>
  <si>
    <t>Rate of additive addition</t>
  </si>
  <si>
    <t>RATE ADDED</t>
  </si>
  <si>
    <t>ADDRATE</t>
  </si>
  <si>
    <t>Usage Type of the TO Tank</t>
  </si>
  <si>
    <t>MTTANK.USE</t>
  </si>
  <si>
    <t>Unique key to the VINT.SUMM file</t>
  </si>
  <si>
    <t>Vintage Summary File Key</t>
  </si>
  <si>
    <t>Blend costs/litre</t>
  </si>
  <si>
    <t>BLEND.COST.LTRS</t>
  </si>
  <si>
    <t>Tank blend cost code</t>
  </si>
  <si>
    <t>Finished Goods Code referencing ORDERS file (att 29)</t>
  </si>
  <si>
    <t>FIN GOODS</t>
  </si>
  <si>
    <t>FIN.GOODS.CODE</t>
  </si>
  <si>
    <t>Work Order Production ID</t>
  </si>
  <si>
    <t>PROD.ID</t>
  </si>
  <si>
    <t>Work Order for Bottling Despatch Chits</t>
  </si>
  <si>
    <t>WORK</t>
  </si>
  <si>
    <t>WK.ORDER</t>
  </si>
  <si>
    <t>Process Order Number</t>
  </si>
  <si>
    <t>Process Order No.</t>
  </si>
  <si>
    <t>PR.ORDNO</t>
  </si>
  <si>
    <t>Tanks associated with warning nos</t>
  </si>
  <si>
    <t>WARNED</t>
  </si>
  <si>
    <t>WARNING.TANKS</t>
  </si>
  <si>
    <t>Warning Numbers Xref'D to the WARNING.MESSAGES file</t>
  </si>
  <si>
    <t>WARNING.NO</t>
  </si>
  <si>
    <t>Intransit tank codes</t>
  </si>
  <si>
    <t>DE.INT.TANK</t>
  </si>
  <si>
    <t>Freight cost per litre for despatch and purchase chits if we are</t>
  </si>
  <si>
    <t>Freight</t>
  </si>
  <si>
    <t>DE.FRT.COST</t>
  </si>
  <si>
    <t>Tanker Movt. ID'S for Cartnotes, From/To Hours</t>
  </si>
  <si>
    <t>TANKER MOVE</t>
  </si>
  <si>
    <t>TANKER.MOVEMENTS</t>
  </si>
  <si>
    <t>Specification Confirmed By</t>
  </si>
  <si>
    <t>SPECIFICATIONS</t>
  </si>
  <si>
    <t>CONF.SPEC.BY</t>
  </si>
  <si>
    <t>Specifications Confirmed Reference</t>
  </si>
  <si>
    <t>SPECIFIC</t>
  </si>
  <si>
    <t>CONF.SPEC.REF</t>
  </si>
  <si>
    <t>POTRANS ID which contains From Blend Code</t>
  </si>
  <si>
    <t>POTRANS</t>
  </si>
  <si>
    <t>POTRANS.ID</t>
  </si>
  <si>
    <t>Percentage of each component of the Total</t>
  </si>
  <si>
    <t>PURCH</t>
  </si>
  <si>
    <t>PURCH.PCNT</t>
  </si>
  <si>
    <t>Reason that this chit appeared on the summary composition error list</t>
  </si>
  <si>
    <t>SC.ERR</t>
  </si>
  <si>
    <t>Summary Composition Error</t>
  </si>
  <si>
    <t>SUMCOMP.ERROR.REASON</t>
  </si>
  <si>
    <t>TRUCK.STATUS</t>
  </si>
  <si>
    <t>Batch code related to truck or truck compartment</t>
  </si>
  <si>
    <t>TRUCK.BATCH</t>
  </si>
  <si>
    <t>List of programs that have updated this record</t>
  </si>
  <si>
    <t>UPD.BY.PROG</t>
  </si>
  <si>
    <t>Additive quantity as entered on a chit</t>
  </si>
  <si>
    <t>ADDQTY</t>
  </si>
  <si>
    <t>Linked Additions notice Id</t>
  </si>
  <si>
    <t>Addn Chit</t>
  </si>
  <si>
    <t>ADDN.NOTICE</t>
  </si>
  <si>
    <t>Summary Composition Tonnes</t>
  </si>
  <si>
    <t>SUM COMP</t>
  </si>
  <si>
    <t>SCTONNES</t>
  </si>
  <si>
    <t>Litres received into To tank from each Truck/Compartment</t>
  </si>
  <si>
    <t>Received</t>
  </si>
  <si>
    <t>RC.LITRES</t>
  </si>
  <si>
    <t>From tank numbers which Truck/Line wine blends come from in</t>
  </si>
  <si>
    <t>Desp.</t>
  </si>
  <si>
    <t>DE.FTANK</t>
  </si>
  <si>
    <t>Despatch Date</t>
  </si>
  <si>
    <t>DE.DATE</t>
  </si>
  <si>
    <t>Despatch est travel hours</t>
  </si>
  <si>
    <t>T/hrs</t>
  </si>
  <si>
    <t>DE.HRS</t>
  </si>
  <si>
    <t>Despatch payment type -  (S)tandard / (B)ackload / (H)ourly /</t>
  </si>
  <si>
    <t>DE.PAY.TYPE</t>
  </si>
  <si>
    <t>Despatch consignment number</t>
  </si>
  <si>
    <t>Cons No.</t>
  </si>
  <si>
    <t>DE.CONS</t>
  </si>
  <si>
    <t>Despatch transport company</t>
  </si>
  <si>
    <t>Trans</t>
  </si>
  <si>
    <t>DE.TRANS</t>
  </si>
  <si>
    <t>Despatch order number</t>
  </si>
  <si>
    <t>Order No.</t>
  </si>
  <si>
    <t>DE.ORDERNO</t>
  </si>
  <si>
    <t>Despatch to sub location</t>
  </si>
  <si>
    <t>DE.TLOCN</t>
  </si>
  <si>
    <t>Despatch from sub location</t>
  </si>
  <si>
    <t>DE.FLOCN</t>
  </si>
  <si>
    <t>Despatch transaction type</t>
  </si>
  <si>
    <t>DE.TYPE</t>
  </si>
  <si>
    <t>Summary Composition Update Flag</t>
  </si>
  <si>
    <t>SUMCOMP.UPD</t>
  </si>
  <si>
    <t>Crush slot number (key to crushplan)</t>
  </si>
  <si>
    <t>To Vol</t>
  </si>
  <si>
    <t>TTVOLM</t>
  </si>
  <si>
    <t>Volume moved from FROM tank</t>
  </si>
  <si>
    <t>From Vol</t>
  </si>
  <si>
    <t>FTVOLM</t>
  </si>
  <si>
    <t>Truck Inventory level</t>
  </si>
  <si>
    <t>TR INV</t>
  </si>
  <si>
    <t>IMTLEVEL</t>
  </si>
  <si>
    <t>List of I.B.M. files that this record was made up of</t>
  </si>
  <si>
    <t>To Inventory Level</t>
  </si>
  <si>
    <t>ITLEVEL</t>
  </si>
  <si>
    <t>From Inventory Level</t>
  </si>
  <si>
    <t>IFLEVEL</t>
  </si>
  <si>
    <t>Work Centre code for bottling</t>
  </si>
  <si>
    <t>W/Centre</t>
  </si>
  <si>
    <t>WORK.CENTRE</t>
  </si>
  <si>
    <t>Initials of Person Who Entered Loss/Gain Reason</t>
  </si>
  <si>
    <t>INITS</t>
  </si>
  <si>
    <t>GL.INITS</t>
  </si>
  <si>
    <t>Initials of Person or program name Who Entered Loss/Gain Reason</t>
  </si>
  <si>
    <t>GL.INIT.PRG</t>
  </si>
  <si>
    <t>Loss/Gain Reason Why</t>
  </si>
  <si>
    <t>LOSS/GAIN REASON</t>
  </si>
  <si>
    <t>GL.REASON</t>
  </si>
  <si>
    <t>Spirit Tanks Spirit Strength - TO</t>
  </si>
  <si>
    <t>TO STR</t>
  </si>
  <si>
    <t>MTSTR</t>
  </si>
  <si>
    <t>Financial Stock Update Flag</t>
  </si>
  <si>
    <t>UPDATE.FSTK.FLG</t>
  </si>
  <si>
    <t>Item Numbers That were updated via JKOE020</t>
  </si>
  <si>
    <t>ITEMNOS</t>
  </si>
  <si>
    <t>UPDATED.ITEMNOS</t>
  </si>
  <si>
    <t>Litres Update on Purchase Orders via JKOE020</t>
  </si>
  <si>
    <t>UPDATED.QTY</t>
  </si>
  <si>
    <t>Purchase Order Numbers That were updated via JKOE020</t>
  </si>
  <si>
    <t>P/O NOS</t>
  </si>
  <si>
    <t>UPDATED.PONOS</t>
  </si>
  <si>
    <t>Price per Litre Paid for Purchased Wine</t>
  </si>
  <si>
    <t>PRICE/</t>
  </si>
  <si>
    <t>MPLIT</t>
  </si>
  <si>
    <t>Purcahse Order Number That Wine was Purchased on</t>
  </si>
  <si>
    <t>MPONOS</t>
  </si>
  <si>
    <t>Vendor Number of Who Wine was Purchased From</t>
  </si>
  <si>
    <t>VENDOR</t>
  </si>
  <si>
    <t>MVENDOR</t>
  </si>
  <si>
    <t>Summary Composition Litres</t>
  </si>
  <si>
    <t>SCLITRES</t>
  </si>
  <si>
    <t>MTBOTPROD</t>
  </si>
  <si>
    <t>Litres Purchased</t>
  </si>
  <si>
    <t>MLITRES</t>
  </si>
  <si>
    <t>Grape Variety:Price Code:Source*Vintage year</t>
  </si>
  <si>
    <t>19L</t>
  </si>
  <si>
    <t>SCVAR</t>
  </si>
  <si>
    <t>Grape Variety:Price Code:Source Code of Wine Purchased</t>
  </si>
  <si>
    <t>MVAR</t>
  </si>
  <si>
    <t>Date Sent for Bottling = no conversion</t>
  </si>
  <si>
    <t>MTBOTDATE.EP</t>
  </si>
  <si>
    <t>Date Sent for Bottling</t>
  </si>
  <si>
    <t>MTBOTDATE.E</t>
  </si>
  <si>
    <t>MTBOTDATE</t>
  </si>
  <si>
    <t>Actual Time of Operation Completion</t>
  </si>
  <si>
    <t>MATIME.SHT</t>
  </si>
  <si>
    <t>MATIME.INT</t>
  </si>
  <si>
    <t>Truck Litres for Stock Movement Notes</t>
  </si>
  <si>
    <t>MTRLITRES</t>
  </si>
  <si>
    <t>Litres Sent for Bottling</t>
  </si>
  <si>
    <t>MTBOTLITRES</t>
  </si>
  <si>
    <t>Truck Blends for Stock Movement Notes</t>
  </si>
  <si>
    <t>TRUCK BLENDS</t>
  </si>
  <si>
    <t>Blend Sent for Bottling</t>
  </si>
  <si>
    <t>MTBOTBLEND</t>
  </si>
  <si>
    <t>Truck Numbers for Stock Movement Notes</t>
  </si>
  <si>
    <t>Line Number Bottling Done on for STMN to 'BOT' &amp; DISG notes.</t>
  </si>
  <si>
    <t>MTBOTLINE</t>
  </si>
  <si>
    <t>Small Wood From/To - To Tanks</t>
  </si>
  <si>
    <t>FROM/TO</t>
  </si>
  <si>
    <t>MFSWFROMTO</t>
  </si>
  <si>
    <t>Distillation Selected Lines numbers</t>
  </si>
  <si>
    <t>DIST</t>
  </si>
  <si>
    <t>MFSELNOS</t>
  </si>
  <si>
    <t>MTSWFROMTO</t>
  </si>
  <si>
    <t>Date Sent into Distillation</t>
  </si>
  <si>
    <t>SENT INTO</t>
  </si>
  <si>
    <t>MFDATEIN</t>
  </si>
  <si>
    <t>From Tirage Bottles Storage</t>
  </si>
  <si>
    <t>FROM TIRAGE</t>
  </si>
  <si>
    <t>MFTIRSTORE</t>
  </si>
  <si>
    <t>Small Wood Store - From</t>
  </si>
  <si>
    <t>FROM STORE</t>
  </si>
  <si>
    <t>MFSWSTORE12</t>
  </si>
  <si>
    <t>STORE/</t>
  </si>
  <si>
    <t>MFSWSTORE</t>
  </si>
  <si>
    <t>From Distillation Cellar Note no.</t>
  </si>
  <si>
    <t>FROM DIST</t>
  </si>
  <si>
    <t>MFDCNOTE</t>
  </si>
  <si>
    <t>To Tirage Bottles Storage</t>
  </si>
  <si>
    <t>TO TIRAGE</t>
  </si>
  <si>
    <t>MTTIRSTORE</t>
  </si>
  <si>
    <t>Small Wood Store/Stack - To Tanks</t>
  </si>
  <si>
    <t>TO STORE</t>
  </si>
  <si>
    <t>MTSWSTORE12</t>
  </si>
  <si>
    <t>MTSWSTORE</t>
  </si>
  <si>
    <t>From Distillation Volume</t>
  </si>
  <si>
    <t>MFDVOL</t>
  </si>
  <si>
    <t>To Tirage Bottles Qty</t>
  </si>
  <si>
    <t>MTTIRBOT</t>
  </si>
  <si>
    <t>To Temperature Distillation/Spirit</t>
  </si>
  <si>
    <t>MTTEMP</t>
  </si>
  <si>
    <t>To Tanks Small Wood Qty</t>
  </si>
  <si>
    <t>S/WOOD</t>
  </si>
  <si>
    <t>MTSWQTY</t>
  </si>
  <si>
    <t>From Tirage Bottles Qty</t>
  </si>
  <si>
    <t>MFTIRBOT</t>
  </si>
  <si>
    <t>From Temperature Distillation/Spirit</t>
  </si>
  <si>
    <t>MFTEMP</t>
  </si>
  <si>
    <t>From tanks Small Wood Qty</t>
  </si>
  <si>
    <t>MFSWQTY</t>
  </si>
  <si>
    <t>To Tanks Volume of After Dip</t>
  </si>
  <si>
    <t>MTVOLA</t>
  </si>
  <si>
    <t>MFVOLA</t>
  </si>
  <si>
    <t>To Batch/Group Number</t>
  </si>
  <si>
    <t>MTBATCH</t>
  </si>
  <si>
    <t>From Batch/Group Number</t>
  </si>
  <si>
    <t>To Spirit Tanks LALS</t>
  </si>
  <si>
    <t>MTLALS</t>
  </si>
  <si>
    <t>Spirit Tanks Spirit LALS Used</t>
  </si>
  <si>
    <t>MFLALUSED</t>
  </si>
  <si>
    <t>Spirit Tanks Spirit Litres Used</t>
  </si>
  <si>
    <t>MFLITUSED</t>
  </si>
  <si>
    <t>Spirit Tanks Spirit LALS</t>
  </si>
  <si>
    <t>MFLALS</t>
  </si>
  <si>
    <t>Spirit Tanks Spirit Strength</t>
  </si>
  <si>
    <t>MFSTR</t>
  </si>
  <si>
    <t>Spirit Tanks Litres Required of Spirit</t>
  </si>
  <si>
    <t>MFLITREQ</t>
  </si>
  <si>
    <t>Spirit Tanks Class</t>
  </si>
  <si>
    <t>MFCLASS</t>
  </si>
  <si>
    <t>Wine Tanks Final Perc V/V</t>
  </si>
  <si>
    <t>FINAL</t>
  </si>
  <si>
    <t>MTFINALVV</t>
  </si>
  <si>
    <t>Standard total cost per litre to add to existing cost</t>
  </si>
  <si>
    <t>STD.TOT.CST.ADD</t>
  </si>
  <si>
    <t>Wine Tanks Final Be</t>
  </si>
  <si>
    <t>MTFINALBE</t>
  </si>
  <si>
    <t>Standard total cost per litre to add to existing cost for an intransit tank on a</t>
  </si>
  <si>
    <t>DE.STD.TOT.CST.ADD</t>
  </si>
  <si>
    <t>Standard variable cost per litre to add to existing cost</t>
  </si>
  <si>
    <t>STD.VAR.CST.ADD</t>
  </si>
  <si>
    <t>Wine Tanks Fruit Be</t>
  </si>
  <si>
    <t>MTFRUITBE</t>
  </si>
  <si>
    <t>Standard variable cost per litre to add to existing cost for an intransit tank on a</t>
  </si>
  <si>
    <t>DE.STD.VAR.CST.ADD</t>
  </si>
  <si>
    <t>Standard total cost per litre to overwrite existing cost</t>
  </si>
  <si>
    <t>STD.TOT.CST.OVR</t>
  </si>
  <si>
    <t>Wine Tanks Initial Perc V/V</t>
  </si>
  <si>
    <t>INIT</t>
  </si>
  <si>
    <t>MTINITVV</t>
  </si>
  <si>
    <t>Standard total cost per litre to overwrite existing cost for an intransit tank on a</t>
  </si>
  <si>
    <t>DE.STD.TOT.CST.OVR</t>
  </si>
  <si>
    <t>Standard variable cost per litre to overwrite existing cost</t>
  </si>
  <si>
    <t>Wine Tank Initial Be</t>
  </si>
  <si>
    <t>MTINITBE</t>
  </si>
  <si>
    <t>Standard variable cost per litre to overwrite existing cost for an intransit tank on</t>
  </si>
  <si>
    <t>DE.STD.VAR.CST.OVR</t>
  </si>
  <si>
    <t>User Identification</t>
  </si>
  <si>
    <t>USER ID</t>
  </si>
  <si>
    <t>USERID</t>
  </si>
  <si>
    <t>Gain or Loss Associated with this Cellar Note</t>
  </si>
  <si>
    <t>MGL</t>
  </si>
  <si>
    <t>MGAINLOSS</t>
  </si>
  <si>
    <t>Operation Code</t>
  </si>
  <si>
    <t>T/OP</t>
  </si>
  <si>
    <t>MTOPCD</t>
  </si>
  <si>
    <t>Operation Centre</t>
  </si>
  <si>
    <t>MTOPCTR</t>
  </si>
  <si>
    <t>F/OP</t>
  </si>
  <si>
    <t>MFOPCD</t>
  </si>
  <si>
    <t>Original file the record came from of O=OPSMOVE, A=ADD.NOTICE and</t>
  </si>
  <si>
    <t>ORIG.FILE.IND</t>
  </si>
  <si>
    <t>MFOPCTR</t>
  </si>
  <si>
    <t>Print flag for Cellar Operation Notices.  NP = not yet printed, P = printed, M =</t>
  </si>
  <si>
    <t>PRNT</t>
  </si>
  <si>
    <t>MPRNTFLAG</t>
  </si>
  <si>
    <t>Additive status</t>
  </si>
  <si>
    <t>MASTATUS</t>
  </si>
  <si>
    <t>Reason for Summary Composition Correction</t>
  </si>
  <si>
    <t>REASON FOR</t>
  </si>
  <si>
    <t>SCREASON</t>
  </si>
  <si>
    <t>User comment for heading of cellar note - U/D in create &amp; update of cellar notes</t>
  </si>
  <si>
    <t>COMMENT FOR HEADING</t>
  </si>
  <si>
    <t>MHCOMMENT</t>
  </si>
  <si>
    <t>Additions description</t>
  </si>
  <si>
    <t>72T</t>
  </si>
  <si>
    <t>ADDITIONS DESCRIPTION</t>
  </si>
  <si>
    <t>IGL comment</t>
  </si>
  <si>
    <t>IGL Comment</t>
  </si>
  <si>
    <t>Related to Cellar Note No.</t>
  </si>
  <si>
    <t>TO REL</t>
  </si>
  <si>
    <t>MTRCNOTE</t>
  </si>
  <si>
    <t>Related from Cellar Note No.</t>
  </si>
  <si>
    <t>FROM REL</t>
  </si>
  <si>
    <t>MFRCNOTE</t>
  </si>
  <si>
    <t>To Tanks status  " "-no action yet, S-started, C-completed, M-empty</t>
  </si>
  <si>
    <t>T/T</t>
  </si>
  <si>
    <t>MTTSTAT</t>
  </si>
  <si>
    <t>From Tank status " " on action yet, S-started, C-completed, M- empty</t>
  </si>
  <si>
    <t>MFTSTAT</t>
  </si>
  <si>
    <t>Entered Date completed - used by addition notices</t>
  </si>
  <si>
    <t>MEDATE</t>
  </si>
  <si>
    <t>Cellar note was raise as part of a flow series - "F" , otherwise null</t>
  </si>
  <si>
    <t>FLOW</t>
  </si>
  <si>
    <t>MFLOW</t>
  </si>
  <si>
    <t>MCUST.OLD</t>
  </si>
  <si>
    <t>MCUST</t>
  </si>
  <si>
    <t>To Tank series of "sub values"  chemistry reference no. performed on these tanks</t>
  </si>
  <si>
    <t>MTCHEMNO</t>
  </si>
  <si>
    <t>TO COMMENTS</t>
  </si>
  <si>
    <t>MTCOMMENT</t>
  </si>
  <si>
    <t>To Tank Volume of Dip Before</t>
  </si>
  <si>
    <t>To Tank after dips</t>
  </si>
  <si>
    <t>7R1</t>
  </si>
  <si>
    <t>MTDIPAFT</t>
  </si>
  <si>
    <t>To Tank before dips</t>
  </si>
  <si>
    <t>MTDIPB4</t>
  </si>
  <si>
    <t>To Blend Status</t>
  </si>
  <si>
    <t>MTSTATUS</t>
  </si>
  <si>
    <t>MTBLEND10</t>
  </si>
  <si>
    <t>To Tank next Operation Note number</t>
  </si>
  <si>
    <t>TO TANK NEXT</t>
  </si>
  <si>
    <t>TTANK.NEXT.CNOTE</t>
  </si>
  <si>
    <t>To Cellar note no. or despatch/invoice no.- series of sub values</t>
  </si>
  <si>
    <t>TO CELLAR</t>
  </si>
  <si>
    <t>MTCNOTE</t>
  </si>
  <si>
    <t>To Tank No</t>
  </si>
  <si>
    <t>BLEND/GROUP</t>
  </si>
  <si>
    <t>MTTANK15</t>
  </si>
  <si>
    <t>From Tank Volume of Before Dip</t>
  </si>
  <si>
    <t>From Tank after dip</t>
  </si>
  <si>
    <t>F/TANK</t>
  </si>
  <si>
    <t>MFDIPAFT</t>
  </si>
  <si>
    <t>From Tank B4 dip</t>
  </si>
  <si>
    <t>From Blend Status</t>
  </si>
  <si>
    <t>MFSTATUS</t>
  </si>
  <si>
    <t>From Blend Code</t>
  </si>
  <si>
    <t>MFBLEND10</t>
  </si>
  <si>
    <t>Tonnes processed - only applies to crush notes</t>
  </si>
  <si>
    <t>CRUSH.TONNE</t>
  </si>
  <si>
    <t>CRUSH.TONNES</t>
  </si>
  <si>
    <t>BLEND.OUT</t>
  </si>
  <si>
    <t>From Cellar note no. or delivery docket/date no.- series of sub values</t>
  </si>
  <si>
    <t>F/CELLAR</t>
  </si>
  <si>
    <t>MFCNOTE</t>
  </si>
  <si>
    <t>From Tank previous Operation Note number</t>
  </si>
  <si>
    <t>FROM TANK PREV</t>
  </si>
  <si>
    <t>FTANK.PREV.CNOTE</t>
  </si>
  <si>
    <t>From Tank No</t>
  </si>
  <si>
    <t>MFTANK15</t>
  </si>
  <si>
    <t>User comment for foot of cellar note. For MOVE despatch and receipt</t>
  </si>
  <si>
    <t>COMMENT FOR FOOT OF CELLAR</t>
  </si>
  <si>
    <t>Distilled from Description ie. MARC or WINE</t>
  </si>
  <si>
    <t>DIST.FROM</t>
  </si>
  <si>
    <t>Update tank volume (Y/N)</t>
  </si>
  <si>
    <t>U/D</t>
  </si>
  <si>
    <t>MAUDVOL</t>
  </si>
  <si>
    <t>Additive unit of measure as issued</t>
  </si>
  <si>
    <t>MAUOMISS</t>
  </si>
  <si>
    <t>Additive quantity issued</t>
  </si>
  <si>
    <t>MAQTYISS</t>
  </si>
  <si>
    <t>Despatch or receipt note litres or note</t>
  </si>
  <si>
    <t>LITR.NOTE</t>
  </si>
  <si>
    <t>D.R.LITR.NOTE</t>
  </si>
  <si>
    <t>Additive identification code</t>
  </si>
  <si>
    <t>Heading for D.R.LITR.NOTE field</t>
  </si>
  <si>
    <t>D.R</t>
  </si>
  <si>
    <t>D.R.LITR.NOTE.HD</t>
  </si>
  <si>
    <t>MOPCD10</t>
  </si>
  <si>
    <t>OP CODE</t>
  </si>
  <si>
    <t>MOPCD.10</t>
  </si>
  <si>
    <t>DYM[2,2]</t>
  </si>
  <si>
    <t>MAMONTH</t>
  </si>
  <si>
    <t>MADATE.UN</t>
  </si>
  <si>
    <t>Date actual action started (no output conv)</t>
  </si>
  <si>
    <t>MADATE.I</t>
  </si>
  <si>
    <t>System completion date</t>
  </si>
  <si>
    <t>MADATE.E</t>
  </si>
  <si>
    <t>Time request made for operation</t>
  </si>
  <si>
    <t>MRTIME</t>
  </si>
  <si>
    <t>MRDATE</t>
  </si>
  <si>
    <t>SYSTEM USE DONT CHANGE</t>
  </si>
  <si>
    <t>SYSTEM.USE.DONT.CHANGE.</t>
  </si>
  <si>
    <t>Record activity code ,  R = requested ops, S = operation started but not yet</t>
  </si>
  <si>
    <t>Operation note number - AAAyynnnnn for user AAA / year yy / number</t>
  </si>
  <si>
    <t>OPNOTE</t>
  </si>
  <si>
    <t>Cellar note number - AAAyynnnn for user AAA / year yy / number nnnn</t>
  </si>
  <si>
    <t>Cellar Note</t>
  </si>
  <si>
    <t>ACTIVITY NAME SHORT.DESC DESCRIPTION VARIETY ACCOUNT CREATE.DATE COMMENTS UPDCNT UPDBY HECT.FLAG HECTARES PLANTED MATURE DENSITY GRID.REF CLONE ROOTSTOCK YIELD.CAP CAP.PROJ.NO CAP.PROJ.START CAP.PROJ.FINISH ROSE.REF POTENTIAL.GV GROWER.IDS DATE.ID.EFFECT ID.CHG.BY REMOVED REMOVED.COMMENT RECORDS.START RECORDS.START.CMMNT RECORDS.END RECORDS.END.COMMENT BLOCK.GROUP SUBSOURCE GI.INDIC ONEROUS WIM.BLOCK WIM.VINEYARD ORGANIC WIM.PRODUCED.SITE GRAPEWEB.ID AGCODE.BLK VINE.SPACING ROW.WIDTH CARTAGE.CODE CRSITE SENT.AGCODE NUM.OF.VINES BUD.GRAFT.DATE IRRIG.TYPE.CODE EMITTER.RATE TRELLIS.CODE SOILCD VRD.CODE PRUNE.CODE VNS.CODE FP.CODE EMITTER.SPACING DISTANCE.TO.WINERY ANNUAL.PURCHASE SENT.ICM D2/ FLAG MD30P MD00P MD10P D2/ FLAG FLAG FLAG MD10P MD20P D4/ MD20P MD20P 1L 5L 15L 30L 3L 7L 8R 40T 4R 10L 1L 6R 4L 4L 6R 8L 25L 3L 4R 10L 4L 4L 10L 4R 6L 8R 8L 4L 30L 4L 30L 4L 30L 5R 30L 3L 1L 10L 6L 1L 2L 6R 1L 4R 4R 5L 2L 1L 8R 10R 5L 7R 4L 5L 3L 4L 4L 2L 5R 4L 1L 1L S S S S S S S M S S S S S S S S S M S S S S S S M M M S S S S S S S S M S S S S S S S S S S S S S S S S S S S S S S S S S S</t>
  </si>
  <si>
    <t>0 D2/ FLAG MD30P MD00P MD10P D2/ FLAG FLAG FLAG MD10P MD20P D4/ MD20P MD20P</t>
  </si>
  <si>
    <t>1L 5L 15L 30L 3L 7L 8R 40T 4R 10L 1L 6R 4L 4L 6R 8L 25L 3L 4R 10L 4L 4L 10L 4R 6L 8R 8L 4L 30L 4L 30L 4L 30L 5R 30L 3L 1L 10L 6L 1L 2L 6R 1L 4R 4R 5L 2L 1L 8R 10R 5L 7R 4L 5L 3L 4L 4L 2L 5R 4L 1L 1L</t>
  </si>
  <si>
    <t>S S S S S S S M S S S S S S S S S M S S S S S S M M M S S S S S S S S M S S S S S S S S S S S S S S S S S S S S S S S S S S</t>
  </si>
  <si>
    <t>BLEND.PROP amd BLEND.PROP.ARCHIVE</t>
  </si>
  <si>
    <t>BRL.NO.RNG BARREL.TYPE BN.CAPACITY BN.ACTVOL BN.TOTVOL BARREL.NUMBER.CODE LOC.STACK</t>
  </si>
  <si>
    <t>TRANS(MTANK,@ID,'WINERY.LOCATION','X');IF @1 THEN @1 ELSE @ID[1,2]</t>
  </si>
  <si>
    <t>Barrel group volume</t>
  </si>
  <si>
    <t>SUBR("*GBWZ171","BG",TDIP,'V')+0</t>
  </si>
  <si>
    <t>SUM(BN.TOTVOL)+0</t>
  </si>
  <si>
    <t>TOT.TOTVOL</t>
  </si>
  <si>
    <t>Total number of barrels</t>
  </si>
  <si>
    <t>SUM(NO.OF.BARRELS)</t>
  </si>
  <si>
    <t>SUM(BN.CALCVOL)</t>
  </si>
  <si>
    <t>TOT.CALCVOL</t>
  </si>
  <si>
    <t>Barrel Group Dip</t>
  </si>
  <si>
    <t>Barrel Group</t>
  </si>
  <si>
    <t>TRANS(MTANK,TANK,'TACTIV','X')</t>
  </si>
  <si>
    <t>TRANS(WINE.STATUS,STATUS,DESC,'X')</t>
  </si>
  <si>
    <t>Status code</t>
  </si>
  <si>
    <t>Original barrel number ranges</t>
  </si>
  <si>
    <t>SUBR('*BRL.NO.RNG',@RECORD)</t>
  </si>
  <si>
    <t>ORIG.BARREL.NOS</t>
  </si>
  <si>
    <t>Barrel number range</t>
  </si>
  <si>
    <t>BRL.NO.RNG</t>
  </si>
  <si>
    <t>BN.TOTVOL + 0 for numeric selects</t>
  </si>
  <si>
    <t>BN.TOTVOL+0</t>
  </si>
  <si>
    <t>BN.TOTVOL0</t>
  </si>
  <si>
    <t>The capacity of each barrel in the barrel number range</t>
  </si>
  <si>
    <t>BN.CAPACITY+0</t>
  </si>
  <si>
    <t>BN.CAPACITY0</t>
  </si>
  <si>
    <t>actual barrel volume * number of barrels</t>
  </si>
  <si>
    <t>BN.ACTVOL * NO.OF.BARRELS</t>
  </si>
  <si>
    <t>BN.CALCVOL</t>
  </si>
  <si>
    <t>The litres in each barrel in the barrel  number range.</t>
  </si>
  <si>
    <t>BN.ACTVOL+0</t>
  </si>
  <si>
    <t>BN.ACTVOL0</t>
  </si>
  <si>
    <t>Barrel Group Blend description</t>
  </si>
  <si>
    <t>TRANS(MBLEND,BLEND,BLENDESCP,'X')</t>
  </si>
  <si>
    <t>TRANS(MTANK,@ID,"TBLEND",'X')</t>
  </si>
  <si>
    <t>TRANS(MTANK,TANK,'BC.TEXT','X')</t>
  </si>
  <si>
    <t>TRANS(MTANK,TANK,'BC.RANGE','X')</t>
  </si>
  <si>
    <t>TRANS(MBATCH,BATCH,BATCH.DESC,'X')</t>
  </si>
  <si>
    <t>Barrel Year</t>
  </si>
  <si>
    <t>SUBR('*ITYPE.EXT',BARREL.NUMBER.CODE,1,1);    IF BARREL.NUMBER.CODE # '' THEN</t>
  </si>
  <si>
    <t>BARREL.YEAR</t>
  </si>
  <si>
    <t>Barrel Type Description</t>
  </si>
  <si>
    <t>TRANS(BARREL.TYPE,BARREL.TYPE,DESC,'X')</t>
  </si>
  <si>
    <t>BARREL.TYPE.DESC</t>
  </si>
  <si>
    <t>Barrel Status Code</t>
  </si>
  <si>
    <t>TRANS(BARREL.REGISTER,BARREL.IDS,'STATUS','X')</t>
  </si>
  <si>
    <t>BARREL.STATUS.CODE</t>
  </si>
  <si>
    <t>BARREL.NO</t>
  </si>
  <si>
    <t>Barrel Country</t>
  </si>
  <si>
    <t>SUBR('*ITYPE.EXT',BARREL.NUMBER.CODE,1,1); IF BARREL.NUMBER.CODE # '' THEN</t>
  </si>
  <si>
    <t>BARREL.COUNTRY</t>
  </si>
  <si>
    <t>TRANS(BARREL.REGISTER,BARREL.IDS,'BARREL.CODE','X')</t>
  </si>
  <si>
    <t>Barrel availability code</t>
  </si>
  <si>
    <t>Availability</t>
  </si>
  <si>
    <t>TRANS(BARREL.REGISTER,BARREL.IDS,'BARREL.AVAIL.CODE','X')</t>
  </si>
  <si>
    <t>BARREL.AVAIL.CODE</t>
  </si>
  <si>
    <t>Barrel group description to be printed on barrel cards</t>
  </si>
  <si>
    <t>CARD.DESC</t>
  </si>
  <si>
    <t>Number of barrels in the barrel number range</t>
  </si>
  <si>
    <t>NO.OF.BARRELS</t>
  </si>
  <si>
    <t>The location and stack containing the barrel number range</t>
  </si>
  <si>
    <t>The litres in each barrel in the barrel  number range</t>
  </si>
  <si>
    <t>BN.ACTVOL</t>
  </si>
  <si>
    <t>BN.CAPACITY</t>
  </si>
  <si>
    <t>Date the barrel number range was first filled</t>
  </si>
  <si>
    <t>Barrel code for the barrels within the number range</t>
  </si>
  <si>
    <t>BARREL.NUMBER.CODE.ALL</t>
  </si>
  <si>
    <t>BARREL.NUMBER.CODE</t>
  </si>
  <si>
    <t>Last Barrel number in barrel number range</t>
  </si>
  <si>
    <t>BARREL.NUMBER.LAST</t>
  </si>
  <si>
    <t>First Barrel number in barrel number range</t>
  </si>
  <si>
    <t>BARREL.NUMBER.FIRST</t>
  </si>
  <si>
    <t>Tank (barrel group) Id</t>
  </si>
  <si>
    <t>Association between test no &amp; test value</t>
  </si>
  <si>
    <t>CREADINGNO CHEADING CVALUE</t>
  </si>
  <si>
    <t>READINGS</t>
  </si>
  <si>
    <t>CREADINGNO CVALUE</t>
  </si>
  <si>
    <t>READING.VALUE</t>
  </si>
  <si>
    <t>FOR ENTRO DEFAULT FIELD LIST CREATED 17:39:37 14 DEC 1983</t>
  </si>
  <si>
    <t>CHEMNO CTANK CBLEND CDATE CTIME CREADINGNO CVALUE CCOMMENT CCNOTE COPCD CNEXTNO</t>
  </si>
  <si>
    <t>Req</t>
  </si>
  <si>
    <t>OCONV(RDATE,'D4/');@1[7,4]:' ':@1[4,2]</t>
  </si>
  <si>
    <t>YEAR.MONTH</t>
  </si>
  <si>
    <t>Chem readings on the work sheet</t>
  </si>
  <si>
    <t>WSHEET.READ</t>
  </si>
  <si>
    <t>Work</t>
  </si>
  <si>
    <t>TRANS(CWORK.SHEETS,WSHEET,CREADINGNO,'X')</t>
  </si>
  <si>
    <t>WSHEET.READS</t>
  </si>
  <si>
    <t>Display for window lookup (include Worksheet entries)</t>
  </si>
  <si>
    <t>O/S Readings</t>
  </si>
  <si>
    <t>SUBR('*ITYPE.READ',@RECORD,'W')</t>
  </si>
  <si>
    <t>WIND.READW</t>
  </si>
  <si>
    <t>Display for window lookup (excl Worksheet entries)</t>
  </si>
  <si>
    <t>O/S Readings (excl</t>
  </si>
  <si>
    <t>SUBR('*ITYPE.READ',@RECORD,'')</t>
  </si>
  <si>
    <t>WIND.READ</t>
  </si>
  <si>
    <t>IF CHEM.CACTIV = '' THEN CHEMNO ELSE ''</t>
  </si>
  <si>
    <t>UNREG</t>
  </si>
  <si>
    <t>Urgent indicator for window lookup</t>
  </si>
  <si>
    <t>U</t>
  </si>
  <si>
    <t>UFLAG; CONVERT('Y':@VM,'*',@); IF @ THEN '*' ELSE ''</t>
  </si>
  <si>
    <t>UIND</t>
  </si>
  <si>
    <t>Return Time Zone</t>
  </si>
  <si>
    <t>SUBR("*GET.TIMEZONE","")</t>
  </si>
  <si>
    <t>TZONE</t>
  </si>
  <si>
    <t>Current Tank Status</t>
  </si>
  <si>
    <t>T/Stat</t>
  </si>
  <si>
    <t>TRANS(MTANK,CTANK,TSTATUS,'X')</t>
  </si>
  <si>
    <t>Current chemistry values on tank</t>
  </si>
  <si>
    <t>RAISE(TRANS(MTANK,CTANK,TREADVALUE,'X'))</t>
  </si>
  <si>
    <t>Current chemistry readings on tank</t>
  </si>
  <si>
    <t>RAISE(TRANS(MTANK,CTANK,TREADINGNO,'X'))</t>
  </si>
  <si>
    <t>TEMP reading value if there is one</t>
  </si>
  <si>
    <t>READING.VAL</t>
  </si>
  <si>
    <t>SUBR('*PZZI211','LOC.TYPE',1,CREADINGNO,CVALUE,'')</t>
  </si>
  <si>
    <t>TRANS(MTANK,CTANK,TCHEMNO,'X')</t>
  </si>
  <si>
    <t>Translation to Chemistry Reading File to obtain Headings</t>
  </si>
  <si>
    <t>HEADING</t>
  </si>
  <si>
    <t>TRANS(CHEMREAD,TREADINGNO,CHEADING,'X')</t>
  </si>
  <si>
    <t>TCHEADING</t>
  </si>
  <si>
    <t>TRANS(MTANK,CTANK,TBLEND,'X')</t>
  </si>
  <si>
    <t>TRANS(MTANK,CTANK,TBATCHNO,'X')</t>
  </si>
  <si>
    <t>Flag to denote if tasting label printed</t>
  </si>
  <si>
    <t>IF INDEX(TYPES.PRINTED,'TA',1) THEN 'True' ELSE 'False'</t>
  </si>
  <si>
    <t>TA.PRINT</t>
  </si>
  <si>
    <t>Blend Type</t>
  </si>
  <si>
    <t>CBLEND[4,1]</t>
  </si>
  <si>
    <t>IF @ID[1,3]='SPI' THEN 0+@ID[5] ELSE 0</t>
  </si>
  <si>
    <t>Six</t>
  </si>
  <si>
    <t>DATE() - 183</t>
  </si>
  <si>
    <t>SIX.MONTHS.AGO</t>
  </si>
  <si>
    <t>Requestor short Id</t>
  </si>
  <si>
    <t>SID</t>
  </si>
  <si>
    <t>Request month &amp; year</t>
  </si>
  <si>
    <t>OCONV(RDATE,'D2')[6]</t>
  </si>
  <si>
    <t>REQ.MTH.YR</t>
  </si>
  <si>
    <t>Number of readings on chem</t>
  </si>
  <si>
    <t>DCOUNT(CREADINGNO,@VM)</t>
  </si>
  <si>
    <t>READCNT</t>
  </si>
  <si>
    <t>Registered Date in format DD/MM</t>
  </si>
  <si>
    <t>OCONV(RDATE,'D2/'); @[1,5]</t>
  </si>
  <si>
    <t>RDDMM</t>
  </si>
  <si>
    <t>Prev.</t>
  </si>
  <si>
    <t>DCOUNT(PTANK,@VM)</t>
  </si>
  <si>
    <t>PTANKCNT</t>
  </si>
  <si>
    <t>First 2 Characters of tank code</t>
  </si>
  <si>
    <t>CTANK[1,2]</t>
  </si>
  <si>
    <t>Outstanding readings</t>
  </si>
  <si>
    <t>READING.OS</t>
  </si>
  <si>
    <t>O/s</t>
  </si>
  <si>
    <t>SUBR('*ITYPE.OS',CREADINGNO,CVALUE,'')</t>
  </si>
  <si>
    <t>OS.CREADINGNO</t>
  </si>
  <si>
    <t>Translation to Chemistry Reading File to obtain O/s Headings</t>
  </si>
  <si>
    <t>TRANS(CHEMREAD,OS.CREADINGNO,CHEADING,'X')</t>
  </si>
  <si>
    <t>OS.CHEADING</t>
  </si>
  <si>
    <t>IF NUM(SHORTID) THEN 1 ELSE 0</t>
  </si>
  <si>
    <t>NUM.TESTS</t>
  </si>
  <si>
    <t>Number of readings on a work sheet</t>
  </si>
  <si>
    <t>SUBR('*ITYPE.OS',CREADINGNO,WSHEET,1); DCOUNT(@1,@VM)</t>
  </si>
  <si>
    <t>NUM.ON.WSHEET</t>
  </si>
  <si>
    <t>Number of entered readings</t>
  </si>
  <si>
    <t>DCOUNT(EN.CREADINGNO,@VM)</t>
  </si>
  <si>
    <t>NUM.ENTERED</t>
  </si>
  <si>
    <t>TRANS(OPSMOVE,CCNOTE,'MATIME','X')</t>
  </si>
  <si>
    <t>TRANS(OPSMOVE,CCNOTE,'MADATE','X')</t>
  </si>
  <si>
    <t>TRANS(CHIT,CHIT.XREF,'MACTIV','X')</t>
  </si>
  <si>
    <t>TRANS(BARREL.GROUP,CTANK,'LOC.STACK','X');SUBR('*GMV.UNIQUE',RAISE(@));CONVERT(@VM,'</t>
  </si>
  <si>
    <t>The first location and stack - for printing</t>
  </si>
  <si>
    <t>TRANS(BARREL.GROUP,CTANK,'LOC.STACK','X');SUBR('*FIRST.SV',@1)</t>
  </si>
  <si>
    <t>IF LIND = "" THEN "Linked"  ELSE "";  IF LIND = 1 THEN "Unlinked" ELSE ""  ; IF LIND</t>
  </si>
  <si>
    <t>LIND.DESC</t>
  </si>
  <si>
    <t>SUBR("!LENS",CVALUE)</t>
  </si>
  <si>
    <t>LENVALUE</t>
  </si>
  <si>
    <t>LEN(CVALUE)</t>
  </si>
  <si>
    <t>LENCVALUE</t>
  </si>
  <si>
    <t>Date of registration of last chemistry request</t>
  </si>
  <si>
    <t>Last Chem</t>
  </si>
  <si>
    <t>TRANS(CHEM,TCHEMNO,RDATE,'X')</t>
  </si>
  <si>
    <t>LASTCHEMRDATE</t>
  </si>
  <si>
    <t>Time Last Printed</t>
  </si>
  <si>
    <t>Last Time</t>
  </si>
  <si>
    <t>TIMES.PRINTED&lt;1,DCOUNT(TIMES.PRINTED,@VM)&gt;</t>
  </si>
  <si>
    <t>LAST.TIME.PRINT</t>
  </si>
  <si>
    <t>Date Last Printed</t>
  </si>
  <si>
    <t>DATES.PRINTED&lt;1,DCOUNT(DATES.PRINTED,@VM)&gt;</t>
  </si>
  <si>
    <t>LAST.DATE.PRINT</t>
  </si>
  <si>
    <t>CHIT YEAR</t>
  </si>
  <si>
    <t>JK.YR</t>
  </si>
  <si>
    <t>JK.YEAR</t>
  </si>
  <si>
    <t>Get chemnotes list from MTANK</t>
  </si>
  <si>
    <t>TRANS(MTANK,CTANK,CHEMNOTES,'X')</t>
  </si>
  <si>
    <t>JK.TCHEMNOTES</t>
  </si>
  <si>
    <t>Chem chits</t>
  </si>
  <si>
    <t>TRANS(MTANK,CTANK,TASCNOTES,'X'); SUM(SUBR("!EQS",@,REUSE(@ID)))</t>
  </si>
  <si>
    <t>Work Sheets that this chem shouldn't be on</t>
  </si>
  <si>
    <t>INV.SHEETS</t>
  </si>
  <si>
    <t>Invalid</t>
  </si>
  <si>
    <t>SUBR('*PZZI211','MVNOTINSV',WSHEET,WSHEET.READS,CREADINGNO,'')</t>
  </si>
  <si>
    <t>INVALID.SHEETS</t>
  </si>
  <si>
    <t>READING NUMBER but only if there is NO VALUE</t>
  </si>
  <si>
    <t>IF CVALUE = '' THEN CREADINGNO ELSE ''</t>
  </si>
  <si>
    <t>IGW.CREADINGNO</t>
  </si>
  <si>
    <t>TRANS(OPSMOVE,CCNOTE,MOPCD,"X")</t>
  </si>
  <si>
    <t>EXIST</t>
  </si>
  <si>
    <t>Entered readings</t>
  </si>
  <si>
    <t>READING.EN</t>
  </si>
  <si>
    <t>En</t>
  </si>
  <si>
    <t>SUBR('*ITYPE.OS',CREADINGNO,CVALUE,1)</t>
  </si>
  <si>
    <t>EN.CREADINGNO</t>
  </si>
  <si>
    <t>Translation to Chemistry Reading File to obtain Entered Headings</t>
  </si>
  <si>
    <t>TRANS(CHEMREAD,EN.CREADINGNO,CHEADING,'X')</t>
  </si>
  <si>
    <t>EN.CHEADING</t>
  </si>
  <si>
    <t>Request Date in format DD/MM</t>
  </si>
  <si>
    <t>OCONV(CRDATE,'D2/'); @[1,5]</t>
  </si>
  <si>
    <t>DDMM</t>
  </si>
  <si>
    <t>DATE.PRINTED returned as date and time</t>
  </si>
  <si>
    <t>PRINT DATE/TIME</t>
  </si>
  <si>
    <t>IF LAST.DATE.PRINT # '' THEN SUBR("*GBWI202",LAST.DATE.PRINT,LAST.TIME.PRINT):TZONE</t>
  </si>
  <si>
    <t>DATE.PRINT.DT</t>
  </si>
  <si>
    <t>Current Tank Prefix</t>
  </si>
  <si>
    <t>CTANK[1,1]</t>
  </si>
  <si>
    <t>CTANK.PREFIX</t>
  </si>
  <si>
    <t>Current Tank Prefix lenght 2</t>
  </si>
  <si>
    <t>PREF</t>
  </si>
  <si>
    <t>CTANK.PREF2</t>
  </si>
  <si>
    <t>User who created</t>
  </si>
  <si>
    <t>Created by</t>
  </si>
  <si>
    <t>TRANS(SHORTIDS,SHORTID,LOGNAME,'X')</t>
  </si>
  <si>
    <t>CREATE.USER</t>
  </si>
  <si>
    <t>Created user email</t>
  </si>
  <si>
    <t>Create by Email</t>
  </si>
  <si>
    <t>TRANS(DEF.SYS.USERS,UPCASE(CREATE.USER),EMAIL,'X')</t>
  </si>
  <si>
    <t>CREATE.EMAIL</t>
  </si>
  <si>
    <t>List of all chemical readings delimited by ' '</t>
  </si>
  <si>
    <t>Readings</t>
  </si>
  <si>
    <t>CHEADING; CONVERT(@VM,' ',@)</t>
  </si>
  <si>
    <t>CREADINGS.LONG</t>
  </si>
  <si>
    <t>CREADINGS</t>
  </si>
  <si>
    <t>CRDATE returned as date and time</t>
  </si>
  <si>
    <t>REQ DATE/TIME</t>
  </si>
  <si>
    <t>SUBR("*GBWI202",CRDATE,CRTIME):TZONE</t>
  </si>
  <si>
    <t>CRDATE.DT</t>
  </si>
  <si>
    <t>Chemistry Request Ids</t>
  </si>
  <si>
    <t>C/Request</t>
  </si>
  <si>
    <t>TRANS(CWORK.SHEETS,WSHEET,CHEM.IDS,'X')</t>
  </si>
  <si>
    <t>CHEM.IDS</t>
  </si>
  <si>
    <t>Chem reading heading with * prefix if test is Urgent</t>
  </si>
  <si>
    <t>Heading</t>
  </si>
  <si>
    <t>CATS(IFS(UFLAG,REUSE('*'),REUSE('')),CHEADING)</t>
  </si>
  <si>
    <t>CHEADINGU</t>
  </si>
  <si>
    <t>TRANS(CHEMREAD,CREADINGNO,CHEADING,'X')</t>
  </si>
  <si>
    <t>MTANK status if CHEM linked, otherwise CHEM file status</t>
  </si>
  <si>
    <t>IF LIND THEN CTSTATUS ELSE TSTATUS</t>
  </si>
  <si>
    <t>CALC.STATUS</t>
  </si>
  <si>
    <t>16L</t>
  </si>
  <si>
    <t>IF CACTIV = "" THEN "Unregistered" ELSE "";  IF CACTIV = "R" THEN "Registered" ELSE</t>
  </si>
  <si>
    <t>CACTIV.DESC</t>
  </si>
  <si>
    <t>BMS Request Type</t>
  </si>
  <si>
    <t>BMS REQ</t>
  </si>
  <si>
    <t>'Sample'</t>
  </si>
  <si>
    <t>BMS.REQ.TYPE</t>
  </si>
  <si>
    <t>BMS Name</t>
  </si>
  <si>
    <t>BMS NAME</t>
  </si>
  <si>
    <t>'Chemistry Analysis'</t>
  </si>
  <si>
    <t>BMS.NAME</t>
  </si>
  <si>
    <t>TRANS(MBLEND,CBLEND,BLENDESCP,'X')</t>
  </si>
  <si>
    <t>BAUME reading value if there is one</t>
  </si>
  <si>
    <t>Baume</t>
  </si>
  <si>
    <t>SUBR('*PZZI211','LOC.TYPE',2,CREADINGNO,CVALUE,'')</t>
  </si>
  <si>
    <t>BATCH DESCRIPTION</t>
  </si>
  <si>
    <t>TRANS(MBATCH,CGROUP,BATCH.DESC,'X')</t>
  </si>
  <si>
    <t>BATCHDESCP</t>
  </si>
  <si>
    <t>Analysis laboratory description</t>
  </si>
  <si>
    <t>Laboratory</t>
  </si>
  <si>
    <t>TRANS(LAB,ANLAB,DESC,'X')</t>
  </si>
  <si>
    <t>ANLAB.DESC</t>
  </si>
  <si>
    <t>Flag to denote if the chemistry request was created with multiple</t>
  </si>
  <si>
    <t>BMS</t>
  </si>
  <si>
    <t>BMS.CREATE.TYPE</t>
  </si>
  <si>
    <t>The userid who sent chemistry to BMS</t>
  </si>
  <si>
    <t>USERID.TO.BMS</t>
  </si>
  <si>
    <t>Time the chemistry was last sent to BMS</t>
  </si>
  <si>
    <t>TIME TO</t>
  </si>
  <si>
    <t>TIME.TO.BMS</t>
  </si>
  <si>
    <t>Date the chemistry was last sent to BMS</t>
  </si>
  <si>
    <t>DATE TO</t>
  </si>
  <si>
    <t>DATE.TO.BMS.E</t>
  </si>
  <si>
    <t>Date to</t>
  </si>
  <si>
    <t>DATE.TO.BMS</t>
  </si>
  <si>
    <t>Lab text as printed on label</t>
  </si>
  <si>
    <t>LAB.LAB</t>
  </si>
  <si>
    <t>LAB.SAMPLE.SIZE</t>
  </si>
  <si>
    <t>Job sequence number from related CHIT</t>
  </si>
  <si>
    <t>Job number from related CHIT</t>
  </si>
  <si>
    <t>Tasting room</t>
  </si>
  <si>
    <t>TASTE.ROOM</t>
  </si>
  <si>
    <t>Tasting sample size</t>
  </si>
  <si>
    <t>TASTE.SAMPLE.SIZE</t>
  </si>
  <si>
    <t>Checkbox used to tell BMS a tasting sample is required</t>
  </si>
  <si>
    <t>TASTE</t>
  </si>
  <si>
    <t>Y if record has been sent to BMS.  Null if record has not yet been</t>
  </si>
  <si>
    <t>Sent to</t>
  </si>
  <si>
    <t>SENT.TO.BMS</t>
  </si>
  <si>
    <t>Tasting label watermark</t>
  </si>
  <si>
    <t>WATERMARK</t>
  </si>
  <si>
    <t>Tasting label reference</t>
  </si>
  <si>
    <t>REFERENCE</t>
  </si>
  <si>
    <t>LABEL.GROUP</t>
  </si>
  <si>
    <t>Created or updated by Grange 2020 API call</t>
  </si>
  <si>
    <t>API</t>
  </si>
  <si>
    <t>API.UPD</t>
  </si>
  <si>
    <t>Comma delimited list of doc types printed: AN - analysis label, TA - tasting label</t>
  </si>
  <si>
    <t>PRINT</t>
  </si>
  <si>
    <t>Types</t>
  </si>
  <si>
    <t>TYPES.PRINTED</t>
  </si>
  <si>
    <t>Times when CHEM request has been printed</t>
  </si>
  <si>
    <t>Dates CHEM requets has been printed</t>
  </si>
  <si>
    <t>Print options - list of codes for label types to print (and other actions)</t>
  </si>
  <si>
    <t>Print</t>
  </si>
  <si>
    <t>PRINT.OPTS</t>
  </si>
  <si>
    <t>Y if CHEM request has been printed (any doc type)</t>
  </si>
  <si>
    <t>Printed</t>
  </si>
  <si>
    <t>'' Normal / 'SP' Spirit tanker / 'WO' Bottling work order</t>
  </si>
  <si>
    <t>REQUEST.AGAINST</t>
  </si>
  <si>
    <t>Blend proposal ID this TO Tank chemistry was raised against</t>
  </si>
  <si>
    <t>Completed Program ID</t>
  </si>
  <si>
    <t>COMP.PROG.ID</t>
  </si>
  <si>
    <t>Grade level</t>
  </si>
  <si>
    <t>GRLEV</t>
  </si>
  <si>
    <t>Tanks current generic code</t>
  </si>
  <si>
    <t>CGEN</t>
  </si>
  <si>
    <t>C/Stat</t>
  </si>
  <si>
    <t>CTSTATUS</t>
  </si>
  <si>
    <t>Registered analysis laboratory</t>
  </si>
  <si>
    <t>LAB</t>
  </si>
  <si>
    <t>ANLAB</t>
  </si>
  <si>
    <t>Registration Time</t>
  </si>
  <si>
    <t>R/Time</t>
  </si>
  <si>
    <t>F27</t>
  </si>
  <si>
    <t>Registration date - 'E' date for restful</t>
  </si>
  <si>
    <t>Regn Date</t>
  </si>
  <si>
    <t>Registration date</t>
  </si>
  <si>
    <t>Assigned Work Sheet Ids</t>
  </si>
  <si>
    <t>WSHEET</t>
  </si>
  <si>
    <t>Cellar Note Emptying tank</t>
  </si>
  <si>
    <t>PDET</t>
  </si>
  <si>
    <t>MT C/NOTE</t>
  </si>
  <si>
    <t>PCNOTE</t>
  </si>
  <si>
    <t>Previous Tank Batch</t>
  </si>
  <si>
    <t>P/BATCH</t>
  </si>
  <si>
    <t>PBATCH</t>
  </si>
  <si>
    <t>Previous Tank Blend</t>
  </si>
  <si>
    <t>PREV BLEND</t>
  </si>
  <si>
    <t>PBLEND</t>
  </si>
  <si>
    <t>Previous Tank code</t>
  </si>
  <si>
    <t>PREV TANK</t>
  </si>
  <si>
    <t>Current tank volume at time of tests</t>
  </si>
  <si>
    <t>NOUSE.MFVOL</t>
  </si>
  <si>
    <t>Tanks current volume</t>
  </si>
  <si>
    <t>CVOLUME</t>
  </si>
  <si>
    <t>Flag record created from IBM file (ANLRESLT)</t>
  </si>
  <si>
    <t>Flag Test as Being Urgent - 'Y' or ''</t>
  </si>
  <si>
    <t>URGENT</t>
  </si>
  <si>
    <t>UFLAG</t>
  </si>
  <si>
    <t>If Tank has been emptied this is the new tank that the chemistry is attached</t>
  </si>
  <si>
    <t>NTANK</t>
  </si>
  <si>
    <t>NOUSE.NTANK</t>
  </si>
  <si>
    <t xml:space="preserve">	Group/Batch Number</t>
  </si>
  <si>
    <t>CGROUP</t>
  </si>
  <si>
    <t>CBATCH</t>
  </si>
  <si>
    <t>F14</t>
  </si>
  <si>
    <t>Time of Request</t>
  </si>
  <si>
    <t>REQ TIME</t>
  </si>
  <si>
    <t>CRTIME</t>
  </si>
  <si>
    <t>ADW.CRTIME</t>
  </si>
  <si>
    <t>Date Chemistry Analysis Requested - 'E' date for restful</t>
  </si>
  <si>
    <t>REQUEST DATE</t>
  </si>
  <si>
    <t>ADW.CRDATE</t>
  </si>
  <si>
    <t>CHEM.CACTIV</t>
  </si>
  <si>
    <t>Previous chemistry ref no for same blend</t>
  </si>
  <si>
    <t>PREV CHEM NO</t>
  </si>
  <si>
    <t>CPREVNO9</t>
  </si>
  <si>
    <t>CPREVNO</t>
  </si>
  <si>
    <t>Next chemistry ref no for same blend</t>
  </si>
  <si>
    <t>NEXT CHEM NO</t>
  </si>
  <si>
    <t>CNEXTNO9</t>
  </si>
  <si>
    <t>CNEXTNO</t>
  </si>
  <si>
    <t>Last cellar operation code</t>
  </si>
  <si>
    <t>LAST OP CODE</t>
  </si>
  <si>
    <t>COPCD</t>
  </si>
  <si>
    <t>Last cellar operation note no.</t>
  </si>
  <si>
    <t>OP NOTE#</t>
  </si>
  <si>
    <t>CCNOTE</t>
  </si>
  <si>
    <t>CCOMMENT</t>
  </si>
  <si>
    <t>Chemistry analysis reading</t>
  </si>
  <si>
    <t>TEST VALUE</t>
  </si>
  <si>
    <t>CVALUE</t>
  </si>
  <si>
    <t>Associated reading no. of test</t>
  </si>
  <si>
    <t>READING NO</t>
  </si>
  <si>
    <t>F4</t>
  </si>
  <si>
    <t>CTIME8</t>
  </si>
  <si>
    <t>CDATE8</t>
  </si>
  <si>
    <t>Date of first test reading entry on to file - 'E' date for restful</t>
  </si>
  <si>
    <t>Current blend at time of tests</t>
  </si>
  <si>
    <t>CBLEND</t>
  </si>
  <si>
    <t>CUR TANK</t>
  </si>
  <si>
    <t>Chemistry reference no. AAAAyynnnnn where AAA = User, yy = vintage,</t>
  </si>
  <si>
    <t>CHEM NOTE</t>
  </si>
  <si>
    <t>Default record for retrieve</t>
  </si>
  <si>
    <t>MADATE FROM.TANKS FTB4.STD.VAR.CST FTB4.STD.TOT.CST TO.TANKS TTAFT.STD.VAR.CST</t>
  </si>
  <si>
    <t>JK.LIST</t>
  </si>
  <si>
    <t>MADATE TO.TANKS UV.ACCOUNT LAST.UPD.DATE LAST.UPD.TIME MATIME WINERY.CODE</t>
  </si>
  <si>
    <t>Bottling work order</t>
  </si>
  <si>
    <t>Bot Work Ord</t>
  </si>
  <si>
    <t>SUBR('*PBWI822',@ID,117)</t>
  </si>
  <si>
    <t>TRANS(OPSMOVE,@ID,'USERID','X')</t>
  </si>
  <si>
    <t>FIRST 3 CHARS</t>
  </si>
  <si>
    <t>USER CODE</t>
  </si>
  <si>
    <t>USER.CODE</t>
  </si>
  <si>
    <t>Litres update from purchase orders</t>
  </si>
  <si>
    <t>Purch</t>
  </si>
  <si>
    <t>SUBR('*PBWI822',@ID,75)</t>
  </si>
  <si>
    <t>operation update code from MOPS</t>
  </si>
  <si>
    <t>TRANS(OPSMOVE,@ID,'UPD.BY.PROG','X')</t>
  </si>
  <si>
    <t>type code for the operation from MOPS</t>
  </si>
  <si>
    <t>Typ</t>
  </si>
  <si>
    <t>Chit to tank volume moved</t>
  </si>
  <si>
    <t>SUBR('*PBWI822',@ID,87);@1+0</t>
  </si>
  <si>
    <t>Total Value Change using to after volume</t>
  </si>
  <si>
    <t>TOT.CST.CHG * MTVOLA</t>
  </si>
  <si>
    <t>TOT.VAL.CHGTO</t>
  </si>
  <si>
    <t>Total Value Change</t>
  </si>
  <si>
    <t>Value</t>
  </si>
  <si>
    <t>TOT.CST.CHG * MFVOL</t>
  </si>
  <si>
    <t>TOT.VAL.CHG</t>
  </si>
  <si>
    <t>Change in total cost/Ltr</t>
  </si>
  <si>
    <t>TTAFT.STD.TOT.CST - FTB4.STD.TOT.CST</t>
  </si>
  <si>
    <t>TOT.CST.CHG</t>
  </si>
  <si>
    <t>TO INVENTORY LEVEL</t>
  </si>
  <si>
    <t>T</t>
  </si>
  <si>
    <t>To tanks generic codes (allocations) - subvalued, corresponds with</t>
  </si>
  <si>
    <t>TRANS(BWALLOC.OPSMOVE,@ID,'TGENERIC','X')</t>
  </si>
  <si>
    <t>TO GRADE LEVEL</t>
  </si>
  <si>
    <t>RAISE(TRANS(BWALLOC.OPSMOVE,CNOTE,'TQUALITY','X'))</t>
  </si>
  <si>
    <t>record is for an ex SRP site</t>
  </si>
  <si>
    <t>SRP</t>
  </si>
  <si>
    <t>SUBR(SUBR.PENBW:'PBWZ1040',UV.ACCOUNT)</t>
  </si>
  <si>
    <t>value of wine on receipt chit after re-cost</t>
  </si>
  <si>
    <t>RE-COST.TOT.CST * TTVOLM</t>
  </si>
  <si>
    <t>RECPT.VAL.RE-COST</t>
  </si>
  <si>
    <t>value of wine at receipt cost</t>
  </si>
  <si>
    <t>AF.TOT * TTVOLM</t>
  </si>
  <si>
    <t>RECPT.VAL</t>
  </si>
  <si>
    <t>Re-cost value</t>
  </si>
  <si>
    <t>Re-cost</t>
  </si>
  <si>
    <t>RECPT.VAL.RE-COST - RECPT.VAL</t>
  </si>
  <si>
    <t>RE-COST.VAL</t>
  </si>
  <si>
    <t>Receipt chit to tank re-cost total standard cost</t>
  </si>
  <si>
    <t>SUBR(SUBR.PENBW:'PBWI1056',@ID,MTBLEND) ;@+0</t>
  </si>
  <si>
    <t>RE-COST.TOT.CST0</t>
  </si>
  <si>
    <t>SUBR(SUBR.PENBW:'PBWI1056',@ID,MTBLEND)</t>
  </si>
  <si>
    <t>RE-COST.TOT.CST</t>
  </si>
  <si>
    <t>Key required for processing by PBWZ188</t>
  </si>
  <si>
    <t>MADATE:'\':MATIME:'\':WINERY.CODE:'\':@ID</t>
  </si>
  <si>
    <t>PROCESS.KEY</t>
  </si>
  <si>
    <t>Crushnote op codes</t>
  </si>
  <si>
    <t>OPCD</t>
  </si>
  <si>
    <t>CRUSH</t>
  </si>
  <si>
    <t>TRANS(CONTROL,'OPU.CRUSH',1 ,'X')</t>
  </si>
  <si>
    <t>UV.ACCOUNT[3,3]:'.OPSMOVE'</t>
  </si>
  <si>
    <t>OPS.ACCT</t>
  </si>
  <si>
    <t>Number of to tanks</t>
  </si>
  <si>
    <t>Num.</t>
  </si>
  <si>
    <t>DCOUNT(TO.TANKS,@VM)</t>
  </si>
  <si>
    <t>NUM.TO.TANKS</t>
  </si>
  <si>
    <t>Number of to tank cost values</t>
  </si>
  <si>
    <t>DCOUNT(AF.VAR,@VM)</t>
  </si>
  <si>
    <t>NUM.TO.CST</t>
  </si>
  <si>
    <t>Chit to tank vol after</t>
  </si>
  <si>
    <t>SUBR('*PBWI822',@ID,58)</t>
  </si>
  <si>
    <t>Chit to tank vol B4</t>
  </si>
  <si>
    <t>To Vol B4</t>
  </si>
  <si>
    <t>SUBR('*PBWI822',@ID,24)</t>
  </si>
  <si>
    <t>TRUCK LITRES</t>
  </si>
  <si>
    <t>SUBR('*PBWI822',@ID,67)</t>
  </si>
  <si>
    <t>SUBR('*PBWI822',@ID,66)</t>
  </si>
  <si>
    <t>TO tank previous CHIT number</t>
  </si>
  <si>
    <t>SUBR(SUBR.PENBW:'PBWI822',@ID,19)</t>
  </si>
  <si>
    <t>CHIT TO TANK BLEND</t>
  </si>
  <si>
    <t>SUBR('*PBWI822',@ID,20)</t>
  </si>
  <si>
    <t>Purchase Order Number that wine was purchased on</t>
  </si>
  <si>
    <t>SUBR('*PBWI822',@ID,72)</t>
  </si>
  <si>
    <t>OPERATION CODE DESCRIPTION</t>
  </si>
  <si>
    <t>Operation Code Desc</t>
  </si>
  <si>
    <t>SUBR('*PBWI822',@ID,5)</t>
  </si>
  <si>
    <t>Chit from tank AFTER VOL</t>
  </si>
  <si>
    <t>SUBR('*PBWI822',@ID,57)</t>
  </si>
  <si>
    <t>Chit from tank vol B4</t>
  </si>
  <si>
    <t>From Vol B4</t>
  </si>
  <si>
    <t>SUBR('*PBWI822',@ID,17)</t>
  </si>
  <si>
    <t>FROM tank previous CHIT number</t>
  </si>
  <si>
    <t>SUBR(SUBR.PENBW:'PBWI822',@ID,12)</t>
  </si>
  <si>
    <t>Chit from tank blend</t>
  </si>
  <si>
    <t>SUBR('*PBWI822',@ID,13)</t>
  </si>
  <si>
    <t>Grape Receipt Dockets attached to this Crush Note</t>
  </si>
  <si>
    <t>DOCKET.QTY</t>
  </si>
  <si>
    <t>G/RECPT</t>
  </si>
  <si>
    <t>TRANS(GRDOCKET,CNOTE,'MDOCKET','X')</t>
  </si>
  <si>
    <t>MDOCKET</t>
  </si>
  <si>
    <t>Customer</t>
  </si>
  <si>
    <t>SUBR('*PBWI822',@ID,27)</t>
  </si>
  <si>
    <t>MCUSTL</t>
  </si>
  <si>
    <t>User comment for cellar note</t>
  </si>
  <si>
    <t>SUBR('*PBWI822',@ID,10)</t>
  </si>
  <si>
    <t>Lookup of master op code</t>
  </si>
  <si>
    <t>Add Desc</t>
  </si>
  <si>
    <t>SUBR('*PBWI822',@ID,34)</t>
  </si>
  <si>
    <t>Chit activity code</t>
  </si>
  <si>
    <t>SUBR('*PBWI822',@ID,1)</t>
  </si>
  <si>
    <t>VOLUME ON OPS WITH A LOSS</t>
  </si>
  <si>
    <t>IF GAIN.FLAG = 0  THEN TTVOLM ELSE 0</t>
  </si>
  <si>
    <t>LOSS.MOV</t>
  </si>
  <si>
    <t>LOSS</t>
  </si>
  <si>
    <t>IF GAIN.FLAG = 0 THEN GAIN.LOSS ELSE 0</t>
  </si>
  <si>
    <t>TRANS(BWALLOC.HOLD,FROM.TANKS,GENERIC,'X')</t>
  </si>
  <si>
    <t>VOLUME ON OPS WITH A GAIN</t>
  </si>
  <si>
    <t>IF GAIN.FLAG = 1 THEN TTVOLM ELSE 0</t>
  </si>
  <si>
    <t>GAIN.MOV</t>
  </si>
  <si>
    <t>Chit gain/loss</t>
  </si>
  <si>
    <t>Gain/Loss</t>
  </si>
  <si>
    <t>SUBR('*PBWI822',@ID,42)</t>
  </si>
  <si>
    <t>gain/loss was a gain</t>
  </si>
  <si>
    <t>Gain</t>
  </si>
  <si>
    <t>IF GAIN.LOSS &gt; 0 THEN 1 ELSE 0</t>
  </si>
  <si>
    <t>GAIN.FLAG</t>
  </si>
  <si>
    <t>IF GAIN.FLAG = 1 THEN GAIN.LOSS ELSE 0</t>
  </si>
  <si>
    <t>Chit from tank volume moved</t>
  </si>
  <si>
    <t>SUBR('*PBWI822',@ID,86);@1+0</t>
  </si>
  <si>
    <t>FROM INVENTORY LEVEL</t>
  </si>
  <si>
    <t>F</t>
  </si>
  <si>
    <t>Finished Goods Code</t>
  </si>
  <si>
    <t>SUBR('*PBWI822',@ID,119)</t>
  </si>
  <si>
    <t>FROM GRADE LEVEL</t>
  </si>
  <si>
    <t>RAISE(TRANS(BWALLOC.OPSMOVE,CNOTE,'FQUALITY','X'))</t>
  </si>
  <si>
    <t>EOM type from MOPS</t>
  </si>
  <si>
    <t>EOM</t>
  </si>
  <si>
    <t>TRANS(MOPS,MOPCD,EOM.TYPE,'X')</t>
  </si>
  <si>
    <t>EOM.TYPE</t>
  </si>
  <si>
    <t>SUBR('*PBWI822',@ID,90)</t>
  </si>
  <si>
    <t>Chit TO location</t>
  </si>
  <si>
    <t>SUBR('*PBWI822',@ID,92)</t>
  </si>
  <si>
    <t>DE.TLCON</t>
  </si>
  <si>
    <t>SUBR('*PBWI822',@ID,93)</t>
  </si>
  <si>
    <t>DE.ORDERNOL</t>
  </si>
  <si>
    <t>Chit from location</t>
  </si>
  <si>
    <t>SUBR('*PBWI822',@ID,91)</t>
  </si>
  <si>
    <t>Current Year &amp; Month</t>
  </si>
  <si>
    <t>OCONV(DATE(),'DY4'):OCONV(DATE(),'DM')</t>
  </si>
  <si>
    <t>CURR.YEAR.MTH</t>
  </si>
  <si>
    <t>Year &amp; Month CHIT Completed</t>
  </si>
  <si>
    <t>Completed Year &amp; Month</t>
  </si>
  <si>
    <t>OCONV(MADATE,'DY4'):OCONV(MADATE,'DM')</t>
  </si>
  <si>
    <t>COMP.YEAR.MTH</t>
  </si>
  <si>
    <t>Chit MADATE</t>
  </si>
  <si>
    <t>SUBR('*PBWI856',@ID,4)</t>
  </si>
  <si>
    <t>CHIT.MADATE</t>
  </si>
  <si>
    <t>AF.TOT+0</t>
  </si>
  <si>
    <t>AF.TOT0</t>
  </si>
  <si>
    <t>Adjustment Cellar Note</t>
  </si>
  <si>
    <t>ADJ</t>
  </si>
  <si>
    <t>Adjustment</t>
  </si>
  <si>
    <t>TRANS(OPSMOVE.SUMMARY,CNOTE,'ADJCNOTE','X')</t>
  </si>
  <si>
    <t>ADJCNOTE</t>
  </si>
  <si>
    <t>Additive lot</t>
  </si>
  <si>
    <t>SUBR('*PBWI822',@ID,156)</t>
  </si>
  <si>
    <t>To tank standard total cost per litre after the operation</t>
  </si>
  <si>
    <t>TTAFT.STD.TOT.CST</t>
  </si>
  <si>
    <t>All Trucks blend Standard total Costs</t>
  </si>
  <si>
    <t>AF.TOT</t>
  </si>
  <si>
    <t>To tank standard variable cost per litre after the operation</t>
  </si>
  <si>
    <t>TTAFT.STD.VAR.CST</t>
  </si>
  <si>
    <t>AF.VAR</t>
  </si>
  <si>
    <t>BF.TOT</t>
  </si>
  <si>
    <t>BF.VAR</t>
  </si>
  <si>
    <t>Time this record was last updated</t>
  </si>
  <si>
    <t>LAST.UPD.TIME</t>
  </si>
  <si>
    <t>Date this record was last updated</t>
  </si>
  <si>
    <t>LAST.UPD.DATE</t>
  </si>
  <si>
    <t>Time Chit Completed</t>
  </si>
  <si>
    <t>Date Chit Completed</t>
  </si>
  <si>
    <t>Cellar Note (Chit) number</t>
  </si>
  <si>
    <t>BW.STD.CST.OPS</t>
  </si>
  <si>
    <t>Weighnote MPF desc</t>
  </si>
  <si>
    <t>TRANS(GENERIC.FILE,WNOTE.GENERIC,NAME,'X')</t>
  </si>
  <si>
    <t>WNOTE.GENERIC.DESC</t>
  </si>
  <si>
    <t>Wood related flag</t>
  </si>
  <si>
    <t>WOOD</t>
  </si>
  <si>
    <t>TRANS(MOPS,ADDN.OPCODE,'WM.WOOD.FLAG','X');IF @1 = 'I' THEN 'Y' ELSE ''</t>
  </si>
  <si>
    <t>TRANS(CONTROL,'VIYEAR',1,'X'); @[2]</t>
  </si>
  <si>
    <t>VIYEAR2</t>
  </si>
  <si>
    <t>Vendor Name</t>
  </si>
  <si>
    <t>TRANS(POHEADER,MPONOS,VENDOR.NAME,'X')</t>
  </si>
  <si>
    <t>Vendor Number</t>
  </si>
  <si>
    <t>TRANS(POHEADER,MPONOS,ORACLE.VENDOR,'X');IF @1 = '' THEN</t>
  </si>
  <si>
    <t>VENDNO</t>
  </si>
  <si>
    <t>Operation is a virtual barrel group evap and top.</t>
  </si>
  <si>
    <t>TRANS(MOPS,MOPCD,'TYPE.CODE','X');IF @1 = 35 THEN 1 ELSE 0</t>
  </si>
  <si>
    <t>VBGET</t>
  </si>
  <si>
    <t>SUBR('!IFS',WNOTE,TRANS(GRAPERECPT,WNOTE,'VARIETY','X'),TRANS(CRUSHPLAN,CRSLOT,'VARI</t>
  </si>
  <si>
    <t>TRANS(MVARIETY,VARIETY,'VARDESCP','X')</t>
  </si>
  <si>
    <t>User email address</t>
  </si>
  <si>
    <t>TRANS(DEF.SYS.USERS,UP.USERID,'EMAIL','X')</t>
  </si>
  <si>
    <t>USERID.EMAIL</t>
  </si>
  <si>
    <t>TRANS(DEF.SYS.USERS,UPDBY,'EMAIL','X')</t>
  </si>
  <si>
    <t>UPDBY.EMAIL</t>
  </si>
  <si>
    <t>Upper case user Id.</t>
  </si>
  <si>
    <t>SUBR('!OCONVS',USERID,'MCU')</t>
  </si>
  <si>
    <t>UP.USERID</t>
  </si>
  <si>
    <t>To Tank - Flag Test as Being Urgent - 'Y' or ''</t>
  </si>
  <si>
    <t>LOWER(TRANS(CHEM,RAISE(MTCHEMNO),'UFLAG','X'))</t>
  </si>
  <si>
    <t>TUFLAG</t>
  </si>
  <si>
    <t>Truck status description</t>
  </si>
  <si>
    <t>Truck Status Description</t>
  </si>
  <si>
    <t>TRANS(WINE.STATUS,TRUCK.STATUS,DESC,'X')</t>
  </si>
  <si>
    <t>TRUCK.STATUS.DESC</t>
  </si>
  <si>
    <t>Truck batch description</t>
  </si>
  <si>
    <t>Truck Batch Description</t>
  </si>
  <si>
    <t>TRUCK.BATCH.DESC</t>
  </si>
  <si>
    <t>TOTAL.MTVOL</t>
  </si>
  <si>
    <t>Total volume moved To Tank</t>
  </si>
  <si>
    <t>SUM(MTTANK.VOL.TT)</t>
  </si>
  <si>
    <t>TOTAL.MTTANK.VOL.TT</t>
  </si>
  <si>
    <t>SUM(MTTANK.CALCVOL.TT)</t>
  </si>
  <si>
    <t>TOTAL.MTTANK.CALCVOL.TT</t>
  </si>
  <si>
    <t>Total Actual Volume moved to 'To' tank</t>
  </si>
  <si>
    <t>SUM(MTTANK.ACT.VOL)</t>
  </si>
  <si>
    <t>TOTAL.MTTANK.ACT.VOL</t>
  </si>
  <si>
    <t>SUM(MFTANK.VOLM)</t>
  </si>
  <si>
    <t>TOTAL.MFTANK.VOLM</t>
  </si>
  <si>
    <t>Total Volume moved from Tank to 'To' tank</t>
  </si>
  <si>
    <t>SUM(MFTANK.VOL.FT)</t>
  </si>
  <si>
    <t>TOTAL.MFTANK.VOL.FT</t>
  </si>
  <si>
    <t>Total volume moved From</t>
  </si>
  <si>
    <t>SUM(MFTANK.CALCVOL.FT)</t>
  </si>
  <si>
    <t>TOTAL.MFTANK.CALCVOL.FT</t>
  </si>
  <si>
    <t>Total Actual Volume moved from 'From' tank</t>
  </si>
  <si>
    <t>SUM(MFTANK.ACT.VOL)</t>
  </si>
  <si>
    <t>TOTAL.MFTANK.ACT.VOL</t>
  </si>
  <si>
    <t>Total Cartnote Litres</t>
  </si>
  <si>
    <t>CARTNOTE</t>
  </si>
  <si>
    <t>TOTAL.LITRES</t>
  </si>
  <si>
    <t>Total of purchased wine summary comp percentage</t>
  </si>
  <si>
    <t>SUM(PURCH.PCNT)</t>
  </si>
  <si>
    <t>TOT.PURCH.PCNT</t>
  </si>
  <si>
    <t>Total Barrel Total Volume Before</t>
  </si>
  <si>
    <t>BG</t>
  </si>
  <si>
    <t>Total Barrel</t>
  </si>
  <si>
    <t>SUM(BARREL.TOTVOL.B4)</t>
  </si>
  <si>
    <t>TOT.BARREL.TOTVOL.B4</t>
  </si>
  <si>
    <t>Barrel Total Volume After</t>
  </si>
  <si>
    <t>SUM(BARREL.TOTVOL.AFT)</t>
  </si>
  <si>
    <t>TOT.BARREL.TOTVOL.AFT</t>
  </si>
  <si>
    <t>To tank - Chemistry analysis reading</t>
  </si>
  <si>
    <t>LOWER(TRANS(CHEM,RAISE(MTCHEMNO),'CVALUE','X'))</t>
  </si>
  <si>
    <t>TCVALUE</t>
  </si>
  <si>
    <t>To tank chemistry - Associated reading no. of test</t>
  </si>
  <si>
    <t>LOWER(TRANS(CHEM,RAISE(MTCHEMNO),'CREADINGNO','X'))</t>
  </si>
  <si>
    <t>TCREADINGNO</t>
  </si>
  <si>
    <t>Start Time</t>
  </si>
  <si>
    <t>TRANS(CRUSHPLAN,CRSLOT,'STRTTIME','X')</t>
  </si>
  <si>
    <t>Operation status description</t>
  </si>
  <si>
    <t>IF @ID EQ "N" THEN "New" ELSE</t>
  </si>
  <si>
    <t>AREA CODE DESCRIPTION</t>
  </si>
  <si>
    <t>TRANS(SOURCE,SRCAREA,'DESCP','X')</t>
  </si>
  <si>
    <t>SRCDESCP</t>
  </si>
  <si>
    <t>SUBR('!IFS',WNOTE,TRANS(GRAPERECPT,WNOTE,'SRCAREA','X'),TRANS(CRUSHPLAN,CRSLOT,'SRCA</t>
  </si>
  <si>
    <t>= 1 if a spirit despatch to another location</t>
  </si>
  <si>
    <t>IF TYPE.CODE = 2 AND DE.TYPE = 'TRF' THEN IF MFBLEND[4,1] = 'A' OR  MFBLEND[4,1] =</t>
  </si>
  <si>
    <t>SPIRIT.TRF</t>
  </si>
  <si>
    <t>= 'Yes' if a purchase operation is for spirit</t>
  </si>
  <si>
    <t>IF TYPE.CODE = 4 THEN IF MFBLEND[4,1] = 'A' OR  MFBLEND[4,1] = 'B'  MFBLEND[4,1] =</t>
  </si>
  <si>
    <t>SPIRIT.PURCHASE</t>
  </si>
  <si>
    <t>SHORTID part of key</t>
  </si>
  <si>
    <t>SHT</t>
  </si>
  <si>
    <t>MCU</t>
  </si>
  <si>
    <t>Summary comp Vintage</t>
  </si>
  <si>
    <t>LIP</t>
  </si>
  <si>
    <t>SUBR('!FIELDS',SCVAR,REUSE('*'),2,1);SUBR('*GZZI364',@1,50)</t>
  </si>
  <si>
    <t>S.VINTAGE</t>
  </si>
  <si>
    <t>Summary comp Variety code</t>
  </si>
  <si>
    <t>SUBR('!FIELDS',SCVAR,REUSE('-'),1,1)</t>
  </si>
  <si>
    <t>S.VARIETY</t>
  </si>
  <si>
    <t>SUBR('!FIELDS',SCVAR,REUSE('-'),2,1);SUBR('!FIELDS',@1,REUSE('*'),1,1);</t>
  </si>
  <si>
    <t>S.VARDESCP</t>
  </si>
  <si>
    <t>S.SRCDESCP</t>
  </si>
  <si>
    <t>Summary comp Source code</t>
  </si>
  <si>
    <t>SUBR('!FIELDS',SCVAR,REUSE('-'),2,1);SUBR('!FIELDS',@1,REUSE('*'),1,1)</t>
  </si>
  <si>
    <t>S.SOURCE</t>
  </si>
  <si>
    <t>D.R.LITR.NOTE.HD[4]</t>
  </si>
  <si>
    <t>RLTD.D.R.NOTE.HD</t>
  </si>
  <si>
    <t>IF RLTD.D.R.NOTE.HD = 'NOTE' THEN D.R.LITR.NOTE[10] ELSE ''</t>
  </si>
  <si>
    <t>Rework Reason to translate to CONTROL record</t>
  </si>
  <si>
    <t>Rework</t>
  </si>
  <si>
    <t>RAISE(TRANS(CONTROL,'REWORK.REASONS',1,</t>
  </si>
  <si>
    <t>REWORK.REASON</t>
  </si>
  <si>
    <t>TRANS(GRAPERECPT,WNOTE,'RECTIME','X')</t>
  </si>
  <si>
    <t>SUBR('!IFS',WNOTE,TRANS(GRAPERECPT,WNOTE,'RECDATE','X'),TRANS(CRUSHPLAN,CRSLOT,'CRDA</t>
  </si>
  <si>
    <t>TRANS(PODETAIL,PODETAIL.ID,REC.QTY,'X')</t>
  </si>
  <si>
    <t>TRANS(GRAPERECPT,WNOTE,REACTIVE,'X')</t>
  </si>
  <si>
    <t>Datea purchase movement was completed</t>
  </si>
  <si>
    <t>TRANS(OPSMOVE,CARTNOTE.TMOV.KEY,'MADATE','X')</t>
  </si>
  <si>
    <t>PURCH.DATE</t>
  </si>
  <si>
    <t>Unit of measure for purchase operation Litres (wine) or LAL (spirit)</t>
  </si>
  <si>
    <t>PUR.UOM</t>
  </si>
  <si>
    <t>SWA percentage for purchased wine</t>
  </si>
  <si>
    <t>SUM(MFTANK.VOLM);IF @1 THEN PUR.SWA.LITRES/@1*100 ELSE 0</t>
  </si>
  <si>
    <t>PUR.SWA.PERC</t>
  </si>
  <si>
    <t>Purchase Delivery Completed</t>
  </si>
  <si>
    <t>Del</t>
  </si>
  <si>
    <t>TRANS(PODETAIL,PODETAIL.ID,'DEL.COMP','X')</t>
  </si>
  <si>
    <t>PUR.DEL.COMP</t>
  </si>
  <si>
    <t>Purchase blend description (for outsourced uncosted receipt)</t>
  </si>
  <si>
    <t>Purchase Blend Description</t>
  </si>
  <si>
    <t>TRANS(MBLEND,PUR.BLEND,BLENDESCP,'X')</t>
  </si>
  <si>
    <t>PUR.BLENDESCP</t>
  </si>
  <si>
    <t>Purchase blend (for uncosted to costed receipt)</t>
  </si>
  <si>
    <t>TRANS(PODETAIL,PODETAIL.ID,BLEND,'X')</t>
  </si>
  <si>
    <t>PUR.BLEND</t>
  </si>
  <si>
    <t>PUR.ADDCD</t>
  </si>
  <si>
    <t>TRANS(MADD,PUR.ADDCD,'ADDESCP','X')</t>
  </si>
  <si>
    <t>PUR.ADDESCP</t>
  </si>
  <si>
    <t>PUR.ADD.LOT</t>
  </si>
  <si>
    <t>TRANS(LOT,PUR.ADD.LOT,'DESC','X')</t>
  </si>
  <si>
    <t>PUR.ADD.LOT.DESC</t>
  </si>
  <si>
    <t>Addition Financial Product Number</t>
  </si>
  <si>
    <t>TRANS(MADD,ADDN.CODE,'PRODNO','X')</t>
  </si>
  <si>
    <t>SUBR('*GZZI211','LOC.TYPE.ASSOC','D',SLOT.TYPE,LINKED.SLOT,'')</t>
  </si>
  <si>
    <t>Date Printed</t>
  </si>
  <si>
    <t>DATES.PRINTED&lt;1,1&gt;</t>
  </si>
  <si>
    <t>PRINTED.DATE.E</t>
  </si>
  <si>
    <t>MRDATE returned as date and time</t>
  </si>
  <si>
    <t>SUBR("*GBWI202",DATES.PRINTED&lt;1,1&gt;,TIMES.PRINTED&lt;1,1&gt;):TZONE</t>
  </si>
  <si>
    <t>PRINTED.DATE.DT</t>
  </si>
  <si>
    <t>Chemistry request number to appear in popup</t>
  </si>
  <si>
    <t>Popup</t>
  </si>
  <si>
    <t>IF MFCHEMNO&lt;1,1,1&gt; # '' THEN MFCHEMNO&lt;1,1,1&gt; ELSE MTCHEMNO&lt;1,1,1&gt;</t>
  </si>
  <si>
    <t>POP.CHEMNO</t>
  </si>
  <si>
    <t>Purchase chit winery location description</t>
  </si>
  <si>
    <t>Purchase Chit Winery</t>
  </si>
  <si>
    <t>TRANS(WINERY.LOCATION,PO.WINLOC,DESC,'X')</t>
  </si>
  <si>
    <t>PO.WINLOC.DESC</t>
  </si>
  <si>
    <t>Planned tonnes</t>
  </si>
  <si>
    <t>Planned</t>
  </si>
  <si>
    <t>TRANS(CRUSHPLAN,CRSLOT,'PLNTNNE','X')</t>
  </si>
  <si>
    <t>PLNTNNE</t>
  </si>
  <si>
    <t>Update Tank Volume (Y/N)</t>
  </si>
  <si>
    <t>TRANS(MOPS,MOPCD,'OUDVOL','X')</t>
  </si>
  <si>
    <t>TRANS(PODETAIL,PODETAIL.ID,ORD.QTY,'X')</t>
  </si>
  <si>
    <t>Weight delivered or planned</t>
  </si>
  <si>
    <t>TRANS(GRAPERECPT,WNOTE,'NETT','X'); TRANS(CRUSHPLAN,CRSLOT,'BKDTNNE','X');</t>
  </si>
  <si>
    <t>TRANS(DEF.SYS.USERS,UP.USERID,'NAME','X')</t>
  </si>
  <si>
    <t>TRANS(BWALLOC,MTTANK,'VOLUME','X')</t>
  </si>
  <si>
    <t>MTVOLUMEB4</t>
  </si>
  <si>
    <t>Tanks Size Dip Table</t>
  </si>
  <si>
    <t>MTTANK.TTABLE</t>
  </si>
  <si>
    <t>TRANS(MTANK,MTTANK,TDESCP,'X')</t>
  </si>
  <si>
    <t>MTTANK.DESC</t>
  </si>
  <si>
    <t>DIP CAP</t>
  </si>
  <si>
    <t>TRANS(DIPTABLE,MTTANK.TTABLE,DCAP,'X')</t>
  </si>
  <si>
    <t>MTTANK.DCAP</t>
  </si>
  <si>
    <t>Move To Status Description</t>
  </si>
  <si>
    <t>To Status</t>
  </si>
  <si>
    <t>TRANS(WINE.STATUS,MTSTATUS,DESC,'X')</t>
  </si>
  <si>
    <t>MTSTATUS.DESC</t>
  </si>
  <si>
    <t>TRANS(GENERIC.FILE,MTRGENERIC,NAME,'X')</t>
  </si>
  <si>
    <t>MTRGENERIC.DESC</t>
  </si>
  <si>
    <t>Truck blend description</t>
  </si>
  <si>
    <t>Truck Blend Description</t>
  </si>
  <si>
    <t>MTRBLENDESCP</t>
  </si>
  <si>
    <t>IF MACTIV # 'A' THEN TRANS(GENERIC.FILE,MTGENERICB4,NAME,'X') ELSE ''</t>
  </si>
  <si>
    <t>MTGENERICDESCB4</t>
  </si>
  <si>
    <t>IF MACTIV # 'A' THEN TRANS(BWALLOC,MTTANK,'GENERIC','X') ELSE ''</t>
  </si>
  <si>
    <t>MTGENERICB4</t>
  </si>
  <si>
    <t>TRANS(GENERIC.FILE,MTGENERIC,NAME,'X')</t>
  </si>
  <si>
    <t>MTGENERIC.DESC</t>
  </si>
  <si>
    <t>DCOUNT(MTGENERIC,@VM)</t>
  </si>
  <si>
    <t>MTGENERIC.CNT</t>
  </si>
  <si>
    <t>To tank chem requests - for printing - convert sub-values to space</t>
  </si>
  <si>
    <t>To Tank Chem Requests</t>
  </si>
  <si>
    <t>CONVERT(@SM,' ',MTCHEMNO)</t>
  </si>
  <si>
    <t>MTCHEMNO.P</t>
  </si>
  <si>
    <t>TRANS(ITEM.MSTR,MTBOTPROD,PRODNAME,'X')</t>
  </si>
  <si>
    <t>IF MACTIV # 'A' THEN TRANS(BWALLOC,MTTANK,'VINT','X') ELSE ''</t>
  </si>
  <si>
    <t>MTALLOCVINTB4</t>
  </si>
  <si>
    <t>IF MACTIV # 'A' THEN SUBR('*GWDI910',MTVOLUMEB4,MTALLOCLITRESB4) ELSE ''</t>
  </si>
  <si>
    <t>MTALLOCPERCB4</t>
  </si>
  <si>
    <t>IF MACTIV # 'A' THEN TRANS(BWALLOC,MTTANK,'LITRES','X') ELSE ''</t>
  </si>
  <si>
    <t>MTALLOCLITRESB4</t>
  </si>
  <si>
    <t>MT.LIND</t>
  </si>
  <si>
    <t>MT.CTANK</t>
  </si>
  <si>
    <t>MT.CHIT.XREF</t>
  </si>
  <si>
    <t>MT.CACTIV</t>
  </si>
  <si>
    <t>REQD DATE/TIME</t>
  </si>
  <si>
    <t>SUBR("*GBWI202",MRDATE,MRTIME):TZONE</t>
  </si>
  <si>
    <t>MRDATE.DT</t>
  </si>
  <si>
    <t>TRANS(BWALLOC,MFTANK,'VOLUME','X')</t>
  </si>
  <si>
    <t>MFVOLUMEB4</t>
  </si>
  <si>
    <t>Number of from Tanks</t>
  </si>
  <si>
    <t>Move From Status Description</t>
  </si>
  <si>
    <t>From Status</t>
  </si>
  <si>
    <t>IF MACTIV # 'A' THEN TRANS(GENERIC.FILE,MFGENERICB4,NAME,'X') ELSE ''</t>
  </si>
  <si>
    <t>MFGENERICDESCB4</t>
  </si>
  <si>
    <t>IF MACTIV # 'A' THEN TRANS(BWALLOC,MFTANK,'GENERIC','X') ELSE ''</t>
  </si>
  <si>
    <t>MFGENERICB4</t>
  </si>
  <si>
    <t>TRANS(GENERIC.FILE,MFGENERIC,NAME,'X')</t>
  </si>
  <si>
    <t>MFGENERIC.DESC</t>
  </si>
  <si>
    <t>From tank chem requests - for printing - convert sub-values to space</t>
  </si>
  <si>
    <t>From Tank Chem Requests</t>
  </si>
  <si>
    <t>CONVERT(@SM,' ',MFCHEMNO)</t>
  </si>
  <si>
    <t>MFCHEMNO.P</t>
  </si>
  <si>
    <t>From Batch Description</t>
  </si>
  <si>
    <t>IF MACTIV # 'A' THEN TRANS(BWALLOC,MFTANK,'VINT','X') ELSE ''</t>
  </si>
  <si>
    <t>MFALLOCVINTB4</t>
  </si>
  <si>
    <t>IF MACTIV # 'A' THEN SUBR('*GWDI910',MFVOLUMEB4,MFALLOCLITRESB4) ELSE ''</t>
  </si>
  <si>
    <t>MFALLOCPERCB4</t>
  </si>
  <si>
    <t>IF MACTIV # 'A' THEN TRANS(BWALLOC,MFTANK,'LITRES','X') ELSE ''</t>
  </si>
  <si>
    <t>MFALLOCLITRESB4</t>
  </si>
  <si>
    <t>TRANS(CHEM,MFCHEMNO,'LIND','X')</t>
  </si>
  <si>
    <t>MF.LIND</t>
  </si>
  <si>
    <t>TRANS(CHEM,MFCHEMNO,'CTANK','X')</t>
  </si>
  <si>
    <t>MF.CTANK</t>
  </si>
  <si>
    <t>TRANS(CHEM,MFCHEMNO,'CHIT.XREF','X')</t>
  </si>
  <si>
    <t>MF.CHIT.XREF</t>
  </si>
  <si>
    <t>TRANS(CHEM,MFCHEMNO,'CACTIV','X')</t>
  </si>
  <si>
    <t>MF.CACTIV</t>
  </si>
  <si>
    <t>Master operation code</t>
  </si>
  <si>
    <t>TRANS(MOPS,MOPCD,'MAST.OPCD','X')</t>
  </si>
  <si>
    <t>Linked Slot</t>
  </si>
  <si>
    <t>TRANS(CRUSHPLAN,CRSLOT,LINKED.SLOT,'X')</t>
  </si>
  <si>
    <t>LINKED.SLOT</t>
  </si>
  <si>
    <t>Purchase order line item number</t>
  </si>
  <si>
    <t>TRANS(PODETAIL,PODETAIL.ID,LINE.ITEM,'X')</t>
  </si>
  <si>
    <t>Job number and sequence number</t>
  </si>
  <si>
    <t>Job &amp; Sequence</t>
  </si>
  <si>
    <t>WOP.WKORD:'-':WOP.WKORD.SEQ</t>
  </si>
  <si>
    <t>JOB.SEQ</t>
  </si>
  <si>
    <t>TRANS(POHEADER,MPONOS,'JDEG.SUPPLIER','X')</t>
  </si>
  <si>
    <t>Number of Instruction Lines</t>
  </si>
  <si>
    <t>DCOUNT(INSTRUCTIONS,@VM)</t>
  </si>
  <si>
    <t>INSTRUCTIONS.CNT</t>
  </si>
  <si>
    <t>Chit instructions with HTML decoded</t>
  </si>
  <si>
    <t>INST</t>
  </si>
  <si>
    <t>80L</t>
  </si>
  <si>
    <t>Instructions</t>
  </si>
  <si>
    <t>SUBR('*HTML.DECODE',INSTRUCTIONS)</t>
  </si>
  <si>
    <t>INSTR.DEC</t>
  </si>
  <si>
    <t>TRANS(PODETAIL,PODETAIL.ID,GRADE.LEVEL,'X')</t>
  </si>
  <si>
    <t>From Tank - Flag Test as Being Urgent - 'Y' or ''</t>
  </si>
  <si>
    <t>LOWER(TRANS(CHEM,RAISE(MFCHEMNO),'UFLAG','X'))</t>
  </si>
  <si>
    <t>FUFLAG</t>
  </si>
  <si>
    <t>From Total Barrel Total Volume Before</t>
  </si>
  <si>
    <t>FBG</t>
  </si>
  <si>
    <t>SUM(FROM.BARREL.TOTVOL.B4)</t>
  </si>
  <si>
    <t>FROM.TOT.BARREL.TOTVOL.B4</t>
  </si>
  <si>
    <t>From Barrel Total Volume After</t>
  </si>
  <si>
    <t>SUM(FROM.BARREL.TOTVOL.AFT)</t>
  </si>
  <si>
    <t>FROM.TOT.BARREL.TOTVOL.AFT</t>
  </si>
  <si>
    <t>From location description (winery name)</t>
  </si>
  <si>
    <t>From Location Name</t>
  </si>
  <si>
    <t>RAISE(TRANS(WINERY.LOCATION,DE.FLOCN,'DESC','X'))</t>
  </si>
  <si>
    <t>FROM.LOCN.DESC</t>
  </si>
  <si>
    <t>FROM.ADDR</t>
  </si>
  <si>
    <t>From Address</t>
  </si>
  <si>
    <t>RAISE(TRANS(WINERY.LOCATION,DE.FLOCN,'DEL.ADDR','X'))</t>
  </si>
  <si>
    <t>User Email</t>
  </si>
  <si>
    <t>USERID.EMAIL&lt;1,1&gt;</t>
  </si>
  <si>
    <t>FIRST.USERID.EMAIL</t>
  </si>
  <si>
    <t>User Id</t>
  </si>
  <si>
    <t>USERID&lt;1,1&gt;</t>
  </si>
  <si>
    <t>FIRST.USERID</t>
  </si>
  <si>
    <t>To Tank Chemistry #</t>
  </si>
  <si>
    <t>MTCHEMNO&lt;1,1,1&gt;</t>
  </si>
  <si>
    <t>Financial</t>
  </si>
  <si>
    <t>FIN.YEAR</t>
  </si>
  <si>
    <t>Goods (Item) Description</t>
  </si>
  <si>
    <t>Finished Goods Desc</t>
  </si>
  <si>
    <t>TRANS(ITEM.MSTR,FIN.GOODS.CODE,PRODNAME,'X')</t>
  </si>
  <si>
    <t>FIN.GOODS.DESC</t>
  </si>
  <si>
    <t>From tank - Chemistry analysis reading</t>
  </si>
  <si>
    <t>LOWER(TRANS(CHEM,RAISE(MFCHEMNO),'CVALUE','X'))</t>
  </si>
  <si>
    <t>FCVALUE</t>
  </si>
  <si>
    <t>From tank chemistry - Associated reading no. of test</t>
  </si>
  <si>
    <t>LOWER(TRANS(CHEM,RAISE(MFCHEMNO),'CREADINGNO','X'))</t>
  </si>
  <si>
    <t>FCREADINGNO</t>
  </si>
  <si>
    <t>TRANS(GRAPERECPT,WNOTE,'ENDUSE','X')</t>
  </si>
  <si>
    <t>If Weigh note, return received tonnes, else return Slot delivered</t>
  </si>
  <si>
    <t>TRANS(GRAPERECPT,WNOTE,'NETT','X'); TRANS(CRUSHPLAN,CRSLOT,'DLVTNNE','X');</t>
  </si>
  <si>
    <t>Delivery slot</t>
  </si>
  <si>
    <t>SUBR('*GZZI211','LOC.TYPE.ASSOC','P',SLOT.TYPE,LINKED.SLOT,'')</t>
  </si>
  <si>
    <t>DELIVERY.SLOT</t>
  </si>
  <si>
    <t>Delivery location description (winery name)</t>
  </si>
  <si>
    <t>Delivery Location Name</t>
  </si>
  <si>
    <t>RAISE(TRANS(WINERY.LOCATION,DE.TLOCN,'DESC','X'))</t>
  </si>
  <si>
    <t>DEL.LOCN.DESC</t>
  </si>
  <si>
    <t>DEL.ADDR</t>
  </si>
  <si>
    <t>Delivery Address</t>
  </si>
  <si>
    <t>RAISE(TRANS(WINERY.LOCATION,DE.TLOCN,'DEL.ADDR','X'))</t>
  </si>
  <si>
    <t># Crush slots</t>
  </si>
  <si>
    <t>DCOUNT(CRSLOT,@VM)</t>
  </si>
  <si>
    <t>CRSLOT.CNT</t>
  </si>
  <si>
    <t>Crush site code</t>
  </si>
  <si>
    <t>TRANS(CRUSHPLAN,CRSLOT,'CRSITE','X')</t>
  </si>
  <si>
    <t>Crusher pit code</t>
  </si>
  <si>
    <t>Pit</t>
  </si>
  <si>
    <t>TRANS(CRUSHPLAN,CRSLOT,'CRPIT','X')</t>
  </si>
  <si>
    <t>CREATE DATE/TIME</t>
  </si>
  <si>
    <t>SUBR("*GBWI202",CREATE.DATE,CREATE.TIME):TZONE</t>
  </si>
  <si>
    <t>CREATE.DATE.DT</t>
  </si>
  <si>
    <t>TRANS(PODETAIL,PODETAIL.ID,'CHIT.QTY','X')</t>
  </si>
  <si>
    <t>Number of Cartnotes</t>
  </si>
  <si>
    <t>.</t>
  </si>
  <si>
    <t>DCOUNT(CARTNOTE,@VM)</t>
  </si>
  <si>
    <t>CARTNOTE.CNT</t>
  </si>
  <si>
    <t>Calculated Volume Moved</t>
  </si>
  <si>
    <t>MFVOLB4-MFVOLAFT</t>
  </si>
  <si>
    <t>CALC.MFVOL</t>
  </si>
  <si>
    <t>BMS Request</t>
  </si>
  <si>
    <t>TRANS(MOPS,MAST.OPCD,'BMS.REQ.TYPE','X')</t>
  </si>
  <si>
    <t>TRANS(MBLOCKS,BLOCK,'BLOCK.NAME','X')</t>
  </si>
  <si>
    <t>TRANS(GRAPERECPT,WNOTE,'BLOCK','X')</t>
  </si>
  <si>
    <t>Additive Operation Code</t>
  </si>
  <si>
    <t>IF OTYPE = 'A' THEN MOPCD ELSE TRANS(MOPS,MOPCD,'ADDN.OPCODE','X')</t>
  </si>
  <si>
    <t>ADDN.OPCODE</t>
  </si>
  <si>
    <t>Description of the additive operation</t>
  </si>
  <si>
    <t>Addition OP</t>
  </si>
  <si>
    <t>TRANS(MOPS,ADDN.OPCODE,'ODESCP','X')</t>
  </si>
  <si>
    <t>ADDN.OP.DESC</t>
  </si>
  <si>
    <t>DCOUNT(ADDN.INSTRUCTIONS,@VM)</t>
  </si>
  <si>
    <t>ADDN.INSTRUCT.CNT</t>
  </si>
  <si>
    <t>MADD</t>
  </si>
  <si>
    <t>DCOUNT(ADDN.CODE,@VM)</t>
  </si>
  <si>
    <t>ADDN.CNT</t>
  </si>
  <si>
    <t>TRANS(MADD,ADDN.CODE,AUOMISS,'X')</t>
  </si>
  <si>
    <t>ADDN.AUOMISS</t>
  </si>
  <si>
    <t>TRANS(GRAPERECPT,WNOTE,'ACCOUNT','X')</t>
  </si>
  <si>
    <t>Weighnote grade level, populated from BOOKING if present.</t>
  </si>
  <si>
    <t>WNOTE.GRADE.LEVEL</t>
  </si>
  <si>
    <t>The userid who sent chit to BMS</t>
  </si>
  <si>
    <t>Time the chit was last sent to BMS</t>
  </si>
  <si>
    <t>Date the chit was last sent to BMS</t>
  </si>
  <si>
    <t>Actual gain or loss as entered by user. Used for VBG evap &amp; top.</t>
  </si>
  <si>
    <t>ACTUAL.GAIN.LOSS</t>
  </si>
  <si>
    <t>FROM.TASTE.ROOM</t>
  </si>
  <si>
    <t>FROM.TASTE.SAMPLE.SIZE</t>
  </si>
  <si>
    <t>FROM.TASTE.WATERMARK</t>
  </si>
  <si>
    <t>FROM.TASTE.REFERENCE</t>
  </si>
  <si>
    <t>FROM.TASTE</t>
  </si>
  <si>
    <t>TO.TASTE.ROOM</t>
  </si>
  <si>
    <t>TO.TASTE.SAMPLE.SIZE</t>
  </si>
  <si>
    <t>TO.TASTE.WATERMARK</t>
  </si>
  <si>
    <t>TO.TASTE.REFERENCE</t>
  </si>
  <si>
    <t>Tasting label required for FROM tanks - out of BMS (checkbox)</t>
  </si>
  <si>
    <t>TO.TASTE</t>
  </si>
  <si>
    <t>Chemistry request label group passed by front end for chemistry</t>
  </si>
  <si>
    <t>Creation Time of Chit</t>
  </si>
  <si>
    <t>CREATE.TIME</t>
  </si>
  <si>
    <t>TST.LBL.PRNTD.TO</t>
  </si>
  <si>
    <t>TST.LBL.PRNTD.FRM</t>
  </si>
  <si>
    <t>BMS.REQUEST.NUMBER</t>
  </si>
  <si>
    <t>Watermark to use when printing tasting labels</t>
  </si>
  <si>
    <t>reference to print on tasting labels</t>
  </si>
  <si>
    <t>Despatch Tanker From Tank selection values (indexes)</t>
  </si>
  <si>
    <t>Desp</t>
  </si>
  <si>
    <t>DE.FTANK.TSV</t>
  </si>
  <si>
    <t>To tank indexes for Receipt Note truck-&gt;tank array</t>
  </si>
  <si>
    <t>MTR.INDEX</t>
  </si>
  <si>
    <t>Rcpt</t>
  </si>
  <si>
    <t>MTR.TO.TANK.INDEX</t>
  </si>
  <si>
    <t>To Tank selector values (unique tank row reference)</t>
  </si>
  <si>
    <t>MTTANK.TSV</t>
  </si>
  <si>
    <t>From Tank selector values (unique tank row reference)</t>
  </si>
  <si>
    <t>MFTANK.TSV</t>
  </si>
  <si>
    <t>Uncosted Despatch From Freight Area</t>
  </si>
  <si>
    <t>UC Frt Area</t>
  </si>
  <si>
    <t>UC.FROM.FREIGHT.AREA</t>
  </si>
  <si>
    <t>Name of program which created chit (GBW10 if 2020, blank if old</t>
  </si>
  <si>
    <t>CREATED.BY.PROG</t>
  </si>
  <si>
    <t>A 1 or 0 depending on if the tank has additions. Positional based on</t>
  </si>
  <si>
    <t>ADDN.TANK.F</t>
  </si>
  <si>
    <t>ADDN.TANK.FLAGS</t>
  </si>
  <si>
    <t>Sequence number from 0 grouping ADDN.CODE to ADDN.TANK. Needed for</t>
  </si>
  <si>
    <t>ADDN.TANK.I</t>
  </si>
  <si>
    <t>ADDN.TANK.INDEX</t>
  </si>
  <si>
    <t>Chemistry request urgent flag passed by front end for chemistry</t>
  </si>
  <si>
    <t>Chemistry reading numbers passed from front end to be used for</t>
  </si>
  <si>
    <t>Tank number passed by front end to be used when creating chemistry</t>
  </si>
  <si>
    <t>Last updated by - used in conjunction with UPDCNT</t>
  </si>
  <si>
    <t>Update count - prevent users overwriting each others changes</t>
  </si>
  <si>
    <t>Sales order comments</t>
  </si>
  <si>
    <t>Truck Status</t>
  </si>
  <si>
    <t>Truck batch</t>
  </si>
  <si>
    <t>Chemistry request for truck - used for spirit</t>
  </si>
  <si>
    <t>BW Sales</t>
  </si>
  <si>
    <t>Freight cost per litre for despatch and purchase chits if we are paying for the</t>
  </si>
  <si>
    <t>DE.DATE.E</t>
  </si>
  <si>
    <t>Despatch payment type</t>
  </si>
  <si>
    <t>Despatch from location</t>
  </si>
  <si>
    <t>Barrel tasting comment</t>
  </si>
  <si>
    <t>BRL.TASTE</t>
  </si>
  <si>
    <t>BRL.TASTE.CMNT</t>
  </si>
  <si>
    <t>Barrel ID connected to barrel taste Id</t>
  </si>
  <si>
    <t>BRL.TASTE.BARREL.ID</t>
  </si>
  <si>
    <t>Barrel tasting sample ID</t>
  </si>
  <si>
    <t>BRL.TASTE.ID</t>
  </si>
  <si>
    <t>Time CHIT updated</t>
  </si>
  <si>
    <t>Date CHIT updated</t>
  </si>
  <si>
    <t>DATE.UPDATED.E</t>
  </si>
  <si>
    <t>Additive lot quantity on a purchase CHIT</t>
  </si>
  <si>
    <t>PUR.ADD.LOT.QTY</t>
  </si>
  <si>
    <t>WMEST.DATE.E</t>
  </si>
  <si>
    <t>DATE.FINISHED.E</t>
  </si>
  <si>
    <t>DATE.STARTED.E</t>
  </si>
  <si>
    <t>a TO tank that is a barrel group has some (but not all) barrels part</t>
  </si>
  <si>
    <t>BG.SOME.PART</t>
  </si>
  <si>
    <t>To Original Barrel Number range</t>
  </si>
  <si>
    <t>TO.ORIG.BARREL.NOS</t>
  </si>
  <si>
    <t>To Barrel Code</t>
  </si>
  <si>
    <t>TO.BARREL.CODE</t>
  </si>
  <si>
    <t>To Barrel Date Filled</t>
  </si>
  <si>
    <t>TO.BARREL.DATE.FILLED.E</t>
  </si>
  <si>
    <t>TO.BARREL.DATE.FILLED</t>
  </si>
  <si>
    <t>To Barrel Location/Stack</t>
  </si>
  <si>
    <t>TO.BARREL.LOC.STACK</t>
  </si>
  <si>
    <t>To Barrel Total Volume After</t>
  </si>
  <si>
    <t>TO.BARREL.TOTVOL.AFT</t>
  </si>
  <si>
    <t>To Barrel Actual Volume After</t>
  </si>
  <si>
    <t>TO.BARREL.ACTVOL.AFT</t>
  </si>
  <si>
    <t>To Barrel Total Volume Before</t>
  </si>
  <si>
    <t>TO.BARREL.TOTVOL.B4</t>
  </si>
  <si>
    <t>To Barrel Actual Volume Before</t>
  </si>
  <si>
    <t>TO.BARREL.ACTVOL.B4</t>
  </si>
  <si>
    <t>To Barrel Capacity</t>
  </si>
  <si>
    <t>TO.BARREL.CAPACITY</t>
  </si>
  <si>
    <t>To Barrel Type</t>
  </si>
  <si>
    <t>TO.BARREL.TYPE</t>
  </si>
  <si>
    <t>To Barrel Number</t>
  </si>
  <si>
    <t>TO.BARREL.NO</t>
  </si>
  <si>
    <t>'Y'/'' Flag set if the corresponding virtual To tank has been</t>
  </si>
  <si>
    <t>MTVIRTFL</t>
  </si>
  <si>
    <t>DATES.PRINTED.E</t>
  </si>
  <si>
    <t>If the chit was for rework will be the rework reason code else null</t>
  </si>
  <si>
    <t>REWORK.REASON.CODE</t>
  </si>
  <si>
    <t>Chit creation date</t>
  </si>
  <si>
    <t>ORIG.MRDATE.E</t>
  </si>
  <si>
    <t>Purchase chit winery location</t>
  </si>
  <si>
    <t>Purchase into</t>
  </si>
  <si>
    <t>PO.WINLOC</t>
  </si>
  <si>
    <t>From Tank Grade level ENTERED</t>
  </si>
  <si>
    <t>MFGRADE.LEVEL.ENT</t>
  </si>
  <si>
    <t>Blend Proposal Id</t>
  </si>
  <si>
    <t>Weighnote Generic Code</t>
  </si>
  <si>
    <t>WNote</t>
  </si>
  <si>
    <t>WNOTE.GENERIC</t>
  </si>
  <si>
    <t>Addition Actual Date Completed</t>
  </si>
  <si>
    <t>Addition</t>
  </si>
  <si>
    <t>ADDN.ACT.DATE.COMP.E</t>
  </si>
  <si>
    <t>D4</t>
  </si>
  <si>
    <t>ADDN.ACT.DATE.COMP</t>
  </si>
  <si>
    <t>Purchase chit grade level</t>
  </si>
  <si>
    <t>PUR.GRADE.LEVEL</t>
  </si>
  <si>
    <t>Purchase order quantity</t>
  </si>
  <si>
    <t>PUR.ORD.QTY</t>
  </si>
  <si>
    <t>Lot based reporting UOM matching a corresponding LOT UOM. I.e.</t>
  </si>
  <si>
    <t>ADD.LOT.UOMS</t>
  </si>
  <si>
    <t>Purchase wine additive lot numbers</t>
  </si>
  <si>
    <t>Purchased wine unit of measure</t>
  </si>
  <si>
    <t>PUR.AUOMISS</t>
  </si>
  <si>
    <t>Purchase additive quantity issued</t>
  </si>
  <si>
    <t>PUR.AQTYISS</t>
  </si>
  <si>
    <t>Purchased wine additive codes</t>
  </si>
  <si>
    <t>From Original Barrel Number range</t>
  </si>
  <si>
    <t>FROM.ORIG.BARREL.NOS</t>
  </si>
  <si>
    <t>From Barrel Code</t>
  </si>
  <si>
    <t>FROM.BARREL.CODE</t>
  </si>
  <si>
    <t>From Barrel Date Filled</t>
  </si>
  <si>
    <t>FROM.BARREL.DATE.FILLED.E</t>
  </si>
  <si>
    <t>FROM.BARREL.DATE.FILLED</t>
  </si>
  <si>
    <t>From Barrel Location/Stack</t>
  </si>
  <si>
    <t>FROM.BARREL.LOC.STACK</t>
  </si>
  <si>
    <t>FROM.BARREL.TOTVOL.AFT</t>
  </si>
  <si>
    <t>From Barrel Actual Volume After</t>
  </si>
  <si>
    <t>FROM.BARREL.ACTVOL.AFT</t>
  </si>
  <si>
    <t>From Barrel Total Volume Before</t>
  </si>
  <si>
    <t>FROM.BARREL.TOTVOL.B4</t>
  </si>
  <si>
    <t>From Barrel Actual Volume Before</t>
  </si>
  <si>
    <t>FROM.BARREL.ACTVOL.B4</t>
  </si>
  <si>
    <t>From Barrel Capacity</t>
  </si>
  <si>
    <t>FROM.BARREL.CAPACITY</t>
  </si>
  <si>
    <t>From Barrel Type</t>
  </si>
  <si>
    <t>FROM.BARREL.TYPE</t>
  </si>
  <si>
    <t>From Barrel Number</t>
  </si>
  <si>
    <t>FROM.BARREL.NO</t>
  </si>
  <si>
    <t>Original Barrel Number range</t>
  </si>
  <si>
    <t>Barrel Date Filled</t>
  </si>
  <si>
    <t>BARREL.DATE.FILLED.E</t>
  </si>
  <si>
    <t>BARREL.DATE.FILLED</t>
  </si>
  <si>
    <t>Barrel Location/Stack</t>
  </si>
  <si>
    <t>BARREL.LOC.STACK</t>
  </si>
  <si>
    <t>BARREL.TOTVOL.AFT</t>
  </si>
  <si>
    <t>Barrel Actual Volume After</t>
  </si>
  <si>
    <t>BARREL.ACTVOL.AFT</t>
  </si>
  <si>
    <t>Barrel Total Volume Before</t>
  </si>
  <si>
    <t>BARREL.TOTVOL.B4</t>
  </si>
  <si>
    <t>Barrel Actual Volume Before</t>
  </si>
  <si>
    <t>BARREL.ACTVOL.B4</t>
  </si>
  <si>
    <t>Barrel Capacity</t>
  </si>
  <si>
    <t>BARREL.CAPACITY</t>
  </si>
  <si>
    <t>Barrel Number</t>
  </si>
  <si>
    <t>Additive Batch Lot Number</t>
  </si>
  <si>
    <t>ADDN.LOT.NUMBER</t>
  </si>
  <si>
    <t>Botting chit entered by user for Salvage Decant</t>
  </si>
  <si>
    <t>BOTT.CHIT</t>
  </si>
  <si>
    <t>Finished or WIP codes and original Production Dates</t>
  </si>
  <si>
    <t>Finished or WIP</t>
  </si>
  <si>
    <t>WIP.CODES.DATES</t>
  </si>
  <si>
    <t>Received Salvage Volume</t>
  </si>
  <si>
    <t>RECEIVED.SALV.VOL</t>
  </si>
  <si>
    <t>Planned Salvage Volume</t>
  </si>
  <si>
    <t>PLANNED.SALV.VOL</t>
  </si>
  <si>
    <t>Original Bottling chit date*whse*line*product</t>
  </si>
  <si>
    <t>Volume Salvaged Finalised</t>
  </si>
  <si>
    <t>VOLUME.SALV.FINAL</t>
  </si>
  <si>
    <t>Original Bottling chit</t>
  </si>
  <si>
    <t>Volume salvaged for original bottling chit</t>
  </si>
  <si>
    <t>SAP Process Order Number for Salvage Decant chit.</t>
  </si>
  <si>
    <t>To Tank Grade Level ENTERED</t>
  </si>
  <si>
    <t>MTGRADE.LEVEL.ENT</t>
  </si>
  <si>
    <t>To Tank Grade Level BEFORE</t>
  </si>
  <si>
    <t>MTGRADE.LEVEL.B4</t>
  </si>
  <si>
    <t>From Tank Grade Level BEFORE</t>
  </si>
  <si>
    <t>MFGRADE.LEVEL.B4</t>
  </si>
  <si>
    <t>From Tank Grade Level</t>
  </si>
  <si>
    <t>MFGRADE.LEVEL</t>
  </si>
  <si>
    <t>Flag to indicate addition instructions have been loaded</t>
  </si>
  <si>
    <t>Additive Instructions</t>
  </si>
  <si>
    <t>ADDN.INSTR.LOADED</t>
  </si>
  <si>
    <t>Flag to indicate if additive is performed before or after movements</t>
  </si>
  <si>
    <t>ADDN.B4.AFT</t>
  </si>
  <si>
    <t>Jump from WorkSheet flag</t>
  </si>
  <si>
    <t>JUMP.FROM.WS</t>
  </si>
  <si>
    <t>To LALS</t>
  </si>
  <si>
    <t>To Temp</t>
  </si>
  <si>
    <t>To Str</t>
  </si>
  <si>
    <t>Summary Composition Finalised</t>
  </si>
  <si>
    <t>SC</t>
  </si>
  <si>
    <t>SC.FINALISED</t>
  </si>
  <si>
    <t>Purchase Order Number That Wine was Purchased on</t>
  </si>
  <si>
    <t>MDATE</t>
  </si>
  <si>
    <t>Date Last</t>
  </si>
  <si>
    <t>LAST.MAINT.DATE.E</t>
  </si>
  <si>
    <t>LAST.MAINT.DATE</t>
  </si>
  <si>
    <t>Volume of tank prior to additive</t>
  </si>
  <si>
    <t>Additive Tank Volume</t>
  </si>
  <si>
    <t>ADDN.VOLUME</t>
  </si>
  <si>
    <t>Single/B Double</t>
  </si>
  <si>
    <t>Single</t>
  </si>
  <si>
    <t>SINGLE.DOUBLE</t>
  </si>
  <si>
    <t>Freight Hours</t>
  </si>
  <si>
    <t>FREIGHT.HOURS</t>
  </si>
  <si>
    <t>Freight to Area</t>
  </si>
  <si>
    <t>FREIGHT.TO</t>
  </si>
  <si>
    <t>Freight From Area</t>
  </si>
  <si>
    <t>FREIGHT.FROM</t>
  </si>
  <si>
    <t>Pay Type</t>
  </si>
  <si>
    <t>PAY.TYPE</t>
  </si>
  <si>
    <t>ADD.INST</t>
  </si>
  <si>
    <t>ADDN.INSTRUCTIONS</t>
  </si>
  <si>
    <t>Addivite OPSMOVE chit number</t>
  </si>
  <si>
    <t>Additive OPSMOVE Chit</t>
  </si>
  <si>
    <t>ADDN.MCNOTE</t>
  </si>
  <si>
    <t>Additive conversion rate</t>
  </si>
  <si>
    <t>CONVERSION</t>
  </si>
  <si>
    <t>MD80P</t>
  </si>
  <si>
    <t>ADDN.CONV</t>
  </si>
  <si>
    <t>ADDN.COMP.FLAG</t>
  </si>
  <si>
    <t>To Tank Additive Wood Batch #</t>
  </si>
  <si>
    <t>To Tank Additive Quantity</t>
  </si>
  <si>
    <t>ADDN.QTY</t>
  </si>
  <si>
    <t>To Tank Additive Unit of Measure</t>
  </si>
  <si>
    <t>ADDN.UNIT</t>
  </si>
  <si>
    <t>To Tank Additive Rate</t>
  </si>
  <si>
    <t>ADDN.RATE</t>
  </si>
  <si>
    <t>To Tank Additive Code</t>
  </si>
  <si>
    <t>ADDN.CODE</t>
  </si>
  <si>
    <t>Tank Code for Additive</t>
  </si>
  <si>
    <t>ADDN.TANK</t>
  </si>
  <si>
    <t>- Automatic Chemistry request after status change</t>
  </si>
  <si>
    <t>Chemistry request</t>
  </si>
  <si>
    <t>MTCHEM.REQ</t>
  </si>
  <si>
    <t>To Tank Grade Level</t>
  </si>
  <si>
    <t>MTGRADE.LEVEL</t>
  </si>
  <si>
    <t>'To' tank allocation percentage this volume</t>
  </si>
  <si>
    <t>MTALLOCPERC</t>
  </si>
  <si>
    <t>Actual Volume moved to 'To' tank</t>
  </si>
  <si>
    <t>Actual Volume</t>
  </si>
  <si>
    <t>MTTANK.ACT.VOL</t>
  </si>
  <si>
    <t>To Tank OPSMOVE chit number</t>
  </si>
  <si>
    <t>MTTANK.MCNOTE</t>
  </si>
  <si>
    <t>To Tank completed flag</t>
  </si>
  <si>
    <t>MTTANK.TT.COMP.FLAG</t>
  </si>
  <si>
    <t>Calculated Volume After in 'To' tank</t>
  </si>
  <si>
    <t>MTTANK.VOLAFT.TT</t>
  </si>
  <si>
    <t>To Tank actual Dip After</t>
  </si>
  <si>
    <t>MTTANK.ACT.DIPAFT</t>
  </si>
  <si>
    <t>To Tank Actual Dip B4</t>
  </si>
  <si>
    <t>MTTANK.ACT.DIPB4</t>
  </si>
  <si>
    <t>To Tank calculated Dip After</t>
  </si>
  <si>
    <t>MTTANK.CALC.DIPAFT</t>
  </si>
  <si>
    <t>To Tank Calculated Dip B4</t>
  </si>
  <si>
    <t>MTTANK.CALC.DIPB4</t>
  </si>
  <si>
    <t>Calculated Volume moved to Tank from 'From' tank</t>
  </si>
  <si>
    <t>Calc. Volume</t>
  </si>
  <si>
    <t>MTTANK.CALCVOL.TT</t>
  </si>
  <si>
    <t>Volume moved to Tank from 'From' tank</t>
  </si>
  <si>
    <t>MTTANK.VOL.TT</t>
  </si>
  <si>
    <t>Volume before movement from 'To' tank</t>
  </si>
  <si>
    <t>Volume before</t>
  </si>
  <si>
    <t>MTTANK.VOLB4.TT</t>
  </si>
  <si>
    <t>From Tank assigned to 'To' tank</t>
  </si>
  <si>
    <t>From tank</t>
  </si>
  <si>
    <t>MTTANK.FR.TANK</t>
  </si>
  <si>
    <t>To Tank Completed Flag</t>
  </si>
  <si>
    <t>MTTANK.COMP.FLAG</t>
  </si>
  <si>
    <t>To Tank Volume moved</t>
  </si>
  <si>
    <t>To Tank Dip After</t>
  </si>
  <si>
    <t>To Tank Dip B4</t>
  </si>
  <si>
    <t>To Tank Volume After</t>
  </si>
  <si>
    <t>MTVOLAFT</t>
  </si>
  <si>
    <t>To Tank Volume B4</t>
  </si>
  <si>
    <t>MTVOLB4</t>
  </si>
  <si>
    <t>To Tank Blend Status</t>
  </si>
  <si>
    <t>To Batch No</t>
  </si>
  <si>
    <t>To Blend No</t>
  </si>
  <si>
    <t>Grape Variety-Source*Vintage year</t>
  </si>
  <si>
    <t>Actual Volume moved from 'From' tank</t>
  </si>
  <si>
    <t>MFTANK.ACT.VOL</t>
  </si>
  <si>
    <t>From Tank OPSMOVE chit number</t>
  </si>
  <si>
    <t>From Tank OPSMOVE Chit</t>
  </si>
  <si>
    <t>MFTANK.MCNOTE</t>
  </si>
  <si>
    <t>From Tank 'To' tank completed flag</t>
  </si>
  <si>
    <t>MFTANK.FT.COMP.FLAG</t>
  </si>
  <si>
    <t>Calculated Volume After in 'From' tank</t>
  </si>
  <si>
    <t>MFTANK.VOLAFT.FT</t>
  </si>
  <si>
    <t>From Tank actual Dip After</t>
  </si>
  <si>
    <t>MFTANK.ACT.DIPAFT</t>
  </si>
  <si>
    <t>From Tank actual Dip B4</t>
  </si>
  <si>
    <t>MFTANK.ACT.DIPB4</t>
  </si>
  <si>
    <t>From Tank calculated Dip After</t>
  </si>
  <si>
    <t>MFTANK.CALC.DIPAFT</t>
  </si>
  <si>
    <t>From Tank calculated Dip B4</t>
  </si>
  <si>
    <t>MFTANK.CALC.DIPB4</t>
  </si>
  <si>
    <t>Calculated Volume moved from Tank to 'To' tank</t>
  </si>
  <si>
    <t>MFTANK.CALCVOL.FT</t>
  </si>
  <si>
    <t>Volume moved from Tank to 'To' tank</t>
  </si>
  <si>
    <t>MFTANK.VOL.FT</t>
  </si>
  <si>
    <t>Volume before movement from 'From' tank</t>
  </si>
  <si>
    <t>MFTANK.VOLB4.FT</t>
  </si>
  <si>
    <t>To Tank assigned to 'From' tank</t>
  </si>
  <si>
    <t>MFTANK.TO.TANK</t>
  </si>
  <si>
    <t>From Tank Completed Flag</t>
  </si>
  <si>
    <t>MFTANK.COMP.FLAG</t>
  </si>
  <si>
    <t>Total Volume moved from Tank</t>
  </si>
  <si>
    <t>Total Volume</t>
  </si>
  <si>
    <t>MFTANK.VOLM</t>
  </si>
  <si>
    <t>From Tank Dip After</t>
  </si>
  <si>
    <t>From Tank Dip B4</t>
  </si>
  <si>
    <t>From Tank Volume After</t>
  </si>
  <si>
    <t>From Tank Volume B4</t>
  </si>
  <si>
    <t>MFVOLB4</t>
  </si>
  <si>
    <t>Blend Status</t>
  </si>
  <si>
    <t>From Batch No</t>
  </si>
  <si>
    <t>From Blend No</t>
  </si>
  <si>
    <t>Purchased Wine</t>
  </si>
  <si>
    <t>PURCH.MCNOTE</t>
  </si>
  <si>
    <t>Cartnote Tanker Movement Key</t>
  </si>
  <si>
    <t>Cartnote</t>
  </si>
  <si>
    <t>CARTNOTE.TMOV.KEY</t>
  </si>
  <si>
    <t>Cart note Finalised Flag</t>
  </si>
  <si>
    <t>Cart note</t>
  </si>
  <si>
    <t>CARTNOTE.FINALISED</t>
  </si>
  <si>
    <t>Weigh Note Finalised Flag</t>
  </si>
  <si>
    <t>Weigh Note}Finalised</t>
  </si>
  <si>
    <t>WNOTE.FINALISED</t>
  </si>
  <si>
    <t>Weigh Note Number</t>
  </si>
  <si>
    <t>Weigh Note</t>
  </si>
  <si>
    <t>Warning</t>
  </si>
  <si>
    <t>Inits</t>
  </si>
  <si>
    <t>Loss/Gain Reason</t>
  </si>
  <si>
    <t>Prnt</t>
  </si>
  <si>
    <t>INSTRUCTIONS</t>
  </si>
  <si>
    <t>LAST.OPSMOVE.SEQ</t>
  </si>
  <si>
    <t>Complete</t>
  </si>
  <si>
    <t>Time operation required to be completed</t>
  </si>
  <si>
    <t>Date operation required to be completed</t>
  </si>
  <si>
    <t>MRDATE.E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</si>
</sst>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6" x14ac:knownFonts="1">
    <font>
      <sz val="10"/>
      <name val="Times New Roman"/>
      <family val="1"/>
    </font>
    <font>
      <sz val="10"/>
      <name val="Times New Roman"/>
      <family val="1"/>
    </font>
    <font>
      <sz val="10"/>
      <name val="Arial"/>
      <family val="2"/>
    </font>
    <font>
      <b/>
      <sz val="10"/>
      <name val="Times New Roman"/>
      <family val="1"/>
    </font>
    <font>
      <b/>
      <u/>
      <sz val="14"/>
      <name val="Arial"/>
      <family val="2"/>
    </font>
    <font>
      <sz val="10"/>
      <color rgb="FF000000"/>
      <name val="Arial"/>
      <family val="2"/>
    </font>
  </fonts>
  <fills count="3">
    <fill>
      <patternFill patternType="none"/>
    </fill>
    <fill>
      <patternFill patternType="gray125"/>
    </fill>
    <fill>
      <patternFill patternType="solid">
        <fgColor indexed="22"/>
        <bgColor indexed="64"/>
      </patternFill>
    </fill>
  </fills>
  <borders count="4">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2" fillId="0" borderId="0"/>
  </cellStyleXfs>
  <cellXfs count="17">
    <xf numFmtId="0" fontId="0" fillId="0" borderId="0" xfId="0"/>
    <xf numFmtId="0" fontId="1" fillId="0" borderId="0" xfId="1" applyAlignment="1">
      <alignment vertical="top"/>
    </xf>
    <xf numFmtId="0" fontId="1" fillId="0" borderId="0" xfId="1" applyAlignment="1">
      <alignment horizontal="center" vertical="top"/>
    </xf>
    <xf numFmtId="0" fontId="2" fillId="0" borderId="0" xfId="2" applyAlignment="1">
      <alignment horizontal="left" vertical="top" wrapText="1"/>
    </xf>
    <xf numFmtId="0" fontId="2" fillId="0" borderId="0" xfId="2" applyAlignment="1">
      <alignment horizontal="center" vertical="top" wrapText="1"/>
    </xf>
    <xf numFmtId="0" fontId="1" fillId="0" borderId="0" xfId="1" applyAlignment="1">
      <alignment horizontal="left" vertical="top" wrapText="1"/>
    </xf>
    <xf numFmtId="0" fontId="1" fillId="2" borderId="1" xfId="1" applyFill="1" applyBorder="1" applyAlignment="1">
      <alignment vertical="top"/>
    </xf>
    <xf numFmtId="0" fontId="1" fillId="2" borderId="2" xfId="1" applyFill="1" applyBorder="1" applyAlignment="1">
      <alignment horizontal="center" vertical="top"/>
    </xf>
    <xf numFmtId="0" fontId="1" fillId="2" borderId="2" xfId="1" applyFill="1" applyBorder="1" applyAlignment="1">
      <alignment horizontal="left" vertical="top" wrapText="1"/>
    </xf>
    <xf numFmtId="0" fontId="1" fillId="2" borderId="2" xfId="1" applyFill="1" applyBorder="1" applyAlignment="1">
      <alignment horizontal="center" vertical="top" wrapText="1"/>
    </xf>
    <xf numFmtId="0" fontId="1" fillId="2" borderId="3" xfId="1" applyFill="1" applyBorder="1" applyAlignment="1">
      <alignment horizontal="left" vertical="top" wrapText="1"/>
    </xf>
    <xf numFmtId="0" fontId="1" fillId="0" borderId="0" xfId="1" applyAlignment="1">
      <alignment horizontal="center"/>
    </xf>
    <xf numFmtId="164" fontId="3" fillId="0" borderId="0" xfId="1" applyNumberFormat="1" applyFont="1" applyAlignment="1">
      <alignment horizontal="left"/>
    </xf>
    <xf numFmtId="0" fontId="3" fillId="0" borderId="0" xfId="1" applyFont="1"/>
    <xf numFmtId="0" fontId="1" fillId="0" borderId="0" xfId="1"/>
    <xf numFmtId="0" fontId="4" fillId="0" borderId="0" xfId="2" applyFont="1" applyAlignment="1">
      <alignment horizontal="left" vertical="top"/>
    </xf>
    <xf numFmtId="164" fontId="3" fillId="0" borderId="0" xfId="1" applyNumberFormat="1" applyFont="1" applyAlignment="1">
      <alignment horizontal="left"/>
    </xf>
  </cellXfs>
  <cellStyles count="3">
    <cellStyle name="Normal" xfId="0" builtinId="0"/>
    <cellStyle name="Normal_Dictionary - Grape Resource Database 2" xfId="2" xr:uid="{759C4B04-4C19-4715-87B1-40D58AC6DF55}"/>
    <cellStyle name="Normal_SHEET" xfId="1" xr:uid="{EFEBCBE5-D177-42F5-8715-AAE8209E8B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114300</xdr:colOff>
          <xdr:row>0</xdr:row>
          <xdr:rowOff>47625</xdr:rowOff>
        </xdr:from>
        <xdr:to>
          <xdr:col>9</xdr:col>
          <xdr:colOff>1962150</xdr:colOff>
          <xdr:row>1</xdr:row>
          <xdr:rowOff>0</xdr:rowOff>
        </xdr:to>
        <xdr:sp macro="" textlink="">
          <xdr:nvSpPr>
            <xdr:cNvPr id="18433" name="Button 1" hidden="1">
              <a:extLst>
                <a:ext uri="{63B3BB69-23CF-44E3-9099-C40C66FF867C}">
                  <a14:compatExt spid="_x0000_s18433"/>
                </a:ext>
                <a:ext uri="{FF2B5EF4-FFF2-40B4-BE49-F238E27FC236}">
                  <a16:creationId xmlns:a16="http://schemas.microsoft.com/office/drawing/2014/main" id="{00000000-0008-0000-0F00-0000014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AU" sz="1000" b="0" i="0" u="none" strike="noStrike" baseline="0">
                  <a:solidFill>
                    <a:srgbClr val="000000"/>
                  </a:solidFill>
                  <a:latin typeface="Arial"/>
                  <a:cs typeface="Arial"/>
                </a:rPr>
                <a:t>Return to menu</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114300</xdr:colOff>
          <xdr:row>0</xdr:row>
          <xdr:rowOff>47625</xdr:rowOff>
        </xdr:from>
        <xdr:to>
          <xdr:col>9</xdr:col>
          <xdr:colOff>1962150</xdr:colOff>
          <xdr:row>1</xdr:row>
          <xdr:rowOff>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1000-0000010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AU" sz="1000" b="0" i="0" u="none" strike="noStrike" baseline="0">
                  <a:solidFill>
                    <a:srgbClr val="000000"/>
                  </a:solidFill>
                  <a:latin typeface="Arial"/>
                  <a:cs typeface="Arial"/>
                </a:rPr>
                <a:t>Return to menu</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114300</xdr:colOff>
          <xdr:row>0</xdr:row>
          <xdr:rowOff>47625</xdr:rowOff>
        </xdr:from>
        <xdr:to>
          <xdr:col>9</xdr:col>
          <xdr:colOff>1962150</xdr:colOff>
          <xdr:row>1</xdr:row>
          <xdr:rowOff>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1100-000001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AU" sz="1000" b="0" i="0" u="none" strike="noStrike" baseline="0">
                  <a:solidFill>
                    <a:srgbClr val="000000"/>
                  </a:solidFill>
                  <a:latin typeface="Arial"/>
                  <a:cs typeface="Arial"/>
                </a:rPr>
                <a:t>Return to menu</a:t>
              </a:r>
            </a:p>
          </xdr:txBody>
        </xdr:sp>
        <xdr:clientData fPrintsWithSheet="0"/>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B4F8-424D-4768-A32F-106689297500}">
  <sheetPr codeName="Sheet13"/>
  <dimension ref="A1:Y2764"/>
  <sheetViews>
    <sheetView workbookViewId="0">
      <pane ySplit="5355" topLeftCell="A2758"/>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8875</v>
      </c>
      <c r="C1" s="14"/>
      <c r="D1" s="14"/>
      <c r="E1" s="14"/>
      <c r="F1" s="13" t="s">
        <v>8892</v>
      </c>
      <c r="G1" s="16">
        <v>45538</v>
      </c>
      <c r="H1" s="16"/>
      <c r="I1" s="16"/>
      <c r="J1" s="11"/>
    </row>
    <row r="2" spans="1:25" ht="18" x14ac:dyDescent="0.2">
      <c r="A2" s="14">
        <f ca="1">COUNTA(OFFSET(A3,1,0,2222,1))</f>
        <v>2222</v>
      </c>
      <c r="B2" s="15"/>
      <c r="C2" s="14">
        <f ca="1">MAX(OFFSET(C3,1,0,2222,1))</f>
        <v>100</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8881</v>
      </c>
      <c r="B4" s="5" t="s">
        <v>8880</v>
      </c>
      <c r="C4" s="5">
        <v>0</v>
      </c>
      <c r="D4" s="5" t="s">
        <v>8879</v>
      </c>
      <c r="E4" s="5"/>
      <c r="F4" s="5"/>
      <c r="G4" s="5"/>
      <c r="H4" s="5"/>
      <c r="I4" s="5"/>
      <c r="J4" s="5"/>
    </row>
    <row r="5" spans="1:25" x14ac:dyDescent="0.2">
      <c r="A5" s="5" t="s">
        <v>8878</v>
      </c>
      <c r="B5" s="5" t="s">
        <v>8584</v>
      </c>
      <c r="C5" s="5">
        <v>0</v>
      </c>
      <c r="D5" s="5"/>
      <c r="E5" s="5"/>
      <c r="F5" s="5" t="s">
        <v>8875</v>
      </c>
      <c r="G5" s="5" t="s">
        <v>882</v>
      </c>
      <c r="H5" s="5" t="s">
        <v>3</v>
      </c>
      <c r="I5" s="5"/>
      <c r="J5" s="5" t="s">
        <v>8874</v>
      </c>
    </row>
    <row r="6" spans="1:25" x14ac:dyDescent="0.2">
      <c r="A6" s="5" t="s">
        <v>8877</v>
      </c>
      <c r="B6" s="5" t="s">
        <v>8584</v>
      </c>
      <c r="C6" s="5">
        <v>0</v>
      </c>
      <c r="D6" s="5"/>
      <c r="E6" s="5"/>
      <c r="F6" s="5"/>
      <c r="G6" s="5" t="s">
        <v>4028</v>
      </c>
      <c r="H6" s="5" t="s">
        <v>3</v>
      </c>
      <c r="I6" s="5"/>
      <c r="J6" s="5"/>
    </row>
    <row r="7" spans="1:25" x14ac:dyDescent="0.2">
      <c r="A7" s="5" t="s">
        <v>8876</v>
      </c>
      <c r="B7" s="5" t="s">
        <v>8584</v>
      </c>
      <c r="C7" s="5">
        <v>0</v>
      </c>
      <c r="D7" s="5"/>
      <c r="E7" s="5"/>
      <c r="F7" s="5" t="s">
        <v>8875</v>
      </c>
      <c r="G7" s="5" t="s">
        <v>4028</v>
      </c>
      <c r="H7" s="5" t="s">
        <v>3</v>
      </c>
      <c r="I7" s="5"/>
      <c r="J7" s="5" t="s">
        <v>8874</v>
      </c>
    </row>
    <row r="8" spans="1:25" x14ac:dyDescent="0.2">
      <c r="A8" s="5" t="s">
        <v>8873</v>
      </c>
      <c r="B8" s="5" t="s">
        <v>8584</v>
      </c>
      <c r="C8" s="5">
        <v>0</v>
      </c>
      <c r="D8" s="5"/>
      <c r="E8" s="5"/>
      <c r="F8" s="5" t="s">
        <v>4053</v>
      </c>
      <c r="G8" s="5" t="s">
        <v>4848</v>
      </c>
      <c r="H8" s="5" t="s">
        <v>3</v>
      </c>
      <c r="I8" s="5"/>
      <c r="J8" s="5" t="s">
        <v>8869</v>
      </c>
    </row>
    <row r="9" spans="1:25" x14ac:dyDescent="0.2">
      <c r="A9" s="5" t="s">
        <v>8872</v>
      </c>
      <c r="B9" s="5" t="s">
        <v>8584</v>
      </c>
      <c r="C9" s="5">
        <v>0</v>
      </c>
      <c r="D9" s="5"/>
      <c r="E9" s="5"/>
      <c r="F9" s="5" t="s">
        <v>4053</v>
      </c>
      <c r="G9" s="5" t="s">
        <v>382</v>
      </c>
      <c r="H9" s="5" t="s">
        <v>3</v>
      </c>
      <c r="I9" s="5"/>
      <c r="J9" s="5" t="s">
        <v>8869</v>
      </c>
    </row>
    <row r="10" spans="1:25" x14ac:dyDescent="0.2">
      <c r="A10" s="5" t="s">
        <v>8871</v>
      </c>
      <c r="B10" s="5" t="s">
        <v>8584</v>
      </c>
      <c r="C10" s="5">
        <v>0</v>
      </c>
      <c r="D10" s="5"/>
      <c r="E10" s="5"/>
      <c r="F10" s="5" t="s">
        <v>4053</v>
      </c>
      <c r="G10" s="5" t="s">
        <v>255</v>
      </c>
      <c r="H10" s="5" t="s">
        <v>3</v>
      </c>
      <c r="I10" s="5"/>
      <c r="J10" s="5" t="s">
        <v>8869</v>
      </c>
    </row>
    <row r="11" spans="1:25" s="2" customFormat="1" x14ac:dyDescent="0.2">
      <c r="A11" s="5" t="s">
        <v>4053</v>
      </c>
      <c r="B11" s="5" t="s">
        <v>8584</v>
      </c>
      <c r="C11" s="5">
        <v>0</v>
      </c>
      <c r="D11" s="5"/>
      <c r="E11" s="5"/>
      <c r="F11" s="5" t="s">
        <v>8870</v>
      </c>
      <c r="G11" s="5" t="s">
        <v>502</v>
      </c>
      <c r="H11" s="5" t="s">
        <v>3</v>
      </c>
      <c r="I11" s="5"/>
      <c r="J11" s="5" t="s">
        <v>8869</v>
      </c>
      <c r="M11" s="1"/>
      <c r="N11"/>
      <c r="O11"/>
      <c r="P11"/>
      <c r="Q11"/>
      <c r="R11"/>
      <c r="S11"/>
      <c r="T11"/>
      <c r="U11"/>
      <c r="V11"/>
      <c r="W11"/>
      <c r="X11"/>
      <c r="Y11"/>
    </row>
    <row r="12" spans="1:25" s="2" customFormat="1" ht="25.5" x14ac:dyDescent="0.2">
      <c r="A12" s="5" t="s">
        <v>8868</v>
      </c>
      <c r="B12" s="5" t="s">
        <v>8584</v>
      </c>
      <c r="C12" s="5">
        <v>0</v>
      </c>
      <c r="D12" s="5"/>
      <c r="E12" s="5"/>
      <c r="F12" s="5" t="s">
        <v>8867</v>
      </c>
      <c r="G12" s="5" t="s">
        <v>502</v>
      </c>
      <c r="H12" s="5" t="s">
        <v>3</v>
      </c>
      <c r="I12" s="5"/>
      <c r="J12" s="5" t="s">
        <v>8866</v>
      </c>
      <c r="M12" s="1"/>
      <c r="N12"/>
      <c r="O12"/>
      <c r="P12"/>
      <c r="Q12"/>
      <c r="R12"/>
      <c r="S12"/>
      <c r="T12"/>
      <c r="U12"/>
      <c r="V12"/>
      <c r="W12"/>
      <c r="X12"/>
      <c r="Y12"/>
    </row>
    <row r="13" spans="1:25" s="2" customFormat="1" x14ac:dyDescent="0.2">
      <c r="A13" s="5" t="s">
        <v>8865</v>
      </c>
      <c r="B13" s="5" t="s">
        <v>8584</v>
      </c>
      <c r="C13" s="5">
        <v>0</v>
      </c>
      <c r="D13" s="5"/>
      <c r="E13" s="5"/>
      <c r="F13" s="5" t="s">
        <v>106</v>
      </c>
      <c r="G13" s="5" t="s">
        <v>229</v>
      </c>
      <c r="H13" s="5" t="s">
        <v>3</v>
      </c>
      <c r="I13" s="5"/>
      <c r="J13" s="5" t="s">
        <v>8864</v>
      </c>
      <c r="M13" s="1"/>
      <c r="N13"/>
      <c r="O13"/>
      <c r="P13"/>
      <c r="Q13"/>
      <c r="R13"/>
      <c r="S13"/>
      <c r="T13"/>
      <c r="U13"/>
      <c r="V13"/>
      <c r="W13"/>
      <c r="X13"/>
      <c r="Y13"/>
    </row>
    <row r="14" spans="1:25" s="2" customFormat="1" ht="25.5" x14ac:dyDescent="0.2">
      <c r="A14" s="5" t="s">
        <v>5</v>
      </c>
      <c r="B14" s="5" t="s">
        <v>8584</v>
      </c>
      <c r="C14" s="5">
        <v>1</v>
      </c>
      <c r="D14" s="5"/>
      <c r="E14" s="5"/>
      <c r="F14" s="5" t="s">
        <v>8863</v>
      </c>
      <c r="G14" s="5" t="s">
        <v>4</v>
      </c>
      <c r="H14" s="5" t="s">
        <v>3</v>
      </c>
      <c r="I14" s="5"/>
      <c r="J14" s="5" t="s">
        <v>8860</v>
      </c>
      <c r="M14" s="1"/>
      <c r="N14"/>
      <c r="O14"/>
      <c r="P14"/>
      <c r="Q14"/>
      <c r="R14"/>
      <c r="S14"/>
      <c r="T14"/>
      <c r="U14"/>
      <c r="V14"/>
      <c r="W14"/>
      <c r="X14"/>
      <c r="Y14"/>
    </row>
    <row r="15" spans="1:25" s="2" customFormat="1" ht="25.5" x14ac:dyDescent="0.2">
      <c r="A15" s="5" t="s">
        <v>8862</v>
      </c>
      <c r="B15" s="5" t="s">
        <v>8584</v>
      </c>
      <c r="C15" s="5">
        <v>1</v>
      </c>
      <c r="D15" s="5"/>
      <c r="E15" s="5"/>
      <c r="F15" s="5" t="s">
        <v>8861</v>
      </c>
      <c r="G15" s="5" t="s">
        <v>4</v>
      </c>
      <c r="H15" s="5" t="s">
        <v>3</v>
      </c>
      <c r="I15" s="5"/>
      <c r="J15" s="5" t="s">
        <v>8860</v>
      </c>
      <c r="M15" s="1"/>
      <c r="N15"/>
      <c r="O15"/>
      <c r="P15"/>
      <c r="Q15"/>
      <c r="R15"/>
      <c r="S15"/>
      <c r="T15"/>
      <c r="U15"/>
      <c r="V15"/>
      <c r="W15"/>
      <c r="X15"/>
      <c r="Y15"/>
    </row>
    <row r="16" spans="1:25" s="2" customFormat="1" ht="25.5" x14ac:dyDescent="0.2">
      <c r="A16" s="5" t="s">
        <v>8859</v>
      </c>
      <c r="B16" s="5" t="s">
        <v>8584</v>
      </c>
      <c r="C16" s="5">
        <v>1</v>
      </c>
      <c r="D16" s="5"/>
      <c r="E16" s="5"/>
      <c r="F16" s="5" t="s">
        <v>8858</v>
      </c>
      <c r="G16" s="5" t="s">
        <v>207</v>
      </c>
      <c r="H16" s="5" t="s">
        <v>137</v>
      </c>
      <c r="I16" s="5" t="s">
        <v>1532</v>
      </c>
      <c r="J16" s="5" t="s">
        <v>8857</v>
      </c>
      <c r="M16" s="1"/>
      <c r="N16"/>
      <c r="O16"/>
      <c r="P16"/>
      <c r="Q16"/>
      <c r="R16"/>
      <c r="S16"/>
      <c r="T16"/>
      <c r="U16"/>
      <c r="V16"/>
      <c r="W16"/>
      <c r="X16"/>
      <c r="Y16"/>
    </row>
    <row r="17" spans="1:25" s="2" customFormat="1" ht="38.25" x14ac:dyDescent="0.2">
      <c r="A17" s="5" t="s">
        <v>8856</v>
      </c>
      <c r="B17" s="5" t="s">
        <v>8584</v>
      </c>
      <c r="C17" s="5">
        <v>2</v>
      </c>
      <c r="D17" s="5"/>
      <c r="E17" s="5"/>
      <c r="F17" s="5" t="s">
        <v>8855</v>
      </c>
      <c r="G17" s="5" t="s">
        <v>6385</v>
      </c>
      <c r="H17" s="5" t="s">
        <v>3</v>
      </c>
      <c r="I17" s="5"/>
      <c r="J17" s="5" t="s">
        <v>8854</v>
      </c>
      <c r="M17" s="1"/>
      <c r="N17"/>
      <c r="O17"/>
      <c r="P17"/>
      <c r="Q17"/>
      <c r="R17"/>
      <c r="S17"/>
      <c r="T17"/>
      <c r="U17"/>
      <c r="V17"/>
      <c r="W17"/>
      <c r="X17"/>
      <c r="Y17"/>
    </row>
    <row r="18" spans="1:25" s="2" customFormat="1" x14ac:dyDescent="0.2">
      <c r="A18" s="5" t="s">
        <v>8853</v>
      </c>
      <c r="B18" s="5" t="s">
        <v>8584</v>
      </c>
      <c r="C18" s="5">
        <v>3</v>
      </c>
      <c r="D18" s="5"/>
      <c r="E18" s="5"/>
      <c r="F18" s="5" t="s">
        <v>4047</v>
      </c>
      <c r="G18" s="5" t="s">
        <v>502</v>
      </c>
      <c r="H18" s="5" t="s">
        <v>3</v>
      </c>
      <c r="I18" s="5"/>
      <c r="J18" s="5" t="s">
        <v>8848</v>
      </c>
      <c r="M18" s="1"/>
      <c r="N18"/>
      <c r="O18"/>
      <c r="P18"/>
      <c r="Q18"/>
      <c r="R18"/>
      <c r="S18"/>
      <c r="T18"/>
      <c r="U18"/>
      <c r="V18"/>
      <c r="W18"/>
      <c r="X18"/>
      <c r="Y18"/>
    </row>
    <row r="19" spans="1:25" s="2" customFormat="1" ht="25.5" x14ac:dyDescent="0.2">
      <c r="A19" s="5" t="s">
        <v>8852</v>
      </c>
      <c r="B19" s="5" t="s">
        <v>8584</v>
      </c>
      <c r="C19" s="5">
        <v>3</v>
      </c>
      <c r="D19" s="5"/>
      <c r="E19" s="5"/>
      <c r="F19" s="5" t="s">
        <v>8851</v>
      </c>
      <c r="G19" s="5" t="s">
        <v>502</v>
      </c>
      <c r="H19" s="5" t="s">
        <v>3</v>
      </c>
      <c r="I19" s="5"/>
      <c r="J19" s="5" t="s">
        <v>8850</v>
      </c>
      <c r="M19" s="1"/>
      <c r="N19"/>
      <c r="O19"/>
      <c r="P19"/>
      <c r="Q19"/>
      <c r="R19"/>
      <c r="S19"/>
      <c r="T19"/>
      <c r="U19"/>
      <c r="V19"/>
      <c r="W19"/>
      <c r="X19"/>
      <c r="Y19"/>
    </row>
    <row r="20" spans="1:25" s="2" customFormat="1" x14ac:dyDescent="0.2">
      <c r="A20" s="5" t="s">
        <v>8849</v>
      </c>
      <c r="B20" s="5" t="s">
        <v>8584</v>
      </c>
      <c r="C20" s="5">
        <v>3</v>
      </c>
      <c r="D20" s="5"/>
      <c r="E20" s="5"/>
      <c r="F20" s="5" t="s">
        <v>4009</v>
      </c>
      <c r="G20" s="5" t="s">
        <v>229</v>
      </c>
      <c r="H20" s="5" t="s">
        <v>3</v>
      </c>
      <c r="I20" s="5"/>
      <c r="J20" s="5" t="s">
        <v>8848</v>
      </c>
      <c r="M20" s="1"/>
      <c r="N20"/>
      <c r="O20"/>
      <c r="P20"/>
      <c r="Q20"/>
      <c r="R20"/>
      <c r="S20"/>
      <c r="T20"/>
      <c r="U20"/>
      <c r="V20"/>
      <c r="W20"/>
      <c r="X20"/>
      <c r="Y20"/>
    </row>
    <row r="21" spans="1:25" s="2" customFormat="1" x14ac:dyDescent="0.2">
      <c r="A21" s="5" t="s">
        <v>8847</v>
      </c>
      <c r="B21" s="5" t="s">
        <v>8584</v>
      </c>
      <c r="C21" s="5">
        <v>4</v>
      </c>
      <c r="D21" s="5"/>
      <c r="E21" s="5"/>
      <c r="F21" s="5" t="s">
        <v>8846</v>
      </c>
      <c r="G21" s="5" t="s">
        <v>105</v>
      </c>
      <c r="H21" s="5" t="s">
        <v>3</v>
      </c>
      <c r="I21" s="5"/>
      <c r="J21" s="5"/>
      <c r="M21" s="1"/>
      <c r="N21"/>
      <c r="O21"/>
      <c r="P21"/>
      <c r="Q21"/>
      <c r="R21"/>
      <c r="S21"/>
      <c r="T21"/>
      <c r="U21"/>
      <c r="V21"/>
      <c r="W21"/>
      <c r="X21"/>
      <c r="Y21"/>
    </row>
    <row r="22" spans="1:25" s="2" customFormat="1" x14ac:dyDescent="0.2">
      <c r="A22" s="5" t="s">
        <v>8845</v>
      </c>
      <c r="B22" s="5" t="s">
        <v>8584</v>
      </c>
      <c r="C22" s="5">
        <v>5</v>
      </c>
      <c r="D22" s="5"/>
      <c r="E22" s="5"/>
      <c r="F22" s="5" t="s">
        <v>8844</v>
      </c>
      <c r="G22" s="5" t="s">
        <v>4057</v>
      </c>
      <c r="H22" s="5" t="s">
        <v>3</v>
      </c>
      <c r="I22" s="5"/>
      <c r="J22" s="5" t="s">
        <v>8843</v>
      </c>
      <c r="M22" s="1"/>
      <c r="N22"/>
      <c r="O22"/>
      <c r="P22"/>
      <c r="Q22"/>
      <c r="R22"/>
      <c r="S22"/>
      <c r="T22"/>
      <c r="U22"/>
      <c r="V22"/>
      <c r="W22"/>
      <c r="X22"/>
      <c r="Y22"/>
    </row>
    <row r="23" spans="1:25" s="2" customFormat="1" ht="25.5" x14ac:dyDescent="0.2">
      <c r="A23" s="5" t="s">
        <v>8842</v>
      </c>
      <c r="B23" s="5" t="s">
        <v>8584</v>
      </c>
      <c r="C23" s="5">
        <v>6</v>
      </c>
      <c r="D23" s="5"/>
      <c r="E23" s="5"/>
      <c r="F23" s="5" t="s">
        <v>1541</v>
      </c>
      <c r="G23" s="5" t="s">
        <v>1542</v>
      </c>
      <c r="H23" s="5" t="s">
        <v>3</v>
      </c>
      <c r="I23" s="5"/>
      <c r="J23" s="5" t="s">
        <v>1541</v>
      </c>
      <c r="M23" s="1"/>
      <c r="N23"/>
      <c r="O23"/>
      <c r="P23"/>
      <c r="Q23"/>
      <c r="R23"/>
      <c r="S23"/>
      <c r="T23"/>
      <c r="U23"/>
      <c r="V23"/>
      <c r="W23"/>
      <c r="X23"/>
      <c r="Y23"/>
    </row>
    <row r="24" spans="1:25" s="2" customFormat="1" x14ac:dyDescent="0.2">
      <c r="A24" s="5" t="s">
        <v>8841</v>
      </c>
      <c r="B24" s="5" t="s">
        <v>8584</v>
      </c>
      <c r="C24" s="5">
        <v>7</v>
      </c>
      <c r="D24" s="5"/>
      <c r="E24" s="5"/>
      <c r="F24" s="5" t="s">
        <v>8840</v>
      </c>
      <c r="G24" s="5" t="s">
        <v>4028</v>
      </c>
      <c r="H24" s="5" t="s">
        <v>3</v>
      </c>
      <c r="I24" s="5"/>
      <c r="J24" s="5" t="s">
        <v>8840</v>
      </c>
      <c r="M24" s="1"/>
      <c r="N24"/>
      <c r="O24"/>
      <c r="P24"/>
      <c r="Q24"/>
      <c r="R24"/>
      <c r="S24"/>
      <c r="T24"/>
      <c r="U24"/>
      <c r="V24"/>
      <c r="W24"/>
      <c r="X24"/>
      <c r="Y24"/>
    </row>
    <row r="25" spans="1:25" s="2" customFormat="1" x14ac:dyDescent="0.2">
      <c r="A25" s="5" t="s">
        <v>8839</v>
      </c>
      <c r="B25" s="5" t="s">
        <v>8584</v>
      </c>
      <c r="C25" s="5">
        <v>8</v>
      </c>
      <c r="D25" s="5"/>
      <c r="E25" s="5"/>
      <c r="F25" s="5"/>
      <c r="G25" s="5" t="s">
        <v>702</v>
      </c>
      <c r="H25" s="5" t="s">
        <v>3</v>
      </c>
      <c r="I25" s="5"/>
      <c r="J25" s="5"/>
      <c r="M25" s="1"/>
      <c r="N25"/>
      <c r="O25"/>
      <c r="P25"/>
      <c r="Q25"/>
      <c r="R25"/>
      <c r="S25"/>
      <c r="T25"/>
      <c r="U25"/>
      <c r="V25"/>
      <c r="W25"/>
      <c r="X25"/>
      <c r="Y25"/>
    </row>
    <row r="26" spans="1:25" s="2" customFormat="1" x14ac:dyDescent="0.2">
      <c r="A26" s="5" t="s">
        <v>4054</v>
      </c>
      <c r="B26" s="5" t="s">
        <v>8584</v>
      </c>
      <c r="C26" s="5">
        <v>8</v>
      </c>
      <c r="D26" s="5"/>
      <c r="E26" s="5" t="s">
        <v>138</v>
      </c>
      <c r="F26" s="5" t="s">
        <v>4053</v>
      </c>
      <c r="G26" s="5" t="s">
        <v>91</v>
      </c>
      <c r="H26" s="5" t="s">
        <v>3</v>
      </c>
      <c r="I26" s="5"/>
      <c r="J26" s="5" t="s">
        <v>4052</v>
      </c>
      <c r="M26" s="1"/>
      <c r="N26"/>
      <c r="O26"/>
      <c r="P26"/>
      <c r="Q26"/>
      <c r="R26"/>
      <c r="S26"/>
      <c r="T26"/>
      <c r="U26"/>
      <c r="V26"/>
      <c r="W26"/>
      <c r="X26"/>
      <c r="Y26"/>
    </row>
    <row r="27" spans="1:25" s="2" customFormat="1" x14ac:dyDescent="0.2">
      <c r="A27" s="5" t="s">
        <v>8838</v>
      </c>
      <c r="B27" s="5" t="s">
        <v>8584</v>
      </c>
      <c r="C27" s="5">
        <v>8</v>
      </c>
      <c r="D27" s="5"/>
      <c r="E27" s="5"/>
      <c r="F27" s="5" t="s">
        <v>4053</v>
      </c>
      <c r="G27" s="5" t="s">
        <v>91</v>
      </c>
      <c r="H27" s="5" t="s">
        <v>3</v>
      </c>
      <c r="I27" s="5"/>
      <c r="J27" s="5" t="s">
        <v>4052</v>
      </c>
      <c r="M27" s="1"/>
      <c r="N27"/>
      <c r="O27"/>
      <c r="P27"/>
      <c r="Q27"/>
      <c r="R27"/>
      <c r="S27"/>
      <c r="T27"/>
      <c r="U27"/>
      <c r="V27"/>
      <c r="W27"/>
      <c r="X27"/>
      <c r="Y27"/>
    </row>
    <row r="28" spans="1:25" s="2" customFormat="1" x14ac:dyDescent="0.2">
      <c r="A28" s="5" t="s">
        <v>8837</v>
      </c>
      <c r="B28" s="5" t="s">
        <v>8584</v>
      </c>
      <c r="C28" s="5">
        <v>9</v>
      </c>
      <c r="D28" s="5"/>
      <c r="E28" s="5"/>
      <c r="F28" s="5" t="s">
        <v>8305</v>
      </c>
      <c r="G28" s="5" t="s">
        <v>2672</v>
      </c>
      <c r="H28" s="5" t="s">
        <v>3</v>
      </c>
      <c r="I28" s="5"/>
      <c r="J28" s="5" t="s">
        <v>8836</v>
      </c>
      <c r="M28" s="1"/>
      <c r="N28"/>
      <c r="O28"/>
      <c r="P28"/>
      <c r="Q28"/>
      <c r="R28"/>
      <c r="S28"/>
      <c r="T28"/>
      <c r="U28"/>
      <c r="V28"/>
      <c r="W28"/>
      <c r="X28"/>
      <c r="Y28"/>
    </row>
    <row r="29" spans="1:25" s="2" customFormat="1" ht="25.5" x14ac:dyDescent="0.2">
      <c r="A29" s="5" t="s">
        <v>8835</v>
      </c>
      <c r="B29" s="5" t="s">
        <v>8584</v>
      </c>
      <c r="C29" s="5">
        <v>9</v>
      </c>
      <c r="D29" s="5"/>
      <c r="E29" s="5"/>
      <c r="F29" s="5" t="s">
        <v>8834</v>
      </c>
      <c r="G29" s="5" t="s">
        <v>2672</v>
      </c>
      <c r="H29" s="5" t="s">
        <v>137</v>
      </c>
      <c r="I29" s="5" t="s">
        <v>1532</v>
      </c>
      <c r="J29" s="5" t="s">
        <v>8833</v>
      </c>
      <c r="M29" s="1"/>
      <c r="N29"/>
      <c r="O29"/>
      <c r="P29"/>
      <c r="Q29"/>
      <c r="R29"/>
      <c r="S29"/>
      <c r="T29"/>
      <c r="U29"/>
      <c r="V29"/>
      <c r="W29"/>
      <c r="X29"/>
      <c r="Y29"/>
    </row>
    <row r="30" spans="1:25" s="2" customFormat="1" x14ac:dyDescent="0.2">
      <c r="A30" s="5" t="s">
        <v>8832</v>
      </c>
      <c r="B30" s="5" t="s">
        <v>8584</v>
      </c>
      <c r="C30" s="5">
        <v>10</v>
      </c>
      <c r="D30" s="5"/>
      <c r="E30" s="5"/>
      <c r="F30" s="5" t="s">
        <v>8831</v>
      </c>
      <c r="G30" s="5" t="s">
        <v>896</v>
      </c>
      <c r="H30" s="5" t="s">
        <v>3</v>
      </c>
      <c r="I30" s="5"/>
      <c r="J30" s="5" t="s">
        <v>8830</v>
      </c>
      <c r="M30" s="1"/>
      <c r="N30"/>
      <c r="O30"/>
      <c r="P30"/>
      <c r="Q30"/>
      <c r="R30"/>
      <c r="S30"/>
      <c r="T30"/>
      <c r="U30"/>
      <c r="V30"/>
      <c r="W30"/>
      <c r="X30"/>
      <c r="Y30"/>
    </row>
    <row r="31" spans="1:25" s="2" customFormat="1" x14ac:dyDescent="0.2">
      <c r="A31" s="5" t="s">
        <v>8829</v>
      </c>
      <c r="B31" s="5" t="s">
        <v>8584</v>
      </c>
      <c r="C31" s="5">
        <v>10</v>
      </c>
      <c r="D31" s="5"/>
      <c r="E31" s="5"/>
      <c r="F31" s="5" t="s">
        <v>8828</v>
      </c>
      <c r="G31" s="5" t="s">
        <v>195</v>
      </c>
      <c r="H31" s="5" t="s">
        <v>3</v>
      </c>
      <c r="I31" s="5"/>
      <c r="J31" s="5" t="s">
        <v>8827</v>
      </c>
      <c r="M31" s="1"/>
      <c r="N31"/>
      <c r="O31"/>
      <c r="P31"/>
      <c r="Q31"/>
      <c r="R31"/>
      <c r="S31"/>
      <c r="T31"/>
      <c r="U31"/>
      <c r="V31"/>
      <c r="W31"/>
      <c r="X31"/>
      <c r="Y31"/>
    </row>
    <row r="32" spans="1:25" s="2" customFormat="1" ht="25.5" x14ac:dyDescent="0.2">
      <c r="A32" s="5" t="s">
        <v>8826</v>
      </c>
      <c r="B32" s="5" t="s">
        <v>8584</v>
      </c>
      <c r="C32" s="5">
        <v>10</v>
      </c>
      <c r="D32" s="5"/>
      <c r="E32" s="5"/>
      <c r="F32" s="5" t="s">
        <v>7823</v>
      </c>
      <c r="G32" s="5" t="s">
        <v>195</v>
      </c>
      <c r="H32" s="5" t="s">
        <v>137</v>
      </c>
      <c r="I32" s="5" t="s">
        <v>1532</v>
      </c>
      <c r="J32" s="5" t="s">
        <v>8825</v>
      </c>
      <c r="M32" s="1"/>
      <c r="N32"/>
      <c r="O32"/>
      <c r="P32"/>
      <c r="Q32"/>
      <c r="R32"/>
      <c r="S32"/>
      <c r="T32"/>
      <c r="U32"/>
      <c r="V32"/>
      <c r="W32"/>
      <c r="X32"/>
      <c r="Y32"/>
    </row>
    <row r="33" spans="1:25" s="2" customFormat="1" ht="25.5" x14ac:dyDescent="0.2">
      <c r="A33" s="5" t="s">
        <v>8824</v>
      </c>
      <c r="B33" s="5" t="s">
        <v>8584</v>
      </c>
      <c r="C33" s="5">
        <v>11</v>
      </c>
      <c r="D33" s="5"/>
      <c r="E33" s="5"/>
      <c r="F33" s="5" t="s">
        <v>8205</v>
      </c>
      <c r="G33" s="5" t="s">
        <v>229</v>
      </c>
      <c r="H33" s="5" t="s">
        <v>3</v>
      </c>
      <c r="I33" s="5"/>
      <c r="J33" s="5" t="s">
        <v>8823</v>
      </c>
      <c r="M33" s="1"/>
      <c r="N33"/>
      <c r="O33"/>
      <c r="P33"/>
      <c r="Q33"/>
      <c r="R33"/>
      <c r="S33"/>
      <c r="T33"/>
      <c r="U33"/>
      <c r="V33"/>
      <c r="W33"/>
      <c r="X33"/>
      <c r="Y33"/>
    </row>
    <row r="34" spans="1:25" s="2" customFormat="1" ht="38.25" x14ac:dyDescent="0.2">
      <c r="A34" s="5" t="s">
        <v>8822</v>
      </c>
      <c r="B34" s="5" t="s">
        <v>8584</v>
      </c>
      <c r="C34" s="5">
        <v>12</v>
      </c>
      <c r="D34" s="5"/>
      <c r="E34" s="5"/>
      <c r="F34" s="5" t="s">
        <v>8559</v>
      </c>
      <c r="G34" s="5" t="s">
        <v>122</v>
      </c>
      <c r="H34" s="5" t="s">
        <v>137</v>
      </c>
      <c r="I34" s="5"/>
      <c r="J34" s="5" t="s">
        <v>8821</v>
      </c>
      <c r="M34" s="1"/>
      <c r="N34"/>
      <c r="O34"/>
      <c r="P34"/>
      <c r="Q34"/>
      <c r="R34"/>
      <c r="S34"/>
      <c r="T34"/>
      <c r="U34"/>
      <c r="V34"/>
      <c r="W34"/>
      <c r="X34"/>
      <c r="Y34"/>
    </row>
    <row r="35" spans="1:25" s="2" customFormat="1" ht="25.5" x14ac:dyDescent="0.2">
      <c r="A35" s="5" t="s">
        <v>8820</v>
      </c>
      <c r="B35" s="5" t="s">
        <v>8584</v>
      </c>
      <c r="C35" s="5">
        <v>13</v>
      </c>
      <c r="D35" s="5"/>
      <c r="E35" s="5"/>
      <c r="F35" s="5" t="s">
        <v>7661</v>
      </c>
      <c r="G35" s="5" t="s">
        <v>1527</v>
      </c>
      <c r="H35" s="5" t="s">
        <v>3</v>
      </c>
      <c r="I35" s="5"/>
      <c r="J35" s="5" t="s">
        <v>8819</v>
      </c>
      <c r="M35" s="1"/>
      <c r="N35"/>
      <c r="O35"/>
      <c r="P35"/>
      <c r="Q35"/>
      <c r="R35"/>
      <c r="S35"/>
      <c r="T35"/>
      <c r="U35"/>
      <c r="V35"/>
      <c r="W35"/>
      <c r="X35"/>
      <c r="Y35"/>
    </row>
    <row r="36" spans="1:25" s="2" customFormat="1" ht="25.5" x14ac:dyDescent="0.2">
      <c r="A36" s="5" t="s">
        <v>8818</v>
      </c>
      <c r="B36" s="5" t="s">
        <v>8584</v>
      </c>
      <c r="C36" s="5">
        <v>14</v>
      </c>
      <c r="D36" s="5"/>
      <c r="E36" s="5"/>
      <c r="F36" s="5" t="s">
        <v>8817</v>
      </c>
      <c r="G36" s="5" t="s">
        <v>8816</v>
      </c>
      <c r="H36" s="5" t="s">
        <v>3</v>
      </c>
      <c r="I36" s="5"/>
      <c r="J36" s="5" t="s">
        <v>8815</v>
      </c>
      <c r="M36" s="1"/>
      <c r="N36"/>
      <c r="O36"/>
      <c r="P36"/>
      <c r="Q36"/>
      <c r="R36"/>
      <c r="S36"/>
      <c r="T36"/>
      <c r="U36"/>
      <c r="V36"/>
      <c r="W36"/>
      <c r="X36"/>
      <c r="Y36"/>
    </row>
    <row r="37" spans="1:25" s="2" customFormat="1" ht="25.5" x14ac:dyDescent="0.2">
      <c r="A37" s="5" t="s">
        <v>8814</v>
      </c>
      <c r="B37" s="5" t="s">
        <v>8584</v>
      </c>
      <c r="C37" s="5">
        <v>15</v>
      </c>
      <c r="D37" s="5"/>
      <c r="E37" s="5"/>
      <c r="F37" s="5" t="s">
        <v>7573</v>
      </c>
      <c r="G37" s="5" t="s">
        <v>1527</v>
      </c>
      <c r="H37" s="5" t="s">
        <v>137</v>
      </c>
      <c r="I37" s="5" t="s">
        <v>18</v>
      </c>
      <c r="J37" s="5" t="s">
        <v>8813</v>
      </c>
      <c r="M37" s="1"/>
      <c r="N37"/>
      <c r="O37"/>
      <c r="P37"/>
      <c r="Q37"/>
      <c r="R37"/>
      <c r="S37"/>
      <c r="T37"/>
      <c r="U37"/>
      <c r="V37"/>
      <c r="W37"/>
      <c r="X37"/>
      <c r="Y37"/>
    </row>
    <row r="38" spans="1:25" s="2" customFormat="1" ht="25.5" x14ac:dyDescent="0.2">
      <c r="A38" s="5" t="s">
        <v>8812</v>
      </c>
      <c r="B38" s="5" t="s">
        <v>8584</v>
      </c>
      <c r="C38" s="5">
        <v>16</v>
      </c>
      <c r="D38" s="5"/>
      <c r="E38" s="5"/>
      <c r="F38" s="5" t="s">
        <v>8811</v>
      </c>
      <c r="G38" s="5" t="s">
        <v>1527</v>
      </c>
      <c r="H38" s="5" t="s">
        <v>137</v>
      </c>
      <c r="I38" s="5" t="s">
        <v>18</v>
      </c>
      <c r="J38" s="5" t="s">
        <v>8810</v>
      </c>
      <c r="M38" s="1"/>
      <c r="N38"/>
      <c r="O38"/>
      <c r="P38"/>
      <c r="Q38"/>
      <c r="R38"/>
      <c r="S38"/>
      <c r="T38"/>
      <c r="U38"/>
      <c r="V38"/>
      <c r="W38"/>
      <c r="X38"/>
      <c r="Y38"/>
    </row>
    <row r="39" spans="1:25" s="2" customFormat="1" ht="25.5" x14ac:dyDescent="0.2">
      <c r="A39" s="5" t="s">
        <v>8809</v>
      </c>
      <c r="B39" s="5" t="s">
        <v>8584</v>
      </c>
      <c r="C39" s="5">
        <v>17</v>
      </c>
      <c r="D39" s="5"/>
      <c r="E39" s="5"/>
      <c r="F39" s="5" t="s">
        <v>8808</v>
      </c>
      <c r="G39" s="5" t="s">
        <v>7378</v>
      </c>
      <c r="H39" s="5" t="s">
        <v>137</v>
      </c>
      <c r="I39" s="5" t="s">
        <v>18</v>
      </c>
      <c r="J39" s="5" t="s">
        <v>8807</v>
      </c>
      <c r="M39" s="1"/>
      <c r="N39"/>
      <c r="O39"/>
      <c r="P39"/>
      <c r="Q39"/>
      <c r="R39"/>
      <c r="S39"/>
      <c r="T39"/>
      <c r="U39"/>
      <c r="V39"/>
      <c r="W39"/>
      <c r="X39"/>
      <c r="Y39"/>
    </row>
    <row r="40" spans="1:25" s="2" customFormat="1" ht="25.5" x14ac:dyDescent="0.2">
      <c r="A40" s="5" t="s">
        <v>8806</v>
      </c>
      <c r="B40" s="5" t="s">
        <v>8584</v>
      </c>
      <c r="C40" s="5">
        <v>18</v>
      </c>
      <c r="D40" s="5"/>
      <c r="E40" s="5"/>
      <c r="F40" s="5" t="s">
        <v>7324</v>
      </c>
      <c r="G40" s="5" t="s">
        <v>6530</v>
      </c>
      <c r="H40" s="5" t="s">
        <v>137</v>
      </c>
      <c r="I40" s="5" t="s">
        <v>21</v>
      </c>
      <c r="J40" s="5" t="s">
        <v>8805</v>
      </c>
      <c r="M40" s="1"/>
      <c r="N40"/>
      <c r="O40"/>
      <c r="P40"/>
      <c r="Q40"/>
      <c r="R40"/>
      <c r="S40"/>
      <c r="T40"/>
      <c r="U40"/>
      <c r="V40"/>
      <c r="W40"/>
      <c r="X40"/>
      <c r="Y40"/>
    </row>
    <row r="41" spans="1:25" s="2" customFormat="1" ht="25.5" x14ac:dyDescent="0.2">
      <c r="A41" s="5" t="s">
        <v>8804</v>
      </c>
      <c r="B41" s="5" t="s">
        <v>8584</v>
      </c>
      <c r="C41" s="5">
        <v>19</v>
      </c>
      <c r="D41" s="5"/>
      <c r="E41" s="5"/>
      <c r="F41" s="5" t="s">
        <v>7324</v>
      </c>
      <c r="G41" s="5" t="s">
        <v>7378</v>
      </c>
      <c r="H41" s="5" t="s">
        <v>137</v>
      </c>
      <c r="I41" s="5" t="s">
        <v>21</v>
      </c>
      <c r="J41" s="5" t="s">
        <v>8803</v>
      </c>
      <c r="M41" s="1"/>
      <c r="N41"/>
      <c r="O41"/>
      <c r="P41"/>
      <c r="Q41"/>
      <c r="R41"/>
      <c r="S41"/>
      <c r="T41"/>
      <c r="U41"/>
      <c r="V41"/>
      <c r="W41"/>
      <c r="X41"/>
      <c r="Y41"/>
    </row>
    <row r="42" spans="1:25" s="2" customFormat="1" x14ac:dyDescent="0.2">
      <c r="A42" s="5" t="s">
        <v>8802</v>
      </c>
      <c r="B42" s="5" t="s">
        <v>8584</v>
      </c>
      <c r="C42" s="5">
        <v>20</v>
      </c>
      <c r="D42" s="5"/>
      <c r="E42" s="5"/>
      <c r="F42" s="5" t="s">
        <v>8800</v>
      </c>
      <c r="G42" s="5" t="s">
        <v>276</v>
      </c>
      <c r="H42" s="5" t="s">
        <v>3</v>
      </c>
      <c r="I42" s="5"/>
      <c r="J42" s="5" t="s">
        <v>8799</v>
      </c>
      <c r="M42" s="1"/>
      <c r="N42"/>
      <c r="O42"/>
      <c r="P42"/>
      <c r="Q42"/>
      <c r="R42"/>
      <c r="S42"/>
      <c r="T42"/>
      <c r="U42"/>
      <c r="V42"/>
      <c r="W42"/>
      <c r="X42"/>
      <c r="Y42"/>
    </row>
    <row r="43" spans="1:25" s="2" customFormat="1" x14ac:dyDescent="0.2">
      <c r="A43" s="5" t="s">
        <v>8801</v>
      </c>
      <c r="B43" s="5" t="s">
        <v>8584</v>
      </c>
      <c r="C43" s="5">
        <v>20</v>
      </c>
      <c r="D43" s="5"/>
      <c r="E43" s="5"/>
      <c r="F43" s="5" t="s">
        <v>8800</v>
      </c>
      <c r="G43" s="5" t="s">
        <v>1527</v>
      </c>
      <c r="H43" s="5" t="s">
        <v>3</v>
      </c>
      <c r="I43" s="5"/>
      <c r="J43" s="5" t="s">
        <v>8799</v>
      </c>
      <c r="M43" s="1"/>
      <c r="N43"/>
      <c r="O43"/>
      <c r="P43"/>
      <c r="Q43"/>
      <c r="R43"/>
      <c r="S43"/>
      <c r="T43"/>
      <c r="U43"/>
      <c r="V43"/>
      <c r="W43"/>
      <c r="X43"/>
      <c r="Y43"/>
    </row>
    <row r="44" spans="1:25" s="2" customFormat="1" ht="38.25" x14ac:dyDescent="0.2">
      <c r="A44" s="5" t="s">
        <v>8798</v>
      </c>
      <c r="B44" s="5" t="s">
        <v>8584</v>
      </c>
      <c r="C44" s="5">
        <v>21</v>
      </c>
      <c r="D44" s="5"/>
      <c r="E44" s="5"/>
      <c r="F44" s="5" t="s">
        <v>8797</v>
      </c>
      <c r="G44" s="5" t="s">
        <v>6530</v>
      </c>
      <c r="H44" s="5" t="s">
        <v>137</v>
      </c>
      <c r="I44" s="5"/>
      <c r="J44" s="5" t="s">
        <v>8796</v>
      </c>
      <c r="M44" s="1"/>
      <c r="N44"/>
      <c r="O44"/>
      <c r="P44"/>
      <c r="Q44"/>
      <c r="R44"/>
      <c r="S44"/>
      <c r="T44"/>
      <c r="U44"/>
      <c r="V44"/>
      <c r="W44"/>
      <c r="X44"/>
      <c r="Y44"/>
    </row>
    <row r="45" spans="1:25" s="2" customFormat="1" ht="25.5" x14ac:dyDescent="0.2">
      <c r="A45" s="5" t="s">
        <v>1529</v>
      </c>
      <c r="B45" s="5" t="s">
        <v>8584</v>
      </c>
      <c r="C45" s="5">
        <v>22</v>
      </c>
      <c r="D45" s="5"/>
      <c r="E45" s="5"/>
      <c r="F45" s="5" t="s">
        <v>8794</v>
      </c>
      <c r="G45" s="5" t="s">
        <v>1527</v>
      </c>
      <c r="H45" s="5" t="s">
        <v>3</v>
      </c>
      <c r="I45" s="5"/>
      <c r="J45" s="5" t="s">
        <v>1526</v>
      </c>
      <c r="M45" s="1"/>
      <c r="N45"/>
      <c r="O45"/>
      <c r="P45"/>
      <c r="Q45"/>
      <c r="R45"/>
      <c r="S45"/>
      <c r="T45"/>
      <c r="U45"/>
      <c r="V45"/>
      <c r="W45"/>
      <c r="X45"/>
      <c r="Y45"/>
    </row>
    <row r="46" spans="1:25" s="2" customFormat="1" ht="25.5" x14ac:dyDescent="0.2">
      <c r="A46" s="5" t="s">
        <v>8795</v>
      </c>
      <c r="B46" s="5" t="s">
        <v>8584</v>
      </c>
      <c r="C46" s="5">
        <v>22</v>
      </c>
      <c r="D46" s="5"/>
      <c r="E46" s="5"/>
      <c r="F46" s="5" t="s">
        <v>8794</v>
      </c>
      <c r="G46" s="5" t="s">
        <v>1527</v>
      </c>
      <c r="H46" s="5" t="s">
        <v>137</v>
      </c>
      <c r="I46" s="5" t="s">
        <v>1532</v>
      </c>
      <c r="J46" s="5" t="s">
        <v>8793</v>
      </c>
      <c r="M46" s="1"/>
      <c r="N46"/>
      <c r="O46"/>
      <c r="P46"/>
      <c r="Q46"/>
      <c r="R46"/>
      <c r="S46"/>
      <c r="T46"/>
      <c r="U46"/>
      <c r="V46"/>
      <c r="W46"/>
      <c r="X46"/>
      <c r="Y46"/>
    </row>
    <row r="47" spans="1:25" s="2" customFormat="1" ht="25.5" x14ac:dyDescent="0.2">
      <c r="A47" s="5" t="s">
        <v>8792</v>
      </c>
      <c r="B47" s="5" t="s">
        <v>8584</v>
      </c>
      <c r="C47" s="5">
        <v>23</v>
      </c>
      <c r="D47" s="5"/>
      <c r="E47" s="5"/>
      <c r="F47" s="5" t="s">
        <v>8791</v>
      </c>
      <c r="G47" s="5" t="s">
        <v>229</v>
      </c>
      <c r="H47" s="5" t="s">
        <v>137</v>
      </c>
      <c r="I47" s="5" t="s">
        <v>24</v>
      </c>
      <c r="J47" s="5" t="s">
        <v>8790</v>
      </c>
      <c r="M47" s="1"/>
      <c r="N47"/>
      <c r="O47"/>
      <c r="P47"/>
      <c r="Q47"/>
      <c r="R47"/>
      <c r="S47"/>
      <c r="T47"/>
      <c r="U47"/>
      <c r="V47"/>
      <c r="W47"/>
      <c r="X47"/>
      <c r="Y47"/>
    </row>
    <row r="48" spans="1:25" s="2" customFormat="1" x14ac:dyDescent="0.2">
      <c r="A48" s="5" t="s">
        <v>8789</v>
      </c>
      <c r="B48" s="5" t="s">
        <v>8584</v>
      </c>
      <c r="C48" s="5">
        <v>24</v>
      </c>
      <c r="D48" s="5"/>
      <c r="E48" s="5"/>
      <c r="F48" s="5" t="s">
        <v>8788</v>
      </c>
      <c r="G48" s="5" t="s">
        <v>105</v>
      </c>
      <c r="H48" s="5" t="s">
        <v>3</v>
      </c>
      <c r="I48" s="5"/>
      <c r="J48" s="5" t="s">
        <v>8787</v>
      </c>
      <c r="M48" s="1"/>
      <c r="N48"/>
      <c r="O48"/>
      <c r="P48"/>
      <c r="Q48"/>
      <c r="R48"/>
      <c r="S48"/>
      <c r="T48"/>
      <c r="U48"/>
      <c r="V48"/>
      <c r="W48"/>
      <c r="X48"/>
      <c r="Y48"/>
    </row>
    <row r="49" spans="1:25" s="2" customFormat="1" x14ac:dyDescent="0.2">
      <c r="A49" s="5" t="s">
        <v>8786</v>
      </c>
      <c r="B49" s="5" t="s">
        <v>8584</v>
      </c>
      <c r="C49" s="5">
        <v>25</v>
      </c>
      <c r="D49" s="5"/>
      <c r="E49" s="5"/>
      <c r="F49" s="5" t="s">
        <v>8785</v>
      </c>
      <c r="G49" s="5" t="s">
        <v>105</v>
      </c>
      <c r="H49" s="5" t="s">
        <v>3</v>
      </c>
      <c r="I49" s="5"/>
      <c r="J49" s="5" t="s">
        <v>8784</v>
      </c>
      <c r="M49" s="1"/>
      <c r="N49"/>
      <c r="O49"/>
      <c r="P49"/>
      <c r="Q49"/>
      <c r="R49"/>
      <c r="S49"/>
      <c r="T49"/>
      <c r="U49"/>
      <c r="V49"/>
      <c r="W49"/>
      <c r="X49"/>
      <c r="Y49"/>
    </row>
    <row r="50" spans="1:25" s="2" customFormat="1" x14ac:dyDescent="0.2">
      <c r="A50" s="5" t="s">
        <v>8783</v>
      </c>
      <c r="B50" s="5" t="s">
        <v>8584</v>
      </c>
      <c r="C50" s="5">
        <v>29</v>
      </c>
      <c r="D50" s="5"/>
      <c r="E50" s="5"/>
      <c r="F50" s="5" t="s">
        <v>6495</v>
      </c>
      <c r="G50" s="5" t="s">
        <v>7378</v>
      </c>
      <c r="H50" s="5" t="s">
        <v>3</v>
      </c>
      <c r="I50" s="5"/>
      <c r="J50" s="5" t="s">
        <v>8782</v>
      </c>
      <c r="M50" s="1"/>
      <c r="N50"/>
      <c r="O50"/>
      <c r="P50"/>
      <c r="Q50"/>
      <c r="R50"/>
      <c r="S50"/>
      <c r="T50"/>
      <c r="U50"/>
      <c r="V50"/>
      <c r="W50"/>
      <c r="X50"/>
      <c r="Y50"/>
    </row>
    <row r="51" spans="1:25" s="2" customFormat="1" x14ac:dyDescent="0.2">
      <c r="A51" s="5" t="s">
        <v>8781</v>
      </c>
      <c r="B51" s="5" t="s">
        <v>8584</v>
      </c>
      <c r="C51" s="5">
        <v>30</v>
      </c>
      <c r="D51" s="5"/>
      <c r="E51" s="5"/>
      <c r="F51" s="5" t="s">
        <v>6495</v>
      </c>
      <c r="G51" s="5" t="s">
        <v>7378</v>
      </c>
      <c r="H51" s="5" t="s">
        <v>3</v>
      </c>
      <c r="I51" s="5"/>
      <c r="J51" s="5" t="s">
        <v>8780</v>
      </c>
      <c r="M51" s="1"/>
      <c r="N51"/>
      <c r="O51"/>
      <c r="P51"/>
      <c r="Q51"/>
      <c r="R51"/>
      <c r="S51"/>
      <c r="T51"/>
      <c r="U51"/>
      <c r="V51"/>
      <c r="W51"/>
      <c r="X51"/>
      <c r="Y51"/>
    </row>
    <row r="52" spans="1:25" s="2" customFormat="1" x14ac:dyDescent="0.2">
      <c r="A52" s="5" t="s">
        <v>8779</v>
      </c>
      <c r="B52" s="5" t="s">
        <v>8584</v>
      </c>
      <c r="C52" s="5">
        <v>31</v>
      </c>
      <c r="D52" s="5"/>
      <c r="E52" s="5"/>
      <c r="F52" s="5" t="s">
        <v>8778</v>
      </c>
      <c r="G52" s="5" t="s">
        <v>7378</v>
      </c>
      <c r="H52" s="5" t="s">
        <v>3</v>
      </c>
      <c r="I52" s="5"/>
      <c r="J52" s="5" t="s">
        <v>8777</v>
      </c>
      <c r="M52" s="1"/>
      <c r="N52"/>
      <c r="O52"/>
      <c r="P52"/>
      <c r="Q52"/>
      <c r="R52"/>
      <c r="S52"/>
      <c r="T52"/>
      <c r="U52"/>
      <c r="V52"/>
      <c r="W52"/>
      <c r="X52"/>
      <c r="Y52"/>
    </row>
    <row r="53" spans="1:25" s="2" customFormat="1" x14ac:dyDescent="0.2">
      <c r="A53" s="5" t="s">
        <v>8776</v>
      </c>
      <c r="B53" s="5" t="s">
        <v>8584</v>
      </c>
      <c r="C53" s="5">
        <v>32</v>
      </c>
      <c r="D53" s="5"/>
      <c r="E53" s="5"/>
      <c r="F53" s="5" t="s">
        <v>8156</v>
      </c>
      <c r="G53" s="5" t="s">
        <v>6584</v>
      </c>
      <c r="H53" s="5" t="s">
        <v>137</v>
      </c>
      <c r="I53" s="5" t="s">
        <v>15</v>
      </c>
      <c r="J53" s="5" t="s">
        <v>8158</v>
      </c>
      <c r="M53" s="1"/>
      <c r="N53"/>
      <c r="O53"/>
      <c r="P53"/>
      <c r="Q53"/>
      <c r="R53"/>
      <c r="S53"/>
      <c r="T53"/>
      <c r="U53"/>
      <c r="V53"/>
      <c r="W53"/>
      <c r="X53"/>
      <c r="Y53"/>
    </row>
    <row r="54" spans="1:25" s="2" customFormat="1" x14ac:dyDescent="0.2">
      <c r="A54" s="5" t="s">
        <v>8775</v>
      </c>
      <c r="B54" s="5" t="s">
        <v>8584</v>
      </c>
      <c r="C54" s="5">
        <v>33</v>
      </c>
      <c r="D54" s="5"/>
      <c r="E54" s="5"/>
      <c r="F54" s="5" t="s">
        <v>8156</v>
      </c>
      <c r="G54" s="5" t="s">
        <v>195</v>
      </c>
      <c r="H54" s="5" t="s">
        <v>137</v>
      </c>
      <c r="I54" s="5" t="s">
        <v>15</v>
      </c>
      <c r="J54" s="5" t="s">
        <v>8155</v>
      </c>
      <c r="M54" s="1"/>
      <c r="N54"/>
      <c r="O54"/>
      <c r="P54"/>
      <c r="Q54"/>
      <c r="R54"/>
      <c r="S54"/>
      <c r="T54"/>
      <c r="U54"/>
      <c r="V54"/>
      <c r="W54"/>
      <c r="X54"/>
      <c r="Y54"/>
    </row>
    <row r="55" spans="1:25" s="2" customFormat="1" ht="25.5" x14ac:dyDescent="0.2">
      <c r="A55" s="5" t="s">
        <v>8774</v>
      </c>
      <c r="B55" s="5" t="s">
        <v>8584</v>
      </c>
      <c r="C55" s="5">
        <v>34</v>
      </c>
      <c r="D55" s="5"/>
      <c r="E55" s="5"/>
      <c r="F55" s="5" t="s">
        <v>8773</v>
      </c>
      <c r="G55" s="5" t="s">
        <v>2672</v>
      </c>
      <c r="H55" s="5" t="s">
        <v>137</v>
      </c>
      <c r="I55" s="5"/>
      <c r="J55" s="5" t="s">
        <v>8772</v>
      </c>
      <c r="M55" s="1"/>
      <c r="N55"/>
      <c r="O55"/>
      <c r="P55"/>
      <c r="Q55"/>
      <c r="R55"/>
      <c r="S55"/>
      <c r="T55"/>
      <c r="U55"/>
      <c r="V55"/>
      <c r="W55"/>
      <c r="X55"/>
      <c r="Y55"/>
    </row>
    <row r="56" spans="1:25" s="2" customFormat="1" x14ac:dyDescent="0.2">
      <c r="A56" s="5" t="s">
        <v>8771</v>
      </c>
      <c r="B56" s="5" t="s">
        <v>8584</v>
      </c>
      <c r="C56" s="5">
        <v>35</v>
      </c>
      <c r="D56" s="5"/>
      <c r="E56" s="5" t="s">
        <v>138</v>
      </c>
      <c r="F56" s="5" t="s">
        <v>8770</v>
      </c>
      <c r="G56" s="5" t="s">
        <v>382</v>
      </c>
      <c r="H56" s="5" t="s">
        <v>3</v>
      </c>
      <c r="I56" s="5"/>
      <c r="J56" s="5" t="s">
        <v>8769</v>
      </c>
      <c r="M56" s="1"/>
      <c r="N56"/>
      <c r="O56"/>
      <c r="P56"/>
      <c r="Q56"/>
      <c r="R56"/>
      <c r="S56"/>
      <c r="T56"/>
      <c r="U56"/>
      <c r="V56"/>
      <c r="W56"/>
      <c r="X56"/>
      <c r="Y56"/>
    </row>
    <row r="57" spans="1:25" s="2" customFormat="1" ht="38.25" x14ac:dyDescent="0.2">
      <c r="A57" s="5" t="s">
        <v>8768</v>
      </c>
      <c r="B57" s="5" t="s">
        <v>8584</v>
      </c>
      <c r="C57" s="5">
        <v>36</v>
      </c>
      <c r="D57" s="5"/>
      <c r="E57" s="5" t="s">
        <v>138</v>
      </c>
      <c r="F57" s="5" t="s">
        <v>92</v>
      </c>
      <c r="G57" s="5" t="s">
        <v>91</v>
      </c>
      <c r="H57" s="5" t="s">
        <v>3</v>
      </c>
      <c r="I57" s="5"/>
      <c r="J57" s="5" t="s">
        <v>8767</v>
      </c>
      <c r="M57" s="1"/>
      <c r="N57"/>
      <c r="O57"/>
      <c r="P57"/>
      <c r="Q57"/>
      <c r="R57"/>
      <c r="S57"/>
      <c r="T57"/>
      <c r="U57"/>
      <c r="V57"/>
      <c r="W57"/>
      <c r="X57"/>
      <c r="Y57"/>
    </row>
    <row r="58" spans="1:25" s="2" customFormat="1" ht="25.5" x14ac:dyDescent="0.2">
      <c r="A58" s="5" t="s">
        <v>8766</v>
      </c>
      <c r="B58" s="5" t="s">
        <v>8584</v>
      </c>
      <c r="C58" s="5">
        <v>37</v>
      </c>
      <c r="D58" s="5"/>
      <c r="E58" s="5"/>
      <c r="F58" s="5" t="s">
        <v>8766</v>
      </c>
      <c r="G58" s="5" t="s">
        <v>502</v>
      </c>
      <c r="H58" s="5" t="s">
        <v>3</v>
      </c>
      <c r="I58" s="5"/>
      <c r="J58" s="5" t="s">
        <v>8765</v>
      </c>
      <c r="M58" s="1"/>
      <c r="N58"/>
      <c r="O58"/>
      <c r="P58"/>
      <c r="Q58"/>
      <c r="R58"/>
      <c r="S58"/>
      <c r="T58"/>
      <c r="U58"/>
      <c r="V58"/>
      <c r="W58"/>
      <c r="X58"/>
      <c r="Y58"/>
    </row>
    <row r="59" spans="1:25" s="2" customFormat="1" x14ac:dyDescent="0.2">
      <c r="A59" s="5" t="s">
        <v>8764</v>
      </c>
      <c r="B59" s="5" t="s">
        <v>8584</v>
      </c>
      <c r="C59" s="5">
        <v>38</v>
      </c>
      <c r="D59" s="5"/>
      <c r="E59" s="5" t="s">
        <v>150</v>
      </c>
      <c r="F59" s="5" t="s">
        <v>7513</v>
      </c>
      <c r="G59" s="5" t="s">
        <v>148</v>
      </c>
      <c r="H59" s="5" t="s">
        <v>3</v>
      </c>
      <c r="I59" s="5"/>
      <c r="J59" s="5" t="s">
        <v>8763</v>
      </c>
      <c r="M59" s="1"/>
      <c r="N59"/>
      <c r="O59"/>
      <c r="P59"/>
      <c r="Q59"/>
      <c r="R59"/>
      <c r="S59"/>
      <c r="T59"/>
      <c r="U59"/>
      <c r="V59"/>
      <c r="W59"/>
      <c r="X59"/>
      <c r="Y59"/>
    </row>
    <row r="60" spans="1:25" s="2" customFormat="1" x14ac:dyDescent="0.2">
      <c r="A60" s="5" t="s">
        <v>8762</v>
      </c>
      <c r="B60" s="5" t="s">
        <v>8584</v>
      </c>
      <c r="C60" s="5">
        <v>39</v>
      </c>
      <c r="D60" s="5"/>
      <c r="E60" s="5"/>
      <c r="F60" s="5" t="s">
        <v>8761</v>
      </c>
      <c r="G60" s="5" t="s">
        <v>173</v>
      </c>
      <c r="H60" s="5" t="s">
        <v>3</v>
      </c>
      <c r="I60" s="5"/>
      <c r="J60" s="5" t="s">
        <v>8760</v>
      </c>
      <c r="M60" s="1"/>
      <c r="N60"/>
      <c r="O60"/>
      <c r="P60"/>
      <c r="Q60"/>
      <c r="R60"/>
      <c r="S60"/>
      <c r="T60"/>
      <c r="U60"/>
      <c r="V60"/>
      <c r="W60"/>
      <c r="X60"/>
      <c r="Y60"/>
    </row>
    <row r="61" spans="1:25" s="2" customFormat="1" x14ac:dyDescent="0.2">
      <c r="A61" s="5" t="s">
        <v>8759</v>
      </c>
      <c r="B61" s="5" t="s">
        <v>8584</v>
      </c>
      <c r="C61" s="5">
        <v>40</v>
      </c>
      <c r="D61" s="5"/>
      <c r="E61" s="5"/>
      <c r="F61" s="5" t="s">
        <v>8758</v>
      </c>
      <c r="G61" s="5" t="s">
        <v>7296</v>
      </c>
      <c r="H61" s="5" t="s">
        <v>137</v>
      </c>
      <c r="I61" s="5" t="s">
        <v>8757</v>
      </c>
      <c r="J61" s="5" t="s">
        <v>8756</v>
      </c>
      <c r="M61" s="1"/>
      <c r="N61"/>
      <c r="O61"/>
      <c r="P61"/>
      <c r="Q61"/>
      <c r="R61"/>
      <c r="S61"/>
      <c r="T61"/>
      <c r="U61"/>
      <c r="V61"/>
      <c r="W61"/>
      <c r="X61"/>
      <c r="Y61"/>
    </row>
    <row r="62" spans="1:25" s="2" customFormat="1" x14ac:dyDescent="0.2">
      <c r="A62" s="5" t="s">
        <v>8755</v>
      </c>
      <c r="B62" s="5" t="s">
        <v>8584</v>
      </c>
      <c r="C62" s="5">
        <v>41</v>
      </c>
      <c r="D62" s="5"/>
      <c r="E62" s="5" t="s">
        <v>368</v>
      </c>
      <c r="F62" s="5" t="s">
        <v>8754</v>
      </c>
      <c r="G62" s="5" t="s">
        <v>382</v>
      </c>
      <c r="H62" s="5" t="s">
        <v>3</v>
      </c>
      <c r="I62" s="5"/>
      <c r="J62" s="5" t="s">
        <v>8753</v>
      </c>
      <c r="M62" s="1"/>
      <c r="N62"/>
      <c r="O62"/>
      <c r="P62"/>
      <c r="Q62"/>
      <c r="R62"/>
      <c r="S62"/>
      <c r="T62"/>
      <c r="U62"/>
      <c r="V62"/>
      <c r="W62"/>
      <c r="X62"/>
      <c r="Y62"/>
    </row>
    <row r="63" spans="1:25" s="2" customFormat="1" x14ac:dyDescent="0.2">
      <c r="A63" s="5" t="s">
        <v>8752</v>
      </c>
      <c r="B63" s="5" t="s">
        <v>8584</v>
      </c>
      <c r="C63" s="5">
        <v>42</v>
      </c>
      <c r="D63" s="5"/>
      <c r="E63" s="5"/>
      <c r="F63" s="5" t="s">
        <v>8745</v>
      </c>
      <c r="G63" s="5" t="s">
        <v>2672</v>
      </c>
      <c r="H63" s="5" t="s">
        <v>3</v>
      </c>
      <c r="I63" s="5"/>
      <c r="J63" s="5" t="s">
        <v>8751</v>
      </c>
      <c r="M63" s="1"/>
      <c r="N63"/>
      <c r="O63"/>
      <c r="P63"/>
      <c r="Q63"/>
      <c r="R63"/>
      <c r="S63"/>
      <c r="T63"/>
      <c r="U63"/>
      <c r="V63"/>
      <c r="W63"/>
      <c r="X63"/>
      <c r="Y63"/>
    </row>
    <row r="64" spans="1:25" s="2" customFormat="1" x14ac:dyDescent="0.2">
      <c r="A64" s="5" t="s">
        <v>8750</v>
      </c>
      <c r="B64" s="5" t="s">
        <v>8584</v>
      </c>
      <c r="C64" s="5">
        <v>43</v>
      </c>
      <c r="D64" s="5"/>
      <c r="E64" s="5" t="s">
        <v>138</v>
      </c>
      <c r="F64" s="5" t="s">
        <v>8745</v>
      </c>
      <c r="G64" s="5" t="s">
        <v>195</v>
      </c>
      <c r="H64" s="5" t="s">
        <v>3</v>
      </c>
      <c r="I64" s="5"/>
      <c r="J64" s="5" t="s">
        <v>8749</v>
      </c>
      <c r="M64" s="1"/>
      <c r="N64"/>
      <c r="O64"/>
      <c r="P64"/>
      <c r="Q64"/>
      <c r="R64"/>
      <c r="S64"/>
      <c r="T64"/>
      <c r="U64"/>
      <c r="V64"/>
      <c r="W64"/>
      <c r="X64"/>
      <c r="Y64"/>
    </row>
    <row r="65" spans="1:25" s="2" customFormat="1" x14ac:dyDescent="0.2">
      <c r="A65" s="5" t="s">
        <v>8748</v>
      </c>
      <c r="B65" s="5" t="s">
        <v>8584</v>
      </c>
      <c r="C65" s="5">
        <v>44</v>
      </c>
      <c r="D65" s="5"/>
      <c r="E65" s="5" t="s">
        <v>138</v>
      </c>
      <c r="F65" s="5" t="s">
        <v>8745</v>
      </c>
      <c r="G65" s="5" t="s">
        <v>195</v>
      </c>
      <c r="H65" s="5" t="s">
        <v>3</v>
      </c>
      <c r="I65" s="5"/>
      <c r="J65" s="5" t="s">
        <v>8747</v>
      </c>
      <c r="M65" s="1"/>
      <c r="N65"/>
      <c r="O65"/>
      <c r="P65"/>
      <c r="Q65"/>
      <c r="R65"/>
      <c r="S65"/>
      <c r="T65"/>
      <c r="U65"/>
      <c r="V65"/>
      <c r="W65"/>
      <c r="X65"/>
      <c r="Y65"/>
    </row>
    <row r="66" spans="1:25" s="2" customFormat="1" ht="25.5" x14ac:dyDescent="0.2">
      <c r="A66" s="5" t="s">
        <v>8746</v>
      </c>
      <c r="B66" s="5" t="s">
        <v>8584</v>
      </c>
      <c r="C66" s="5">
        <v>45</v>
      </c>
      <c r="D66" s="5"/>
      <c r="E66" s="5" t="s">
        <v>138</v>
      </c>
      <c r="F66" s="5" t="s">
        <v>8745</v>
      </c>
      <c r="G66" s="5" t="s">
        <v>195</v>
      </c>
      <c r="H66" s="5" t="s">
        <v>3</v>
      </c>
      <c r="I66" s="5"/>
      <c r="J66" s="5" t="s">
        <v>8744</v>
      </c>
      <c r="M66" s="1"/>
      <c r="N66"/>
      <c r="O66"/>
      <c r="P66"/>
      <c r="Q66"/>
      <c r="R66"/>
      <c r="S66"/>
      <c r="T66"/>
      <c r="U66"/>
      <c r="V66"/>
      <c r="W66"/>
      <c r="X66"/>
      <c r="Y66"/>
    </row>
    <row r="67" spans="1:25" s="2" customFormat="1" x14ac:dyDescent="0.2">
      <c r="A67" s="5" t="s">
        <v>8743</v>
      </c>
      <c r="B67" s="5" t="s">
        <v>8584</v>
      </c>
      <c r="C67" s="5">
        <v>46</v>
      </c>
      <c r="D67" s="5"/>
      <c r="E67" s="5"/>
      <c r="F67" s="5" t="s">
        <v>8742</v>
      </c>
      <c r="G67" s="5" t="s">
        <v>122</v>
      </c>
      <c r="H67" s="5" t="s">
        <v>3</v>
      </c>
      <c r="I67" s="5"/>
      <c r="J67" s="5" t="s">
        <v>8741</v>
      </c>
      <c r="M67" s="1"/>
      <c r="N67"/>
      <c r="O67"/>
      <c r="P67"/>
      <c r="Q67"/>
      <c r="R67"/>
      <c r="S67"/>
      <c r="T67"/>
      <c r="U67"/>
      <c r="V67"/>
      <c r="W67"/>
      <c r="X67"/>
      <c r="Y67"/>
    </row>
    <row r="68" spans="1:25" s="2" customFormat="1" x14ac:dyDescent="0.2">
      <c r="A68" s="5" t="s">
        <v>8740</v>
      </c>
      <c r="B68" s="5" t="s">
        <v>8584</v>
      </c>
      <c r="C68" s="5">
        <v>47</v>
      </c>
      <c r="D68" s="5"/>
      <c r="E68" s="5"/>
      <c r="F68" s="5" t="s">
        <v>8739</v>
      </c>
      <c r="G68" s="5" t="s">
        <v>170</v>
      </c>
      <c r="H68" s="5" t="s">
        <v>3</v>
      </c>
      <c r="I68" s="5"/>
      <c r="J68" s="5" t="s">
        <v>8738</v>
      </c>
      <c r="M68" s="1"/>
      <c r="N68"/>
      <c r="O68"/>
      <c r="P68"/>
      <c r="Q68"/>
      <c r="R68"/>
      <c r="S68"/>
      <c r="T68"/>
      <c r="U68"/>
      <c r="V68"/>
      <c r="W68"/>
      <c r="X68"/>
      <c r="Y68"/>
    </row>
    <row r="69" spans="1:25" s="2" customFormat="1" x14ac:dyDescent="0.2">
      <c r="A69" s="5" t="s">
        <v>8737</v>
      </c>
      <c r="B69" s="5" t="s">
        <v>8584</v>
      </c>
      <c r="C69" s="5">
        <v>48</v>
      </c>
      <c r="D69" s="5"/>
      <c r="E69" s="5"/>
      <c r="F69" s="5"/>
      <c r="G69" s="5" t="s">
        <v>118</v>
      </c>
      <c r="H69" s="5" t="s">
        <v>3</v>
      </c>
      <c r="I69" s="5"/>
      <c r="J69" s="5" t="s">
        <v>8736</v>
      </c>
      <c r="M69" s="1"/>
      <c r="N69"/>
      <c r="O69"/>
      <c r="P69"/>
      <c r="Q69"/>
      <c r="R69"/>
      <c r="S69"/>
      <c r="T69"/>
      <c r="U69"/>
      <c r="V69"/>
      <c r="W69"/>
      <c r="X69"/>
      <c r="Y69"/>
    </row>
    <row r="70" spans="1:25" s="2" customFormat="1" x14ac:dyDescent="0.2">
      <c r="A70" s="5" t="s">
        <v>8735</v>
      </c>
      <c r="B70" s="5" t="s">
        <v>8584</v>
      </c>
      <c r="C70" s="5">
        <v>49</v>
      </c>
      <c r="D70" s="5"/>
      <c r="E70" s="5" t="s">
        <v>138</v>
      </c>
      <c r="F70" s="5" t="s">
        <v>4053</v>
      </c>
      <c r="G70" s="5" t="s">
        <v>91</v>
      </c>
      <c r="H70" s="5" t="s">
        <v>3</v>
      </c>
      <c r="I70" s="5"/>
      <c r="J70" s="5" t="s">
        <v>8733</v>
      </c>
      <c r="M70" s="1"/>
      <c r="N70"/>
      <c r="O70"/>
      <c r="P70"/>
      <c r="Q70"/>
      <c r="R70"/>
      <c r="S70"/>
      <c r="T70"/>
      <c r="U70"/>
      <c r="V70"/>
      <c r="W70"/>
      <c r="X70"/>
      <c r="Y70"/>
    </row>
    <row r="71" spans="1:25" s="2" customFormat="1" x14ac:dyDescent="0.2">
      <c r="A71" s="5" t="s">
        <v>8734</v>
      </c>
      <c r="B71" s="5" t="s">
        <v>8584</v>
      </c>
      <c r="C71" s="5">
        <v>49</v>
      </c>
      <c r="D71" s="5"/>
      <c r="E71" s="5" t="s">
        <v>138</v>
      </c>
      <c r="F71" s="5" t="s">
        <v>4053</v>
      </c>
      <c r="G71" s="5" t="s">
        <v>91</v>
      </c>
      <c r="H71" s="5" t="s">
        <v>3</v>
      </c>
      <c r="I71" s="5"/>
      <c r="J71" s="5" t="s">
        <v>8733</v>
      </c>
      <c r="M71" s="1"/>
      <c r="N71"/>
      <c r="O71"/>
      <c r="P71"/>
      <c r="Q71"/>
      <c r="R71"/>
      <c r="S71"/>
      <c r="T71"/>
      <c r="U71"/>
      <c r="V71"/>
      <c r="W71"/>
      <c r="X71"/>
      <c r="Y71"/>
    </row>
    <row r="72" spans="1:25" s="2" customFormat="1" ht="25.5" x14ac:dyDescent="0.2">
      <c r="A72" s="5" t="s">
        <v>8186</v>
      </c>
      <c r="B72" s="5" t="s">
        <v>8584</v>
      </c>
      <c r="C72" s="5">
        <v>50</v>
      </c>
      <c r="D72" s="5"/>
      <c r="E72" s="5"/>
      <c r="F72" s="5"/>
      <c r="G72" s="5" t="s">
        <v>229</v>
      </c>
      <c r="H72" s="5" t="s">
        <v>137</v>
      </c>
      <c r="I72" s="5" t="s">
        <v>50</v>
      </c>
      <c r="J72" s="5" t="s">
        <v>8732</v>
      </c>
      <c r="M72" s="1"/>
      <c r="N72"/>
      <c r="O72"/>
      <c r="P72"/>
      <c r="Q72"/>
      <c r="R72"/>
      <c r="S72"/>
      <c r="T72"/>
      <c r="U72"/>
      <c r="V72"/>
      <c r="W72"/>
      <c r="X72"/>
      <c r="Y72"/>
    </row>
    <row r="73" spans="1:25" s="2" customFormat="1" ht="25.5" x14ac:dyDescent="0.2">
      <c r="A73" s="5" t="s">
        <v>8731</v>
      </c>
      <c r="B73" s="5" t="s">
        <v>8584</v>
      </c>
      <c r="C73" s="5">
        <v>51</v>
      </c>
      <c r="D73" s="5"/>
      <c r="E73" s="5"/>
      <c r="F73" s="5" t="s">
        <v>8730</v>
      </c>
      <c r="G73" s="5" t="s">
        <v>4028</v>
      </c>
      <c r="H73" s="5" t="s">
        <v>137</v>
      </c>
      <c r="I73" s="5" t="s">
        <v>50</v>
      </c>
      <c r="J73" s="5" t="s">
        <v>8729</v>
      </c>
      <c r="M73" s="1"/>
      <c r="N73"/>
      <c r="O73"/>
      <c r="P73"/>
      <c r="Q73"/>
      <c r="R73"/>
      <c r="S73"/>
      <c r="T73"/>
      <c r="U73"/>
      <c r="V73"/>
      <c r="W73"/>
      <c r="X73"/>
      <c r="Y73"/>
    </row>
    <row r="74" spans="1:25" s="2" customFormat="1" ht="38.25" x14ac:dyDescent="0.2">
      <c r="A74" s="5" t="s">
        <v>8728</v>
      </c>
      <c r="B74" s="5" t="s">
        <v>8584</v>
      </c>
      <c r="C74" s="5">
        <v>52</v>
      </c>
      <c r="D74" s="5"/>
      <c r="E74" s="5"/>
      <c r="F74" s="5" t="s">
        <v>8727</v>
      </c>
      <c r="G74" s="5" t="s">
        <v>8726</v>
      </c>
      <c r="H74" s="5" t="s">
        <v>3</v>
      </c>
      <c r="I74" s="5"/>
      <c r="J74" s="5" t="s">
        <v>8725</v>
      </c>
      <c r="M74" s="1"/>
      <c r="N74"/>
      <c r="O74"/>
      <c r="P74"/>
      <c r="Q74"/>
      <c r="R74"/>
      <c r="S74"/>
      <c r="T74"/>
      <c r="U74"/>
      <c r="V74"/>
      <c r="W74"/>
      <c r="X74"/>
      <c r="Y74"/>
    </row>
    <row r="75" spans="1:25" s="2" customFormat="1" ht="38.25" x14ac:dyDescent="0.2">
      <c r="A75" s="5" t="s">
        <v>8724</v>
      </c>
      <c r="B75" s="5" t="s">
        <v>8584</v>
      </c>
      <c r="C75" s="5">
        <v>53</v>
      </c>
      <c r="D75" s="5"/>
      <c r="E75" s="5"/>
      <c r="F75" s="5" t="s">
        <v>6607</v>
      </c>
      <c r="G75" s="5" t="s">
        <v>229</v>
      </c>
      <c r="H75" s="5" t="s">
        <v>3</v>
      </c>
      <c r="I75" s="5"/>
      <c r="J75" s="5" t="s">
        <v>8723</v>
      </c>
      <c r="M75" s="1"/>
      <c r="N75"/>
      <c r="O75"/>
      <c r="P75"/>
      <c r="Q75"/>
      <c r="R75"/>
      <c r="S75"/>
      <c r="T75"/>
      <c r="U75"/>
      <c r="V75"/>
      <c r="W75"/>
      <c r="X75"/>
      <c r="Y75"/>
    </row>
    <row r="76" spans="1:25" s="2" customFormat="1" x14ac:dyDescent="0.2">
      <c r="A76" s="5" t="s">
        <v>8722</v>
      </c>
      <c r="B76" s="5" t="s">
        <v>8584</v>
      </c>
      <c r="C76" s="5">
        <v>54</v>
      </c>
      <c r="D76" s="5"/>
      <c r="E76" s="5" t="s">
        <v>138</v>
      </c>
      <c r="F76" s="5" t="s">
        <v>106</v>
      </c>
      <c r="G76" s="5" t="s">
        <v>382</v>
      </c>
      <c r="H76" s="5" t="s">
        <v>3</v>
      </c>
      <c r="I76" s="5"/>
      <c r="J76" s="5"/>
      <c r="M76" s="1"/>
      <c r="N76"/>
      <c r="O76"/>
      <c r="P76"/>
      <c r="Q76"/>
      <c r="R76"/>
      <c r="S76"/>
      <c r="T76"/>
      <c r="U76"/>
      <c r="V76"/>
      <c r="W76"/>
      <c r="X76"/>
      <c r="Y76"/>
    </row>
    <row r="77" spans="1:25" s="2" customFormat="1" ht="25.5" x14ac:dyDescent="0.2">
      <c r="A77" s="5" t="s">
        <v>8721</v>
      </c>
      <c r="B77" s="5" t="s">
        <v>8584</v>
      </c>
      <c r="C77" s="5">
        <v>54</v>
      </c>
      <c r="D77" s="5"/>
      <c r="E77" s="5" t="s">
        <v>138</v>
      </c>
      <c r="F77" s="5" t="s">
        <v>8720</v>
      </c>
      <c r="G77" s="5" t="s">
        <v>382</v>
      </c>
      <c r="H77" s="5" t="s">
        <v>3</v>
      </c>
      <c r="I77" s="5"/>
      <c r="J77" s="5" t="s">
        <v>8719</v>
      </c>
      <c r="M77" s="1"/>
      <c r="N77"/>
      <c r="O77"/>
      <c r="P77"/>
      <c r="Q77"/>
      <c r="R77"/>
      <c r="S77"/>
      <c r="T77"/>
      <c r="U77"/>
      <c r="V77"/>
      <c r="W77"/>
      <c r="X77"/>
      <c r="Y77"/>
    </row>
    <row r="78" spans="1:25" s="2" customFormat="1" x14ac:dyDescent="0.2">
      <c r="A78" s="5" t="s">
        <v>8718</v>
      </c>
      <c r="B78" s="5" t="s">
        <v>8584</v>
      </c>
      <c r="C78" s="5">
        <v>55</v>
      </c>
      <c r="D78" s="5"/>
      <c r="E78" s="5"/>
      <c r="F78" s="5" t="s">
        <v>8717</v>
      </c>
      <c r="G78" s="5" t="s">
        <v>105</v>
      </c>
      <c r="H78" s="5" t="s">
        <v>3</v>
      </c>
      <c r="I78" s="5"/>
      <c r="J78" s="5" t="s">
        <v>8716</v>
      </c>
      <c r="M78" s="1"/>
      <c r="N78"/>
      <c r="O78"/>
      <c r="P78"/>
      <c r="Q78"/>
      <c r="R78"/>
      <c r="S78"/>
      <c r="T78"/>
      <c r="U78"/>
      <c r="V78"/>
      <c r="W78"/>
      <c r="X78"/>
      <c r="Y78"/>
    </row>
    <row r="79" spans="1:25" s="2" customFormat="1" ht="25.5" x14ac:dyDescent="0.2">
      <c r="A79" s="5" t="s">
        <v>8715</v>
      </c>
      <c r="B79" s="5" t="s">
        <v>8584</v>
      </c>
      <c r="C79" s="5">
        <v>55</v>
      </c>
      <c r="D79" s="5"/>
      <c r="E79" s="5"/>
      <c r="F79" s="5" t="s">
        <v>8714</v>
      </c>
      <c r="G79" s="5" t="s">
        <v>105</v>
      </c>
      <c r="H79" s="5" t="s">
        <v>3</v>
      </c>
      <c r="I79" s="5"/>
      <c r="J79" s="5" t="s">
        <v>8713</v>
      </c>
      <c r="M79" s="1"/>
      <c r="N79"/>
      <c r="O79"/>
      <c r="P79"/>
      <c r="Q79"/>
      <c r="R79"/>
      <c r="S79"/>
      <c r="T79"/>
      <c r="U79"/>
      <c r="V79"/>
      <c r="W79"/>
      <c r="X79"/>
      <c r="Y79"/>
    </row>
    <row r="80" spans="1:25" s="2" customFormat="1" x14ac:dyDescent="0.2">
      <c r="A80" s="5" t="s">
        <v>8712</v>
      </c>
      <c r="B80" s="5" t="s">
        <v>8584</v>
      </c>
      <c r="C80" s="5">
        <v>56</v>
      </c>
      <c r="D80" s="5"/>
      <c r="E80" s="5"/>
      <c r="F80" s="5" t="s">
        <v>8711</v>
      </c>
      <c r="G80" s="5" t="s">
        <v>105</v>
      </c>
      <c r="H80" s="5" t="s">
        <v>3</v>
      </c>
      <c r="I80" s="5"/>
      <c r="J80" s="5" t="s">
        <v>8710</v>
      </c>
      <c r="M80" s="1"/>
      <c r="N80"/>
      <c r="O80"/>
      <c r="P80"/>
      <c r="Q80"/>
      <c r="R80"/>
      <c r="S80"/>
      <c r="T80"/>
      <c r="U80"/>
      <c r="V80"/>
      <c r="W80"/>
      <c r="X80"/>
      <c r="Y80"/>
    </row>
    <row r="81" spans="1:25" s="2" customFormat="1" ht="25.5" x14ac:dyDescent="0.2">
      <c r="A81" s="5" t="s">
        <v>8709</v>
      </c>
      <c r="B81" s="5" t="s">
        <v>8584</v>
      </c>
      <c r="C81" s="5">
        <v>56</v>
      </c>
      <c r="D81" s="5"/>
      <c r="E81" s="5"/>
      <c r="F81" s="5" t="s">
        <v>8708</v>
      </c>
      <c r="G81" s="5" t="s">
        <v>105</v>
      </c>
      <c r="H81" s="5" t="s">
        <v>3</v>
      </c>
      <c r="I81" s="5"/>
      <c r="J81" s="5" t="s">
        <v>8707</v>
      </c>
      <c r="M81" s="1"/>
      <c r="N81"/>
      <c r="O81"/>
      <c r="P81"/>
      <c r="Q81"/>
      <c r="R81"/>
      <c r="S81"/>
      <c r="T81"/>
      <c r="U81"/>
      <c r="V81"/>
      <c r="W81"/>
      <c r="X81"/>
      <c r="Y81"/>
    </row>
    <row r="82" spans="1:25" s="2" customFormat="1" ht="25.5" x14ac:dyDescent="0.2">
      <c r="A82" s="5" t="s">
        <v>8706</v>
      </c>
      <c r="B82" s="5" t="s">
        <v>8584</v>
      </c>
      <c r="C82" s="5">
        <v>63</v>
      </c>
      <c r="D82" s="5"/>
      <c r="E82" s="5" t="s">
        <v>368</v>
      </c>
      <c r="F82" s="5" t="s">
        <v>8705</v>
      </c>
      <c r="G82" s="5" t="s">
        <v>382</v>
      </c>
      <c r="H82" s="5" t="s">
        <v>137</v>
      </c>
      <c r="I82" s="5" t="s">
        <v>15</v>
      </c>
      <c r="J82" s="5" t="s">
        <v>8704</v>
      </c>
      <c r="M82" s="1"/>
      <c r="N82"/>
      <c r="O82"/>
      <c r="P82"/>
      <c r="Q82"/>
      <c r="R82"/>
      <c r="S82"/>
      <c r="T82"/>
      <c r="U82"/>
      <c r="V82"/>
      <c r="W82"/>
      <c r="X82"/>
      <c r="Y82"/>
    </row>
    <row r="83" spans="1:25" s="2" customFormat="1" ht="25.5" x14ac:dyDescent="0.2">
      <c r="A83" s="5" t="s">
        <v>8703</v>
      </c>
      <c r="B83" s="5" t="s">
        <v>8584</v>
      </c>
      <c r="C83" s="5">
        <v>64</v>
      </c>
      <c r="D83" s="5"/>
      <c r="E83" s="5"/>
      <c r="F83" s="5" t="s">
        <v>5364</v>
      </c>
      <c r="G83" s="5" t="s">
        <v>229</v>
      </c>
      <c r="H83" s="5" t="s">
        <v>137</v>
      </c>
      <c r="I83" s="5" t="s">
        <v>361</v>
      </c>
      <c r="J83" s="5" t="s">
        <v>8702</v>
      </c>
      <c r="M83" s="1"/>
      <c r="N83"/>
      <c r="O83"/>
      <c r="P83"/>
      <c r="Q83"/>
      <c r="R83"/>
      <c r="S83"/>
      <c r="T83"/>
      <c r="U83"/>
      <c r="V83"/>
      <c r="W83"/>
      <c r="X83"/>
      <c r="Y83"/>
    </row>
    <row r="84" spans="1:25" s="2" customFormat="1" x14ac:dyDescent="0.2">
      <c r="A84" s="5" t="s">
        <v>8701</v>
      </c>
      <c r="B84" s="5" t="s">
        <v>8584</v>
      </c>
      <c r="C84" s="5">
        <v>65</v>
      </c>
      <c r="D84" s="5"/>
      <c r="E84" s="5"/>
      <c r="F84" s="5" t="s">
        <v>106</v>
      </c>
      <c r="G84" s="5" t="s">
        <v>105</v>
      </c>
      <c r="H84" s="5" t="s">
        <v>3</v>
      </c>
      <c r="I84" s="5"/>
      <c r="J84" s="5" t="s">
        <v>8699</v>
      </c>
      <c r="M84" s="1"/>
      <c r="N84"/>
      <c r="O84"/>
      <c r="P84"/>
      <c r="Q84"/>
      <c r="R84"/>
      <c r="S84"/>
      <c r="T84"/>
      <c r="U84"/>
      <c r="V84"/>
      <c r="W84"/>
      <c r="X84"/>
      <c r="Y84"/>
    </row>
    <row r="85" spans="1:25" s="2" customFormat="1" x14ac:dyDescent="0.2">
      <c r="A85" s="5" t="s">
        <v>8700</v>
      </c>
      <c r="B85" s="5" t="s">
        <v>8584</v>
      </c>
      <c r="C85" s="5">
        <v>65</v>
      </c>
      <c r="D85" s="5"/>
      <c r="E85" s="5"/>
      <c r="F85" s="5" t="s">
        <v>8699</v>
      </c>
      <c r="G85" s="5" t="s">
        <v>105</v>
      </c>
      <c r="H85" s="5" t="s">
        <v>3</v>
      </c>
      <c r="I85" s="5"/>
      <c r="J85" s="5" t="s">
        <v>8698</v>
      </c>
      <c r="M85" s="1"/>
      <c r="N85"/>
      <c r="O85"/>
      <c r="P85"/>
      <c r="Q85"/>
      <c r="R85"/>
      <c r="S85"/>
      <c r="T85"/>
      <c r="U85"/>
      <c r="V85"/>
      <c r="W85"/>
      <c r="X85"/>
      <c r="Y85"/>
    </row>
    <row r="86" spans="1:25" s="2" customFormat="1" ht="25.5" x14ac:dyDescent="0.2">
      <c r="A86" s="5" t="s">
        <v>8697</v>
      </c>
      <c r="B86" s="5" t="s">
        <v>8584</v>
      </c>
      <c r="C86" s="5">
        <v>65</v>
      </c>
      <c r="D86" s="5"/>
      <c r="E86" s="5"/>
      <c r="F86" s="5" t="s">
        <v>106</v>
      </c>
      <c r="G86" s="5" t="s">
        <v>105</v>
      </c>
      <c r="H86" s="5" t="s">
        <v>137</v>
      </c>
      <c r="I86" s="5" t="s">
        <v>1532</v>
      </c>
      <c r="J86" s="5" t="s">
        <v>8696</v>
      </c>
      <c r="M86" s="1"/>
      <c r="N86"/>
      <c r="O86"/>
      <c r="P86"/>
      <c r="Q86"/>
      <c r="R86"/>
      <c r="S86"/>
      <c r="T86"/>
      <c r="U86"/>
      <c r="V86"/>
      <c r="W86"/>
      <c r="X86"/>
      <c r="Y86"/>
    </row>
    <row r="87" spans="1:25" s="2" customFormat="1" x14ac:dyDescent="0.2">
      <c r="A87" s="5" t="s">
        <v>8695</v>
      </c>
      <c r="B87" s="5" t="s">
        <v>8584</v>
      </c>
      <c r="C87" s="5">
        <v>66</v>
      </c>
      <c r="D87" s="5"/>
      <c r="E87" s="5"/>
      <c r="F87" s="5" t="s">
        <v>106</v>
      </c>
      <c r="G87" s="5" t="s">
        <v>105</v>
      </c>
      <c r="H87" s="5" t="s">
        <v>3</v>
      </c>
      <c r="I87" s="5"/>
      <c r="J87" s="5" t="s">
        <v>8693</v>
      </c>
      <c r="M87" s="1"/>
      <c r="N87"/>
      <c r="O87"/>
      <c r="P87"/>
      <c r="Q87"/>
      <c r="R87"/>
      <c r="S87"/>
      <c r="T87"/>
      <c r="U87"/>
      <c r="V87"/>
      <c r="W87"/>
      <c r="X87"/>
      <c r="Y87"/>
    </row>
    <row r="88" spans="1:25" s="2" customFormat="1" x14ac:dyDescent="0.2">
      <c r="A88" s="5" t="s">
        <v>8694</v>
      </c>
      <c r="B88" s="5" t="s">
        <v>8584</v>
      </c>
      <c r="C88" s="5">
        <v>66</v>
      </c>
      <c r="D88" s="5"/>
      <c r="E88" s="5"/>
      <c r="F88" s="5" t="s">
        <v>8693</v>
      </c>
      <c r="G88" s="5" t="s">
        <v>105</v>
      </c>
      <c r="H88" s="5" t="s">
        <v>3</v>
      </c>
      <c r="I88" s="5"/>
      <c r="J88" s="5" t="s">
        <v>8692</v>
      </c>
      <c r="M88" s="1"/>
      <c r="N88"/>
      <c r="O88"/>
      <c r="P88"/>
      <c r="Q88"/>
      <c r="R88"/>
      <c r="S88"/>
      <c r="T88"/>
      <c r="U88"/>
      <c r="V88"/>
      <c r="W88"/>
      <c r="X88"/>
      <c r="Y88"/>
    </row>
    <row r="89" spans="1:25" s="2" customFormat="1" ht="25.5" x14ac:dyDescent="0.2">
      <c r="A89" s="5" t="s">
        <v>8691</v>
      </c>
      <c r="B89" s="5" t="s">
        <v>8584</v>
      </c>
      <c r="C89" s="5">
        <v>66</v>
      </c>
      <c r="D89" s="5"/>
      <c r="E89" s="5"/>
      <c r="F89" s="5" t="s">
        <v>106</v>
      </c>
      <c r="G89" s="5" t="s">
        <v>105</v>
      </c>
      <c r="H89" s="5" t="s">
        <v>137</v>
      </c>
      <c r="I89" s="5" t="s">
        <v>1532</v>
      </c>
      <c r="J89" s="5" t="s">
        <v>8690</v>
      </c>
      <c r="M89" s="1"/>
      <c r="N89"/>
      <c r="O89"/>
      <c r="P89"/>
      <c r="Q89"/>
      <c r="R89"/>
      <c r="S89"/>
      <c r="T89"/>
      <c r="U89"/>
      <c r="V89"/>
      <c r="W89"/>
      <c r="X89"/>
      <c r="Y89"/>
    </row>
    <row r="90" spans="1:25" s="2" customFormat="1" x14ac:dyDescent="0.2">
      <c r="A90" s="5" t="s">
        <v>8689</v>
      </c>
      <c r="B90" s="5" t="s">
        <v>8584</v>
      </c>
      <c r="C90" s="5">
        <v>67</v>
      </c>
      <c r="D90" s="5"/>
      <c r="E90" s="5"/>
      <c r="F90" s="5" t="s">
        <v>8688</v>
      </c>
      <c r="G90" s="5" t="s">
        <v>105</v>
      </c>
      <c r="H90" s="5" t="s">
        <v>3</v>
      </c>
      <c r="I90" s="5"/>
      <c r="J90" s="5" t="s">
        <v>8687</v>
      </c>
      <c r="M90" s="1"/>
      <c r="N90"/>
      <c r="O90"/>
      <c r="P90"/>
      <c r="Q90"/>
      <c r="R90"/>
      <c r="S90"/>
      <c r="T90"/>
      <c r="U90"/>
      <c r="V90"/>
      <c r="W90"/>
      <c r="X90"/>
      <c r="Y90"/>
    </row>
    <row r="91" spans="1:25" s="2" customFormat="1" x14ac:dyDescent="0.2">
      <c r="A91" s="5" t="s">
        <v>8686</v>
      </c>
      <c r="B91" s="5" t="s">
        <v>8584</v>
      </c>
      <c r="C91" s="5">
        <v>67</v>
      </c>
      <c r="D91" s="5"/>
      <c r="E91" s="5"/>
      <c r="F91" s="5" t="s">
        <v>8685</v>
      </c>
      <c r="G91" s="5" t="s">
        <v>105</v>
      </c>
      <c r="H91" s="5" t="s">
        <v>3</v>
      </c>
      <c r="I91" s="5"/>
      <c r="J91" s="5" t="s">
        <v>8684</v>
      </c>
      <c r="M91" s="1"/>
      <c r="N91"/>
      <c r="O91"/>
      <c r="P91"/>
      <c r="Q91"/>
      <c r="R91"/>
      <c r="S91"/>
      <c r="T91"/>
      <c r="U91"/>
      <c r="V91"/>
      <c r="W91"/>
      <c r="X91"/>
      <c r="Y91"/>
    </row>
    <row r="92" spans="1:25" s="2" customFormat="1" x14ac:dyDescent="0.2">
      <c r="A92" s="5" t="s">
        <v>8683</v>
      </c>
      <c r="B92" s="5" t="s">
        <v>8584</v>
      </c>
      <c r="C92" s="5">
        <v>68</v>
      </c>
      <c r="D92" s="5"/>
      <c r="E92" s="5"/>
      <c r="F92" s="5" t="s">
        <v>8682</v>
      </c>
      <c r="G92" s="5" t="s">
        <v>80</v>
      </c>
      <c r="H92" s="5" t="s">
        <v>3</v>
      </c>
      <c r="I92" s="5"/>
      <c r="J92" s="5" t="s">
        <v>8680</v>
      </c>
      <c r="M92" s="1"/>
      <c r="N92"/>
      <c r="O92"/>
      <c r="P92"/>
      <c r="Q92"/>
      <c r="R92"/>
      <c r="S92"/>
      <c r="T92"/>
      <c r="U92"/>
      <c r="V92"/>
      <c r="W92"/>
      <c r="X92"/>
      <c r="Y92"/>
    </row>
    <row r="93" spans="1:25" s="2" customFormat="1" x14ac:dyDescent="0.2">
      <c r="A93" s="5" t="s">
        <v>8681</v>
      </c>
      <c r="B93" s="5" t="s">
        <v>8584</v>
      </c>
      <c r="C93" s="5">
        <v>68</v>
      </c>
      <c r="D93" s="5"/>
      <c r="E93" s="5"/>
      <c r="F93" s="5" t="s">
        <v>8680</v>
      </c>
      <c r="G93" s="5" t="s">
        <v>80</v>
      </c>
      <c r="H93" s="5" t="s">
        <v>3</v>
      </c>
      <c r="I93" s="5"/>
      <c r="J93" s="5" t="s">
        <v>8679</v>
      </c>
      <c r="M93" s="1"/>
      <c r="N93"/>
      <c r="O93"/>
      <c r="P93"/>
      <c r="Q93"/>
      <c r="R93"/>
      <c r="S93"/>
      <c r="T93"/>
      <c r="U93"/>
      <c r="V93"/>
      <c r="W93"/>
      <c r="X93"/>
      <c r="Y93"/>
    </row>
    <row r="94" spans="1:25" s="2" customFormat="1" x14ac:dyDescent="0.2">
      <c r="A94" s="5" t="s">
        <v>8678</v>
      </c>
      <c r="B94" s="5" t="s">
        <v>8584</v>
      </c>
      <c r="C94" s="5">
        <v>68</v>
      </c>
      <c r="D94" s="5"/>
      <c r="E94" s="5"/>
      <c r="F94" s="5" t="s">
        <v>106</v>
      </c>
      <c r="G94" s="5" t="s">
        <v>80</v>
      </c>
      <c r="H94" s="5" t="s">
        <v>3</v>
      </c>
      <c r="I94" s="5"/>
      <c r="J94" s="5" t="s">
        <v>8677</v>
      </c>
      <c r="M94" s="1"/>
      <c r="N94"/>
      <c r="O94"/>
      <c r="P94"/>
      <c r="Q94"/>
      <c r="R94"/>
      <c r="S94"/>
      <c r="T94"/>
      <c r="U94"/>
      <c r="V94"/>
      <c r="W94"/>
      <c r="X94"/>
      <c r="Y94"/>
    </row>
    <row r="95" spans="1:25" s="2" customFormat="1" ht="25.5" x14ac:dyDescent="0.2">
      <c r="A95" s="5" t="s">
        <v>8676</v>
      </c>
      <c r="B95" s="5" t="s">
        <v>8584</v>
      </c>
      <c r="C95" s="5">
        <v>68</v>
      </c>
      <c r="D95" s="5"/>
      <c r="E95" s="5"/>
      <c r="F95" s="5" t="s">
        <v>106</v>
      </c>
      <c r="G95" s="5" t="s">
        <v>80</v>
      </c>
      <c r="H95" s="5" t="s">
        <v>137</v>
      </c>
      <c r="I95" s="5" t="s">
        <v>1532</v>
      </c>
      <c r="J95" s="5" t="s">
        <v>8675</v>
      </c>
      <c r="M95" s="1"/>
      <c r="N95"/>
      <c r="O95"/>
      <c r="P95"/>
      <c r="Q95"/>
      <c r="R95"/>
      <c r="S95"/>
      <c r="T95"/>
      <c r="U95"/>
      <c r="V95"/>
      <c r="W95"/>
      <c r="X95"/>
      <c r="Y95"/>
    </row>
    <row r="96" spans="1:25" s="2" customFormat="1" x14ac:dyDescent="0.2">
      <c r="A96" s="5" t="s">
        <v>8674</v>
      </c>
      <c r="B96" s="5" t="s">
        <v>8584</v>
      </c>
      <c r="C96" s="5">
        <v>69</v>
      </c>
      <c r="D96" s="5"/>
      <c r="E96" s="5"/>
      <c r="F96" s="5" t="s">
        <v>225</v>
      </c>
      <c r="G96" s="5" t="s">
        <v>80</v>
      </c>
      <c r="H96" s="5" t="s">
        <v>3</v>
      </c>
      <c r="I96" s="5"/>
      <c r="J96" s="5" t="s">
        <v>225</v>
      </c>
      <c r="M96" s="1"/>
      <c r="N96"/>
      <c r="O96"/>
      <c r="P96"/>
      <c r="Q96"/>
      <c r="R96"/>
      <c r="S96"/>
      <c r="T96"/>
      <c r="U96"/>
      <c r="V96"/>
      <c r="W96"/>
      <c r="X96"/>
      <c r="Y96"/>
    </row>
    <row r="97" spans="1:25" s="2" customFormat="1" x14ac:dyDescent="0.2">
      <c r="A97" s="5" t="s">
        <v>7988</v>
      </c>
      <c r="B97" s="5" t="s">
        <v>8584</v>
      </c>
      <c r="C97" s="5">
        <v>69</v>
      </c>
      <c r="D97" s="5"/>
      <c r="E97" s="5"/>
      <c r="F97" s="5" t="s">
        <v>7988</v>
      </c>
      <c r="G97" s="5" t="s">
        <v>80</v>
      </c>
      <c r="H97" s="5" t="s">
        <v>3</v>
      </c>
      <c r="I97" s="5"/>
      <c r="J97" s="5" t="s">
        <v>8673</v>
      </c>
      <c r="M97" s="1"/>
      <c r="N97"/>
      <c r="O97"/>
      <c r="P97"/>
      <c r="Q97"/>
      <c r="R97"/>
      <c r="S97"/>
      <c r="T97"/>
      <c r="U97"/>
      <c r="V97"/>
      <c r="W97"/>
      <c r="X97"/>
      <c r="Y97"/>
    </row>
    <row r="98" spans="1:25" s="2" customFormat="1" x14ac:dyDescent="0.2">
      <c r="A98" s="5" t="s">
        <v>8672</v>
      </c>
      <c r="B98" s="5" t="s">
        <v>8584</v>
      </c>
      <c r="C98" s="5">
        <v>70</v>
      </c>
      <c r="D98" s="5"/>
      <c r="E98" s="5"/>
      <c r="F98" s="5" t="s">
        <v>8671</v>
      </c>
      <c r="G98" s="5" t="s">
        <v>229</v>
      </c>
      <c r="H98" s="5" t="s">
        <v>3</v>
      </c>
      <c r="I98" s="5"/>
      <c r="J98" s="5" t="s">
        <v>8669</v>
      </c>
      <c r="M98" s="1"/>
      <c r="N98"/>
      <c r="O98"/>
      <c r="P98"/>
      <c r="Q98"/>
      <c r="R98"/>
      <c r="S98"/>
      <c r="T98"/>
      <c r="U98"/>
      <c r="V98"/>
      <c r="W98"/>
      <c r="X98"/>
      <c r="Y98"/>
    </row>
    <row r="99" spans="1:25" s="2" customFormat="1" ht="25.5" x14ac:dyDescent="0.2">
      <c r="A99" s="5" t="s">
        <v>8670</v>
      </c>
      <c r="B99" s="5" t="s">
        <v>8584</v>
      </c>
      <c r="C99" s="5">
        <v>70</v>
      </c>
      <c r="D99" s="5"/>
      <c r="E99" s="5"/>
      <c r="F99" s="5" t="s">
        <v>8669</v>
      </c>
      <c r="G99" s="5" t="s">
        <v>229</v>
      </c>
      <c r="H99" s="5" t="s">
        <v>3</v>
      </c>
      <c r="I99" s="5"/>
      <c r="J99" s="5" t="s">
        <v>8668</v>
      </c>
      <c r="M99" s="1"/>
      <c r="N99"/>
      <c r="O99"/>
      <c r="P99"/>
      <c r="Q99"/>
      <c r="R99"/>
      <c r="S99"/>
      <c r="T99"/>
      <c r="U99"/>
      <c r="V99"/>
      <c r="W99"/>
      <c r="X99"/>
      <c r="Y99"/>
    </row>
    <row r="100" spans="1:25" s="2" customFormat="1" x14ac:dyDescent="0.2">
      <c r="A100" s="5" t="s">
        <v>8667</v>
      </c>
      <c r="B100" s="5" t="s">
        <v>8584</v>
      </c>
      <c r="C100" s="5">
        <v>71</v>
      </c>
      <c r="D100" s="5"/>
      <c r="E100" s="5"/>
      <c r="F100" s="5"/>
      <c r="G100" s="5" t="s">
        <v>229</v>
      </c>
      <c r="H100" s="5" t="s">
        <v>137</v>
      </c>
      <c r="I100" s="5" t="s">
        <v>15</v>
      </c>
      <c r="J100" s="5" t="s">
        <v>8665</v>
      </c>
      <c r="M100" s="1"/>
      <c r="N100"/>
      <c r="O100"/>
      <c r="P100"/>
      <c r="Q100"/>
      <c r="R100"/>
      <c r="S100"/>
      <c r="T100"/>
      <c r="U100"/>
      <c r="V100"/>
      <c r="W100"/>
      <c r="X100"/>
      <c r="Y100"/>
    </row>
    <row r="101" spans="1:25" s="2" customFormat="1" ht="25.5" x14ac:dyDescent="0.2">
      <c r="A101" s="5" t="s">
        <v>8666</v>
      </c>
      <c r="B101" s="5" t="s">
        <v>8584</v>
      </c>
      <c r="C101" s="5">
        <v>72</v>
      </c>
      <c r="D101" s="5"/>
      <c r="E101" s="5"/>
      <c r="F101" s="5" t="s">
        <v>8665</v>
      </c>
      <c r="G101" s="5" t="s">
        <v>105</v>
      </c>
      <c r="H101" s="5" t="s">
        <v>137</v>
      </c>
      <c r="I101" s="5" t="s">
        <v>15</v>
      </c>
      <c r="J101" s="5" t="s">
        <v>8664</v>
      </c>
      <c r="M101" s="1"/>
      <c r="N101"/>
      <c r="O101"/>
      <c r="P101"/>
      <c r="Q101"/>
      <c r="R101"/>
      <c r="S101"/>
      <c r="T101"/>
      <c r="U101"/>
      <c r="V101"/>
      <c r="W101"/>
      <c r="X101"/>
      <c r="Y101"/>
    </row>
    <row r="102" spans="1:25" s="2" customFormat="1" x14ac:dyDescent="0.2">
      <c r="A102" s="5" t="s">
        <v>1499</v>
      </c>
      <c r="B102" s="5" t="s">
        <v>8584</v>
      </c>
      <c r="C102" s="5">
        <v>73</v>
      </c>
      <c r="D102" s="5"/>
      <c r="E102" s="5"/>
      <c r="F102" s="5" t="s">
        <v>8660</v>
      </c>
      <c r="G102" s="5" t="s">
        <v>896</v>
      </c>
      <c r="H102" s="5" t="s">
        <v>3</v>
      </c>
      <c r="I102" s="5"/>
      <c r="J102" s="5" t="s">
        <v>8663</v>
      </c>
      <c r="M102" s="1"/>
      <c r="N102"/>
      <c r="O102"/>
      <c r="P102"/>
      <c r="Q102"/>
      <c r="R102"/>
      <c r="S102"/>
      <c r="T102"/>
      <c r="U102"/>
      <c r="V102"/>
      <c r="W102"/>
      <c r="X102"/>
      <c r="Y102"/>
    </row>
    <row r="103" spans="1:25" s="2" customFormat="1" x14ac:dyDescent="0.2">
      <c r="A103" s="5" t="s">
        <v>3131</v>
      </c>
      <c r="B103" s="5" t="s">
        <v>8584</v>
      </c>
      <c r="C103" s="5">
        <v>74</v>
      </c>
      <c r="D103" s="5"/>
      <c r="E103" s="5"/>
      <c r="F103" s="5" t="s">
        <v>8660</v>
      </c>
      <c r="G103" s="5" t="s">
        <v>896</v>
      </c>
      <c r="H103" s="5" t="s">
        <v>3</v>
      </c>
      <c r="I103" s="5"/>
      <c r="J103" s="5" t="s">
        <v>8662</v>
      </c>
      <c r="M103" s="1"/>
      <c r="N103"/>
      <c r="O103"/>
      <c r="P103"/>
      <c r="Q103"/>
      <c r="R103"/>
      <c r="S103"/>
      <c r="T103"/>
      <c r="U103"/>
      <c r="V103"/>
      <c r="W103"/>
      <c r="X103"/>
      <c r="Y103"/>
    </row>
    <row r="104" spans="1:25" s="2" customFormat="1" x14ac:dyDescent="0.2">
      <c r="A104" s="5" t="s">
        <v>8661</v>
      </c>
      <c r="B104" s="5" t="s">
        <v>8584</v>
      </c>
      <c r="C104" s="5">
        <v>75</v>
      </c>
      <c r="D104" s="5"/>
      <c r="E104" s="5"/>
      <c r="F104" s="5" t="s">
        <v>8660</v>
      </c>
      <c r="G104" s="5" t="s">
        <v>896</v>
      </c>
      <c r="H104" s="5" t="s">
        <v>3</v>
      </c>
      <c r="I104" s="5"/>
      <c r="J104" s="5" t="s">
        <v>8659</v>
      </c>
      <c r="M104" s="1"/>
      <c r="N104"/>
      <c r="O104"/>
      <c r="P104"/>
      <c r="Q104"/>
      <c r="R104"/>
      <c r="S104"/>
      <c r="T104"/>
      <c r="U104"/>
      <c r="V104"/>
      <c r="W104"/>
      <c r="X104"/>
      <c r="Y104"/>
    </row>
    <row r="105" spans="1:25" s="2" customFormat="1" ht="25.5" x14ac:dyDescent="0.2">
      <c r="A105" s="5" t="s">
        <v>8658</v>
      </c>
      <c r="B105" s="5" t="s">
        <v>8584</v>
      </c>
      <c r="C105" s="5">
        <v>76</v>
      </c>
      <c r="D105" s="5"/>
      <c r="E105" s="5"/>
      <c r="F105" s="5" t="s">
        <v>259</v>
      </c>
      <c r="G105" s="5" t="s">
        <v>118</v>
      </c>
      <c r="H105" s="5" t="s">
        <v>137</v>
      </c>
      <c r="I105" s="5" t="s">
        <v>8657</v>
      </c>
      <c r="J105" s="5" t="s">
        <v>8656</v>
      </c>
      <c r="M105" s="1"/>
      <c r="N105"/>
      <c r="O105"/>
      <c r="P105"/>
      <c r="Q105"/>
      <c r="R105"/>
      <c r="S105"/>
      <c r="T105"/>
      <c r="U105"/>
      <c r="V105"/>
      <c r="W105"/>
      <c r="X105"/>
      <c r="Y105"/>
    </row>
    <row r="106" spans="1:25" s="2" customFormat="1" ht="25.5" x14ac:dyDescent="0.2">
      <c r="A106" s="5" t="s">
        <v>8304</v>
      </c>
      <c r="B106" s="5" t="s">
        <v>8584</v>
      </c>
      <c r="C106" s="5">
        <v>77</v>
      </c>
      <c r="D106" s="5"/>
      <c r="E106" s="5"/>
      <c r="F106" s="5" t="s">
        <v>8655</v>
      </c>
      <c r="G106" s="5" t="s">
        <v>148</v>
      </c>
      <c r="H106" s="5" t="s">
        <v>137</v>
      </c>
      <c r="I106" s="5" t="s">
        <v>8304</v>
      </c>
      <c r="J106" s="5" t="s">
        <v>8654</v>
      </c>
      <c r="M106" s="1"/>
      <c r="N106"/>
      <c r="O106"/>
      <c r="P106"/>
      <c r="Q106"/>
      <c r="R106"/>
      <c r="S106"/>
      <c r="T106"/>
      <c r="U106"/>
      <c r="V106"/>
      <c r="W106"/>
      <c r="X106"/>
      <c r="Y106"/>
    </row>
    <row r="107" spans="1:25" s="2" customFormat="1" ht="25.5" x14ac:dyDescent="0.2">
      <c r="A107" s="5" t="s">
        <v>8653</v>
      </c>
      <c r="B107" s="5" t="s">
        <v>8584</v>
      </c>
      <c r="C107" s="5">
        <v>78</v>
      </c>
      <c r="D107" s="5"/>
      <c r="E107" s="5"/>
      <c r="F107" s="5" t="s">
        <v>101</v>
      </c>
      <c r="G107" s="5" t="s">
        <v>105</v>
      </c>
      <c r="H107" s="5" t="s">
        <v>3</v>
      </c>
      <c r="I107" s="5"/>
      <c r="J107" s="5" t="s">
        <v>8650</v>
      </c>
      <c r="M107" s="1"/>
      <c r="N107"/>
      <c r="O107"/>
      <c r="P107"/>
      <c r="Q107"/>
      <c r="R107"/>
      <c r="S107"/>
      <c r="T107"/>
      <c r="U107"/>
      <c r="V107"/>
      <c r="W107"/>
      <c r="X107"/>
      <c r="Y107"/>
    </row>
    <row r="108" spans="1:25" s="2" customFormat="1" ht="25.5" x14ac:dyDescent="0.2">
      <c r="A108" s="5" t="s">
        <v>8652</v>
      </c>
      <c r="B108" s="5" t="s">
        <v>8584</v>
      </c>
      <c r="C108" s="5">
        <v>78</v>
      </c>
      <c r="D108" s="5"/>
      <c r="E108" s="5"/>
      <c r="F108" s="5" t="s">
        <v>8651</v>
      </c>
      <c r="G108" s="5" t="s">
        <v>105</v>
      </c>
      <c r="H108" s="5" t="s">
        <v>3</v>
      </c>
      <c r="I108" s="5"/>
      <c r="J108" s="5" t="s">
        <v>8650</v>
      </c>
      <c r="M108" s="1"/>
      <c r="N108"/>
      <c r="O108"/>
      <c r="P108"/>
      <c r="Q108"/>
      <c r="R108"/>
      <c r="S108"/>
      <c r="T108"/>
      <c r="U108"/>
      <c r="V108"/>
      <c r="W108"/>
      <c r="X108"/>
      <c r="Y108"/>
    </row>
    <row r="109" spans="1:25" s="2" customFormat="1" ht="25.5" x14ac:dyDescent="0.2">
      <c r="A109" s="5" t="s">
        <v>8649</v>
      </c>
      <c r="B109" s="5" t="s">
        <v>8584</v>
      </c>
      <c r="C109" s="5">
        <v>79</v>
      </c>
      <c r="D109" s="5"/>
      <c r="E109" s="5"/>
      <c r="F109" s="5" t="s">
        <v>6458</v>
      </c>
      <c r="G109" s="5" t="s">
        <v>105</v>
      </c>
      <c r="H109" s="5" t="s">
        <v>3</v>
      </c>
      <c r="I109" s="5"/>
      <c r="J109" s="5" t="s">
        <v>8646</v>
      </c>
      <c r="M109" s="1"/>
      <c r="N109"/>
      <c r="O109"/>
      <c r="P109"/>
      <c r="Q109"/>
      <c r="R109"/>
      <c r="S109"/>
      <c r="T109"/>
      <c r="U109"/>
      <c r="V109"/>
      <c r="W109"/>
      <c r="X109"/>
      <c r="Y109"/>
    </row>
    <row r="110" spans="1:25" s="2" customFormat="1" ht="25.5" x14ac:dyDescent="0.2">
      <c r="A110" s="5" t="s">
        <v>8648</v>
      </c>
      <c r="B110" s="5" t="s">
        <v>8584</v>
      </c>
      <c r="C110" s="5">
        <v>79</v>
      </c>
      <c r="D110" s="5"/>
      <c r="E110" s="5"/>
      <c r="F110" s="5" t="s">
        <v>8647</v>
      </c>
      <c r="G110" s="5" t="s">
        <v>105</v>
      </c>
      <c r="H110" s="5" t="s">
        <v>3</v>
      </c>
      <c r="I110" s="5"/>
      <c r="J110" s="5" t="s">
        <v>8646</v>
      </c>
      <c r="M110" s="1"/>
      <c r="N110"/>
      <c r="O110"/>
      <c r="P110"/>
      <c r="Q110"/>
      <c r="R110"/>
      <c r="S110"/>
      <c r="T110"/>
      <c r="U110"/>
      <c r="V110"/>
      <c r="W110"/>
      <c r="X110"/>
      <c r="Y110"/>
    </row>
    <row r="111" spans="1:25" s="2" customFormat="1" ht="25.5" x14ac:dyDescent="0.2">
      <c r="A111" s="5" t="s">
        <v>8645</v>
      </c>
      <c r="B111" s="5" t="s">
        <v>8584</v>
      </c>
      <c r="C111" s="5">
        <v>80</v>
      </c>
      <c r="D111" s="5"/>
      <c r="E111" s="5"/>
      <c r="F111" s="5" t="s">
        <v>5364</v>
      </c>
      <c r="G111" s="5" t="s">
        <v>229</v>
      </c>
      <c r="H111" s="5" t="s">
        <v>137</v>
      </c>
      <c r="I111" s="5" t="s">
        <v>8644</v>
      </c>
      <c r="J111" s="5" t="s">
        <v>8643</v>
      </c>
      <c r="M111" s="1"/>
      <c r="N111"/>
      <c r="O111"/>
      <c r="P111"/>
      <c r="Q111"/>
      <c r="R111"/>
      <c r="S111"/>
      <c r="T111"/>
      <c r="U111"/>
      <c r="V111"/>
      <c r="W111"/>
      <c r="X111"/>
      <c r="Y111"/>
    </row>
    <row r="112" spans="1:25" s="2" customFormat="1" ht="25.5" x14ac:dyDescent="0.2">
      <c r="A112" s="5" t="s">
        <v>8642</v>
      </c>
      <c r="B112" s="5" t="s">
        <v>8584</v>
      </c>
      <c r="C112" s="5">
        <v>81</v>
      </c>
      <c r="D112" s="5"/>
      <c r="E112" s="5" t="s">
        <v>138</v>
      </c>
      <c r="F112" s="5" t="s">
        <v>1105</v>
      </c>
      <c r="G112" s="5" t="s">
        <v>173</v>
      </c>
      <c r="H112" s="5" t="s">
        <v>3</v>
      </c>
      <c r="I112" s="5"/>
      <c r="J112" s="5" t="s">
        <v>8641</v>
      </c>
      <c r="M112" s="1"/>
      <c r="N112"/>
      <c r="O112"/>
      <c r="P112"/>
      <c r="Q112"/>
      <c r="R112"/>
      <c r="S112"/>
      <c r="T112"/>
      <c r="U112"/>
      <c r="V112"/>
      <c r="W112"/>
      <c r="X112"/>
      <c r="Y112"/>
    </row>
    <row r="113" spans="1:25" s="2" customFormat="1" ht="25.5" x14ac:dyDescent="0.2">
      <c r="A113" s="5" t="s">
        <v>8640</v>
      </c>
      <c r="B113" s="5" t="s">
        <v>8584</v>
      </c>
      <c r="C113" s="5">
        <v>82</v>
      </c>
      <c r="D113" s="5"/>
      <c r="E113" s="5"/>
      <c r="F113" s="5" t="s">
        <v>8406</v>
      </c>
      <c r="G113" s="5" t="s">
        <v>276</v>
      </c>
      <c r="H113" s="5" t="s">
        <v>137</v>
      </c>
      <c r="I113" s="5" t="s">
        <v>8639</v>
      </c>
      <c r="J113" s="5" t="s">
        <v>8638</v>
      </c>
      <c r="M113" s="1"/>
      <c r="N113"/>
      <c r="O113"/>
      <c r="P113"/>
      <c r="Q113"/>
      <c r="R113"/>
      <c r="S113"/>
      <c r="T113"/>
      <c r="U113"/>
      <c r="V113"/>
      <c r="W113"/>
      <c r="X113"/>
      <c r="Y113"/>
    </row>
    <row r="114" spans="1:25" s="2" customFormat="1" ht="25.5" x14ac:dyDescent="0.2">
      <c r="A114" s="5" t="s">
        <v>8637</v>
      </c>
      <c r="B114" s="5" t="s">
        <v>8584</v>
      </c>
      <c r="C114" s="5">
        <v>83</v>
      </c>
      <c r="D114" s="5"/>
      <c r="E114" s="5"/>
      <c r="F114" s="5" t="s">
        <v>8636</v>
      </c>
      <c r="G114" s="5" t="s">
        <v>229</v>
      </c>
      <c r="H114" s="5" t="s">
        <v>3</v>
      </c>
      <c r="I114" s="5"/>
      <c r="J114" s="5" t="s">
        <v>8635</v>
      </c>
      <c r="M114" s="1"/>
      <c r="N114"/>
      <c r="O114"/>
      <c r="P114"/>
      <c r="Q114"/>
      <c r="R114"/>
      <c r="S114"/>
      <c r="T114"/>
      <c r="U114"/>
      <c r="V114"/>
      <c r="W114"/>
      <c r="X114"/>
      <c r="Y114"/>
    </row>
    <row r="115" spans="1:25" s="2" customFormat="1" ht="38.25" x14ac:dyDescent="0.2">
      <c r="A115" s="5" t="s">
        <v>8634</v>
      </c>
      <c r="B115" s="5" t="s">
        <v>8584</v>
      </c>
      <c r="C115" s="5">
        <v>84</v>
      </c>
      <c r="D115" s="5"/>
      <c r="E115" s="5" t="s">
        <v>665</v>
      </c>
      <c r="F115" s="5" t="s">
        <v>8633</v>
      </c>
      <c r="G115" s="5" t="s">
        <v>148</v>
      </c>
      <c r="H115" s="5" t="s">
        <v>3</v>
      </c>
      <c r="I115" s="5"/>
      <c r="J115" s="5" t="s">
        <v>8632</v>
      </c>
      <c r="M115" s="1"/>
      <c r="N115"/>
      <c r="O115"/>
      <c r="P115"/>
      <c r="Q115"/>
      <c r="R115"/>
      <c r="S115"/>
      <c r="T115"/>
      <c r="U115"/>
      <c r="V115"/>
      <c r="W115"/>
      <c r="X115"/>
      <c r="Y115"/>
    </row>
    <row r="116" spans="1:25" s="2" customFormat="1" x14ac:dyDescent="0.2">
      <c r="A116" s="5" t="s">
        <v>8631</v>
      </c>
      <c r="B116" s="5" t="s">
        <v>8584</v>
      </c>
      <c r="C116" s="5">
        <v>85</v>
      </c>
      <c r="D116" s="5"/>
      <c r="E116" s="5"/>
      <c r="F116" s="5" t="s">
        <v>8630</v>
      </c>
      <c r="G116" s="5" t="s">
        <v>105</v>
      </c>
      <c r="H116" s="5" t="s">
        <v>3</v>
      </c>
      <c r="I116" s="5"/>
      <c r="J116" s="5" t="s">
        <v>8629</v>
      </c>
      <c r="M116" s="1"/>
      <c r="N116"/>
      <c r="O116"/>
      <c r="P116"/>
      <c r="Q116"/>
      <c r="R116"/>
      <c r="S116"/>
      <c r="T116"/>
      <c r="U116"/>
      <c r="V116"/>
      <c r="W116"/>
      <c r="X116"/>
      <c r="Y116"/>
    </row>
    <row r="117" spans="1:25" s="2" customFormat="1" x14ac:dyDescent="0.2">
      <c r="A117" s="5" t="s">
        <v>8628</v>
      </c>
      <c r="B117" s="5" t="s">
        <v>8584</v>
      </c>
      <c r="C117" s="5">
        <v>86</v>
      </c>
      <c r="D117" s="5"/>
      <c r="E117" s="5"/>
      <c r="F117" s="5" t="s">
        <v>8627</v>
      </c>
      <c r="G117" s="5" t="s">
        <v>105</v>
      </c>
      <c r="H117" s="5" t="s">
        <v>3</v>
      </c>
      <c r="I117" s="5"/>
      <c r="J117" s="5" t="s">
        <v>8626</v>
      </c>
      <c r="M117" s="1"/>
      <c r="N117"/>
      <c r="O117"/>
      <c r="P117"/>
      <c r="Q117"/>
      <c r="R117"/>
      <c r="S117"/>
      <c r="T117"/>
      <c r="U117"/>
      <c r="V117"/>
      <c r="W117"/>
      <c r="X117"/>
      <c r="Y117"/>
    </row>
    <row r="118" spans="1:25" s="2" customFormat="1" x14ac:dyDescent="0.2">
      <c r="A118" s="5" t="s">
        <v>8625</v>
      </c>
      <c r="B118" s="5" t="s">
        <v>8584</v>
      </c>
      <c r="C118" s="5">
        <v>87</v>
      </c>
      <c r="D118" s="5"/>
      <c r="E118" s="5"/>
      <c r="F118" s="5" t="s">
        <v>8624</v>
      </c>
      <c r="G118" s="5" t="s">
        <v>6584</v>
      </c>
      <c r="H118" s="5" t="s">
        <v>3</v>
      </c>
      <c r="I118" s="5"/>
      <c r="J118" s="5" t="s">
        <v>8623</v>
      </c>
      <c r="M118" s="1"/>
      <c r="N118"/>
      <c r="O118"/>
      <c r="P118"/>
      <c r="Q118"/>
      <c r="R118"/>
      <c r="S118"/>
      <c r="T118"/>
      <c r="U118"/>
      <c r="V118"/>
      <c r="W118"/>
      <c r="X118"/>
      <c r="Y118"/>
    </row>
    <row r="119" spans="1:25" s="2" customFormat="1" x14ac:dyDescent="0.2">
      <c r="A119" s="5" t="s">
        <v>8622</v>
      </c>
      <c r="B119" s="5" t="s">
        <v>8584</v>
      </c>
      <c r="C119" s="5">
        <v>88</v>
      </c>
      <c r="D119" s="5"/>
      <c r="E119" s="5"/>
      <c r="F119" s="5" t="s">
        <v>8621</v>
      </c>
      <c r="G119" s="5" t="s">
        <v>6584</v>
      </c>
      <c r="H119" s="5" t="s">
        <v>3</v>
      </c>
      <c r="I119" s="5"/>
      <c r="J119" s="5" t="s">
        <v>8620</v>
      </c>
      <c r="M119" s="1"/>
      <c r="N119"/>
      <c r="O119"/>
      <c r="P119"/>
      <c r="Q119"/>
      <c r="R119"/>
      <c r="S119"/>
      <c r="T119"/>
      <c r="U119"/>
      <c r="V119"/>
      <c r="W119"/>
      <c r="X119"/>
      <c r="Y119"/>
    </row>
    <row r="120" spans="1:25" s="2" customFormat="1" ht="25.5" x14ac:dyDescent="0.2">
      <c r="A120" s="5" t="s">
        <v>8619</v>
      </c>
      <c r="B120" s="5" t="s">
        <v>8584</v>
      </c>
      <c r="C120" s="5">
        <v>89</v>
      </c>
      <c r="D120" s="5"/>
      <c r="E120" s="5"/>
      <c r="F120" s="5" t="s">
        <v>8618</v>
      </c>
      <c r="G120" s="5" t="s">
        <v>224</v>
      </c>
      <c r="H120" s="5" t="s">
        <v>3</v>
      </c>
      <c r="I120" s="5"/>
      <c r="J120" s="5" t="s">
        <v>8618</v>
      </c>
      <c r="M120" s="1"/>
      <c r="N120"/>
      <c r="O120"/>
      <c r="P120"/>
      <c r="Q120"/>
      <c r="R120"/>
      <c r="S120"/>
      <c r="T120"/>
      <c r="U120"/>
      <c r="V120"/>
      <c r="W120"/>
      <c r="X120"/>
      <c r="Y120"/>
    </row>
    <row r="121" spans="1:25" s="2" customFormat="1" ht="25.5" x14ac:dyDescent="0.2">
      <c r="A121" s="5" t="s">
        <v>8617</v>
      </c>
      <c r="B121" s="5" t="s">
        <v>8584</v>
      </c>
      <c r="C121" s="5">
        <v>90</v>
      </c>
      <c r="D121" s="5"/>
      <c r="E121" s="5"/>
      <c r="F121" s="5" t="s">
        <v>8616</v>
      </c>
      <c r="G121" s="5" t="s">
        <v>224</v>
      </c>
      <c r="H121" s="5" t="s">
        <v>3</v>
      </c>
      <c r="I121" s="5"/>
      <c r="J121" s="5" t="s">
        <v>8615</v>
      </c>
      <c r="M121" s="1"/>
      <c r="N121"/>
      <c r="O121"/>
      <c r="P121"/>
      <c r="Q121"/>
      <c r="R121"/>
      <c r="S121"/>
      <c r="T121"/>
      <c r="U121"/>
      <c r="V121"/>
      <c r="W121"/>
      <c r="X121"/>
      <c r="Y121"/>
    </row>
    <row r="122" spans="1:25" s="2" customFormat="1" x14ac:dyDescent="0.2">
      <c r="A122" s="5" t="s">
        <v>8614</v>
      </c>
      <c r="B122" s="5" t="s">
        <v>8584</v>
      </c>
      <c r="C122" s="5">
        <v>91</v>
      </c>
      <c r="D122" s="5"/>
      <c r="E122" s="5" t="s">
        <v>150</v>
      </c>
      <c r="F122" s="5" t="s">
        <v>8613</v>
      </c>
      <c r="G122" s="5" t="s">
        <v>148</v>
      </c>
      <c r="H122" s="5" t="s">
        <v>3</v>
      </c>
      <c r="I122" s="5"/>
      <c r="J122" s="5" t="s">
        <v>8612</v>
      </c>
      <c r="M122" s="1"/>
      <c r="N122"/>
      <c r="O122"/>
      <c r="P122"/>
      <c r="Q122"/>
      <c r="R122"/>
      <c r="S122"/>
      <c r="T122"/>
      <c r="U122"/>
      <c r="V122"/>
      <c r="W122"/>
      <c r="X122"/>
      <c r="Y122"/>
    </row>
    <row r="123" spans="1:25" s="2" customFormat="1" ht="25.5" x14ac:dyDescent="0.2">
      <c r="A123" s="5" t="s">
        <v>8611</v>
      </c>
      <c r="B123" s="5" t="s">
        <v>8584</v>
      </c>
      <c r="C123" s="5">
        <v>91</v>
      </c>
      <c r="D123" s="5"/>
      <c r="E123" s="5" t="s">
        <v>150</v>
      </c>
      <c r="F123" s="5" t="s">
        <v>8610</v>
      </c>
      <c r="G123" s="5" t="s">
        <v>148</v>
      </c>
      <c r="H123" s="5" t="s">
        <v>3</v>
      </c>
      <c r="I123" s="5"/>
      <c r="J123" s="5" t="s">
        <v>8609</v>
      </c>
      <c r="M123" s="1"/>
      <c r="N123"/>
      <c r="O123"/>
      <c r="P123"/>
      <c r="Q123"/>
      <c r="R123"/>
      <c r="S123"/>
      <c r="T123"/>
      <c r="U123"/>
      <c r="V123"/>
      <c r="W123"/>
      <c r="X123"/>
      <c r="Y123"/>
    </row>
    <row r="124" spans="1:25" s="2" customFormat="1" ht="25.5" x14ac:dyDescent="0.2">
      <c r="A124" s="5" t="s">
        <v>8608</v>
      </c>
      <c r="B124" s="5" t="s">
        <v>8584</v>
      </c>
      <c r="C124" s="5">
        <v>92</v>
      </c>
      <c r="D124" s="5"/>
      <c r="E124" s="5" t="s">
        <v>150</v>
      </c>
      <c r="F124" s="5" t="s">
        <v>8607</v>
      </c>
      <c r="G124" s="5" t="s">
        <v>148</v>
      </c>
      <c r="H124" s="5" t="s">
        <v>137</v>
      </c>
      <c r="I124" s="5" t="s">
        <v>8603</v>
      </c>
      <c r="J124" s="5" t="s">
        <v>8606</v>
      </c>
      <c r="M124" s="1"/>
      <c r="N124"/>
      <c r="O124"/>
      <c r="P124"/>
      <c r="Q124"/>
      <c r="R124"/>
      <c r="S124"/>
      <c r="T124"/>
      <c r="U124"/>
      <c r="V124"/>
      <c r="W124"/>
      <c r="X124"/>
      <c r="Y124"/>
    </row>
    <row r="125" spans="1:25" s="2" customFormat="1" ht="25.5" x14ac:dyDescent="0.2">
      <c r="A125" s="5" t="s">
        <v>8605</v>
      </c>
      <c r="B125" s="5" t="s">
        <v>8584</v>
      </c>
      <c r="C125" s="5">
        <v>93</v>
      </c>
      <c r="D125" s="5"/>
      <c r="E125" s="5"/>
      <c r="F125" s="5" t="s">
        <v>8602</v>
      </c>
      <c r="G125" s="5" t="s">
        <v>8604</v>
      </c>
      <c r="H125" s="5" t="s">
        <v>137</v>
      </c>
      <c r="I125" s="5" t="s">
        <v>8603</v>
      </c>
      <c r="J125" s="5" t="s">
        <v>8602</v>
      </c>
      <c r="M125" s="1"/>
      <c r="N125"/>
      <c r="O125"/>
      <c r="P125"/>
      <c r="Q125"/>
      <c r="R125"/>
      <c r="S125"/>
      <c r="T125"/>
      <c r="U125"/>
      <c r="V125"/>
      <c r="W125"/>
      <c r="X125"/>
      <c r="Y125"/>
    </row>
    <row r="126" spans="1:25" s="2" customFormat="1" x14ac:dyDescent="0.2">
      <c r="A126" s="5" t="s">
        <v>8601</v>
      </c>
      <c r="B126" s="5" t="s">
        <v>8584</v>
      </c>
      <c r="C126" s="5">
        <v>94</v>
      </c>
      <c r="D126" s="5"/>
      <c r="E126" s="5"/>
      <c r="F126" s="5" t="s">
        <v>3821</v>
      </c>
      <c r="G126" s="5" t="s">
        <v>315</v>
      </c>
      <c r="H126" s="5" t="s">
        <v>3</v>
      </c>
      <c r="I126" s="5"/>
      <c r="J126" s="5" t="s">
        <v>8599</v>
      </c>
      <c r="M126" s="1"/>
      <c r="N126"/>
      <c r="O126"/>
      <c r="P126"/>
      <c r="Q126"/>
      <c r="R126"/>
      <c r="S126"/>
      <c r="T126"/>
      <c r="U126"/>
      <c r="V126"/>
      <c r="W126"/>
      <c r="X126"/>
      <c r="Y126"/>
    </row>
    <row r="127" spans="1:25" s="2" customFormat="1" ht="25.5" x14ac:dyDescent="0.2">
      <c r="A127" s="5" t="s">
        <v>8600</v>
      </c>
      <c r="B127" s="5" t="s">
        <v>8584</v>
      </c>
      <c r="C127" s="5">
        <v>94</v>
      </c>
      <c r="D127" s="5"/>
      <c r="E127" s="5"/>
      <c r="F127" s="5" t="s">
        <v>8599</v>
      </c>
      <c r="G127" s="5" t="s">
        <v>315</v>
      </c>
      <c r="H127" s="5" t="s">
        <v>3</v>
      </c>
      <c r="I127" s="5"/>
      <c r="J127" s="5" t="s">
        <v>8598</v>
      </c>
      <c r="M127" s="1"/>
      <c r="N127"/>
      <c r="O127"/>
      <c r="P127"/>
      <c r="Q127"/>
      <c r="R127"/>
      <c r="S127"/>
      <c r="T127"/>
      <c r="U127"/>
      <c r="V127"/>
      <c r="W127"/>
      <c r="X127"/>
      <c r="Y127"/>
    </row>
    <row r="128" spans="1:25" s="2" customFormat="1" ht="38.25" x14ac:dyDescent="0.2">
      <c r="A128" s="5" t="s">
        <v>8597</v>
      </c>
      <c r="B128" s="5" t="s">
        <v>8584</v>
      </c>
      <c r="C128" s="5">
        <v>95</v>
      </c>
      <c r="D128" s="5"/>
      <c r="E128" s="5"/>
      <c r="F128" s="5" t="s">
        <v>8596</v>
      </c>
      <c r="G128" s="5" t="s">
        <v>118</v>
      </c>
      <c r="H128" s="5" t="s">
        <v>3</v>
      </c>
      <c r="I128" s="5"/>
      <c r="J128" s="5" t="s">
        <v>8595</v>
      </c>
      <c r="M128" s="1"/>
      <c r="N128"/>
      <c r="O128"/>
      <c r="P128"/>
      <c r="Q128"/>
      <c r="R128"/>
      <c r="S128"/>
      <c r="T128"/>
      <c r="U128"/>
      <c r="V128"/>
      <c r="W128"/>
      <c r="X128"/>
      <c r="Y128"/>
    </row>
    <row r="129" spans="1:25" s="2" customFormat="1" x14ac:dyDescent="0.2">
      <c r="A129" s="5" t="s">
        <v>8594</v>
      </c>
      <c r="B129" s="5" t="s">
        <v>8584</v>
      </c>
      <c r="C129" s="5">
        <v>96</v>
      </c>
      <c r="D129" s="5"/>
      <c r="E129" s="5"/>
      <c r="F129" s="5" t="s">
        <v>8593</v>
      </c>
      <c r="G129" s="5" t="s">
        <v>105</v>
      </c>
      <c r="H129" s="5" t="s">
        <v>3</v>
      </c>
      <c r="I129" s="5"/>
      <c r="J129" s="5" t="s">
        <v>8592</v>
      </c>
      <c r="M129" s="1"/>
      <c r="N129"/>
      <c r="O129"/>
      <c r="P129"/>
      <c r="Q129"/>
      <c r="R129"/>
      <c r="S129"/>
      <c r="T129"/>
      <c r="U129"/>
      <c r="V129"/>
      <c r="W129"/>
      <c r="X129"/>
      <c r="Y129"/>
    </row>
    <row r="130" spans="1:25" s="2" customFormat="1" x14ac:dyDescent="0.2">
      <c r="A130" s="5" t="s">
        <v>8591</v>
      </c>
      <c r="B130" s="5" t="s">
        <v>8584</v>
      </c>
      <c r="C130" s="5">
        <v>97</v>
      </c>
      <c r="D130" s="5"/>
      <c r="E130" s="5"/>
      <c r="F130" s="5"/>
      <c r="G130" s="5" t="s">
        <v>4028</v>
      </c>
      <c r="H130" s="5" t="s">
        <v>3</v>
      </c>
      <c r="I130" s="5"/>
      <c r="J130" s="5" t="s">
        <v>8590</v>
      </c>
      <c r="M130" s="1"/>
      <c r="N130"/>
      <c r="O130"/>
      <c r="P130"/>
      <c r="Q130"/>
      <c r="R130"/>
      <c r="S130"/>
      <c r="T130"/>
      <c r="U130"/>
      <c r="V130"/>
      <c r="W130"/>
      <c r="X130"/>
      <c r="Y130"/>
    </row>
    <row r="131" spans="1:25" s="2" customFormat="1" ht="25.5" x14ac:dyDescent="0.2">
      <c r="A131" s="5" t="s">
        <v>8589</v>
      </c>
      <c r="B131" s="5" t="s">
        <v>8584</v>
      </c>
      <c r="C131" s="5">
        <v>98</v>
      </c>
      <c r="D131" s="5"/>
      <c r="E131" s="5"/>
      <c r="F131" s="5"/>
      <c r="G131" s="5" t="s">
        <v>229</v>
      </c>
      <c r="H131" s="5" t="s">
        <v>3</v>
      </c>
      <c r="I131" s="5"/>
      <c r="J131" s="5" t="s">
        <v>8588</v>
      </c>
      <c r="M131" s="1"/>
      <c r="N131"/>
      <c r="O131"/>
      <c r="P131"/>
      <c r="Q131"/>
      <c r="R131"/>
      <c r="S131"/>
      <c r="T131"/>
      <c r="U131"/>
      <c r="V131"/>
      <c r="W131"/>
      <c r="X131"/>
      <c r="Y131"/>
    </row>
    <row r="132" spans="1:25" s="2" customFormat="1" ht="25.5" x14ac:dyDescent="0.2">
      <c r="A132" s="5" t="s">
        <v>8587</v>
      </c>
      <c r="B132" s="5" t="s">
        <v>8584</v>
      </c>
      <c r="C132" s="5">
        <v>99</v>
      </c>
      <c r="D132" s="5"/>
      <c r="E132" s="5" t="s">
        <v>213</v>
      </c>
      <c r="F132" s="5" t="s">
        <v>8583</v>
      </c>
      <c r="G132" s="5" t="s">
        <v>91</v>
      </c>
      <c r="H132" s="5" t="s">
        <v>3</v>
      </c>
      <c r="I132" s="5"/>
      <c r="J132" s="5" t="s">
        <v>8586</v>
      </c>
      <c r="M132" s="1"/>
      <c r="N132"/>
      <c r="O132"/>
      <c r="P132"/>
      <c r="Q132"/>
      <c r="R132"/>
      <c r="S132"/>
      <c r="T132"/>
      <c r="U132"/>
      <c r="V132"/>
      <c r="W132"/>
      <c r="X132"/>
      <c r="Y132"/>
    </row>
    <row r="133" spans="1:25" s="2" customFormat="1" ht="25.5" x14ac:dyDescent="0.2">
      <c r="A133" s="5" t="s">
        <v>8585</v>
      </c>
      <c r="B133" s="5" t="s">
        <v>8584</v>
      </c>
      <c r="C133" s="5">
        <v>100</v>
      </c>
      <c r="D133" s="5"/>
      <c r="E133" s="5" t="s">
        <v>665</v>
      </c>
      <c r="F133" s="5" t="s">
        <v>8583</v>
      </c>
      <c r="G133" s="5" t="s">
        <v>148</v>
      </c>
      <c r="H133" s="5" t="s">
        <v>3</v>
      </c>
      <c r="I133" s="5"/>
      <c r="J133" s="5" t="s">
        <v>8582</v>
      </c>
      <c r="M133" s="1"/>
      <c r="N133"/>
      <c r="O133"/>
      <c r="P133"/>
      <c r="Q133"/>
      <c r="R133"/>
      <c r="S133"/>
      <c r="T133"/>
      <c r="U133"/>
      <c r="V133"/>
      <c r="W133"/>
      <c r="X133"/>
      <c r="Y133"/>
    </row>
    <row r="134" spans="1:25" s="2" customFormat="1" x14ac:dyDescent="0.2">
      <c r="A134" s="5" t="s">
        <v>8581</v>
      </c>
      <c r="B134" s="5" t="s">
        <v>83</v>
      </c>
      <c r="C134" s="5"/>
      <c r="D134" s="5" t="s">
        <v>8580</v>
      </c>
      <c r="E134" s="5"/>
      <c r="F134" s="5" t="s">
        <v>8579</v>
      </c>
      <c r="G134" s="5" t="s">
        <v>105</v>
      </c>
      <c r="H134" s="5" t="s">
        <v>3</v>
      </c>
      <c r="I134" s="5"/>
      <c r="J134" s="5"/>
      <c r="M134" s="1"/>
      <c r="N134"/>
      <c r="O134"/>
      <c r="P134"/>
      <c r="Q134"/>
      <c r="R134"/>
      <c r="S134"/>
      <c r="T134"/>
      <c r="U134"/>
      <c r="V134"/>
      <c r="W134"/>
      <c r="X134"/>
      <c r="Y134"/>
    </row>
    <row r="135" spans="1:25" s="2" customFormat="1" x14ac:dyDescent="0.2">
      <c r="A135" s="5" t="s">
        <v>8578</v>
      </c>
      <c r="B135" s="5" t="s">
        <v>83</v>
      </c>
      <c r="C135" s="5"/>
      <c r="D135" s="5" t="s">
        <v>8577</v>
      </c>
      <c r="E135" s="5" t="s">
        <v>288</v>
      </c>
      <c r="F135" s="5" t="s">
        <v>7832</v>
      </c>
      <c r="G135" s="5" t="s">
        <v>91</v>
      </c>
      <c r="H135" s="5" t="s">
        <v>3</v>
      </c>
      <c r="I135" s="5"/>
      <c r="J135" s="5"/>
      <c r="M135" s="1"/>
      <c r="N135"/>
      <c r="O135"/>
      <c r="P135"/>
      <c r="Q135"/>
      <c r="R135"/>
      <c r="S135"/>
      <c r="T135"/>
      <c r="U135"/>
      <c r="V135"/>
      <c r="W135"/>
      <c r="X135"/>
      <c r="Y135"/>
    </row>
    <row r="136" spans="1:25" s="2" customFormat="1" ht="38.25" x14ac:dyDescent="0.2">
      <c r="A136" s="5" t="s">
        <v>8576</v>
      </c>
      <c r="B136" s="5" t="s">
        <v>83</v>
      </c>
      <c r="C136" s="5"/>
      <c r="D136" s="5" t="s">
        <v>8575</v>
      </c>
      <c r="E136" s="5"/>
      <c r="F136" s="5" t="s">
        <v>8574</v>
      </c>
      <c r="G136" s="5" t="s">
        <v>105</v>
      </c>
      <c r="H136" s="5" t="s">
        <v>3</v>
      </c>
      <c r="I136" s="5"/>
      <c r="J136" s="5" t="s">
        <v>8573</v>
      </c>
      <c r="M136" s="1"/>
      <c r="N136"/>
      <c r="O136"/>
      <c r="P136"/>
      <c r="Q136"/>
      <c r="R136"/>
      <c r="S136"/>
      <c r="T136"/>
      <c r="U136"/>
      <c r="V136"/>
      <c r="W136"/>
      <c r="X136"/>
      <c r="Y136"/>
    </row>
    <row r="137" spans="1:25" s="2" customFormat="1" x14ac:dyDescent="0.2">
      <c r="A137" s="5" t="s">
        <v>8571</v>
      </c>
      <c r="B137" s="5" t="s">
        <v>83</v>
      </c>
      <c r="C137" s="5"/>
      <c r="D137" s="5" t="s">
        <v>8572</v>
      </c>
      <c r="E137" s="5"/>
      <c r="F137" s="5" t="s">
        <v>8571</v>
      </c>
      <c r="G137" s="5" t="s">
        <v>315</v>
      </c>
      <c r="H137" s="5" t="s">
        <v>3</v>
      </c>
      <c r="I137" s="5"/>
      <c r="J137" s="5"/>
      <c r="M137" s="1"/>
      <c r="N137"/>
      <c r="O137"/>
      <c r="P137"/>
      <c r="Q137"/>
      <c r="R137"/>
      <c r="S137"/>
      <c r="T137"/>
      <c r="U137"/>
      <c r="V137"/>
      <c r="W137"/>
      <c r="X137"/>
      <c r="Y137"/>
    </row>
    <row r="138" spans="1:25" s="2" customFormat="1" ht="25.5" x14ac:dyDescent="0.2">
      <c r="A138" s="5" t="s">
        <v>8570</v>
      </c>
      <c r="B138" s="5" t="s">
        <v>83</v>
      </c>
      <c r="C138" s="5"/>
      <c r="D138" s="5" t="s">
        <v>8569</v>
      </c>
      <c r="E138" s="5"/>
      <c r="F138" s="5" t="s">
        <v>7537</v>
      </c>
      <c r="G138" s="5" t="s">
        <v>173</v>
      </c>
      <c r="H138" s="5" t="s">
        <v>3</v>
      </c>
      <c r="I138" s="5"/>
      <c r="J138" s="5" t="s">
        <v>8568</v>
      </c>
      <c r="M138" s="1"/>
      <c r="N138"/>
      <c r="O138"/>
      <c r="P138"/>
      <c r="Q138"/>
      <c r="R138"/>
      <c r="S138"/>
      <c r="T138"/>
      <c r="U138"/>
      <c r="V138"/>
      <c r="W138"/>
      <c r="X138"/>
      <c r="Y138"/>
    </row>
    <row r="139" spans="1:25" s="2" customFormat="1" ht="25.5" x14ac:dyDescent="0.2">
      <c r="A139" s="5" t="s">
        <v>8567</v>
      </c>
      <c r="B139" s="5" t="s">
        <v>83</v>
      </c>
      <c r="C139" s="5"/>
      <c r="D139" s="5" t="s">
        <v>8566</v>
      </c>
      <c r="E139" s="5"/>
      <c r="F139" s="5" t="s">
        <v>8565</v>
      </c>
      <c r="G139" s="5" t="s">
        <v>283</v>
      </c>
      <c r="H139" s="5" t="s">
        <v>137</v>
      </c>
      <c r="I139" s="5" t="s">
        <v>408</v>
      </c>
      <c r="J139" s="5" t="s">
        <v>8564</v>
      </c>
      <c r="M139" s="1"/>
      <c r="N139"/>
      <c r="O139"/>
      <c r="P139"/>
      <c r="Q139"/>
      <c r="R139"/>
      <c r="S139"/>
      <c r="T139"/>
      <c r="U139"/>
      <c r="V139"/>
      <c r="W139"/>
      <c r="X139"/>
      <c r="Y139"/>
    </row>
    <row r="140" spans="1:25" s="2" customFormat="1" ht="25.5" x14ac:dyDescent="0.2">
      <c r="A140" s="5" t="s">
        <v>392</v>
      </c>
      <c r="B140" s="5" t="s">
        <v>83</v>
      </c>
      <c r="C140" s="5"/>
      <c r="D140" s="5" t="s">
        <v>8563</v>
      </c>
      <c r="E140" s="5"/>
      <c r="F140" s="5" t="s">
        <v>409</v>
      </c>
      <c r="G140" s="5" t="s">
        <v>148</v>
      </c>
      <c r="H140" s="5" t="s">
        <v>137</v>
      </c>
      <c r="I140" s="5" t="s">
        <v>392</v>
      </c>
      <c r="J140" s="5" t="s">
        <v>8562</v>
      </c>
      <c r="M140" s="1"/>
      <c r="N140"/>
      <c r="O140"/>
      <c r="P140"/>
      <c r="Q140"/>
      <c r="R140"/>
      <c r="S140"/>
      <c r="T140"/>
      <c r="U140"/>
      <c r="V140"/>
      <c r="W140"/>
      <c r="X140"/>
      <c r="Y140"/>
    </row>
    <row r="141" spans="1:25" x14ac:dyDescent="0.2">
      <c r="A141" s="5" t="s">
        <v>8561</v>
      </c>
      <c r="B141" s="5" t="s">
        <v>83</v>
      </c>
      <c r="C141" s="5"/>
      <c r="D141" s="5" t="s">
        <v>8560</v>
      </c>
      <c r="E141" s="5"/>
      <c r="F141" s="5" t="s">
        <v>8559</v>
      </c>
      <c r="G141" s="5" t="s">
        <v>122</v>
      </c>
      <c r="H141" s="5" t="s">
        <v>137</v>
      </c>
      <c r="I141" s="5" t="s">
        <v>408</v>
      </c>
      <c r="J141" s="5"/>
    </row>
    <row r="142" spans="1:25" x14ac:dyDescent="0.2">
      <c r="A142" s="5" t="s">
        <v>8558</v>
      </c>
      <c r="B142" s="5" t="s">
        <v>83</v>
      </c>
      <c r="C142" s="5"/>
      <c r="D142" s="5" t="s">
        <v>8557</v>
      </c>
      <c r="E142" s="5"/>
      <c r="F142" s="5" t="s">
        <v>409</v>
      </c>
      <c r="G142" s="5" t="s">
        <v>234</v>
      </c>
      <c r="H142" s="5" t="s">
        <v>137</v>
      </c>
      <c r="I142" s="5" t="s">
        <v>361</v>
      </c>
      <c r="J142" s="5" t="s">
        <v>8556</v>
      </c>
    </row>
    <row r="143" spans="1:25" ht="25.5" x14ac:dyDescent="0.2">
      <c r="A143" s="5" t="s">
        <v>8555</v>
      </c>
      <c r="B143" s="5" t="s">
        <v>83</v>
      </c>
      <c r="C143" s="5"/>
      <c r="D143" s="5" t="s">
        <v>8554</v>
      </c>
      <c r="E143" s="5"/>
      <c r="F143" s="5" t="s">
        <v>5364</v>
      </c>
      <c r="G143" s="5" t="s">
        <v>7296</v>
      </c>
      <c r="H143" s="5" t="s">
        <v>137</v>
      </c>
      <c r="I143" s="5" t="s">
        <v>361</v>
      </c>
      <c r="J143" s="5" t="s">
        <v>8553</v>
      </c>
    </row>
    <row r="144" spans="1:25" ht="25.5" x14ac:dyDescent="0.2">
      <c r="A144" s="5" t="s">
        <v>8552</v>
      </c>
      <c r="B144" s="5" t="s">
        <v>83</v>
      </c>
      <c r="C144" s="5"/>
      <c r="D144" s="5" t="s">
        <v>8551</v>
      </c>
      <c r="E144" s="5"/>
      <c r="F144" s="5" t="s">
        <v>5364</v>
      </c>
      <c r="G144" s="5" t="s">
        <v>114</v>
      </c>
      <c r="H144" s="5" t="s">
        <v>137</v>
      </c>
      <c r="I144" s="5" t="s">
        <v>361</v>
      </c>
      <c r="J144" s="5" t="s">
        <v>8550</v>
      </c>
    </row>
    <row r="145" spans="1:10" ht="25.5" x14ac:dyDescent="0.2">
      <c r="A145" s="5" t="s">
        <v>8549</v>
      </c>
      <c r="B145" s="5" t="s">
        <v>83</v>
      </c>
      <c r="C145" s="5"/>
      <c r="D145" s="5" t="s">
        <v>8548</v>
      </c>
      <c r="E145" s="5" t="s">
        <v>213</v>
      </c>
      <c r="F145" s="5" t="s">
        <v>7361</v>
      </c>
      <c r="G145" s="5" t="s">
        <v>91</v>
      </c>
      <c r="H145" s="5" t="s">
        <v>137</v>
      </c>
      <c r="I145" s="5" t="s">
        <v>361</v>
      </c>
      <c r="J145" s="5" t="s">
        <v>8547</v>
      </c>
    </row>
    <row r="146" spans="1:10" x14ac:dyDescent="0.2">
      <c r="A146" s="5" t="s">
        <v>8546</v>
      </c>
      <c r="B146" s="5" t="s">
        <v>83</v>
      </c>
      <c r="C146" s="5"/>
      <c r="D146" s="5" t="s">
        <v>8545</v>
      </c>
      <c r="E146" s="5"/>
      <c r="F146" s="5" t="s">
        <v>409</v>
      </c>
      <c r="G146" s="5" t="s">
        <v>234</v>
      </c>
      <c r="H146" s="5" t="s">
        <v>137</v>
      </c>
      <c r="I146" s="5" t="s">
        <v>361</v>
      </c>
      <c r="J146" s="5" t="s">
        <v>8544</v>
      </c>
    </row>
    <row r="147" spans="1:10" ht="25.5" x14ac:dyDescent="0.2">
      <c r="A147" s="5" t="s">
        <v>8543</v>
      </c>
      <c r="B147" s="5" t="s">
        <v>83</v>
      </c>
      <c r="C147" s="5"/>
      <c r="D147" s="5" t="s">
        <v>8542</v>
      </c>
      <c r="E147" s="5"/>
      <c r="F147" s="5" t="s">
        <v>5364</v>
      </c>
      <c r="G147" s="5" t="s">
        <v>114</v>
      </c>
      <c r="H147" s="5" t="s">
        <v>137</v>
      </c>
      <c r="I147" s="5" t="s">
        <v>361</v>
      </c>
      <c r="J147" s="5" t="s">
        <v>8541</v>
      </c>
    </row>
    <row r="148" spans="1:10" ht="25.5" x14ac:dyDescent="0.2">
      <c r="A148" s="5" t="s">
        <v>8540</v>
      </c>
      <c r="B148" s="5" t="s">
        <v>83</v>
      </c>
      <c r="C148" s="5"/>
      <c r="D148" s="5" t="s">
        <v>8539</v>
      </c>
      <c r="E148" s="5"/>
      <c r="F148" s="5" t="s">
        <v>5364</v>
      </c>
      <c r="G148" s="5" t="s">
        <v>80</v>
      </c>
      <c r="H148" s="5" t="s">
        <v>137</v>
      </c>
      <c r="I148" s="5" t="s">
        <v>361</v>
      </c>
      <c r="J148" s="5" t="s">
        <v>8538</v>
      </c>
    </row>
    <row r="149" spans="1:10" ht="25.5" x14ac:dyDescent="0.2">
      <c r="A149" s="5" t="s">
        <v>8537</v>
      </c>
      <c r="B149" s="5" t="s">
        <v>83</v>
      </c>
      <c r="C149" s="5"/>
      <c r="D149" s="5" t="s">
        <v>8536</v>
      </c>
      <c r="E149" s="5" t="s">
        <v>150</v>
      </c>
      <c r="F149" s="5" t="s">
        <v>5364</v>
      </c>
      <c r="G149" s="5" t="s">
        <v>91</v>
      </c>
      <c r="H149" s="5" t="s">
        <v>137</v>
      </c>
      <c r="I149" s="5" t="s">
        <v>361</v>
      </c>
      <c r="J149" s="5" t="s">
        <v>8535</v>
      </c>
    </row>
    <row r="150" spans="1:10" x14ac:dyDescent="0.2">
      <c r="A150" s="5" t="s">
        <v>8534</v>
      </c>
      <c r="B150" s="5" t="s">
        <v>83</v>
      </c>
      <c r="C150" s="5"/>
      <c r="D150" s="5" t="s">
        <v>8533</v>
      </c>
      <c r="E150" s="5"/>
      <c r="F150" s="5"/>
      <c r="G150" s="5" t="s">
        <v>328</v>
      </c>
      <c r="H150" s="5"/>
      <c r="I150" s="5"/>
      <c r="J150" s="5"/>
    </row>
    <row r="151" spans="1:10" ht="25.5" x14ac:dyDescent="0.2">
      <c r="A151" s="5" t="s">
        <v>8532</v>
      </c>
      <c r="B151" s="5" t="s">
        <v>83</v>
      </c>
      <c r="C151" s="5"/>
      <c r="D151" s="5" t="s">
        <v>8531</v>
      </c>
      <c r="E151" s="5"/>
      <c r="F151" s="5" t="s">
        <v>8530</v>
      </c>
      <c r="G151" s="5" t="s">
        <v>173</v>
      </c>
      <c r="H151" s="5" t="s">
        <v>137</v>
      </c>
      <c r="I151" s="5" t="s">
        <v>8529</v>
      </c>
      <c r="J151" s="5" t="s">
        <v>8528</v>
      </c>
    </row>
    <row r="152" spans="1:10" ht="25.5" x14ac:dyDescent="0.2">
      <c r="A152" s="5" t="s">
        <v>8527</v>
      </c>
      <c r="B152" s="5" t="s">
        <v>83</v>
      </c>
      <c r="C152" s="5"/>
      <c r="D152" s="5" t="s">
        <v>8526</v>
      </c>
      <c r="E152" s="5"/>
      <c r="F152" s="5" t="s">
        <v>7653</v>
      </c>
      <c r="G152" s="5" t="s">
        <v>224</v>
      </c>
      <c r="H152" s="5" t="s">
        <v>137</v>
      </c>
      <c r="I152" s="5" t="s">
        <v>55</v>
      </c>
      <c r="J152" s="5" t="s">
        <v>8525</v>
      </c>
    </row>
    <row r="153" spans="1:10" ht="25.5" x14ac:dyDescent="0.2">
      <c r="A153" s="5" t="s">
        <v>8524</v>
      </c>
      <c r="B153" s="5" t="s">
        <v>83</v>
      </c>
      <c r="C153" s="5"/>
      <c r="D153" s="5" t="s">
        <v>8523</v>
      </c>
      <c r="E153" s="5"/>
      <c r="F153" s="5" t="s">
        <v>7895</v>
      </c>
      <c r="G153" s="5" t="s">
        <v>118</v>
      </c>
      <c r="H153" s="5" t="s">
        <v>137</v>
      </c>
      <c r="I153" s="5" t="s">
        <v>55</v>
      </c>
      <c r="J153" s="5" t="s">
        <v>8522</v>
      </c>
    </row>
    <row r="154" spans="1:10" ht="25.5" x14ac:dyDescent="0.2">
      <c r="A154" s="5" t="s">
        <v>8521</v>
      </c>
      <c r="B154" s="5" t="s">
        <v>83</v>
      </c>
      <c r="C154" s="5"/>
      <c r="D154" s="5" t="s">
        <v>8520</v>
      </c>
      <c r="E154" s="5" t="s">
        <v>93</v>
      </c>
      <c r="F154" s="5" t="s">
        <v>7569</v>
      </c>
      <c r="G154" s="5" t="s">
        <v>91</v>
      </c>
      <c r="H154" s="5" t="s">
        <v>137</v>
      </c>
      <c r="I154" s="5" t="s">
        <v>55</v>
      </c>
      <c r="J154" s="5" t="s">
        <v>8519</v>
      </c>
    </row>
    <row r="155" spans="1:10" ht="25.5" x14ac:dyDescent="0.2">
      <c r="A155" s="5" t="s">
        <v>8518</v>
      </c>
      <c r="B155" s="5" t="s">
        <v>83</v>
      </c>
      <c r="C155" s="5"/>
      <c r="D155" s="5" t="s">
        <v>8517</v>
      </c>
      <c r="E155" s="5"/>
      <c r="F155" s="5" t="s">
        <v>345</v>
      </c>
      <c r="G155" s="5" t="s">
        <v>173</v>
      </c>
      <c r="H155" s="5" t="s">
        <v>137</v>
      </c>
      <c r="I155" s="5" t="s">
        <v>55</v>
      </c>
      <c r="J155" s="5" t="s">
        <v>8516</v>
      </c>
    </row>
    <row r="156" spans="1:10" ht="25.5" x14ac:dyDescent="0.2">
      <c r="A156" s="5" t="s">
        <v>8515</v>
      </c>
      <c r="B156" s="5" t="s">
        <v>83</v>
      </c>
      <c r="C156" s="5"/>
      <c r="D156" s="5" t="s">
        <v>8514</v>
      </c>
      <c r="E156" s="5"/>
      <c r="F156" s="5" t="s">
        <v>8504</v>
      </c>
      <c r="G156" s="5" t="s">
        <v>896</v>
      </c>
      <c r="H156" s="5" t="s">
        <v>137</v>
      </c>
      <c r="I156" s="5" t="s">
        <v>1127</v>
      </c>
      <c r="J156" s="5" t="s">
        <v>8513</v>
      </c>
    </row>
    <row r="157" spans="1:10" ht="25.5" x14ac:dyDescent="0.2">
      <c r="A157" s="5" t="s">
        <v>8512</v>
      </c>
      <c r="B157" s="5" t="s">
        <v>83</v>
      </c>
      <c r="C157" s="5"/>
      <c r="D157" s="5" t="s">
        <v>8511</v>
      </c>
      <c r="E157" s="5" t="s">
        <v>150</v>
      </c>
      <c r="F157" s="5" t="s">
        <v>8504</v>
      </c>
      <c r="G157" s="5" t="s">
        <v>148</v>
      </c>
      <c r="H157" s="5" t="s">
        <v>137</v>
      </c>
      <c r="I157" s="5" t="s">
        <v>1127</v>
      </c>
      <c r="J157" s="5" t="s">
        <v>8510</v>
      </c>
    </row>
    <row r="158" spans="1:10" ht="25.5" x14ac:dyDescent="0.2">
      <c r="A158" s="5" t="s">
        <v>8509</v>
      </c>
      <c r="B158" s="5" t="s">
        <v>83</v>
      </c>
      <c r="C158" s="5"/>
      <c r="D158" s="5" t="s">
        <v>8508</v>
      </c>
      <c r="E158" s="5" t="s">
        <v>665</v>
      </c>
      <c r="F158" s="5" t="s">
        <v>8504</v>
      </c>
      <c r="G158" s="5" t="s">
        <v>148</v>
      </c>
      <c r="H158" s="5" t="s">
        <v>137</v>
      </c>
      <c r="I158" s="5" t="s">
        <v>1127</v>
      </c>
      <c r="J158" s="5" t="s">
        <v>8507</v>
      </c>
    </row>
    <row r="159" spans="1:10" ht="25.5" x14ac:dyDescent="0.2">
      <c r="A159" s="5" t="s">
        <v>8506</v>
      </c>
      <c r="B159" s="5" t="s">
        <v>83</v>
      </c>
      <c r="C159" s="5"/>
      <c r="D159" s="5" t="s">
        <v>8505</v>
      </c>
      <c r="E159" s="5"/>
      <c r="F159" s="5" t="s">
        <v>8504</v>
      </c>
      <c r="G159" s="5" t="s">
        <v>882</v>
      </c>
      <c r="H159" s="5" t="s">
        <v>137</v>
      </c>
      <c r="I159" s="5" t="s">
        <v>1127</v>
      </c>
      <c r="J159" s="5" t="s">
        <v>8503</v>
      </c>
    </row>
    <row r="160" spans="1:10" ht="25.5" x14ac:dyDescent="0.2">
      <c r="A160" s="5" t="s">
        <v>8502</v>
      </c>
      <c r="B160" s="5" t="s">
        <v>83</v>
      </c>
      <c r="C160" s="5"/>
      <c r="D160" s="5" t="s">
        <v>8501</v>
      </c>
      <c r="E160" s="5" t="s">
        <v>150</v>
      </c>
      <c r="F160" s="5" t="s">
        <v>8497</v>
      </c>
      <c r="G160" s="5" t="s">
        <v>148</v>
      </c>
      <c r="H160" s="5" t="s">
        <v>137</v>
      </c>
      <c r="I160" s="5" t="s">
        <v>3502</v>
      </c>
      <c r="J160" s="5" t="s">
        <v>8500</v>
      </c>
    </row>
    <row r="161" spans="1:10" ht="25.5" x14ac:dyDescent="0.2">
      <c r="A161" s="5" t="s">
        <v>8499</v>
      </c>
      <c r="B161" s="5" t="s">
        <v>83</v>
      </c>
      <c r="C161" s="5"/>
      <c r="D161" s="5" t="s">
        <v>8498</v>
      </c>
      <c r="E161" s="5" t="s">
        <v>665</v>
      </c>
      <c r="F161" s="5" t="s">
        <v>8497</v>
      </c>
      <c r="G161" s="5" t="s">
        <v>148</v>
      </c>
      <c r="H161" s="5" t="s">
        <v>137</v>
      </c>
      <c r="I161" s="5" t="s">
        <v>3502</v>
      </c>
      <c r="J161" s="5" t="s">
        <v>8496</v>
      </c>
    </row>
    <row r="162" spans="1:10" ht="25.5" x14ac:dyDescent="0.2">
      <c r="A162" s="5" t="s">
        <v>8495</v>
      </c>
      <c r="B162" s="5" t="s">
        <v>83</v>
      </c>
      <c r="C162" s="5"/>
      <c r="D162" s="5" t="s">
        <v>8494</v>
      </c>
      <c r="E162" s="5"/>
      <c r="F162" s="5" t="s">
        <v>8483</v>
      </c>
      <c r="G162" s="5" t="s">
        <v>896</v>
      </c>
      <c r="H162" s="5" t="s">
        <v>137</v>
      </c>
      <c r="I162" s="5" t="s">
        <v>2811</v>
      </c>
      <c r="J162" s="5" t="s">
        <v>8493</v>
      </c>
    </row>
    <row r="163" spans="1:10" ht="25.5" x14ac:dyDescent="0.2">
      <c r="A163" s="5" t="s">
        <v>8492</v>
      </c>
      <c r="B163" s="5" t="s">
        <v>83</v>
      </c>
      <c r="C163" s="5"/>
      <c r="D163" s="5" t="s">
        <v>8491</v>
      </c>
      <c r="E163" s="5" t="s">
        <v>150</v>
      </c>
      <c r="F163" s="5" t="s">
        <v>8487</v>
      </c>
      <c r="G163" s="5" t="s">
        <v>148</v>
      </c>
      <c r="H163" s="5" t="s">
        <v>137</v>
      </c>
      <c r="I163" s="5" t="s">
        <v>2811</v>
      </c>
      <c r="J163" s="5" t="s">
        <v>8490</v>
      </c>
    </row>
    <row r="164" spans="1:10" ht="25.5" x14ac:dyDescent="0.2">
      <c r="A164" s="5" t="s">
        <v>8489</v>
      </c>
      <c r="B164" s="5" t="s">
        <v>83</v>
      </c>
      <c r="C164" s="5"/>
      <c r="D164" s="5" t="s">
        <v>8488</v>
      </c>
      <c r="E164" s="5" t="s">
        <v>665</v>
      </c>
      <c r="F164" s="5" t="s">
        <v>8487</v>
      </c>
      <c r="G164" s="5" t="s">
        <v>148</v>
      </c>
      <c r="H164" s="5" t="s">
        <v>137</v>
      </c>
      <c r="I164" s="5" t="s">
        <v>2811</v>
      </c>
      <c r="J164" s="5" t="s">
        <v>8486</v>
      </c>
    </row>
    <row r="165" spans="1:10" ht="25.5" x14ac:dyDescent="0.2">
      <c r="A165" s="5" t="s">
        <v>8485</v>
      </c>
      <c r="B165" s="5" t="s">
        <v>83</v>
      </c>
      <c r="C165" s="5"/>
      <c r="D165" s="5" t="s">
        <v>8484</v>
      </c>
      <c r="E165" s="5"/>
      <c r="F165" s="5" t="s">
        <v>8483</v>
      </c>
      <c r="G165" s="5" t="s">
        <v>882</v>
      </c>
      <c r="H165" s="5" t="s">
        <v>137</v>
      </c>
      <c r="I165" s="5" t="s">
        <v>2811</v>
      </c>
      <c r="J165" s="5" t="s">
        <v>8482</v>
      </c>
    </row>
    <row r="166" spans="1:10" x14ac:dyDescent="0.2">
      <c r="A166" s="5" t="s">
        <v>8481</v>
      </c>
      <c r="B166" s="5" t="s">
        <v>83</v>
      </c>
      <c r="C166" s="5"/>
      <c r="D166" s="5" t="s">
        <v>8480</v>
      </c>
      <c r="E166" s="5"/>
      <c r="F166" s="5" t="s">
        <v>8479</v>
      </c>
      <c r="G166" s="5" t="s">
        <v>173</v>
      </c>
      <c r="H166" s="5" t="s">
        <v>3</v>
      </c>
      <c r="I166" s="5"/>
      <c r="J166" s="5" t="s">
        <v>8478</v>
      </c>
    </row>
    <row r="167" spans="1:10" ht="25.5" x14ac:dyDescent="0.2">
      <c r="A167" s="5" t="s">
        <v>8477</v>
      </c>
      <c r="B167" s="5" t="s">
        <v>83</v>
      </c>
      <c r="C167" s="5"/>
      <c r="D167" s="5" t="s">
        <v>8476</v>
      </c>
      <c r="E167" s="5" t="s">
        <v>368</v>
      </c>
      <c r="F167" s="5" t="s">
        <v>8472</v>
      </c>
      <c r="G167" s="5" t="s">
        <v>382</v>
      </c>
      <c r="H167" s="5" t="s">
        <v>137</v>
      </c>
      <c r="I167" s="5" t="s">
        <v>55</v>
      </c>
      <c r="J167" s="5" t="s">
        <v>8475</v>
      </c>
    </row>
    <row r="168" spans="1:10" ht="25.5" x14ac:dyDescent="0.2">
      <c r="A168" s="5" t="s">
        <v>8474</v>
      </c>
      <c r="B168" s="5" t="s">
        <v>83</v>
      </c>
      <c r="C168" s="5"/>
      <c r="D168" s="5" t="s">
        <v>8473</v>
      </c>
      <c r="E168" s="5"/>
      <c r="F168" s="5" t="s">
        <v>8472</v>
      </c>
      <c r="G168" s="5" t="s">
        <v>105</v>
      </c>
      <c r="H168" s="5" t="s">
        <v>3</v>
      </c>
      <c r="I168" s="5"/>
      <c r="J168" s="5" t="s">
        <v>8471</v>
      </c>
    </row>
    <row r="169" spans="1:10" ht="25.5" x14ac:dyDescent="0.2">
      <c r="A169" s="5" t="s">
        <v>8470</v>
      </c>
      <c r="B169" s="5" t="s">
        <v>83</v>
      </c>
      <c r="C169" s="5"/>
      <c r="D169" s="5" t="s">
        <v>8469</v>
      </c>
      <c r="E169" s="5" t="s">
        <v>150</v>
      </c>
      <c r="F169" s="5" t="s">
        <v>8464</v>
      </c>
      <c r="G169" s="5" t="s">
        <v>148</v>
      </c>
      <c r="H169" s="5" t="s">
        <v>137</v>
      </c>
      <c r="I169" s="5" t="s">
        <v>8468</v>
      </c>
      <c r="J169" s="5" t="s">
        <v>8467</v>
      </c>
    </row>
    <row r="170" spans="1:10" ht="25.5" x14ac:dyDescent="0.2">
      <c r="A170" s="5" t="s">
        <v>8466</v>
      </c>
      <c r="B170" s="5" t="s">
        <v>83</v>
      </c>
      <c r="C170" s="5"/>
      <c r="D170" s="5" t="s">
        <v>8465</v>
      </c>
      <c r="E170" s="5" t="s">
        <v>665</v>
      </c>
      <c r="F170" s="5" t="s">
        <v>8464</v>
      </c>
      <c r="G170" s="5" t="s">
        <v>148</v>
      </c>
      <c r="H170" s="5" t="s">
        <v>137</v>
      </c>
      <c r="I170" s="5" t="s">
        <v>1962</v>
      </c>
      <c r="J170" s="5" t="s">
        <v>8463</v>
      </c>
    </row>
    <row r="171" spans="1:10" ht="25.5" x14ac:dyDescent="0.2">
      <c r="A171" s="5" t="s">
        <v>8462</v>
      </c>
      <c r="B171" s="5" t="s">
        <v>83</v>
      </c>
      <c r="C171" s="5"/>
      <c r="D171" s="5" t="s">
        <v>8461</v>
      </c>
      <c r="E171" s="5"/>
      <c r="F171" s="5" t="s">
        <v>8451</v>
      </c>
      <c r="G171" s="5" t="s">
        <v>896</v>
      </c>
      <c r="H171" s="5" t="s">
        <v>137</v>
      </c>
      <c r="I171" s="5" t="s">
        <v>1706</v>
      </c>
      <c r="J171" s="5" t="s">
        <v>8460</v>
      </c>
    </row>
    <row r="172" spans="1:10" ht="25.5" x14ac:dyDescent="0.2">
      <c r="A172" s="5" t="s">
        <v>8459</v>
      </c>
      <c r="B172" s="5" t="s">
        <v>83</v>
      </c>
      <c r="C172" s="5"/>
      <c r="D172" s="5" t="s">
        <v>8458</v>
      </c>
      <c r="E172" s="5" t="s">
        <v>150</v>
      </c>
      <c r="F172" s="5" t="s">
        <v>8451</v>
      </c>
      <c r="G172" s="5" t="s">
        <v>148</v>
      </c>
      <c r="H172" s="5" t="s">
        <v>137</v>
      </c>
      <c r="I172" s="5" t="s">
        <v>1706</v>
      </c>
      <c r="J172" s="5" t="s">
        <v>8457</v>
      </c>
    </row>
    <row r="173" spans="1:10" ht="25.5" x14ac:dyDescent="0.2">
      <c r="A173" s="5" t="s">
        <v>8456</v>
      </c>
      <c r="B173" s="5" t="s">
        <v>83</v>
      </c>
      <c r="C173" s="5"/>
      <c r="D173" s="5" t="s">
        <v>8455</v>
      </c>
      <c r="E173" s="5" t="s">
        <v>665</v>
      </c>
      <c r="F173" s="5" t="s">
        <v>8451</v>
      </c>
      <c r="G173" s="5" t="s">
        <v>148</v>
      </c>
      <c r="H173" s="5" t="s">
        <v>137</v>
      </c>
      <c r="I173" s="5" t="s">
        <v>1706</v>
      </c>
      <c r="J173" s="5" t="s">
        <v>8454</v>
      </c>
    </row>
    <row r="174" spans="1:10" ht="25.5" x14ac:dyDescent="0.2">
      <c r="A174" s="5" t="s">
        <v>8453</v>
      </c>
      <c r="B174" s="5" t="s">
        <v>83</v>
      </c>
      <c r="C174" s="5"/>
      <c r="D174" s="5" t="s">
        <v>8452</v>
      </c>
      <c r="E174" s="5"/>
      <c r="F174" s="5" t="s">
        <v>8451</v>
      </c>
      <c r="G174" s="5" t="s">
        <v>882</v>
      </c>
      <c r="H174" s="5" t="s">
        <v>137</v>
      </c>
      <c r="I174" s="5" t="s">
        <v>1706</v>
      </c>
      <c r="J174" s="5" t="s">
        <v>8450</v>
      </c>
    </row>
    <row r="175" spans="1:10" ht="25.5" x14ac:dyDescent="0.2">
      <c r="A175" s="5" t="s">
        <v>8449</v>
      </c>
      <c r="B175" s="5" t="s">
        <v>83</v>
      </c>
      <c r="C175" s="5"/>
      <c r="D175" s="5" t="s">
        <v>8448</v>
      </c>
      <c r="E175" s="5" t="s">
        <v>150</v>
      </c>
      <c r="F175" s="5" t="s">
        <v>8444</v>
      </c>
      <c r="G175" s="5" t="s">
        <v>148</v>
      </c>
      <c r="H175" s="5" t="s">
        <v>137</v>
      </c>
      <c r="I175" s="5" t="s">
        <v>1349</v>
      </c>
      <c r="J175" s="5" t="s">
        <v>8447</v>
      </c>
    </row>
    <row r="176" spans="1:10" ht="25.5" x14ac:dyDescent="0.2">
      <c r="A176" s="5" t="s">
        <v>8446</v>
      </c>
      <c r="B176" s="5" t="s">
        <v>83</v>
      </c>
      <c r="C176" s="5"/>
      <c r="D176" s="5" t="s">
        <v>8445</v>
      </c>
      <c r="E176" s="5" t="s">
        <v>665</v>
      </c>
      <c r="F176" s="5" t="s">
        <v>8444</v>
      </c>
      <c r="G176" s="5" t="s">
        <v>148</v>
      </c>
      <c r="H176" s="5" t="s">
        <v>137</v>
      </c>
      <c r="I176" s="5" t="s">
        <v>1349</v>
      </c>
      <c r="J176" s="5" t="s">
        <v>8443</v>
      </c>
    </row>
    <row r="177" spans="1:10" ht="25.5" x14ac:dyDescent="0.2">
      <c r="A177" s="5" t="s">
        <v>8442</v>
      </c>
      <c r="B177" s="5" t="s">
        <v>83</v>
      </c>
      <c r="C177" s="5"/>
      <c r="D177" s="5" t="s">
        <v>8441</v>
      </c>
      <c r="E177" s="5"/>
      <c r="F177" s="5" t="s">
        <v>8434</v>
      </c>
      <c r="G177" s="5" t="s">
        <v>896</v>
      </c>
      <c r="H177" s="5" t="s">
        <v>137</v>
      </c>
      <c r="I177" s="5" t="s">
        <v>1112</v>
      </c>
      <c r="J177" s="5" t="s">
        <v>8440</v>
      </c>
    </row>
    <row r="178" spans="1:10" ht="25.5" x14ac:dyDescent="0.2">
      <c r="A178" s="5" t="s">
        <v>8439</v>
      </c>
      <c r="B178" s="5" t="s">
        <v>83</v>
      </c>
      <c r="C178" s="5"/>
      <c r="D178" s="5" t="s">
        <v>8438</v>
      </c>
      <c r="E178" s="5" t="s">
        <v>150</v>
      </c>
      <c r="F178" s="5" t="s">
        <v>8434</v>
      </c>
      <c r="G178" s="5" t="s">
        <v>148</v>
      </c>
      <c r="H178" s="5" t="s">
        <v>137</v>
      </c>
      <c r="I178" s="5" t="s">
        <v>1112</v>
      </c>
      <c r="J178" s="5" t="s">
        <v>8437</v>
      </c>
    </row>
    <row r="179" spans="1:10" ht="25.5" x14ac:dyDescent="0.2">
      <c r="A179" s="5" t="s">
        <v>8436</v>
      </c>
      <c r="B179" s="5" t="s">
        <v>83</v>
      </c>
      <c r="C179" s="5"/>
      <c r="D179" s="5" t="s">
        <v>8435</v>
      </c>
      <c r="E179" s="5"/>
      <c r="F179" s="5" t="s">
        <v>8434</v>
      </c>
      <c r="G179" s="5" t="s">
        <v>882</v>
      </c>
      <c r="H179" s="5" t="s">
        <v>137</v>
      </c>
      <c r="I179" s="5" t="s">
        <v>1112</v>
      </c>
      <c r="J179" s="5" t="s">
        <v>8433</v>
      </c>
    </row>
    <row r="180" spans="1:10" ht="25.5" x14ac:dyDescent="0.2">
      <c r="A180" s="5" t="s">
        <v>8432</v>
      </c>
      <c r="B180" s="5" t="s">
        <v>83</v>
      </c>
      <c r="C180" s="5"/>
      <c r="D180" s="5" t="s">
        <v>8431</v>
      </c>
      <c r="E180" s="5"/>
      <c r="F180" s="5" t="s">
        <v>8421</v>
      </c>
      <c r="G180" s="5" t="s">
        <v>896</v>
      </c>
      <c r="H180" s="5" t="s">
        <v>137</v>
      </c>
      <c r="I180" s="5" t="s">
        <v>661</v>
      </c>
      <c r="J180" s="5" t="s">
        <v>8430</v>
      </c>
    </row>
    <row r="181" spans="1:10" ht="25.5" x14ac:dyDescent="0.2">
      <c r="A181" s="5" t="s">
        <v>8429</v>
      </c>
      <c r="B181" s="5" t="s">
        <v>83</v>
      </c>
      <c r="C181" s="5"/>
      <c r="D181" s="5" t="s">
        <v>8428</v>
      </c>
      <c r="E181" s="5" t="s">
        <v>150</v>
      </c>
      <c r="F181" s="5" t="s">
        <v>8421</v>
      </c>
      <c r="G181" s="5" t="s">
        <v>148</v>
      </c>
      <c r="H181" s="5" t="s">
        <v>137</v>
      </c>
      <c r="I181" s="5" t="s">
        <v>661</v>
      </c>
      <c r="J181" s="5" t="s">
        <v>8427</v>
      </c>
    </row>
    <row r="182" spans="1:10" ht="25.5" x14ac:dyDescent="0.2">
      <c r="A182" s="5" t="s">
        <v>8426</v>
      </c>
      <c r="B182" s="5" t="s">
        <v>83</v>
      </c>
      <c r="C182" s="5"/>
      <c r="D182" s="5" t="s">
        <v>8425</v>
      </c>
      <c r="E182" s="5" t="s">
        <v>665</v>
      </c>
      <c r="F182" s="5" t="s">
        <v>8421</v>
      </c>
      <c r="G182" s="5" t="s">
        <v>148</v>
      </c>
      <c r="H182" s="5" t="s">
        <v>137</v>
      </c>
      <c r="I182" s="5" t="s">
        <v>661</v>
      </c>
      <c r="J182" s="5" t="s">
        <v>8424</v>
      </c>
    </row>
    <row r="183" spans="1:10" ht="25.5" x14ac:dyDescent="0.2">
      <c r="A183" s="5" t="s">
        <v>8423</v>
      </c>
      <c r="B183" s="5" t="s">
        <v>83</v>
      </c>
      <c r="C183" s="5"/>
      <c r="D183" s="5" t="s">
        <v>8422</v>
      </c>
      <c r="E183" s="5"/>
      <c r="F183" s="5" t="s">
        <v>8421</v>
      </c>
      <c r="G183" s="5" t="s">
        <v>882</v>
      </c>
      <c r="H183" s="5" t="s">
        <v>137</v>
      </c>
      <c r="I183" s="5" t="s">
        <v>661</v>
      </c>
      <c r="J183" s="5" t="s">
        <v>8420</v>
      </c>
    </row>
    <row r="184" spans="1:10" ht="25.5" x14ac:dyDescent="0.2">
      <c r="A184" s="5" t="s">
        <v>8419</v>
      </c>
      <c r="B184" s="5" t="s">
        <v>83</v>
      </c>
      <c r="C184" s="5"/>
      <c r="D184" s="5" t="s">
        <v>342</v>
      </c>
      <c r="E184" s="5"/>
      <c r="F184" s="5" t="s">
        <v>8418</v>
      </c>
      <c r="G184" s="5" t="s">
        <v>224</v>
      </c>
      <c r="H184" s="5" t="s">
        <v>3</v>
      </c>
      <c r="I184" s="5"/>
      <c r="J184" s="5" t="s">
        <v>8418</v>
      </c>
    </row>
    <row r="185" spans="1:10" ht="25.5" x14ac:dyDescent="0.2">
      <c r="A185" s="5" t="s">
        <v>8417</v>
      </c>
      <c r="B185" s="5" t="s">
        <v>83</v>
      </c>
      <c r="C185" s="5"/>
      <c r="D185" s="5" t="s">
        <v>8416</v>
      </c>
      <c r="E185" s="5"/>
      <c r="F185" s="5" t="s">
        <v>5780</v>
      </c>
      <c r="G185" s="5" t="s">
        <v>173</v>
      </c>
      <c r="H185" s="5" t="s">
        <v>3</v>
      </c>
      <c r="I185" s="5"/>
      <c r="J185" s="5" t="s">
        <v>8415</v>
      </c>
    </row>
    <row r="186" spans="1:10" ht="25.5" x14ac:dyDescent="0.2">
      <c r="A186" s="5" t="s">
        <v>8414</v>
      </c>
      <c r="B186" s="5" t="s">
        <v>83</v>
      </c>
      <c r="C186" s="5"/>
      <c r="D186" s="5" t="s">
        <v>8413</v>
      </c>
      <c r="E186" s="5" t="s">
        <v>138</v>
      </c>
      <c r="F186" s="5" t="s">
        <v>331</v>
      </c>
      <c r="G186" s="5" t="s">
        <v>6518</v>
      </c>
      <c r="H186" s="5" t="s">
        <v>3</v>
      </c>
      <c r="I186" s="5"/>
      <c r="J186" s="5" t="s">
        <v>90</v>
      </c>
    </row>
    <row r="187" spans="1:10" x14ac:dyDescent="0.2">
      <c r="A187" s="5" t="s">
        <v>8412</v>
      </c>
      <c r="B187" s="5" t="s">
        <v>83</v>
      </c>
      <c r="C187" s="5"/>
      <c r="D187" s="5" t="s">
        <v>8411</v>
      </c>
      <c r="E187" s="5"/>
      <c r="F187" s="5" t="s">
        <v>8410</v>
      </c>
      <c r="G187" s="5" t="s">
        <v>4</v>
      </c>
      <c r="H187" s="5" t="s">
        <v>3</v>
      </c>
      <c r="I187" s="5"/>
      <c r="J187" s="5" t="s">
        <v>8409</v>
      </c>
    </row>
    <row r="188" spans="1:10" x14ac:dyDescent="0.2">
      <c r="A188" s="5" t="s">
        <v>8408</v>
      </c>
      <c r="B188" s="5" t="s">
        <v>83</v>
      </c>
      <c r="C188" s="5"/>
      <c r="D188" s="5" t="s">
        <v>8407</v>
      </c>
      <c r="E188" s="5"/>
      <c r="F188" s="5" t="s">
        <v>8406</v>
      </c>
      <c r="G188" s="5" t="s">
        <v>4</v>
      </c>
      <c r="H188" s="5" t="s">
        <v>3</v>
      </c>
      <c r="I188" s="5"/>
      <c r="J188" s="5" t="s">
        <v>8405</v>
      </c>
    </row>
    <row r="189" spans="1:10" ht="25.5" x14ac:dyDescent="0.2">
      <c r="A189" s="5" t="s">
        <v>8404</v>
      </c>
      <c r="B189" s="5" t="s">
        <v>83</v>
      </c>
      <c r="C189" s="5"/>
      <c r="D189" s="5" t="s">
        <v>8403</v>
      </c>
      <c r="E189" s="5"/>
      <c r="F189" s="5"/>
      <c r="G189" s="5" t="s">
        <v>105</v>
      </c>
      <c r="H189" s="5" t="s">
        <v>3</v>
      </c>
      <c r="I189" s="5"/>
      <c r="J189" s="5" t="s">
        <v>8402</v>
      </c>
    </row>
    <row r="190" spans="1:10" x14ac:dyDescent="0.2">
      <c r="A190" s="5" t="s">
        <v>8401</v>
      </c>
      <c r="B190" s="5" t="s">
        <v>83</v>
      </c>
      <c r="C190" s="5"/>
      <c r="D190" s="5" t="s">
        <v>8382</v>
      </c>
      <c r="E190" s="5"/>
      <c r="F190" s="5" t="s">
        <v>8385</v>
      </c>
      <c r="G190" s="5" t="s">
        <v>105</v>
      </c>
      <c r="H190" s="5" t="s">
        <v>3</v>
      </c>
      <c r="I190" s="5"/>
      <c r="J190" s="5" t="s">
        <v>8400</v>
      </c>
    </row>
    <row r="191" spans="1:10" x14ac:dyDescent="0.2">
      <c r="A191" s="5" t="s">
        <v>8399</v>
      </c>
      <c r="B191" s="5" t="s">
        <v>83</v>
      </c>
      <c r="C191" s="5"/>
      <c r="D191" s="5" t="s">
        <v>6390</v>
      </c>
      <c r="E191" s="5" t="s">
        <v>150</v>
      </c>
      <c r="F191" s="5" t="s">
        <v>8385</v>
      </c>
      <c r="G191" s="5" t="s">
        <v>148</v>
      </c>
      <c r="H191" s="5" t="s">
        <v>3</v>
      </c>
      <c r="I191" s="5"/>
      <c r="J191" s="5" t="s">
        <v>8398</v>
      </c>
    </row>
    <row r="192" spans="1:10" x14ac:dyDescent="0.2">
      <c r="A192" s="5" t="s">
        <v>8397</v>
      </c>
      <c r="B192" s="5" t="s">
        <v>83</v>
      </c>
      <c r="C192" s="5"/>
      <c r="D192" s="5" t="s">
        <v>8396</v>
      </c>
      <c r="E192" s="5"/>
      <c r="F192" s="5" t="s">
        <v>8395</v>
      </c>
      <c r="G192" s="5" t="s">
        <v>283</v>
      </c>
      <c r="H192" s="5" t="s">
        <v>3</v>
      </c>
      <c r="I192" s="5"/>
      <c r="J192" s="5" t="s">
        <v>8394</v>
      </c>
    </row>
    <row r="193" spans="1:10" x14ac:dyDescent="0.2">
      <c r="A193" s="5" t="s">
        <v>8393</v>
      </c>
      <c r="B193" s="5" t="s">
        <v>83</v>
      </c>
      <c r="C193" s="5"/>
      <c r="D193" s="5" t="s">
        <v>8392</v>
      </c>
      <c r="E193" s="5"/>
      <c r="F193" s="5" t="s">
        <v>8391</v>
      </c>
      <c r="G193" s="5" t="s">
        <v>229</v>
      </c>
      <c r="H193" s="5" t="s">
        <v>3</v>
      </c>
      <c r="I193" s="5"/>
      <c r="J193" s="5" t="s">
        <v>8390</v>
      </c>
    </row>
    <row r="194" spans="1:10" x14ac:dyDescent="0.2">
      <c r="A194" s="5" t="s">
        <v>8389</v>
      </c>
      <c r="B194" s="5" t="s">
        <v>83</v>
      </c>
      <c r="C194" s="5"/>
      <c r="D194" s="5" t="s">
        <v>5533</v>
      </c>
      <c r="E194" s="5"/>
      <c r="F194" s="5" t="s">
        <v>8385</v>
      </c>
      <c r="G194" s="5" t="s">
        <v>382</v>
      </c>
      <c r="H194" s="5" t="s">
        <v>3</v>
      </c>
      <c r="I194" s="5"/>
      <c r="J194" s="5" t="s">
        <v>8388</v>
      </c>
    </row>
    <row r="195" spans="1:10" x14ac:dyDescent="0.2">
      <c r="A195" s="5" t="s">
        <v>8387</v>
      </c>
      <c r="B195" s="5" t="s">
        <v>83</v>
      </c>
      <c r="C195" s="5"/>
      <c r="D195" s="5" t="s">
        <v>8386</v>
      </c>
      <c r="E195" s="5" t="s">
        <v>5520</v>
      </c>
      <c r="F195" s="5" t="s">
        <v>8385</v>
      </c>
      <c r="G195" s="5" t="s">
        <v>148</v>
      </c>
      <c r="H195" s="5" t="s">
        <v>3</v>
      </c>
      <c r="I195" s="5"/>
      <c r="J195" s="5" t="s">
        <v>8384</v>
      </c>
    </row>
    <row r="196" spans="1:10" x14ac:dyDescent="0.2">
      <c r="A196" s="5" t="s">
        <v>8383</v>
      </c>
      <c r="B196" s="5" t="s">
        <v>83</v>
      </c>
      <c r="C196" s="5"/>
      <c r="D196" s="5" t="s">
        <v>8382</v>
      </c>
      <c r="E196" s="5"/>
      <c r="F196" s="5" t="s">
        <v>8381</v>
      </c>
      <c r="G196" s="5" t="s">
        <v>199</v>
      </c>
      <c r="H196" s="5" t="s">
        <v>3</v>
      </c>
      <c r="I196" s="5"/>
      <c r="J196" s="5"/>
    </row>
    <row r="197" spans="1:10" x14ac:dyDescent="0.2">
      <c r="A197" s="5" t="s">
        <v>8380</v>
      </c>
      <c r="B197" s="5" t="s">
        <v>83</v>
      </c>
      <c r="C197" s="5"/>
      <c r="D197" s="5" t="s">
        <v>8379</v>
      </c>
      <c r="E197" s="5"/>
      <c r="F197" s="5" t="s">
        <v>8378</v>
      </c>
      <c r="G197" s="5" t="s">
        <v>3059</v>
      </c>
      <c r="H197" s="5" t="s">
        <v>3</v>
      </c>
      <c r="I197" s="5"/>
      <c r="J197" s="5" t="s">
        <v>7462</v>
      </c>
    </row>
    <row r="198" spans="1:10" ht="25.5" x14ac:dyDescent="0.2">
      <c r="A198" s="5" t="s">
        <v>8377</v>
      </c>
      <c r="B198" s="5" t="s">
        <v>83</v>
      </c>
      <c r="C198" s="5"/>
      <c r="D198" s="5" t="s">
        <v>8376</v>
      </c>
      <c r="E198" s="5" t="s">
        <v>138</v>
      </c>
      <c r="F198" s="5" t="s">
        <v>331</v>
      </c>
      <c r="G198" s="5" t="s">
        <v>6518</v>
      </c>
      <c r="H198" s="5" t="s">
        <v>3</v>
      </c>
      <c r="I198" s="5"/>
      <c r="J198" s="5" t="s">
        <v>90</v>
      </c>
    </row>
    <row r="199" spans="1:10" ht="25.5" x14ac:dyDescent="0.2">
      <c r="A199" s="5" t="s">
        <v>8375</v>
      </c>
      <c r="B199" s="5" t="s">
        <v>83</v>
      </c>
      <c r="C199" s="5"/>
      <c r="D199" s="5" t="s">
        <v>8374</v>
      </c>
      <c r="E199" s="5"/>
      <c r="F199" s="5"/>
      <c r="G199" s="5" t="s">
        <v>105</v>
      </c>
      <c r="H199" s="5" t="s">
        <v>3</v>
      </c>
      <c r="I199" s="5"/>
      <c r="J199" s="5" t="s">
        <v>8373</v>
      </c>
    </row>
    <row r="200" spans="1:10" ht="25.5" x14ac:dyDescent="0.2">
      <c r="A200" s="5" t="s">
        <v>8372</v>
      </c>
      <c r="B200" s="5" t="s">
        <v>83</v>
      </c>
      <c r="C200" s="5"/>
      <c r="D200" s="5" t="s">
        <v>8371</v>
      </c>
      <c r="E200" s="5"/>
      <c r="F200" s="5" t="s">
        <v>8370</v>
      </c>
      <c r="G200" s="5" t="s">
        <v>105</v>
      </c>
      <c r="H200" s="5" t="s">
        <v>3</v>
      </c>
      <c r="I200" s="5"/>
      <c r="J200" s="5" t="s">
        <v>8369</v>
      </c>
    </row>
    <row r="201" spans="1:10" x14ac:dyDescent="0.2">
      <c r="A201" s="5" t="s">
        <v>8368</v>
      </c>
      <c r="B201" s="5" t="s">
        <v>83</v>
      </c>
      <c r="C201" s="5"/>
      <c r="D201" s="5" t="s">
        <v>8367</v>
      </c>
      <c r="E201" s="5"/>
      <c r="F201" s="5" t="s">
        <v>5246</v>
      </c>
      <c r="G201" s="5" t="s">
        <v>2308</v>
      </c>
      <c r="H201" s="5" t="s">
        <v>137</v>
      </c>
      <c r="I201" s="5" t="s">
        <v>2231</v>
      </c>
      <c r="J201" s="5" t="s">
        <v>8364</v>
      </c>
    </row>
    <row r="202" spans="1:10" x14ac:dyDescent="0.2">
      <c r="A202" s="5" t="s">
        <v>8366</v>
      </c>
      <c r="B202" s="5" t="s">
        <v>83</v>
      </c>
      <c r="C202" s="5"/>
      <c r="D202" s="5" t="s">
        <v>8365</v>
      </c>
      <c r="E202" s="5"/>
      <c r="F202" s="5" t="s">
        <v>5246</v>
      </c>
      <c r="G202" s="5" t="s">
        <v>8347</v>
      </c>
      <c r="H202" s="5" t="s">
        <v>3</v>
      </c>
      <c r="I202" s="5"/>
      <c r="J202" s="5" t="s">
        <v>8364</v>
      </c>
    </row>
    <row r="203" spans="1:10" ht="25.5" x14ac:dyDescent="0.2">
      <c r="A203" s="5" t="s">
        <v>8361</v>
      </c>
      <c r="B203" s="5" t="s">
        <v>83</v>
      </c>
      <c r="C203" s="5"/>
      <c r="D203" s="5" t="s">
        <v>8363</v>
      </c>
      <c r="E203" s="5"/>
      <c r="F203" s="5" t="s">
        <v>8362</v>
      </c>
      <c r="G203" s="5" t="s">
        <v>91</v>
      </c>
      <c r="H203" s="5" t="s">
        <v>137</v>
      </c>
      <c r="I203" s="5" t="s">
        <v>8361</v>
      </c>
      <c r="J203" s="5" t="s">
        <v>8360</v>
      </c>
    </row>
    <row r="204" spans="1:10" x14ac:dyDescent="0.2">
      <c r="A204" s="5" t="s">
        <v>8359</v>
      </c>
      <c r="B204" s="5" t="s">
        <v>83</v>
      </c>
      <c r="C204" s="5"/>
      <c r="D204" s="5" t="s">
        <v>8358</v>
      </c>
      <c r="E204" s="5"/>
      <c r="F204" s="5" t="s">
        <v>5246</v>
      </c>
      <c r="G204" s="5" t="s">
        <v>118</v>
      </c>
      <c r="H204" s="5" t="s">
        <v>137</v>
      </c>
      <c r="I204" s="5" t="s">
        <v>2231</v>
      </c>
      <c r="J204" s="5" t="s">
        <v>8355</v>
      </c>
    </row>
    <row r="205" spans="1:10" x14ac:dyDescent="0.2">
      <c r="A205" s="5" t="s">
        <v>8357</v>
      </c>
      <c r="B205" s="5" t="s">
        <v>83</v>
      </c>
      <c r="C205" s="5"/>
      <c r="D205" s="5" t="s">
        <v>8356</v>
      </c>
      <c r="E205" s="5"/>
      <c r="F205" s="5" t="s">
        <v>5246</v>
      </c>
      <c r="G205" s="5" t="s">
        <v>118</v>
      </c>
      <c r="H205" s="5" t="s">
        <v>3</v>
      </c>
      <c r="I205" s="5"/>
      <c r="J205" s="5" t="s">
        <v>8355</v>
      </c>
    </row>
    <row r="206" spans="1:10" ht="25.5" x14ac:dyDescent="0.2">
      <c r="A206" s="5" t="s">
        <v>8354</v>
      </c>
      <c r="B206" s="5" t="s">
        <v>83</v>
      </c>
      <c r="C206" s="5"/>
      <c r="D206" s="5" t="s">
        <v>8353</v>
      </c>
      <c r="E206" s="5"/>
      <c r="F206" s="5" t="s">
        <v>5235</v>
      </c>
      <c r="G206" s="5" t="s">
        <v>224</v>
      </c>
      <c r="H206" s="5" t="s">
        <v>3</v>
      </c>
      <c r="I206" s="5"/>
      <c r="J206" s="5" t="s">
        <v>5235</v>
      </c>
    </row>
    <row r="207" spans="1:10" ht="25.5" x14ac:dyDescent="0.2">
      <c r="A207" s="5" t="s">
        <v>8352</v>
      </c>
      <c r="B207" s="5" t="s">
        <v>83</v>
      </c>
      <c r="C207" s="5"/>
      <c r="D207" s="5" t="s">
        <v>8351</v>
      </c>
      <c r="E207" s="5"/>
      <c r="F207" s="5" t="s">
        <v>5235</v>
      </c>
      <c r="G207" s="5" t="s">
        <v>224</v>
      </c>
      <c r="H207" s="5" t="s">
        <v>3</v>
      </c>
      <c r="I207" s="5"/>
      <c r="J207" s="5" t="s">
        <v>8350</v>
      </c>
    </row>
    <row r="208" spans="1:10" ht="25.5" x14ac:dyDescent="0.2">
      <c r="A208" s="5" t="s">
        <v>8346</v>
      </c>
      <c r="B208" s="5" t="s">
        <v>83</v>
      </c>
      <c r="C208" s="5"/>
      <c r="D208" s="5" t="s">
        <v>8349</v>
      </c>
      <c r="E208" s="5"/>
      <c r="F208" s="5" t="s">
        <v>8348</v>
      </c>
      <c r="G208" s="5" t="s">
        <v>8347</v>
      </c>
      <c r="H208" s="5" t="s">
        <v>137</v>
      </c>
      <c r="I208" s="5" t="s">
        <v>8346</v>
      </c>
      <c r="J208" s="5" t="s">
        <v>8345</v>
      </c>
    </row>
    <row r="209" spans="1:10" x14ac:dyDescent="0.2">
      <c r="A209" s="5" t="s">
        <v>8344</v>
      </c>
      <c r="B209" s="5" t="s">
        <v>83</v>
      </c>
      <c r="C209" s="5"/>
      <c r="D209" s="5" t="s">
        <v>8343</v>
      </c>
      <c r="E209" s="5"/>
      <c r="F209" s="5" t="s">
        <v>8342</v>
      </c>
      <c r="G209" s="5" t="s">
        <v>7296</v>
      </c>
      <c r="H209" s="5" t="s">
        <v>3</v>
      </c>
      <c r="I209" s="5"/>
      <c r="J209" s="5"/>
    </row>
    <row r="210" spans="1:10" x14ac:dyDescent="0.2">
      <c r="A210" s="5" t="s">
        <v>8341</v>
      </c>
      <c r="B210" s="5" t="s">
        <v>83</v>
      </c>
      <c r="C210" s="5"/>
      <c r="D210" s="5" t="s">
        <v>5175</v>
      </c>
      <c r="E210" s="5"/>
      <c r="F210" s="5" t="s">
        <v>8340</v>
      </c>
      <c r="G210" s="5" t="s">
        <v>199</v>
      </c>
      <c r="H210" s="5" t="s">
        <v>3</v>
      </c>
      <c r="I210" s="5"/>
      <c r="J210" s="5"/>
    </row>
    <row r="211" spans="1:10" x14ac:dyDescent="0.2">
      <c r="A211" s="5" t="s">
        <v>8339</v>
      </c>
      <c r="B211" s="5" t="s">
        <v>83</v>
      </c>
      <c r="C211" s="5"/>
      <c r="D211" s="5" t="s">
        <v>8338</v>
      </c>
      <c r="E211" s="5"/>
      <c r="F211" s="5" t="s">
        <v>472</v>
      </c>
      <c r="G211" s="5" t="s">
        <v>105</v>
      </c>
      <c r="H211" s="5" t="s">
        <v>3</v>
      </c>
      <c r="I211" s="5"/>
      <c r="J211" s="5"/>
    </row>
    <row r="212" spans="1:10" x14ac:dyDescent="0.2">
      <c r="A212" s="5" t="s">
        <v>8337</v>
      </c>
      <c r="B212" s="5" t="s">
        <v>83</v>
      </c>
      <c r="C212" s="5"/>
      <c r="D212" s="5" t="s">
        <v>6447</v>
      </c>
      <c r="E212" s="5"/>
      <c r="F212" s="5" t="s">
        <v>6448</v>
      </c>
      <c r="G212" s="5" t="s">
        <v>105</v>
      </c>
      <c r="H212" s="5" t="s">
        <v>3</v>
      </c>
      <c r="I212" s="5"/>
      <c r="J212" s="5"/>
    </row>
    <row r="213" spans="1:10" x14ac:dyDescent="0.2">
      <c r="A213" s="5" t="s">
        <v>8336</v>
      </c>
      <c r="B213" s="5" t="s">
        <v>83</v>
      </c>
      <c r="C213" s="5"/>
      <c r="D213" s="5" t="s">
        <v>8335</v>
      </c>
      <c r="E213" s="5" t="s">
        <v>299</v>
      </c>
      <c r="F213" s="5" t="s">
        <v>1554</v>
      </c>
      <c r="G213" s="5" t="s">
        <v>148</v>
      </c>
      <c r="H213" s="5" t="s">
        <v>3</v>
      </c>
      <c r="I213" s="5"/>
      <c r="J213" s="5"/>
    </row>
    <row r="214" spans="1:10" x14ac:dyDescent="0.2">
      <c r="A214" s="5" t="s">
        <v>8334</v>
      </c>
      <c r="B214" s="5" t="s">
        <v>83</v>
      </c>
      <c r="C214" s="5"/>
      <c r="D214" s="5" t="s">
        <v>8333</v>
      </c>
      <c r="E214" s="5"/>
      <c r="F214" s="5" t="s">
        <v>1554</v>
      </c>
      <c r="G214" s="5" t="s">
        <v>3059</v>
      </c>
      <c r="H214" s="5" t="s">
        <v>3</v>
      </c>
      <c r="I214" s="5"/>
      <c r="J214" s="5"/>
    </row>
    <row r="215" spans="1:10" ht="25.5" x14ac:dyDescent="0.2">
      <c r="A215" s="5" t="s">
        <v>8332</v>
      </c>
      <c r="B215" s="5" t="s">
        <v>83</v>
      </c>
      <c r="C215" s="5"/>
      <c r="D215" s="5" t="s">
        <v>8291</v>
      </c>
      <c r="E215" s="5"/>
      <c r="F215" s="5" t="s">
        <v>8331</v>
      </c>
      <c r="G215" s="5" t="s">
        <v>118</v>
      </c>
      <c r="H215" s="5" t="s">
        <v>3</v>
      </c>
      <c r="I215" s="5"/>
      <c r="J215" s="5" t="s">
        <v>8330</v>
      </c>
    </row>
    <row r="216" spans="1:10" ht="25.5" x14ac:dyDescent="0.2">
      <c r="A216" s="5" t="s">
        <v>8329</v>
      </c>
      <c r="B216" s="5" t="s">
        <v>83</v>
      </c>
      <c r="C216" s="5"/>
      <c r="D216" s="5" t="s">
        <v>5175</v>
      </c>
      <c r="E216" s="5"/>
      <c r="F216" s="5" t="s">
        <v>142</v>
      </c>
      <c r="G216" s="5" t="s">
        <v>105</v>
      </c>
      <c r="H216" s="5" t="s">
        <v>3</v>
      </c>
      <c r="I216" s="5"/>
      <c r="J216" s="5" t="s">
        <v>8328</v>
      </c>
    </row>
    <row r="217" spans="1:10" x14ac:dyDescent="0.2">
      <c r="A217" s="5" t="s">
        <v>8327</v>
      </c>
      <c r="B217" s="5" t="s">
        <v>83</v>
      </c>
      <c r="C217" s="5"/>
      <c r="D217" s="5" t="s">
        <v>8326</v>
      </c>
      <c r="E217" s="5"/>
      <c r="F217" s="5" t="s">
        <v>8325</v>
      </c>
      <c r="G217" s="5" t="s">
        <v>6584</v>
      </c>
      <c r="H217" s="5" t="s">
        <v>3</v>
      </c>
      <c r="I217" s="5"/>
      <c r="J217" s="5" t="s">
        <v>8324</v>
      </c>
    </row>
    <row r="218" spans="1:10" x14ac:dyDescent="0.2">
      <c r="A218" s="5" t="s">
        <v>8323</v>
      </c>
      <c r="B218" s="5" t="s">
        <v>83</v>
      </c>
      <c r="C218" s="5"/>
      <c r="D218" s="5" t="s">
        <v>8322</v>
      </c>
      <c r="E218" s="5" t="s">
        <v>3057</v>
      </c>
      <c r="F218" s="5" t="s">
        <v>123</v>
      </c>
      <c r="G218" s="5" t="s">
        <v>195</v>
      </c>
      <c r="H218" s="5" t="s">
        <v>3</v>
      </c>
      <c r="I218" s="5"/>
      <c r="J218" s="5"/>
    </row>
    <row r="219" spans="1:10" ht="25.5" x14ac:dyDescent="0.2">
      <c r="A219" s="5" t="s">
        <v>8321</v>
      </c>
      <c r="B219" s="5" t="s">
        <v>83</v>
      </c>
      <c r="C219" s="5"/>
      <c r="D219" s="5" t="s">
        <v>8320</v>
      </c>
      <c r="E219" s="5"/>
      <c r="F219" s="5" t="s">
        <v>123</v>
      </c>
      <c r="G219" s="5" t="s">
        <v>328</v>
      </c>
      <c r="H219" s="5" t="s">
        <v>3</v>
      </c>
      <c r="I219" s="5"/>
      <c r="J219" s="5" t="s">
        <v>8319</v>
      </c>
    </row>
    <row r="220" spans="1:10" x14ac:dyDescent="0.2">
      <c r="A220" s="5" t="s">
        <v>8318</v>
      </c>
      <c r="B220" s="5" t="s">
        <v>83</v>
      </c>
      <c r="C220" s="5"/>
      <c r="D220" s="5" t="s">
        <v>8317</v>
      </c>
      <c r="E220" s="5"/>
      <c r="F220" s="5" t="s">
        <v>1554</v>
      </c>
      <c r="G220" s="5" t="s">
        <v>181</v>
      </c>
      <c r="H220" s="5" t="s">
        <v>3</v>
      </c>
      <c r="I220" s="5"/>
      <c r="J220" s="5"/>
    </row>
    <row r="221" spans="1:10" ht="25.5" x14ac:dyDescent="0.2">
      <c r="A221" s="5" t="s">
        <v>8316</v>
      </c>
      <c r="B221" s="5" t="s">
        <v>83</v>
      </c>
      <c r="C221" s="5"/>
      <c r="D221" s="5" t="s">
        <v>8315</v>
      </c>
      <c r="E221" s="5"/>
      <c r="F221" s="5" t="s">
        <v>8101</v>
      </c>
      <c r="G221" s="5" t="s">
        <v>7296</v>
      </c>
      <c r="H221" s="5" t="s">
        <v>3</v>
      </c>
      <c r="I221" s="5"/>
      <c r="J221" s="5" t="s">
        <v>8314</v>
      </c>
    </row>
    <row r="222" spans="1:10" x14ac:dyDescent="0.2">
      <c r="A222" s="5" t="s">
        <v>8313</v>
      </c>
      <c r="B222" s="5" t="s">
        <v>83</v>
      </c>
      <c r="C222" s="5"/>
      <c r="D222" s="5" t="s">
        <v>7476</v>
      </c>
      <c r="E222" s="5"/>
      <c r="F222" s="5" t="s">
        <v>1554</v>
      </c>
      <c r="G222" s="5" t="s">
        <v>6530</v>
      </c>
      <c r="H222" s="5" t="s">
        <v>3</v>
      </c>
      <c r="I222" s="5"/>
      <c r="J222" s="5"/>
    </row>
    <row r="223" spans="1:10" ht="25.5" x14ac:dyDescent="0.2">
      <c r="A223" s="5" t="s">
        <v>8312</v>
      </c>
      <c r="B223" s="5" t="s">
        <v>83</v>
      </c>
      <c r="C223" s="5"/>
      <c r="D223" s="5" t="s">
        <v>8311</v>
      </c>
      <c r="E223" s="5" t="s">
        <v>138</v>
      </c>
      <c r="F223" s="5" t="s">
        <v>5246</v>
      </c>
      <c r="G223" s="5" t="s">
        <v>91</v>
      </c>
      <c r="H223" s="5" t="s">
        <v>137</v>
      </c>
      <c r="I223" s="5" t="s">
        <v>2231</v>
      </c>
      <c r="J223" s="5" t="s">
        <v>8310</v>
      </c>
    </row>
    <row r="224" spans="1:10" ht="25.5" x14ac:dyDescent="0.2">
      <c r="A224" s="5" t="s">
        <v>8309</v>
      </c>
      <c r="B224" s="5" t="s">
        <v>83</v>
      </c>
      <c r="C224" s="5"/>
      <c r="D224" s="5" t="s">
        <v>7510</v>
      </c>
      <c r="E224" s="5" t="s">
        <v>1783</v>
      </c>
      <c r="F224" s="5" t="s">
        <v>8308</v>
      </c>
      <c r="G224" s="5" t="s">
        <v>118</v>
      </c>
      <c r="H224" s="5" t="s">
        <v>3</v>
      </c>
      <c r="I224" s="5"/>
      <c r="J224" s="5"/>
    </row>
    <row r="225" spans="1:10" ht="25.5" x14ac:dyDescent="0.2">
      <c r="A225" s="5" t="s">
        <v>8307</v>
      </c>
      <c r="B225" s="5" t="s">
        <v>83</v>
      </c>
      <c r="C225" s="5"/>
      <c r="D225" s="5" t="s">
        <v>8306</v>
      </c>
      <c r="E225" s="5"/>
      <c r="F225" s="5" t="s">
        <v>8305</v>
      </c>
      <c r="G225" s="5" t="s">
        <v>122</v>
      </c>
      <c r="H225" s="5" t="s">
        <v>137</v>
      </c>
      <c r="I225" s="5" t="s">
        <v>8304</v>
      </c>
      <c r="J225" s="5" t="s">
        <v>8303</v>
      </c>
    </row>
    <row r="226" spans="1:10" ht="25.5" x14ac:dyDescent="0.2">
      <c r="A226" s="5" t="s">
        <v>8302</v>
      </c>
      <c r="B226" s="5" t="s">
        <v>83</v>
      </c>
      <c r="C226" s="5"/>
      <c r="D226" s="5" t="s">
        <v>8301</v>
      </c>
      <c r="E226" s="5"/>
      <c r="F226" s="5" t="s">
        <v>8297</v>
      </c>
      <c r="G226" s="5" t="s">
        <v>114</v>
      </c>
      <c r="H226" s="5" t="s">
        <v>137</v>
      </c>
      <c r="I226" s="5" t="s">
        <v>55</v>
      </c>
      <c r="J226" s="5" t="s">
        <v>8300</v>
      </c>
    </row>
    <row r="227" spans="1:10" x14ac:dyDescent="0.2">
      <c r="A227" s="5" t="s">
        <v>8299</v>
      </c>
      <c r="B227" s="5" t="s">
        <v>83</v>
      </c>
      <c r="C227" s="5"/>
      <c r="D227" s="5" t="s">
        <v>8298</v>
      </c>
      <c r="E227" s="5"/>
      <c r="F227" s="5" t="s">
        <v>8297</v>
      </c>
      <c r="G227" s="5" t="s">
        <v>155</v>
      </c>
      <c r="H227" s="5" t="s">
        <v>3</v>
      </c>
      <c r="I227" s="5"/>
      <c r="J227" s="5" t="s">
        <v>8296</v>
      </c>
    </row>
    <row r="228" spans="1:10" ht="25.5" x14ac:dyDescent="0.2">
      <c r="A228" s="5" t="s">
        <v>8295</v>
      </c>
      <c r="B228" s="5" t="s">
        <v>83</v>
      </c>
      <c r="C228" s="5"/>
      <c r="D228" s="5" t="s">
        <v>8294</v>
      </c>
      <c r="E228" s="5"/>
      <c r="F228" s="5" t="s">
        <v>8293</v>
      </c>
      <c r="G228" s="5" t="s">
        <v>1527</v>
      </c>
      <c r="H228" s="5" t="s">
        <v>3</v>
      </c>
      <c r="I228" s="5"/>
      <c r="J228" s="5" t="s">
        <v>8292</v>
      </c>
    </row>
    <row r="229" spans="1:10" ht="25.5" x14ac:dyDescent="0.2">
      <c r="A229" s="5" t="s">
        <v>8290</v>
      </c>
      <c r="B229" s="5" t="s">
        <v>83</v>
      </c>
      <c r="C229" s="5"/>
      <c r="D229" s="5" t="s">
        <v>8291</v>
      </c>
      <c r="E229" s="5"/>
      <c r="F229" s="5" t="s">
        <v>8290</v>
      </c>
      <c r="G229" s="5" t="s">
        <v>6584</v>
      </c>
      <c r="H229" s="5" t="s">
        <v>3</v>
      </c>
      <c r="I229" s="5"/>
      <c r="J229" s="5" t="s">
        <v>8289</v>
      </c>
    </row>
    <row r="230" spans="1:10" ht="25.5" x14ac:dyDescent="0.2">
      <c r="A230" s="5" t="s">
        <v>8288</v>
      </c>
      <c r="B230" s="5" t="s">
        <v>83</v>
      </c>
      <c r="C230" s="5"/>
      <c r="D230" s="5" t="s">
        <v>8287</v>
      </c>
      <c r="E230" s="5"/>
      <c r="F230" s="5" t="s">
        <v>8286</v>
      </c>
      <c r="G230" s="5" t="s">
        <v>328</v>
      </c>
      <c r="H230" s="5" t="s">
        <v>3</v>
      </c>
      <c r="I230" s="5"/>
      <c r="J230" s="5" t="s">
        <v>8285</v>
      </c>
    </row>
    <row r="231" spans="1:10" x14ac:dyDescent="0.2">
      <c r="A231" s="5" t="s">
        <v>8284</v>
      </c>
      <c r="B231" s="5" t="s">
        <v>83</v>
      </c>
      <c r="C231" s="5"/>
      <c r="D231" s="5" t="s">
        <v>758</v>
      </c>
      <c r="E231" s="5"/>
      <c r="F231" s="5" t="s">
        <v>354</v>
      </c>
      <c r="G231" s="5" t="s">
        <v>6385</v>
      </c>
      <c r="H231" s="5" t="s">
        <v>3</v>
      </c>
      <c r="I231" s="5"/>
      <c r="J231" s="5"/>
    </row>
    <row r="232" spans="1:10" ht="25.5" x14ac:dyDescent="0.2">
      <c r="A232" s="5" t="s">
        <v>8283</v>
      </c>
      <c r="B232" s="5" t="s">
        <v>83</v>
      </c>
      <c r="C232" s="5"/>
      <c r="D232" s="5" t="s">
        <v>8282</v>
      </c>
      <c r="E232" s="5"/>
      <c r="F232" s="5" t="s">
        <v>354</v>
      </c>
      <c r="G232" s="5" t="s">
        <v>173</v>
      </c>
      <c r="H232" s="5" t="s">
        <v>3</v>
      </c>
      <c r="I232" s="5"/>
      <c r="J232" s="5"/>
    </row>
    <row r="233" spans="1:10" ht="25.5" x14ac:dyDescent="0.2">
      <c r="A233" s="5" t="s">
        <v>8281</v>
      </c>
      <c r="B233" s="5" t="s">
        <v>83</v>
      </c>
      <c r="C233" s="5"/>
      <c r="D233" s="5" t="s">
        <v>8280</v>
      </c>
      <c r="E233" s="5" t="s">
        <v>299</v>
      </c>
      <c r="F233" s="5" t="s">
        <v>8279</v>
      </c>
      <c r="G233" s="5" t="s">
        <v>8278</v>
      </c>
      <c r="H233" s="5" t="s">
        <v>3</v>
      </c>
      <c r="I233" s="5"/>
      <c r="J233" s="5"/>
    </row>
    <row r="234" spans="1:10" x14ac:dyDescent="0.2">
      <c r="A234" s="5" t="s">
        <v>8277</v>
      </c>
      <c r="B234" s="5" t="s">
        <v>83</v>
      </c>
      <c r="C234" s="5"/>
      <c r="D234" s="5" t="s">
        <v>8276</v>
      </c>
      <c r="E234" s="5"/>
      <c r="F234" s="5" t="s">
        <v>8270</v>
      </c>
      <c r="G234" s="5" t="s">
        <v>8275</v>
      </c>
      <c r="H234" s="5" t="s">
        <v>3</v>
      </c>
      <c r="I234" s="5"/>
      <c r="J234" s="5" t="s">
        <v>8274</v>
      </c>
    </row>
    <row r="235" spans="1:10" x14ac:dyDescent="0.2">
      <c r="A235" s="5" t="s">
        <v>8273</v>
      </c>
      <c r="B235" s="5" t="s">
        <v>83</v>
      </c>
      <c r="C235" s="5"/>
      <c r="D235" s="5" t="s">
        <v>8271</v>
      </c>
      <c r="E235" s="5"/>
      <c r="F235" s="5" t="s">
        <v>8270</v>
      </c>
      <c r="G235" s="5" t="s">
        <v>229</v>
      </c>
      <c r="H235" s="5" t="s">
        <v>3</v>
      </c>
      <c r="I235" s="5"/>
      <c r="J235" s="5"/>
    </row>
    <row r="236" spans="1:10" x14ac:dyDescent="0.2">
      <c r="A236" s="5" t="s">
        <v>8272</v>
      </c>
      <c r="B236" s="5" t="s">
        <v>83</v>
      </c>
      <c r="C236" s="5"/>
      <c r="D236" s="5" t="s">
        <v>8271</v>
      </c>
      <c r="E236" s="5"/>
      <c r="F236" s="5" t="s">
        <v>8270</v>
      </c>
      <c r="G236" s="5" t="s">
        <v>882</v>
      </c>
      <c r="H236" s="5" t="s">
        <v>3</v>
      </c>
      <c r="I236" s="5"/>
      <c r="J236" s="5"/>
    </row>
    <row r="237" spans="1:10" x14ac:dyDescent="0.2">
      <c r="A237" s="5" t="s">
        <v>8269</v>
      </c>
      <c r="B237" s="5" t="s">
        <v>83</v>
      </c>
      <c r="C237" s="5"/>
      <c r="D237" s="5" t="s">
        <v>348</v>
      </c>
      <c r="E237" s="5"/>
      <c r="F237" s="5" t="s">
        <v>7577</v>
      </c>
      <c r="G237" s="5" t="s">
        <v>173</v>
      </c>
      <c r="H237" s="5" t="s">
        <v>137</v>
      </c>
      <c r="I237" s="5" t="s">
        <v>55</v>
      </c>
      <c r="J237" s="5" t="s">
        <v>8268</v>
      </c>
    </row>
    <row r="238" spans="1:10" x14ac:dyDescent="0.2">
      <c r="A238" s="5" t="s">
        <v>8267</v>
      </c>
      <c r="B238" s="5" t="s">
        <v>83</v>
      </c>
      <c r="C238" s="5"/>
      <c r="D238" s="5" t="s">
        <v>788</v>
      </c>
      <c r="E238" s="5"/>
      <c r="F238" s="5" t="s">
        <v>8266</v>
      </c>
      <c r="G238" s="5" t="s">
        <v>118</v>
      </c>
      <c r="H238" s="5" t="s">
        <v>3</v>
      </c>
      <c r="I238" s="5"/>
      <c r="J238" s="5" t="s">
        <v>8265</v>
      </c>
    </row>
    <row r="239" spans="1:10" ht="25.5" x14ac:dyDescent="0.2">
      <c r="A239" s="5" t="s">
        <v>8264</v>
      </c>
      <c r="B239" s="5" t="s">
        <v>83</v>
      </c>
      <c r="C239" s="5"/>
      <c r="D239" s="5" t="s">
        <v>8263</v>
      </c>
      <c r="E239" s="5"/>
      <c r="F239" s="5" t="s">
        <v>8260</v>
      </c>
      <c r="G239" s="5" t="s">
        <v>91</v>
      </c>
      <c r="H239" s="5" t="s">
        <v>137</v>
      </c>
      <c r="I239" s="5" t="s">
        <v>8260</v>
      </c>
      <c r="J239" s="5" t="s">
        <v>8259</v>
      </c>
    </row>
    <row r="240" spans="1:10" ht="25.5" x14ac:dyDescent="0.2">
      <c r="A240" s="5" t="s">
        <v>8262</v>
      </c>
      <c r="B240" s="5" t="s">
        <v>83</v>
      </c>
      <c r="C240" s="5"/>
      <c r="D240" s="5" t="s">
        <v>8261</v>
      </c>
      <c r="E240" s="5"/>
      <c r="F240" s="5" t="s">
        <v>8260</v>
      </c>
      <c r="G240" s="5" t="s">
        <v>118</v>
      </c>
      <c r="H240" s="5" t="s">
        <v>137</v>
      </c>
      <c r="I240" s="5" t="s">
        <v>8260</v>
      </c>
      <c r="J240" s="5" t="s">
        <v>8259</v>
      </c>
    </row>
    <row r="241" spans="1:10" ht="25.5" x14ac:dyDescent="0.2">
      <c r="A241" s="5" t="s">
        <v>8258</v>
      </c>
      <c r="B241" s="5" t="s">
        <v>83</v>
      </c>
      <c r="C241" s="5"/>
      <c r="D241" s="5" t="s">
        <v>6479</v>
      </c>
      <c r="E241" s="5" t="s">
        <v>299</v>
      </c>
      <c r="F241" s="5" t="s">
        <v>2215</v>
      </c>
      <c r="G241" s="5" t="s">
        <v>195</v>
      </c>
      <c r="H241" s="5" t="s">
        <v>3</v>
      </c>
      <c r="I241" s="5"/>
      <c r="J241" s="5" t="s">
        <v>6567</v>
      </c>
    </row>
    <row r="242" spans="1:10" ht="25.5" x14ac:dyDescent="0.2">
      <c r="A242" s="5" t="s">
        <v>8257</v>
      </c>
      <c r="B242" s="5" t="s">
        <v>83</v>
      </c>
      <c r="C242" s="5"/>
      <c r="D242" s="5" t="s">
        <v>8256</v>
      </c>
      <c r="E242" s="5"/>
      <c r="F242" s="5" t="s">
        <v>267</v>
      </c>
      <c r="G242" s="5" t="s">
        <v>4</v>
      </c>
      <c r="H242" s="5" t="s">
        <v>137</v>
      </c>
      <c r="I242" s="5" t="s">
        <v>50</v>
      </c>
      <c r="J242" s="5" t="s">
        <v>8255</v>
      </c>
    </row>
    <row r="243" spans="1:10" ht="25.5" x14ac:dyDescent="0.2">
      <c r="A243" s="5" t="s">
        <v>8254</v>
      </c>
      <c r="B243" s="5" t="s">
        <v>83</v>
      </c>
      <c r="C243" s="5"/>
      <c r="D243" s="5" t="s">
        <v>8253</v>
      </c>
      <c r="E243" s="5" t="s">
        <v>138</v>
      </c>
      <c r="F243" s="5" t="s">
        <v>4009</v>
      </c>
      <c r="G243" s="5" t="s">
        <v>181</v>
      </c>
      <c r="H243" s="5" t="s">
        <v>3</v>
      </c>
      <c r="I243" s="5"/>
      <c r="J243" s="5" t="s">
        <v>90</v>
      </c>
    </row>
    <row r="244" spans="1:10" ht="25.5" x14ac:dyDescent="0.2">
      <c r="A244" s="5" t="s">
        <v>8252</v>
      </c>
      <c r="B244" s="5" t="s">
        <v>83</v>
      </c>
      <c r="C244" s="5"/>
      <c r="D244" s="5" t="s">
        <v>8251</v>
      </c>
      <c r="E244" s="5" t="s">
        <v>150</v>
      </c>
      <c r="F244" s="5" t="s">
        <v>8250</v>
      </c>
      <c r="G244" s="5" t="s">
        <v>382</v>
      </c>
      <c r="H244" s="5" t="s">
        <v>137</v>
      </c>
      <c r="I244" s="5" t="s">
        <v>50</v>
      </c>
      <c r="J244" s="5" t="s">
        <v>8249</v>
      </c>
    </row>
    <row r="245" spans="1:10" ht="38.25" x14ac:dyDescent="0.2">
      <c r="A245" s="5" t="s">
        <v>8248</v>
      </c>
      <c r="B245" s="5" t="s">
        <v>83</v>
      </c>
      <c r="C245" s="5"/>
      <c r="D245" s="5" t="s">
        <v>8247</v>
      </c>
      <c r="E245" s="5"/>
      <c r="F245" s="5" t="s">
        <v>8233</v>
      </c>
      <c r="G245" s="5" t="s">
        <v>224</v>
      </c>
      <c r="H245" s="5" t="s">
        <v>137</v>
      </c>
      <c r="I245" s="5" t="s">
        <v>50</v>
      </c>
      <c r="J245" s="5" t="s">
        <v>8232</v>
      </c>
    </row>
    <row r="246" spans="1:10" x14ac:dyDescent="0.2">
      <c r="A246" s="5" t="s">
        <v>8246</v>
      </c>
      <c r="B246" s="5" t="s">
        <v>83</v>
      </c>
      <c r="C246" s="5"/>
      <c r="D246" s="5" t="s">
        <v>8245</v>
      </c>
      <c r="E246" s="5"/>
      <c r="F246" s="5" t="s">
        <v>123</v>
      </c>
      <c r="G246" s="5" t="s">
        <v>122</v>
      </c>
      <c r="H246" s="5" t="s">
        <v>137</v>
      </c>
      <c r="I246" s="5" t="s">
        <v>50</v>
      </c>
      <c r="J246" s="5" t="s">
        <v>8244</v>
      </c>
    </row>
    <row r="247" spans="1:10" x14ac:dyDescent="0.2">
      <c r="A247" s="5" t="s">
        <v>8243</v>
      </c>
      <c r="B247" s="5" t="s">
        <v>83</v>
      </c>
      <c r="C247" s="5"/>
      <c r="D247" s="5" t="s">
        <v>8242</v>
      </c>
      <c r="E247" s="5" t="s">
        <v>150</v>
      </c>
      <c r="F247" s="5" t="s">
        <v>4849</v>
      </c>
      <c r="G247" s="5" t="s">
        <v>148</v>
      </c>
      <c r="H247" s="5" t="s">
        <v>137</v>
      </c>
      <c r="I247" s="5" t="s">
        <v>50</v>
      </c>
      <c r="J247" s="5" t="s">
        <v>8241</v>
      </c>
    </row>
    <row r="248" spans="1:10" ht="25.5" x14ac:dyDescent="0.2">
      <c r="A248" s="5" t="s">
        <v>8240</v>
      </c>
      <c r="B248" s="5" t="s">
        <v>83</v>
      </c>
      <c r="C248" s="5"/>
      <c r="D248" s="5" t="s">
        <v>8234</v>
      </c>
      <c r="E248" s="5"/>
      <c r="F248" s="5" t="s">
        <v>8239</v>
      </c>
      <c r="G248" s="5" t="s">
        <v>224</v>
      </c>
      <c r="H248" s="5" t="s">
        <v>137</v>
      </c>
      <c r="I248" s="5" t="s">
        <v>50</v>
      </c>
      <c r="J248" s="5" t="s">
        <v>8232</v>
      </c>
    </row>
    <row r="249" spans="1:10" x14ac:dyDescent="0.2">
      <c r="A249" s="5" t="s">
        <v>8238</v>
      </c>
      <c r="B249" s="5" t="s">
        <v>83</v>
      </c>
      <c r="C249" s="5"/>
      <c r="D249" s="5" t="s">
        <v>8237</v>
      </c>
      <c r="E249" s="5" t="s">
        <v>150</v>
      </c>
      <c r="F249" s="5" t="s">
        <v>7676</v>
      </c>
      <c r="G249" s="5" t="s">
        <v>148</v>
      </c>
      <c r="H249" s="5" t="s">
        <v>137</v>
      </c>
      <c r="I249" s="5" t="s">
        <v>50</v>
      </c>
      <c r="J249" s="5" t="s">
        <v>8236</v>
      </c>
    </row>
    <row r="250" spans="1:10" ht="25.5" x14ac:dyDescent="0.2">
      <c r="A250" s="5" t="s">
        <v>8235</v>
      </c>
      <c r="B250" s="5" t="s">
        <v>83</v>
      </c>
      <c r="C250" s="5"/>
      <c r="D250" s="5" t="s">
        <v>8234</v>
      </c>
      <c r="E250" s="5"/>
      <c r="F250" s="5" t="s">
        <v>8233</v>
      </c>
      <c r="G250" s="5" t="s">
        <v>224</v>
      </c>
      <c r="H250" s="5" t="s">
        <v>137</v>
      </c>
      <c r="I250" s="5" t="s">
        <v>50</v>
      </c>
      <c r="J250" s="5" t="s">
        <v>8232</v>
      </c>
    </row>
    <row r="251" spans="1:10" x14ac:dyDescent="0.2">
      <c r="A251" s="5" t="s">
        <v>8231</v>
      </c>
      <c r="B251" s="5" t="s">
        <v>83</v>
      </c>
      <c r="C251" s="5"/>
      <c r="D251" s="5" t="s">
        <v>7387</v>
      </c>
      <c r="E251" s="5"/>
      <c r="F251" s="5" t="s">
        <v>8230</v>
      </c>
      <c r="G251" s="5" t="s">
        <v>1527</v>
      </c>
      <c r="H251" s="5" t="s">
        <v>3</v>
      </c>
      <c r="I251" s="5"/>
      <c r="J251" s="5" t="s">
        <v>8229</v>
      </c>
    </row>
    <row r="252" spans="1:10" ht="25.5" x14ac:dyDescent="0.2">
      <c r="A252" s="5" t="s">
        <v>8228</v>
      </c>
      <c r="B252" s="5" t="s">
        <v>83</v>
      </c>
      <c r="C252" s="5"/>
      <c r="D252" s="5" t="s">
        <v>8227</v>
      </c>
      <c r="E252" s="5"/>
      <c r="F252" s="5" t="s">
        <v>8226</v>
      </c>
      <c r="G252" s="5" t="s">
        <v>502</v>
      </c>
      <c r="H252" s="5" t="s">
        <v>137</v>
      </c>
      <c r="I252" s="5" t="s">
        <v>15</v>
      </c>
      <c r="J252" s="5" t="s">
        <v>8225</v>
      </c>
    </row>
    <row r="253" spans="1:10" ht="25.5" x14ac:dyDescent="0.2">
      <c r="A253" s="5" t="s">
        <v>8224</v>
      </c>
      <c r="B253" s="5" t="s">
        <v>83</v>
      </c>
      <c r="C253" s="5"/>
      <c r="D253" s="5" t="s">
        <v>8223</v>
      </c>
      <c r="E253" s="5"/>
      <c r="F253" s="5"/>
      <c r="G253" s="5" t="s">
        <v>229</v>
      </c>
      <c r="H253" s="5" t="s">
        <v>3</v>
      </c>
      <c r="I253" s="5"/>
      <c r="J253" s="5"/>
    </row>
    <row r="254" spans="1:10" x14ac:dyDescent="0.2">
      <c r="A254" s="5" t="s">
        <v>8222</v>
      </c>
      <c r="B254" s="5" t="s">
        <v>83</v>
      </c>
      <c r="C254" s="5"/>
      <c r="D254" s="5" t="s">
        <v>7332</v>
      </c>
      <c r="E254" s="5" t="s">
        <v>150</v>
      </c>
      <c r="F254" s="5" t="s">
        <v>4849</v>
      </c>
      <c r="G254" s="5" t="s">
        <v>148</v>
      </c>
      <c r="H254" s="5" t="s">
        <v>137</v>
      </c>
      <c r="I254" s="5" t="s">
        <v>7323</v>
      </c>
      <c r="J254" s="5" t="s">
        <v>8221</v>
      </c>
    </row>
    <row r="255" spans="1:10" ht="38.25" x14ac:dyDescent="0.2">
      <c r="A255" s="5" t="s">
        <v>8220</v>
      </c>
      <c r="B255" s="5" t="s">
        <v>83</v>
      </c>
      <c r="C255" s="5"/>
      <c r="D255" s="5" t="s">
        <v>8219</v>
      </c>
      <c r="E255" s="5" t="s">
        <v>150</v>
      </c>
      <c r="F255" s="5" t="s">
        <v>8218</v>
      </c>
      <c r="G255" s="5" t="s">
        <v>382</v>
      </c>
      <c r="H255" s="5" t="s">
        <v>3</v>
      </c>
      <c r="I255" s="5"/>
      <c r="J255" s="5" t="s">
        <v>8217</v>
      </c>
    </row>
    <row r="256" spans="1:10" x14ac:dyDescent="0.2">
      <c r="A256" s="5" t="s">
        <v>8216</v>
      </c>
      <c r="B256" s="5" t="s">
        <v>83</v>
      </c>
      <c r="C256" s="5"/>
      <c r="D256" s="5" t="s">
        <v>8215</v>
      </c>
      <c r="E256" s="5" t="s">
        <v>150</v>
      </c>
      <c r="F256" s="5" t="s">
        <v>8214</v>
      </c>
      <c r="G256" s="5" t="s">
        <v>148</v>
      </c>
      <c r="H256" s="5" t="s">
        <v>137</v>
      </c>
      <c r="I256" s="5" t="s">
        <v>7323</v>
      </c>
      <c r="J256" s="5" t="s">
        <v>8213</v>
      </c>
    </row>
    <row r="257" spans="1:10" x14ac:dyDescent="0.2">
      <c r="A257" s="5" t="s">
        <v>8212</v>
      </c>
      <c r="B257" s="5" t="s">
        <v>83</v>
      </c>
      <c r="C257" s="5"/>
      <c r="D257" s="5" t="s">
        <v>8211</v>
      </c>
      <c r="E257" s="5"/>
      <c r="F257" s="5"/>
      <c r="G257" s="5" t="s">
        <v>91</v>
      </c>
      <c r="H257" s="5" t="s">
        <v>137</v>
      </c>
      <c r="I257" s="5" t="s">
        <v>50</v>
      </c>
      <c r="J257" s="5"/>
    </row>
    <row r="258" spans="1:10" x14ac:dyDescent="0.2">
      <c r="A258" s="5" t="s">
        <v>8210</v>
      </c>
      <c r="B258" s="5" t="s">
        <v>83</v>
      </c>
      <c r="C258" s="5"/>
      <c r="D258" s="5" t="s">
        <v>8209</v>
      </c>
      <c r="E258" s="5"/>
      <c r="F258" s="5" t="s">
        <v>8208</v>
      </c>
      <c r="G258" s="5" t="s">
        <v>229</v>
      </c>
      <c r="H258" s="5" t="s">
        <v>137</v>
      </c>
      <c r="I258" s="5" t="s">
        <v>50</v>
      </c>
      <c r="J258" s="5" t="s">
        <v>8207</v>
      </c>
    </row>
    <row r="259" spans="1:10" x14ac:dyDescent="0.2">
      <c r="A259" s="5" t="s">
        <v>8206</v>
      </c>
      <c r="B259" s="5" t="s">
        <v>83</v>
      </c>
      <c r="C259" s="5"/>
      <c r="D259" s="5" t="s">
        <v>7335</v>
      </c>
      <c r="E259" s="5"/>
      <c r="F259" s="5" t="s">
        <v>8205</v>
      </c>
      <c r="G259" s="5" t="s">
        <v>91</v>
      </c>
      <c r="H259" s="5" t="s">
        <v>137</v>
      </c>
      <c r="I259" s="5" t="s">
        <v>7323</v>
      </c>
      <c r="J259" s="5" t="s">
        <v>8204</v>
      </c>
    </row>
    <row r="260" spans="1:10" ht="25.5" x14ac:dyDescent="0.2">
      <c r="A260" s="5" t="s">
        <v>8203</v>
      </c>
      <c r="B260" s="5" t="s">
        <v>83</v>
      </c>
      <c r="C260" s="5"/>
      <c r="D260" s="5" t="s">
        <v>8202</v>
      </c>
      <c r="E260" s="5"/>
      <c r="F260" s="5" t="s">
        <v>8186</v>
      </c>
      <c r="G260" s="5" t="s">
        <v>105</v>
      </c>
      <c r="H260" s="5" t="s">
        <v>137</v>
      </c>
      <c r="I260" s="5" t="s">
        <v>50</v>
      </c>
      <c r="J260" s="5" t="s">
        <v>8201</v>
      </c>
    </row>
    <row r="261" spans="1:10" ht="25.5" x14ac:dyDescent="0.2">
      <c r="A261" s="5" t="s">
        <v>8200</v>
      </c>
      <c r="B261" s="5" t="s">
        <v>83</v>
      </c>
      <c r="C261" s="5"/>
      <c r="D261" s="5" t="s">
        <v>8199</v>
      </c>
      <c r="E261" s="5"/>
      <c r="F261" s="5" t="s">
        <v>8186</v>
      </c>
      <c r="G261" s="5" t="s">
        <v>122</v>
      </c>
      <c r="H261" s="5" t="s">
        <v>137</v>
      </c>
      <c r="I261" s="5" t="s">
        <v>50</v>
      </c>
      <c r="J261" s="5" t="s">
        <v>8198</v>
      </c>
    </row>
    <row r="262" spans="1:10" ht="25.5" x14ac:dyDescent="0.2">
      <c r="A262" s="5" t="s">
        <v>8197</v>
      </c>
      <c r="B262" s="5" t="s">
        <v>83</v>
      </c>
      <c r="C262" s="5"/>
      <c r="D262" s="5" t="s">
        <v>8196</v>
      </c>
      <c r="E262" s="5" t="s">
        <v>213</v>
      </c>
      <c r="F262" s="5" t="s">
        <v>8186</v>
      </c>
      <c r="G262" s="5" t="s">
        <v>91</v>
      </c>
      <c r="H262" s="5" t="s">
        <v>137</v>
      </c>
      <c r="I262" s="5" t="s">
        <v>50</v>
      </c>
      <c r="J262" s="5" t="s">
        <v>8195</v>
      </c>
    </row>
    <row r="263" spans="1:10" ht="25.5" x14ac:dyDescent="0.2">
      <c r="A263" s="5" t="s">
        <v>8194</v>
      </c>
      <c r="B263" s="5" t="s">
        <v>83</v>
      </c>
      <c r="C263" s="5"/>
      <c r="D263" s="5" t="s">
        <v>8193</v>
      </c>
      <c r="E263" s="5" t="s">
        <v>213</v>
      </c>
      <c r="F263" s="5" t="s">
        <v>8186</v>
      </c>
      <c r="G263" s="5" t="s">
        <v>91</v>
      </c>
      <c r="H263" s="5" t="s">
        <v>137</v>
      </c>
      <c r="I263" s="5" t="s">
        <v>50</v>
      </c>
      <c r="J263" s="5" t="s">
        <v>8192</v>
      </c>
    </row>
    <row r="264" spans="1:10" ht="25.5" x14ac:dyDescent="0.2">
      <c r="A264" s="5" t="s">
        <v>8191</v>
      </c>
      <c r="B264" s="5" t="s">
        <v>83</v>
      </c>
      <c r="C264" s="5"/>
      <c r="D264" s="5" t="s">
        <v>8190</v>
      </c>
      <c r="E264" s="5"/>
      <c r="F264" s="5" t="s">
        <v>8186</v>
      </c>
      <c r="G264" s="5" t="s">
        <v>170</v>
      </c>
      <c r="H264" s="5" t="s">
        <v>137</v>
      </c>
      <c r="I264" s="5" t="s">
        <v>50</v>
      </c>
      <c r="J264" s="5" t="s">
        <v>8189</v>
      </c>
    </row>
    <row r="265" spans="1:10" ht="25.5" x14ac:dyDescent="0.2">
      <c r="A265" s="5" t="s">
        <v>8188</v>
      </c>
      <c r="B265" s="5" t="s">
        <v>83</v>
      </c>
      <c r="C265" s="5"/>
      <c r="D265" s="5" t="s">
        <v>8187</v>
      </c>
      <c r="E265" s="5"/>
      <c r="F265" s="5" t="s">
        <v>8186</v>
      </c>
      <c r="G265" s="5" t="s">
        <v>118</v>
      </c>
      <c r="H265" s="5" t="s">
        <v>137</v>
      </c>
      <c r="I265" s="5" t="s">
        <v>50</v>
      </c>
      <c r="J265" s="5" t="s">
        <v>8185</v>
      </c>
    </row>
    <row r="266" spans="1:10" ht="25.5" x14ac:dyDescent="0.2">
      <c r="A266" s="5" t="s">
        <v>7807</v>
      </c>
      <c r="B266" s="5" t="s">
        <v>83</v>
      </c>
      <c r="C266" s="5"/>
      <c r="D266" s="5" t="s">
        <v>8184</v>
      </c>
      <c r="E266" s="5"/>
      <c r="F266" s="5" t="s">
        <v>8183</v>
      </c>
      <c r="G266" s="5" t="s">
        <v>2308</v>
      </c>
      <c r="H266" s="5" t="s">
        <v>137</v>
      </c>
      <c r="I266" s="5" t="s">
        <v>154</v>
      </c>
      <c r="J266" s="5" t="s">
        <v>8182</v>
      </c>
    </row>
    <row r="267" spans="1:10" ht="25.5" x14ac:dyDescent="0.2">
      <c r="A267" s="5" t="s">
        <v>8181</v>
      </c>
      <c r="B267" s="5" t="s">
        <v>83</v>
      </c>
      <c r="C267" s="5"/>
      <c r="D267" s="5" t="s">
        <v>7510</v>
      </c>
      <c r="E267" s="5" t="s">
        <v>1783</v>
      </c>
      <c r="F267" s="5" t="s">
        <v>8180</v>
      </c>
      <c r="G267" s="5" t="s">
        <v>118</v>
      </c>
      <c r="H267" s="5" t="s">
        <v>3</v>
      </c>
      <c r="I267" s="5"/>
      <c r="J267" s="5"/>
    </row>
    <row r="268" spans="1:10" x14ac:dyDescent="0.2">
      <c r="A268" s="5" t="s">
        <v>8179</v>
      </c>
      <c r="B268" s="5" t="s">
        <v>83</v>
      </c>
      <c r="C268" s="5"/>
      <c r="D268" s="5" t="s">
        <v>8178</v>
      </c>
      <c r="E268" s="5" t="s">
        <v>368</v>
      </c>
      <c r="F268" s="5" t="s">
        <v>8177</v>
      </c>
      <c r="G268" s="5" t="s">
        <v>91</v>
      </c>
      <c r="H268" s="5" t="s">
        <v>3</v>
      </c>
      <c r="I268" s="5"/>
      <c r="J268" s="5" t="s">
        <v>8176</v>
      </c>
    </row>
    <row r="269" spans="1:10" ht="25.5" x14ac:dyDescent="0.2">
      <c r="A269" s="5" t="s">
        <v>8175</v>
      </c>
      <c r="B269" s="5" t="s">
        <v>83</v>
      </c>
      <c r="C269" s="5"/>
      <c r="D269" s="5" t="s">
        <v>6479</v>
      </c>
      <c r="E269" s="5" t="s">
        <v>299</v>
      </c>
      <c r="F269" s="5" t="s">
        <v>8174</v>
      </c>
      <c r="G269" s="5" t="s">
        <v>91</v>
      </c>
      <c r="H269" s="5" t="s">
        <v>3</v>
      </c>
      <c r="I269" s="5"/>
      <c r="J269" s="5" t="s">
        <v>8173</v>
      </c>
    </row>
    <row r="270" spans="1:10" ht="38.25" x14ac:dyDescent="0.2">
      <c r="A270" s="5" t="s">
        <v>8172</v>
      </c>
      <c r="B270" s="5" t="s">
        <v>83</v>
      </c>
      <c r="C270" s="5"/>
      <c r="D270" s="5" t="s">
        <v>8171</v>
      </c>
      <c r="E270" s="5"/>
      <c r="F270" s="5" t="s">
        <v>8170</v>
      </c>
      <c r="G270" s="5" t="s">
        <v>80</v>
      </c>
      <c r="H270" s="5" t="s">
        <v>3</v>
      </c>
      <c r="I270" s="5"/>
      <c r="J270" s="5" t="s">
        <v>8169</v>
      </c>
    </row>
    <row r="271" spans="1:10" x14ac:dyDescent="0.2">
      <c r="A271" s="5" t="s">
        <v>8168</v>
      </c>
      <c r="B271" s="5" t="s">
        <v>83</v>
      </c>
      <c r="C271" s="5"/>
      <c r="D271" s="5">
        <v>1</v>
      </c>
      <c r="E271" s="5"/>
      <c r="F271" s="5" t="s">
        <v>8167</v>
      </c>
      <c r="G271" s="5" t="s">
        <v>207</v>
      </c>
      <c r="H271" s="5" t="s">
        <v>3</v>
      </c>
      <c r="I271" s="5"/>
      <c r="J271" s="5" t="s">
        <v>8166</v>
      </c>
    </row>
    <row r="272" spans="1:10" ht="25.5" x14ac:dyDescent="0.2">
      <c r="A272" s="5" t="s">
        <v>8165</v>
      </c>
      <c r="B272" s="5" t="s">
        <v>83</v>
      </c>
      <c r="C272" s="5"/>
      <c r="D272" s="5" t="s">
        <v>8164</v>
      </c>
      <c r="E272" s="5" t="s">
        <v>299</v>
      </c>
      <c r="F272" s="5" t="s">
        <v>8163</v>
      </c>
      <c r="G272" s="5" t="s">
        <v>148</v>
      </c>
      <c r="H272" s="5" t="s">
        <v>3</v>
      </c>
      <c r="I272" s="5"/>
      <c r="J272" s="5" t="s">
        <v>8162</v>
      </c>
    </row>
    <row r="273" spans="1:10" x14ac:dyDescent="0.2">
      <c r="A273" s="5" t="s">
        <v>8161</v>
      </c>
      <c r="B273" s="5" t="s">
        <v>83</v>
      </c>
      <c r="C273" s="5"/>
      <c r="D273" s="5" t="s">
        <v>8160</v>
      </c>
      <c r="E273" s="5"/>
      <c r="F273" s="5" t="s">
        <v>1770</v>
      </c>
      <c r="G273" s="5" t="s">
        <v>229</v>
      </c>
      <c r="H273" s="5" t="s">
        <v>137</v>
      </c>
      <c r="I273" s="5" t="s">
        <v>7323</v>
      </c>
      <c r="J273" s="5" t="s">
        <v>1773</v>
      </c>
    </row>
    <row r="274" spans="1:10" x14ac:dyDescent="0.2">
      <c r="A274" s="5" t="s">
        <v>8159</v>
      </c>
      <c r="B274" s="5" t="s">
        <v>83</v>
      </c>
      <c r="C274" s="5"/>
      <c r="D274" s="5" t="s">
        <v>7329</v>
      </c>
      <c r="E274" s="5"/>
      <c r="F274" s="5" t="s">
        <v>8156</v>
      </c>
      <c r="G274" s="5" t="s">
        <v>91</v>
      </c>
      <c r="H274" s="5" t="s">
        <v>137</v>
      </c>
      <c r="I274" s="5" t="s">
        <v>7323</v>
      </c>
      <c r="J274" s="5" t="s">
        <v>8158</v>
      </c>
    </row>
    <row r="275" spans="1:10" x14ac:dyDescent="0.2">
      <c r="A275" s="5" t="s">
        <v>8157</v>
      </c>
      <c r="B275" s="5" t="s">
        <v>83</v>
      </c>
      <c r="C275" s="5"/>
      <c r="D275" s="5" t="s">
        <v>7325</v>
      </c>
      <c r="E275" s="5"/>
      <c r="F275" s="5" t="s">
        <v>8156</v>
      </c>
      <c r="G275" s="5" t="s">
        <v>91</v>
      </c>
      <c r="H275" s="5" t="s">
        <v>137</v>
      </c>
      <c r="I275" s="5" t="s">
        <v>7323</v>
      </c>
      <c r="J275" s="5" t="s">
        <v>8155</v>
      </c>
    </row>
    <row r="276" spans="1:10" ht="25.5" x14ac:dyDescent="0.2">
      <c r="A276" s="5" t="s">
        <v>8154</v>
      </c>
      <c r="B276" s="5" t="s">
        <v>83</v>
      </c>
      <c r="C276" s="5"/>
      <c r="D276" s="5" t="s">
        <v>8153</v>
      </c>
      <c r="E276" s="5"/>
      <c r="F276" s="5" t="s">
        <v>8152</v>
      </c>
      <c r="G276" s="5" t="s">
        <v>2308</v>
      </c>
      <c r="H276" s="5" t="s">
        <v>137</v>
      </c>
      <c r="I276" s="5" t="s">
        <v>8151</v>
      </c>
      <c r="J276" s="5" t="s">
        <v>8150</v>
      </c>
    </row>
    <row r="277" spans="1:10" ht="25.5" x14ac:dyDescent="0.2">
      <c r="A277" s="5" t="s">
        <v>8149</v>
      </c>
      <c r="B277" s="5" t="s">
        <v>83</v>
      </c>
      <c r="C277" s="5"/>
      <c r="D277" s="5" t="s">
        <v>8148</v>
      </c>
      <c r="E277" s="5" t="s">
        <v>665</v>
      </c>
      <c r="F277" s="5" t="s">
        <v>8147</v>
      </c>
      <c r="G277" s="5" t="s">
        <v>382</v>
      </c>
      <c r="H277" s="5" t="s">
        <v>137</v>
      </c>
      <c r="I277" s="5" t="s">
        <v>50</v>
      </c>
      <c r="J277" s="5" t="s">
        <v>8146</v>
      </c>
    </row>
    <row r="278" spans="1:10" ht="25.5" x14ac:dyDescent="0.2">
      <c r="A278" s="5" t="s">
        <v>8145</v>
      </c>
      <c r="B278" s="5" t="s">
        <v>83</v>
      </c>
      <c r="C278" s="5"/>
      <c r="D278" s="5" t="s">
        <v>8144</v>
      </c>
      <c r="E278" s="5"/>
      <c r="F278" s="5" t="s">
        <v>237</v>
      </c>
      <c r="G278" s="5" t="s">
        <v>105</v>
      </c>
      <c r="H278" s="5" t="s">
        <v>137</v>
      </c>
      <c r="I278" s="5" t="s">
        <v>8140</v>
      </c>
      <c r="J278" s="5" t="s">
        <v>8143</v>
      </c>
    </row>
    <row r="279" spans="1:10" ht="25.5" x14ac:dyDescent="0.2">
      <c r="A279" s="5" t="s">
        <v>8142</v>
      </c>
      <c r="B279" s="5" t="s">
        <v>83</v>
      </c>
      <c r="C279" s="5"/>
      <c r="D279" s="5" t="s">
        <v>8141</v>
      </c>
      <c r="E279" s="5"/>
      <c r="F279" s="5" t="s">
        <v>110</v>
      </c>
      <c r="G279" s="5" t="s">
        <v>105</v>
      </c>
      <c r="H279" s="5" t="s">
        <v>137</v>
      </c>
      <c r="I279" s="5" t="s">
        <v>8140</v>
      </c>
      <c r="J279" s="5" t="s">
        <v>8139</v>
      </c>
    </row>
    <row r="280" spans="1:10" ht="25.5" x14ac:dyDescent="0.2">
      <c r="A280" s="5" t="s">
        <v>8138</v>
      </c>
      <c r="B280" s="5" t="s">
        <v>83</v>
      </c>
      <c r="C280" s="5"/>
      <c r="D280" s="5" t="s">
        <v>7540</v>
      </c>
      <c r="E280" s="5"/>
      <c r="F280" s="5" t="s">
        <v>237</v>
      </c>
      <c r="G280" s="5" t="s">
        <v>80</v>
      </c>
      <c r="H280" s="5" t="s">
        <v>3</v>
      </c>
      <c r="I280" s="5"/>
      <c r="J280" s="5"/>
    </row>
    <row r="281" spans="1:10" x14ac:dyDescent="0.2">
      <c r="A281" s="5" t="s">
        <v>8137</v>
      </c>
      <c r="B281" s="5" t="s">
        <v>83</v>
      </c>
      <c r="C281" s="5"/>
      <c r="D281" s="5" t="s">
        <v>8136</v>
      </c>
      <c r="E281" s="5"/>
      <c r="F281" s="5" t="s">
        <v>8135</v>
      </c>
      <c r="G281" s="5" t="s">
        <v>105</v>
      </c>
      <c r="H281" s="5" t="s">
        <v>3</v>
      </c>
      <c r="I281" s="5"/>
      <c r="J281" s="5" t="s">
        <v>8134</v>
      </c>
    </row>
    <row r="282" spans="1:10" ht="25.5" x14ac:dyDescent="0.2">
      <c r="A282" s="5" t="s">
        <v>8133</v>
      </c>
      <c r="B282" s="5" t="s">
        <v>83</v>
      </c>
      <c r="C282" s="5"/>
      <c r="D282" s="5" t="s">
        <v>8132</v>
      </c>
      <c r="E282" s="5"/>
      <c r="F282" s="5" t="s">
        <v>8131</v>
      </c>
      <c r="G282" s="5" t="s">
        <v>224</v>
      </c>
      <c r="H282" s="5" t="s">
        <v>3</v>
      </c>
      <c r="I282" s="5"/>
      <c r="J282" s="5" t="s">
        <v>8130</v>
      </c>
    </row>
    <row r="283" spans="1:10" ht="25.5" x14ac:dyDescent="0.2">
      <c r="A283" s="5" t="s">
        <v>8129</v>
      </c>
      <c r="B283" s="5" t="s">
        <v>83</v>
      </c>
      <c r="C283" s="5"/>
      <c r="D283" s="5" t="s">
        <v>8128</v>
      </c>
      <c r="E283" s="5"/>
      <c r="F283" s="5" t="s">
        <v>237</v>
      </c>
      <c r="G283" s="5" t="s">
        <v>80</v>
      </c>
      <c r="H283" s="5" t="s">
        <v>3</v>
      </c>
      <c r="I283" s="5"/>
      <c r="J283" s="5"/>
    </row>
    <row r="284" spans="1:10" x14ac:dyDescent="0.2">
      <c r="A284" s="5" t="s">
        <v>8126</v>
      </c>
      <c r="B284" s="5" t="s">
        <v>83</v>
      </c>
      <c r="C284" s="5"/>
      <c r="D284" s="5" t="s">
        <v>8127</v>
      </c>
      <c r="E284" s="5" t="s">
        <v>138</v>
      </c>
      <c r="F284" s="5" t="s">
        <v>8126</v>
      </c>
      <c r="G284" s="5" t="s">
        <v>207</v>
      </c>
      <c r="H284" s="5" t="s">
        <v>3</v>
      </c>
      <c r="I284" s="5"/>
      <c r="J284" s="5" t="s">
        <v>8125</v>
      </c>
    </row>
    <row r="285" spans="1:10" x14ac:dyDescent="0.2">
      <c r="A285" s="5" t="s">
        <v>8124</v>
      </c>
      <c r="B285" s="5" t="s">
        <v>83</v>
      </c>
      <c r="C285" s="5"/>
      <c r="D285" s="5" t="s">
        <v>8123</v>
      </c>
      <c r="E285" s="5" t="s">
        <v>150</v>
      </c>
      <c r="F285" s="5" t="s">
        <v>212</v>
      </c>
      <c r="G285" s="5" t="s">
        <v>91</v>
      </c>
      <c r="H285" s="5" t="s">
        <v>3</v>
      </c>
      <c r="I285" s="5"/>
      <c r="J285" s="5"/>
    </row>
    <row r="286" spans="1:10" x14ac:dyDescent="0.2">
      <c r="A286" s="5" t="s">
        <v>8122</v>
      </c>
      <c r="B286" s="5" t="s">
        <v>83</v>
      </c>
      <c r="C286" s="5"/>
      <c r="D286" s="5" t="s">
        <v>8118</v>
      </c>
      <c r="E286" s="5" t="s">
        <v>150</v>
      </c>
      <c r="F286" s="5" t="s">
        <v>212</v>
      </c>
      <c r="G286" s="5" t="s">
        <v>148</v>
      </c>
      <c r="H286" s="5" t="s">
        <v>137</v>
      </c>
      <c r="I286" s="5" t="s">
        <v>2231</v>
      </c>
      <c r="J286" s="5" t="s">
        <v>8117</v>
      </c>
    </row>
    <row r="287" spans="1:10" x14ac:dyDescent="0.2">
      <c r="A287" s="5" t="s">
        <v>8121</v>
      </c>
      <c r="B287" s="5" t="s">
        <v>83</v>
      </c>
      <c r="C287" s="5"/>
      <c r="D287" s="5" t="s">
        <v>8120</v>
      </c>
      <c r="E287" s="5"/>
      <c r="F287" s="5" t="s">
        <v>212</v>
      </c>
      <c r="G287" s="5" t="s">
        <v>148</v>
      </c>
      <c r="H287" s="5" t="s">
        <v>3</v>
      </c>
      <c r="I287" s="5"/>
      <c r="J287" s="5" t="s">
        <v>8117</v>
      </c>
    </row>
    <row r="288" spans="1:10" x14ac:dyDescent="0.2">
      <c r="A288" s="5" t="s">
        <v>8119</v>
      </c>
      <c r="B288" s="5" t="s">
        <v>83</v>
      </c>
      <c r="C288" s="5"/>
      <c r="D288" s="5" t="s">
        <v>8118</v>
      </c>
      <c r="E288" s="5" t="s">
        <v>213</v>
      </c>
      <c r="F288" s="5" t="s">
        <v>212</v>
      </c>
      <c r="G288" s="5" t="s">
        <v>148</v>
      </c>
      <c r="H288" s="5" t="s">
        <v>137</v>
      </c>
      <c r="I288" s="5" t="s">
        <v>2231</v>
      </c>
      <c r="J288" s="5" t="s">
        <v>8117</v>
      </c>
    </row>
    <row r="289" spans="1:10" ht="25.5" x14ac:dyDescent="0.2">
      <c r="A289" s="5" t="s">
        <v>8116</v>
      </c>
      <c r="B289" s="5" t="s">
        <v>83</v>
      </c>
      <c r="C289" s="5"/>
      <c r="D289" s="5" t="s">
        <v>8115</v>
      </c>
      <c r="E289" s="5" t="s">
        <v>150</v>
      </c>
      <c r="F289" s="5" t="s">
        <v>4575</v>
      </c>
      <c r="G289" s="5" t="s">
        <v>148</v>
      </c>
      <c r="H289" s="5" t="s">
        <v>3</v>
      </c>
      <c r="I289" s="5"/>
      <c r="J289" s="5" t="s">
        <v>8114</v>
      </c>
    </row>
    <row r="290" spans="1:10" ht="25.5" x14ac:dyDescent="0.2">
      <c r="A290" s="5" t="s">
        <v>8113</v>
      </c>
      <c r="B290" s="5" t="s">
        <v>83</v>
      </c>
      <c r="C290" s="5"/>
      <c r="D290" s="5" t="s">
        <v>8112</v>
      </c>
      <c r="E290" s="5" t="s">
        <v>138</v>
      </c>
      <c r="F290" s="5" t="s">
        <v>8078</v>
      </c>
      <c r="G290" s="5" t="s">
        <v>148</v>
      </c>
      <c r="H290" s="5" t="s">
        <v>3</v>
      </c>
      <c r="I290" s="5"/>
      <c r="J290" s="5" t="s">
        <v>100</v>
      </c>
    </row>
    <row r="291" spans="1:10" x14ac:dyDescent="0.2">
      <c r="A291" s="5" t="s">
        <v>8111</v>
      </c>
      <c r="B291" s="5" t="s">
        <v>83</v>
      </c>
      <c r="C291" s="5"/>
      <c r="D291" s="5" t="s">
        <v>8110</v>
      </c>
      <c r="E291" s="5"/>
      <c r="F291" s="5"/>
      <c r="G291" s="5" t="s">
        <v>91</v>
      </c>
      <c r="H291" s="5"/>
      <c r="I291" s="5"/>
      <c r="J291" s="5"/>
    </row>
    <row r="292" spans="1:10" ht="25.5" x14ac:dyDescent="0.2">
      <c r="A292" s="5" t="s">
        <v>8109</v>
      </c>
      <c r="B292" s="5" t="s">
        <v>83</v>
      </c>
      <c r="C292" s="5"/>
      <c r="D292" s="5" t="s">
        <v>8108</v>
      </c>
      <c r="E292" s="5" t="s">
        <v>138</v>
      </c>
      <c r="F292" s="5" t="s">
        <v>331</v>
      </c>
      <c r="G292" s="5" t="s">
        <v>6518</v>
      </c>
      <c r="H292" s="5" t="s">
        <v>3</v>
      </c>
      <c r="I292" s="5"/>
      <c r="J292" s="5" t="s">
        <v>90</v>
      </c>
    </row>
    <row r="293" spans="1:10" x14ac:dyDescent="0.2">
      <c r="A293" s="5" t="s">
        <v>8107</v>
      </c>
      <c r="B293" s="5" t="s">
        <v>83</v>
      </c>
      <c r="C293" s="5"/>
      <c r="D293" s="5" t="s">
        <v>8106</v>
      </c>
      <c r="E293" s="5"/>
      <c r="F293" s="5" t="s">
        <v>8105</v>
      </c>
      <c r="G293" s="5" t="s">
        <v>283</v>
      </c>
      <c r="H293" s="5" t="s">
        <v>3</v>
      </c>
      <c r="I293" s="5"/>
      <c r="J293" s="5" t="s">
        <v>8104</v>
      </c>
    </row>
    <row r="294" spans="1:10" ht="25.5" x14ac:dyDescent="0.2">
      <c r="A294" s="5" t="s">
        <v>8103</v>
      </c>
      <c r="B294" s="5" t="s">
        <v>83</v>
      </c>
      <c r="C294" s="5"/>
      <c r="D294" s="5" t="s">
        <v>8102</v>
      </c>
      <c r="E294" s="5"/>
      <c r="F294" s="5" t="s">
        <v>8101</v>
      </c>
      <c r="G294" s="5" t="s">
        <v>7296</v>
      </c>
      <c r="H294" s="5" t="s">
        <v>3</v>
      </c>
      <c r="I294" s="5"/>
      <c r="J294" s="5"/>
    </row>
    <row r="295" spans="1:10" ht="25.5" x14ac:dyDescent="0.2">
      <c r="A295" s="5" t="s">
        <v>8100</v>
      </c>
      <c r="B295" s="5" t="s">
        <v>83</v>
      </c>
      <c r="C295" s="5"/>
      <c r="D295" s="5" t="s">
        <v>5517</v>
      </c>
      <c r="E295" s="5"/>
      <c r="F295" s="5" t="s">
        <v>8099</v>
      </c>
      <c r="G295" s="5" t="s">
        <v>224</v>
      </c>
      <c r="H295" s="5" t="s">
        <v>3</v>
      </c>
      <c r="I295" s="5"/>
      <c r="J295" s="5" t="s">
        <v>8099</v>
      </c>
    </row>
    <row r="296" spans="1:10" x14ac:dyDescent="0.2">
      <c r="A296" s="5" t="s">
        <v>8098</v>
      </c>
      <c r="B296" s="5" t="s">
        <v>83</v>
      </c>
      <c r="C296" s="5"/>
      <c r="D296" s="5" t="s">
        <v>8097</v>
      </c>
      <c r="E296" s="5" t="s">
        <v>138</v>
      </c>
      <c r="F296" s="5" t="s">
        <v>331</v>
      </c>
      <c r="G296" s="5" t="s">
        <v>91</v>
      </c>
      <c r="H296" s="5" t="s">
        <v>3</v>
      </c>
      <c r="I296" s="5"/>
      <c r="J296" s="5"/>
    </row>
    <row r="297" spans="1:10" ht="25.5" x14ac:dyDescent="0.2">
      <c r="A297" s="5" t="s">
        <v>8096</v>
      </c>
      <c r="B297" s="5" t="s">
        <v>83</v>
      </c>
      <c r="C297" s="5"/>
      <c r="D297" s="5" t="s">
        <v>8095</v>
      </c>
      <c r="E297" s="5" t="s">
        <v>138</v>
      </c>
      <c r="F297" s="5" t="s">
        <v>338</v>
      </c>
      <c r="G297" s="5" t="s">
        <v>91</v>
      </c>
      <c r="H297" s="5" t="s">
        <v>3</v>
      </c>
      <c r="I297" s="5"/>
      <c r="J297" s="5" t="s">
        <v>8094</v>
      </c>
    </row>
    <row r="298" spans="1:10" ht="25.5" x14ac:dyDescent="0.2">
      <c r="A298" s="5" t="s">
        <v>8093</v>
      </c>
      <c r="B298" s="5" t="s">
        <v>83</v>
      </c>
      <c r="C298" s="5"/>
      <c r="D298" s="5" t="s">
        <v>8092</v>
      </c>
      <c r="E298" s="5" t="s">
        <v>138</v>
      </c>
      <c r="F298" s="5" t="s">
        <v>7658</v>
      </c>
      <c r="G298" s="5" t="s">
        <v>91</v>
      </c>
      <c r="H298" s="5" t="s">
        <v>3</v>
      </c>
      <c r="I298" s="5"/>
      <c r="J298" s="5"/>
    </row>
    <row r="299" spans="1:10" x14ac:dyDescent="0.2">
      <c r="A299" s="5" t="s">
        <v>8091</v>
      </c>
      <c r="B299" s="5" t="s">
        <v>83</v>
      </c>
      <c r="C299" s="5"/>
      <c r="D299" s="5" t="s">
        <v>8090</v>
      </c>
      <c r="E299" s="5"/>
      <c r="F299" s="5" t="s">
        <v>8089</v>
      </c>
      <c r="G299" s="5" t="s">
        <v>4028</v>
      </c>
      <c r="H299" s="5" t="s">
        <v>3</v>
      </c>
      <c r="I299" s="5"/>
      <c r="J299" s="5"/>
    </row>
    <row r="300" spans="1:10" x14ac:dyDescent="0.2">
      <c r="A300" s="5" t="s">
        <v>8088</v>
      </c>
      <c r="B300" s="5" t="s">
        <v>83</v>
      </c>
      <c r="C300" s="5"/>
      <c r="D300" s="5" t="s">
        <v>8087</v>
      </c>
      <c r="E300" s="5"/>
      <c r="F300" s="5" t="s">
        <v>8086</v>
      </c>
      <c r="G300" s="5" t="s">
        <v>105</v>
      </c>
      <c r="H300" s="5" t="s">
        <v>3</v>
      </c>
      <c r="I300" s="5"/>
      <c r="J300" s="5"/>
    </row>
    <row r="301" spans="1:10" ht="25.5" x14ac:dyDescent="0.2">
      <c r="A301" s="5" t="s">
        <v>8085</v>
      </c>
      <c r="B301" s="5" t="s">
        <v>83</v>
      </c>
      <c r="C301" s="5"/>
      <c r="D301" s="5" t="s">
        <v>8084</v>
      </c>
      <c r="E301" s="5"/>
      <c r="F301" s="5" t="s">
        <v>8083</v>
      </c>
      <c r="G301" s="5" t="s">
        <v>283</v>
      </c>
      <c r="H301" s="5" t="s">
        <v>3</v>
      </c>
      <c r="I301" s="5"/>
      <c r="J301" s="5"/>
    </row>
    <row r="302" spans="1:10" x14ac:dyDescent="0.2">
      <c r="A302" s="5" t="s">
        <v>8081</v>
      </c>
      <c r="B302" s="5" t="s">
        <v>83</v>
      </c>
      <c r="C302" s="5"/>
      <c r="D302" s="5" t="s">
        <v>8082</v>
      </c>
      <c r="E302" s="5" t="s">
        <v>138</v>
      </c>
      <c r="F302" s="5" t="s">
        <v>8081</v>
      </c>
      <c r="G302" s="5" t="s">
        <v>207</v>
      </c>
      <c r="H302" s="5" t="s">
        <v>3</v>
      </c>
      <c r="I302" s="5"/>
      <c r="J302" s="5" t="s">
        <v>8080</v>
      </c>
    </row>
    <row r="303" spans="1:10" ht="25.5" x14ac:dyDescent="0.2">
      <c r="A303" s="5" t="s">
        <v>8079</v>
      </c>
      <c r="B303" s="5" t="s">
        <v>83</v>
      </c>
      <c r="C303" s="5"/>
      <c r="D303" s="5" t="s">
        <v>102</v>
      </c>
      <c r="E303" s="5" t="s">
        <v>8076</v>
      </c>
      <c r="F303" s="5" t="s">
        <v>8078</v>
      </c>
      <c r="G303" s="5" t="s">
        <v>91</v>
      </c>
      <c r="H303" s="5" t="s">
        <v>3</v>
      </c>
      <c r="I303" s="5"/>
      <c r="J303" s="5" t="s">
        <v>100</v>
      </c>
    </row>
    <row r="304" spans="1:10" ht="25.5" x14ac:dyDescent="0.2">
      <c r="A304" s="5" t="s">
        <v>8077</v>
      </c>
      <c r="B304" s="5" t="s">
        <v>83</v>
      </c>
      <c r="C304" s="5"/>
      <c r="D304" s="5" t="s">
        <v>102</v>
      </c>
      <c r="E304" s="5" t="s">
        <v>8076</v>
      </c>
      <c r="F304" s="5" t="s">
        <v>8075</v>
      </c>
      <c r="G304" s="5" t="s">
        <v>91</v>
      </c>
      <c r="H304" s="5" t="s">
        <v>3</v>
      </c>
      <c r="I304" s="5"/>
      <c r="J304" s="5" t="s">
        <v>100</v>
      </c>
    </row>
    <row r="305" spans="1:10" x14ac:dyDescent="0.2">
      <c r="A305" s="5" t="s">
        <v>8074</v>
      </c>
      <c r="B305" s="5" t="s">
        <v>83</v>
      </c>
      <c r="C305" s="5"/>
      <c r="D305" s="5" t="s">
        <v>4044</v>
      </c>
      <c r="E305" s="5"/>
      <c r="F305" s="5" t="s">
        <v>8074</v>
      </c>
      <c r="G305" s="5" t="s">
        <v>6530</v>
      </c>
      <c r="H305" s="5" t="s">
        <v>3</v>
      </c>
      <c r="I305" s="5"/>
      <c r="J305" s="5"/>
    </row>
    <row r="306" spans="1:10" x14ac:dyDescent="0.2">
      <c r="A306" s="5" t="s">
        <v>8073</v>
      </c>
      <c r="B306" s="5" t="s">
        <v>83</v>
      </c>
      <c r="C306" s="5"/>
      <c r="D306" s="5" t="s">
        <v>8072</v>
      </c>
      <c r="E306" s="5"/>
      <c r="F306" s="5" t="s">
        <v>8071</v>
      </c>
      <c r="G306" s="5" t="s">
        <v>6530</v>
      </c>
      <c r="H306" s="5" t="s">
        <v>3</v>
      </c>
      <c r="I306" s="5"/>
      <c r="J306" s="5"/>
    </row>
    <row r="307" spans="1:10" ht="25.5" x14ac:dyDescent="0.2">
      <c r="A307" s="5" t="s">
        <v>8070</v>
      </c>
      <c r="B307" s="5" t="s">
        <v>83</v>
      </c>
      <c r="C307" s="5"/>
      <c r="D307" s="5" t="s">
        <v>8069</v>
      </c>
      <c r="E307" s="5"/>
      <c r="F307" s="5" t="s">
        <v>8067</v>
      </c>
      <c r="G307" s="5" t="s">
        <v>8068</v>
      </c>
      <c r="H307" s="5" t="s">
        <v>3</v>
      </c>
      <c r="I307" s="5"/>
      <c r="J307" s="5" t="s">
        <v>8067</v>
      </c>
    </row>
    <row r="308" spans="1:10" ht="38.25" x14ac:dyDescent="0.2">
      <c r="A308" s="5" t="s">
        <v>8066</v>
      </c>
      <c r="B308" s="5" t="s">
        <v>83</v>
      </c>
      <c r="C308" s="5"/>
      <c r="D308" s="5" t="s">
        <v>8065</v>
      </c>
      <c r="E308" s="5" t="s">
        <v>138</v>
      </c>
      <c r="F308" s="5" t="s">
        <v>8064</v>
      </c>
      <c r="G308" s="5" t="s">
        <v>91</v>
      </c>
      <c r="H308" s="5" t="s">
        <v>3</v>
      </c>
      <c r="I308" s="5"/>
      <c r="J308" s="5" t="s">
        <v>8063</v>
      </c>
    </row>
    <row r="309" spans="1:10" x14ac:dyDescent="0.2">
      <c r="A309" s="5" t="s">
        <v>8062</v>
      </c>
      <c r="B309" s="5" t="s">
        <v>83</v>
      </c>
      <c r="C309" s="5"/>
      <c r="D309" s="5" t="s">
        <v>4018</v>
      </c>
      <c r="E309" s="5" t="s">
        <v>138</v>
      </c>
      <c r="F309" s="5" t="s">
        <v>8058</v>
      </c>
      <c r="G309" s="5" t="s">
        <v>148</v>
      </c>
      <c r="H309" s="5" t="s">
        <v>3</v>
      </c>
      <c r="I309" s="5"/>
      <c r="J309" s="5" t="s">
        <v>8061</v>
      </c>
    </row>
    <row r="310" spans="1:10" x14ac:dyDescent="0.2">
      <c r="A310" s="5" t="s">
        <v>8060</v>
      </c>
      <c r="B310" s="5" t="s">
        <v>83</v>
      </c>
      <c r="C310" s="5"/>
      <c r="D310" s="5" t="s">
        <v>8059</v>
      </c>
      <c r="E310" s="5" t="s">
        <v>3057</v>
      </c>
      <c r="F310" s="5" t="s">
        <v>8058</v>
      </c>
      <c r="G310" s="5" t="s">
        <v>148</v>
      </c>
      <c r="H310" s="5" t="s">
        <v>3</v>
      </c>
      <c r="I310" s="5"/>
      <c r="J310" s="5" t="s">
        <v>8057</v>
      </c>
    </row>
    <row r="311" spans="1:10" ht="25.5" x14ac:dyDescent="0.2">
      <c r="A311" s="5" t="s">
        <v>8056</v>
      </c>
      <c r="B311" s="5" t="s">
        <v>83</v>
      </c>
      <c r="C311" s="5"/>
      <c r="D311" s="5" t="s">
        <v>8055</v>
      </c>
      <c r="E311" s="5" t="s">
        <v>138</v>
      </c>
      <c r="F311" s="5" t="s">
        <v>8054</v>
      </c>
      <c r="G311" s="5" t="s">
        <v>91</v>
      </c>
      <c r="H311" s="5" t="s">
        <v>3</v>
      </c>
      <c r="I311" s="5"/>
      <c r="J311" s="5" t="s">
        <v>8053</v>
      </c>
    </row>
    <row r="312" spans="1:10" x14ac:dyDescent="0.2">
      <c r="A312" s="5" t="s">
        <v>8052</v>
      </c>
      <c r="B312" s="5" t="s">
        <v>83</v>
      </c>
      <c r="C312" s="5"/>
      <c r="D312" s="5" t="s">
        <v>4014</v>
      </c>
      <c r="E312" s="5" t="s">
        <v>138</v>
      </c>
      <c r="F312" s="5" t="s">
        <v>8051</v>
      </c>
      <c r="G312" s="5" t="s">
        <v>195</v>
      </c>
      <c r="H312" s="5" t="s">
        <v>3</v>
      </c>
      <c r="I312" s="5"/>
      <c r="J312" s="5" t="s">
        <v>8050</v>
      </c>
    </row>
    <row r="313" spans="1:10" x14ac:dyDescent="0.2">
      <c r="A313" s="5" t="s">
        <v>8049</v>
      </c>
      <c r="B313" s="5" t="s">
        <v>83</v>
      </c>
      <c r="C313" s="5"/>
      <c r="D313" s="5" t="s">
        <v>8048</v>
      </c>
      <c r="E313" s="5"/>
      <c r="F313" s="5" t="s">
        <v>4047</v>
      </c>
      <c r="G313" s="5" t="s">
        <v>357</v>
      </c>
      <c r="H313" s="5" t="s">
        <v>3</v>
      </c>
      <c r="I313" s="5"/>
      <c r="J313" s="5" t="s">
        <v>8047</v>
      </c>
    </row>
    <row r="314" spans="1:10" ht="25.5" x14ac:dyDescent="0.2">
      <c r="A314" s="5" t="s">
        <v>8045</v>
      </c>
      <c r="B314" s="5" t="s">
        <v>83</v>
      </c>
      <c r="C314" s="5"/>
      <c r="D314" s="5" t="s">
        <v>8046</v>
      </c>
      <c r="E314" s="5"/>
      <c r="F314" s="5" t="s">
        <v>8045</v>
      </c>
      <c r="G314" s="5" t="s">
        <v>6530</v>
      </c>
      <c r="H314" s="5" t="s">
        <v>3</v>
      </c>
      <c r="I314" s="5"/>
      <c r="J314" s="5" t="s">
        <v>8044</v>
      </c>
    </row>
    <row r="315" spans="1:10" ht="25.5" x14ac:dyDescent="0.2">
      <c r="A315" s="5" t="s">
        <v>8043</v>
      </c>
      <c r="B315" s="5" t="s">
        <v>83</v>
      </c>
      <c r="C315" s="5"/>
      <c r="D315" s="5" t="s">
        <v>3998</v>
      </c>
      <c r="E315" s="5" t="s">
        <v>6367</v>
      </c>
      <c r="F315" s="5" t="s">
        <v>8043</v>
      </c>
      <c r="G315" s="5" t="s">
        <v>207</v>
      </c>
      <c r="H315" s="5" t="s">
        <v>3</v>
      </c>
      <c r="I315" s="5"/>
      <c r="J315" s="5" t="s">
        <v>3996</v>
      </c>
    </row>
    <row r="316" spans="1:10" ht="25.5" x14ac:dyDescent="0.2">
      <c r="A316" s="5" t="s">
        <v>8042</v>
      </c>
      <c r="B316" s="5" t="s">
        <v>83</v>
      </c>
      <c r="C316" s="5"/>
      <c r="D316" s="5" t="s">
        <v>8041</v>
      </c>
      <c r="E316" s="5" t="s">
        <v>93</v>
      </c>
      <c r="F316" s="5" t="s">
        <v>8040</v>
      </c>
      <c r="G316" s="5" t="s">
        <v>148</v>
      </c>
      <c r="H316" s="5" t="s">
        <v>3</v>
      </c>
      <c r="I316" s="5"/>
      <c r="J316" s="5" t="s">
        <v>7426</v>
      </c>
    </row>
    <row r="317" spans="1:10" ht="25.5" x14ac:dyDescent="0.2">
      <c r="A317" s="5" t="s">
        <v>8039</v>
      </c>
      <c r="B317" s="5" t="s">
        <v>83</v>
      </c>
      <c r="C317" s="5"/>
      <c r="D317" s="5" t="s">
        <v>8038</v>
      </c>
      <c r="E317" s="5"/>
      <c r="F317" s="5" t="s">
        <v>8037</v>
      </c>
      <c r="G317" s="5" t="s">
        <v>105</v>
      </c>
      <c r="H317" s="5" t="s">
        <v>3</v>
      </c>
      <c r="I317" s="5"/>
      <c r="J317" s="5"/>
    </row>
    <row r="318" spans="1:10" x14ac:dyDescent="0.2">
      <c r="A318" s="5" t="s">
        <v>8036</v>
      </c>
      <c r="B318" s="5" t="s">
        <v>83</v>
      </c>
      <c r="C318" s="5"/>
      <c r="D318" s="5" t="s">
        <v>8035</v>
      </c>
      <c r="E318" s="5"/>
      <c r="F318" s="5" t="s">
        <v>8034</v>
      </c>
      <c r="G318" s="5" t="s">
        <v>91</v>
      </c>
      <c r="H318" s="5" t="s">
        <v>137</v>
      </c>
      <c r="I318" s="5" t="s">
        <v>8033</v>
      </c>
      <c r="J318" s="5" t="s">
        <v>8032</v>
      </c>
    </row>
    <row r="319" spans="1:10" x14ac:dyDescent="0.2">
      <c r="A319" s="5" t="s">
        <v>8031</v>
      </c>
      <c r="B319" s="5" t="s">
        <v>83</v>
      </c>
      <c r="C319" s="5"/>
      <c r="D319" s="5" t="s">
        <v>8030</v>
      </c>
      <c r="E319" s="5"/>
      <c r="F319" s="5"/>
      <c r="G319" s="5" t="s">
        <v>702</v>
      </c>
      <c r="H319" s="5" t="s">
        <v>3</v>
      </c>
      <c r="I319" s="5"/>
      <c r="J319" s="5"/>
    </row>
    <row r="320" spans="1:10" x14ac:dyDescent="0.2">
      <c r="A320" s="5" t="s">
        <v>8029</v>
      </c>
      <c r="B320" s="5" t="s">
        <v>83</v>
      </c>
      <c r="C320" s="5"/>
      <c r="D320" s="5" t="s">
        <v>8028</v>
      </c>
      <c r="E320" s="5" t="s">
        <v>299</v>
      </c>
      <c r="F320" s="5" t="s">
        <v>8027</v>
      </c>
      <c r="G320" s="5" t="s">
        <v>91</v>
      </c>
      <c r="H320" s="5" t="s">
        <v>3</v>
      </c>
      <c r="I320" s="5"/>
      <c r="J320" s="5" t="s">
        <v>8026</v>
      </c>
    </row>
    <row r="321" spans="1:10" x14ac:dyDescent="0.2">
      <c r="A321" s="5" t="s">
        <v>8024</v>
      </c>
      <c r="B321" s="5" t="s">
        <v>83</v>
      </c>
      <c r="C321" s="5"/>
      <c r="D321" s="5" t="s">
        <v>8025</v>
      </c>
      <c r="E321" s="5"/>
      <c r="F321" s="5" t="s">
        <v>8024</v>
      </c>
      <c r="G321" s="5" t="s">
        <v>382</v>
      </c>
      <c r="H321" s="5" t="s">
        <v>3</v>
      </c>
      <c r="I321" s="5"/>
      <c r="J321" s="5" t="s">
        <v>8023</v>
      </c>
    </row>
    <row r="322" spans="1:10" ht="25.5" x14ac:dyDescent="0.2">
      <c r="A322" s="5" t="s">
        <v>8022</v>
      </c>
      <c r="B322" s="5" t="s">
        <v>83</v>
      </c>
      <c r="C322" s="5"/>
      <c r="D322" s="5" t="s">
        <v>8021</v>
      </c>
      <c r="E322" s="5" t="s">
        <v>138</v>
      </c>
      <c r="F322" s="5" t="s">
        <v>331</v>
      </c>
      <c r="G322" s="5" t="s">
        <v>6518</v>
      </c>
      <c r="H322" s="5" t="s">
        <v>3</v>
      </c>
      <c r="I322" s="5"/>
      <c r="J322" s="5" t="s">
        <v>90</v>
      </c>
    </row>
    <row r="323" spans="1:10" ht="25.5" x14ac:dyDescent="0.2">
      <c r="A323" s="5" t="s">
        <v>8020</v>
      </c>
      <c r="B323" s="5" t="s">
        <v>83</v>
      </c>
      <c r="C323" s="5"/>
      <c r="D323" s="5" t="s">
        <v>8019</v>
      </c>
      <c r="E323" s="5"/>
      <c r="F323" s="5" t="s">
        <v>324</v>
      </c>
      <c r="G323" s="5" t="s">
        <v>80</v>
      </c>
      <c r="H323" s="5" t="s">
        <v>3</v>
      </c>
      <c r="I323" s="5"/>
      <c r="J323" s="5" t="s">
        <v>8018</v>
      </c>
    </row>
    <row r="324" spans="1:10" ht="25.5" x14ac:dyDescent="0.2">
      <c r="A324" s="5" t="s">
        <v>8017</v>
      </c>
      <c r="B324" s="5" t="s">
        <v>83</v>
      </c>
      <c r="C324" s="5"/>
      <c r="D324" s="5" t="s">
        <v>8016</v>
      </c>
      <c r="E324" s="5"/>
      <c r="F324" s="5" t="s">
        <v>8000</v>
      </c>
      <c r="G324" s="5" t="s">
        <v>122</v>
      </c>
      <c r="H324" s="5" t="s">
        <v>3</v>
      </c>
      <c r="I324" s="5"/>
      <c r="J324" s="5" t="s">
        <v>8015</v>
      </c>
    </row>
    <row r="325" spans="1:10" ht="25.5" x14ac:dyDescent="0.2">
      <c r="A325" s="5" t="s">
        <v>8014</v>
      </c>
      <c r="B325" s="5" t="s">
        <v>83</v>
      </c>
      <c r="C325" s="5"/>
      <c r="D325" s="5" t="s">
        <v>8013</v>
      </c>
      <c r="E325" s="5" t="s">
        <v>150</v>
      </c>
      <c r="F325" s="5" t="s">
        <v>8012</v>
      </c>
      <c r="G325" s="5" t="s">
        <v>148</v>
      </c>
      <c r="H325" s="5" t="s">
        <v>3</v>
      </c>
      <c r="I325" s="5"/>
      <c r="J325" s="5" t="s">
        <v>8011</v>
      </c>
    </row>
    <row r="326" spans="1:10" ht="25.5" x14ac:dyDescent="0.2">
      <c r="A326" s="5" t="s">
        <v>8010</v>
      </c>
      <c r="B326" s="5" t="s">
        <v>83</v>
      </c>
      <c r="C326" s="5"/>
      <c r="D326" s="5" t="s">
        <v>8009</v>
      </c>
      <c r="E326" s="5"/>
      <c r="F326" s="5" t="s">
        <v>8008</v>
      </c>
      <c r="G326" s="5" t="s">
        <v>315</v>
      </c>
      <c r="H326" s="5" t="s">
        <v>3</v>
      </c>
      <c r="I326" s="5"/>
      <c r="J326" s="5" t="s">
        <v>8007</v>
      </c>
    </row>
    <row r="327" spans="1:10" ht="25.5" x14ac:dyDescent="0.2">
      <c r="A327" s="5" t="s">
        <v>8006</v>
      </c>
      <c r="B327" s="5" t="s">
        <v>83</v>
      </c>
      <c r="C327" s="5"/>
      <c r="D327" s="5" t="s">
        <v>8005</v>
      </c>
      <c r="E327" s="5"/>
      <c r="F327" s="5" t="s">
        <v>8004</v>
      </c>
      <c r="G327" s="5" t="s">
        <v>224</v>
      </c>
      <c r="H327" s="5" t="s">
        <v>3</v>
      </c>
      <c r="I327" s="5"/>
      <c r="J327" s="5" t="s">
        <v>8003</v>
      </c>
    </row>
    <row r="328" spans="1:10" ht="25.5" x14ac:dyDescent="0.2">
      <c r="A328" s="5" t="s">
        <v>8002</v>
      </c>
      <c r="B328" s="5" t="s">
        <v>83</v>
      </c>
      <c r="C328" s="5"/>
      <c r="D328" s="5" t="s">
        <v>8001</v>
      </c>
      <c r="E328" s="5" t="s">
        <v>150</v>
      </c>
      <c r="F328" s="5" t="s">
        <v>8000</v>
      </c>
      <c r="G328" s="5" t="s">
        <v>283</v>
      </c>
      <c r="H328" s="5" t="s">
        <v>3</v>
      </c>
      <c r="I328" s="5"/>
      <c r="J328" s="5" t="s">
        <v>7999</v>
      </c>
    </row>
    <row r="329" spans="1:10" x14ac:dyDescent="0.2">
      <c r="A329" s="5" t="s">
        <v>7998</v>
      </c>
      <c r="B329" s="5" t="s">
        <v>83</v>
      </c>
      <c r="C329" s="5"/>
      <c r="D329" s="5" t="s">
        <v>7996</v>
      </c>
      <c r="E329" s="5" t="s">
        <v>150</v>
      </c>
      <c r="F329" s="5" t="s">
        <v>7995</v>
      </c>
      <c r="G329" s="5" t="s">
        <v>283</v>
      </c>
      <c r="H329" s="5" t="s">
        <v>3</v>
      </c>
      <c r="I329" s="5"/>
      <c r="J329" s="5" t="s">
        <v>7994</v>
      </c>
    </row>
    <row r="330" spans="1:10" x14ac:dyDescent="0.2">
      <c r="A330" s="5" t="s">
        <v>7997</v>
      </c>
      <c r="B330" s="5" t="s">
        <v>83</v>
      </c>
      <c r="C330" s="5"/>
      <c r="D330" s="5" t="s">
        <v>7996</v>
      </c>
      <c r="E330" s="5" t="s">
        <v>150</v>
      </c>
      <c r="F330" s="5" t="s">
        <v>7995</v>
      </c>
      <c r="G330" s="5" t="s">
        <v>283</v>
      </c>
      <c r="H330" s="5" t="s">
        <v>3</v>
      </c>
      <c r="I330" s="5"/>
      <c r="J330" s="5" t="s">
        <v>7994</v>
      </c>
    </row>
    <row r="331" spans="1:10" x14ac:dyDescent="0.2">
      <c r="A331" s="5" t="s">
        <v>7993</v>
      </c>
      <c r="B331" s="5" t="s">
        <v>83</v>
      </c>
      <c r="C331" s="5"/>
      <c r="D331" s="5" t="s">
        <v>7992</v>
      </c>
      <c r="E331" s="5" t="s">
        <v>150</v>
      </c>
      <c r="F331" s="5" t="s">
        <v>320</v>
      </c>
      <c r="G331" s="5" t="s">
        <v>283</v>
      </c>
      <c r="H331" s="5" t="s">
        <v>3</v>
      </c>
      <c r="I331" s="5"/>
      <c r="J331" s="5" t="s">
        <v>7991</v>
      </c>
    </row>
    <row r="332" spans="1:10" ht="51" x14ac:dyDescent="0.2">
      <c r="A332" s="5" t="s">
        <v>7990</v>
      </c>
      <c r="B332" s="5" t="s">
        <v>83</v>
      </c>
      <c r="C332" s="5"/>
      <c r="D332" s="5" t="s">
        <v>7989</v>
      </c>
      <c r="E332" s="5"/>
      <c r="F332" s="5" t="s">
        <v>7988</v>
      </c>
      <c r="G332" s="5" t="s">
        <v>80</v>
      </c>
      <c r="H332" s="5" t="s">
        <v>3</v>
      </c>
      <c r="I332" s="5"/>
      <c r="J332" s="5" t="s">
        <v>7987</v>
      </c>
    </row>
    <row r="333" spans="1:10" ht="25.5" x14ac:dyDescent="0.2">
      <c r="A333" s="5" t="s">
        <v>7986</v>
      </c>
      <c r="B333" s="5" t="s">
        <v>83</v>
      </c>
      <c r="C333" s="5"/>
      <c r="D333" s="5" t="s">
        <v>7985</v>
      </c>
      <c r="E333" s="5"/>
      <c r="F333" s="5" t="s">
        <v>7984</v>
      </c>
      <c r="G333" s="5" t="s">
        <v>199</v>
      </c>
      <c r="H333" s="5" t="s">
        <v>3</v>
      </c>
      <c r="I333" s="5"/>
      <c r="J333" s="5" t="s">
        <v>7983</v>
      </c>
    </row>
    <row r="334" spans="1:10" ht="25.5" x14ac:dyDescent="0.2">
      <c r="A334" s="5" t="s">
        <v>7982</v>
      </c>
      <c r="B334" s="5" t="s">
        <v>83</v>
      </c>
      <c r="C334" s="5"/>
      <c r="D334" s="5" t="s">
        <v>7981</v>
      </c>
      <c r="E334" s="5"/>
      <c r="F334" s="5" t="s">
        <v>7980</v>
      </c>
      <c r="G334" s="5" t="s">
        <v>315</v>
      </c>
      <c r="H334" s="5" t="s">
        <v>137</v>
      </c>
      <c r="I334" s="5" t="s">
        <v>7415</v>
      </c>
      <c r="J334" s="5" t="s">
        <v>7980</v>
      </c>
    </row>
    <row r="335" spans="1:10" ht="25.5" x14ac:dyDescent="0.2">
      <c r="A335" s="5" t="s">
        <v>7979</v>
      </c>
      <c r="B335" s="5" t="s">
        <v>83</v>
      </c>
      <c r="C335" s="5"/>
      <c r="D335" s="5" t="s">
        <v>7978</v>
      </c>
      <c r="E335" s="5"/>
      <c r="F335" s="5" t="s">
        <v>7977</v>
      </c>
      <c r="G335" s="5" t="s">
        <v>315</v>
      </c>
      <c r="H335" s="5" t="s">
        <v>137</v>
      </c>
      <c r="I335" s="5" t="s">
        <v>7415</v>
      </c>
      <c r="J335" s="5" t="s">
        <v>7977</v>
      </c>
    </row>
    <row r="336" spans="1:10" ht="25.5" x14ac:dyDescent="0.2">
      <c r="A336" s="5" t="s">
        <v>7976</v>
      </c>
      <c r="B336" s="5" t="s">
        <v>83</v>
      </c>
      <c r="C336" s="5"/>
      <c r="D336" s="5" t="s">
        <v>7975</v>
      </c>
      <c r="E336" s="5"/>
      <c r="F336" s="5" t="s">
        <v>7974</v>
      </c>
      <c r="G336" s="5" t="s">
        <v>170</v>
      </c>
      <c r="H336" s="5" t="s">
        <v>137</v>
      </c>
      <c r="I336" s="5" t="s">
        <v>7415</v>
      </c>
      <c r="J336" s="5" t="s">
        <v>7973</v>
      </c>
    </row>
    <row r="337" spans="1:10" ht="25.5" x14ac:dyDescent="0.2">
      <c r="A337" s="5" t="s">
        <v>7972</v>
      </c>
      <c r="B337" s="5" t="s">
        <v>83</v>
      </c>
      <c r="C337" s="5"/>
      <c r="D337" s="5" t="s">
        <v>7971</v>
      </c>
      <c r="E337" s="5"/>
      <c r="F337" s="5" t="s">
        <v>7970</v>
      </c>
      <c r="G337" s="5" t="s">
        <v>118</v>
      </c>
      <c r="H337" s="5" t="s">
        <v>137</v>
      </c>
      <c r="I337" s="5" t="s">
        <v>7415</v>
      </c>
      <c r="J337" s="5" t="s">
        <v>7970</v>
      </c>
    </row>
    <row r="338" spans="1:10" ht="25.5" x14ac:dyDescent="0.2">
      <c r="A338" s="5" t="s">
        <v>7969</v>
      </c>
      <c r="B338" s="5" t="s">
        <v>83</v>
      </c>
      <c r="C338" s="5"/>
      <c r="D338" s="5" t="s">
        <v>7968</v>
      </c>
      <c r="E338" s="5"/>
      <c r="F338" s="5" t="s">
        <v>7967</v>
      </c>
      <c r="G338" s="5" t="s">
        <v>122</v>
      </c>
      <c r="H338" s="5" t="s">
        <v>137</v>
      </c>
      <c r="I338" s="5" t="s">
        <v>7415</v>
      </c>
      <c r="J338" s="5" t="s">
        <v>7966</v>
      </c>
    </row>
    <row r="339" spans="1:10" ht="25.5" x14ac:dyDescent="0.2">
      <c r="A339" s="5" t="s">
        <v>7965</v>
      </c>
      <c r="B339" s="5" t="s">
        <v>83</v>
      </c>
      <c r="C339" s="5"/>
      <c r="D339" s="5" t="s">
        <v>7964</v>
      </c>
      <c r="E339" s="5"/>
      <c r="F339" s="5" t="s">
        <v>7963</v>
      </c>
      <c r="G339" s="5" t="s">
        <v>118</v>
      </c>
      <c r="H339" s="5" t="s">
        <v>137</v>
      </c>
      <c r="I339" s="5" t="s">
        <v>7415</v>
      </c>
      <c r="J339" s="5" t="s">
        <v>7963</v>
      </c>
    </row>
    <row r="340" spans="1:10" ht="25.5" x14ac:dyDescent="0.2">
      <c r="A340" s="5" t="s">
        <v>7962</v>
      </c>
      <c r="B340" s="5" t="s">
        <v>83</v>
      </c>
      <c r="C340" s="5"/>
      <c r="D340" s="5" t="s">
        <v>7961</v>
      </c>
      <c r="E340" s="5"/>
      <c r="F340" s="5" t="s">
        <v>7960</v>
      </c>
      <c r="G340" s="5" t="s">
        <v>80</v>
      </c>
      <c r="H340" s="5" t="s">
        <v>137</v>
      </c>
      <c r="I340" s="5" t="s">
        <v>7415</v>
      </c>
      <c r="J340" s="5" t="s">
        <v>345</v>
      </c>
    </row>
    <row r="341" spans="1:10" ht="25.5" x14ac:dyDescent="0.2">
      <c r="A341" s="5" t="s">
        <v>7959</v>
      </c>
      <c r="B341" s="5" t="s">
        <v>83</v>
      </c>
      <c r="C341" s="5"/>
      <c r="D341" s="5" t="s">
        <v>7958</v>
      </c>
      <c r="E341" s="5"/>
      <c r="F341" s="5" t="s">
        <v>7957</v>
      </c>
      <c r="G341" s="5" t="s">
        <v>91</v>
      </c>
      <c r="H341" s="5" t="s">
        <v>137</v>
      </c>
      <c r="I341" s="5" t="s">
        <v>7415</v>
      </c>
      <c r="J341" s="5" t="s">
        <v>7956</v>
      </c>
    </row>
    <row r="342" spans="1:10" ht="38.25" x14ac:dyDescent="0.2">
      <c r="A342" s="5" t="s">
        <v>7955</v>
      </c>
      <c r="B342" s="5" t="s">
        <v>83</v>
      </c>
      <c r="C342" s="5"/>
      <c r="D342" s="5" t="s">
        <v>7954</v>
      </c>
      <c r="E342" s="5" t="s">
        <v>368</v>
      </c>
      <c r="F342" s="5" t="s">
        <v>7953</v>
      </c>
      <c r="G342" s="5" t="s">
        <v>382</v>
      </c>
      <c r="H342" s="5" t="s">
        <v>137</v>
      </c>
      <c r="I342" s="5" t="s">
        <v>7415</v>
      </c>
      <c r="J342" s="5" t="s">
        <v>7952</v>
      </c>
    </row>
    <row r="343" spans="1:10" ht="25.5" x14ac:dyDescent="0.2">
      <c r="A343" s="5" t="s">
        <v>7951</v>
      </c>
      <c r="B343" s="5" t="s">
        <v>83</v>
      </c>
      <c r="C343" s="5"/>
      <c r="D343" s="5" t="s">
        <v>7950</v>
      </c>
      <c r="E343" s="5"/>
      <c r="F343" s="5" t="s">
        <v>7949</v>
      </c>
      <c r="G343" s="5" t="s">
        <v>80</v>
      </c>
      <c r="H343" s="5" t="s">
        <v>137</v>
      </c>
      <c r="I343" s="5" t="s">
        <v>55</v>
      </c>
      <c r="J343" s="5" t="s">
        <v>7948</v>
      </c>
    </row>
    <row r="344" spans="1:10" x14ac:dyDescent="0.2">
      <c r="A344" s="5" t="s">
        <v>7947</v>
      </c>
      <c r="B344" s="5" t="s">
        <v>83</v>
      </c>
      <c r="C344" s="5"/>
      <c r="D344" s="5" t="s">
        <v>7946</v>
      </c>
      <c r="E344" s="5"/>
      <c r="F344" s="5" t="s">
        <v>7653</v>
      </c>
      <c r="G344" s="5" t="s">
        <v>7296</v>
      </c>
      <c r="H344" s="5" t="s">
        <v>137</v>
      </c>
      <c r="I344" s="5" t="s">
        <v>55</v>
      </c>
      <c r="J344" s="5"/>
    </row>
    <row r="345" spans="1:10" ht="25.5" x14ac:dyDescent="0.2">
      <c r="A345" s="5" t="s">
        <v>7945</v>
      </c>
      <c r="B345" s="5" t="s">
        <v>83</v>
      </c>
      <c r="C345" s="5"/>
      <c r="D345" s="5" t="s">
        <v>7944</v>
      </c>
      <c r="E345" s="5"/>
      <c r="F345" s="5" t="s">
        <v>7653</v>
      </c>
      <c r="G345" s="5" t="s">
        <v>224</v>
      </c>
      <c r="H345" s="5" t="s">
        <v>137</v>
      </c>
      <c r="I345" s="5" t="s">
        <v>55</v>
      </c>
      <c r="J345" s="5" t="s">
        <v>7943</v>
      </c>
    </row>
    <row r="346" spans="1:10" x14ac:dyDescent="0.2">
      <c r="A346" s="5" t="s">
        <v>7942</v>
      </c>
      <c r="B346" s="5" t="s">
        <v>83</v>
      </c>
      <c r="C346" s="5"/>
      <c r="D346" s="5" t="s">
        <v>7941</v>
      </c>
      <c r="E346" s="5"/>
      <c r="F346" s="5" t="s">
        <v>7653</v>
      </c>
      <c r="G346" s="5" t="s">
        <v>224</v>
      </c>
      <c r="H346" s="5" t="s">
        <v>137</v>
      </c>
      <c r="I346" s="5" t="s">
        <v>35</v>
      </c>
      <c r="J346" s="5" t="s">
        <v>7940</v>
      </c>
    </row>
    <row r="347" spans="1:10" x14ac:dyDescent="0.2">
      <c r="A347" s="5" t="s">
        <v>7939</v>
      </c>
      <c r="B347" s="5" t="s">
        <v>83</v>
      </c>
      <c r="C347" s="5"/>
      <c r="D347" s="5" t="s">
        <v>7938</v>
      </c>
      <c r="E347" s="5"/>
      <c r="F347" s="5" t="s">
        <v>7906</v>
      </c>
      <c r="G347" s="5" t="s">
        <v>80</v>
      </c>
      <c r="H347" s="5" t="s">
        <v>137</v>
      </c>
      <c r="I347" s="5" t="s">
        <v>55</v>
      </c>
      <c r="J347" s="5" t="s">
        <v>7937</v>
      </c>
    </row>
    <row r="348" spans="1:10" ht="25.5" x14ac:dyDescent="0.2">
      <c r="A348" s="5" t="s">
        <v>7936</v>
      </c>
      <c r="B348" s="5" t="s">
        <v>83</v>
      </c>
      <c r="C348" s="5"/>
      <c r="D348" s="5" t="s">
        <v>7903</v>
      </c>
      <c r="E348" s="5"/>
      <c r="F348" s="5" t="s">
        <v>7934</v>
      </c>
      <c r="G348" s="5" t="s">
        <v>118</v>
      </c>
      <c r="H348" s="5" t="s">
        <v>3</v>
      </c>
      <c r="I348" s="5"/>
      <c r="J348" s="5" t="s">
        <v>7933</v>
      </c>
    </row>
    <row r="349" spans="1:10" x14ac:dyDescent="0.2">
      <c r="A349" s="5" t="s">
        <v>7935</v>
      </c>
      <c r="B349" s="5" t="s">
        <v>83</v>
      </c>
      <c r="C349" s="5"/>
      <c r="D349" s="5" t="s">
        <v>7901</v>
      </c>
      <c r="E349" s="5"/>
      <c r="F349" s="5" t="s">
        <v>7934</v>
      </c>
      <c r="G349" s="5" t="s">
        <v>118</v>
      </c>
      <c r="H349" s="5" t="s">
        <v>3</v>
      </c>
      <c r="I349" s="5"/>
      <c r="J349" s="5" t="s">
        <v>7933</v>
      </c>
    </row>
    <row r="350" spans="1:10" ht="25.5" x14ac:dyDescent="0.2">
      <c r="A350" s="5" t="s">
        <v>7932</v>
      </c>
      <c r="B350" s="5" t="s">
        <v>83</v>
      </c>
      <c r="C350" s="5"/>
      <c r="D350" s="5" t="s">
        <v>7931</v>
      </c>
      <c r="E350" s="5"/>
      <c r="F350" s="5" t="s">
        <v>7928</v>
      </c>
      <c r="G350" s="5" t="s">
        <v>3059</v>
      </c>
      <c r="H350" s="5" t="s">
        <v>3</v>
      </c>
      <c r="I350" s="5"/>
      <c r="J350" s="5" t="s">
        <v>7927</v>
      </c>
    </row>
    <row r="351" spans="1:10" ht="25.5" x14ac:dyDescent="0.2">
      <c r="A351" s="5" t="s">
        <v>7930</v>
      </c>
      <c r="B351" s="5" t="s">
        <v>83</v>
      </c>
      <c r="C351" s="5"/>
      <c r="D351" s="5" t="s">
        <v>7929</v>
      </c>
      <c r="E351" s="5"/>
      <c r="F351" s="5" t="s">
        <v>7928</v>
      </c>
      <c r="G351" s="5" t="s">
        <v>3059</v>
      </c>
      <c r="H351" s="5" t="s">
        <v>3</v>
      </c>
      <c r="I351" s="5"/>
      <c r="J351" s="5" t="s">
        <v>7927</v>
      </c>
    </row>
    <row r="352" spans="1:10" ht="25.5" x14ac:dyDescent="0.2">
      <c r="A352" s="5" t="s">
        <v>7926</v>
      </c>
      <c r="B352" s="5" t="s">
        <v>83</v>
      </c>
      <c r="C352" s="5"/>
      <c r="D352" s="5" t="s">
        <v>7903</v>
      </c>
      <c r="E352" s="5"/>
      <c r="F352" s="5" t="s">
        <v>7924</v>
      </c>
      <c r="G352" s="5" t="s">
        <v>118</v>
      </c>
      <c r="H352" s="5" t="s">
        <v>3</v>
      </c>
      <c r="I352" s="5"/>
      <c r="J352" s="5"/>
    </row>
    <row r="353" spans="1:10" ht="25.5" x14ac:dyDescent="0.2">
      <c r="A353" s="5" t="s">
        <v>7925</v>
      </c>
      <c r="B353" s="5" t="s">
        <v>83</v>
      </c>
      <c r="C353" s="5"/>
      <c r="D353" s="5" t="s">
        <v>7901</v>
      </c>
      <c r="E353" s="5"/>
      <c r="F353" s="5" t="s">
        <v>7924</v>
      </c>
      <c r="G353" s="5" t="s">
        <v>118</v>
      </c>
      <c r="H353" s="5" t="s">
        <v>3</v>
      </c>
      <c r="I353" s="5"/>
      <c r="J353" s="5"/>
    </row>
    <row r="354" spans="1:10" ht="25.5" x14ac:dyDescent="0.2">
      <c r="A354" s="5" t="s">
        <v>7923</v>
      </c>
      <c r="B354" s="5" t="s">
        <v>83</v>
      </c>
      <c r="C354" s="5"/>
      <c r="D354" s="5" t="s">
        <v>7903</v>
      </c>
      <c r="E354" s="5"/>
      <c r="F354" s="5" t="s">
        <v>7921</v>
      </c>
      <c r="G354" s="5" t="s">
        <v>3059</v>
      </c>
      <c r="H354" s="5" t="s">
        <v>3</v>
      </c>
      <c r="I354" s="5"/>
      <c r="J354" s="5" t="s">
        <v>7920</v>
      </c>
    </row>
    <row r="355" spans="1:10" ht="25.5" x14ac:dyDescent="0.2">
      <c r="A355" s="5" t="s">
        <v>7922</v>
      </c>
      <c r="B355" s="5" t="s">
        <v>83</v>
      </c>
      <c r="C355" s="5"/>
      <c r="D355" s="5" t="s">
        <v>7901</v>
      </c>
      <c r="E355" s="5"/>
      <c r="F355" s="5" t="s">
        <v>7921</v>
      </c>
      <c r="G355" s="5" t="s">
        <v>3059</v>
      </c>
      <c r="H355" s="5" t="s">
        <v>3</v>
      </c>
      <c r="I355" s="5"/>
      <c r="J355" s="5" t="s">
        <v>7920</v>
      </c>
    </row>
    <row r="356" spans="1:10" ht="25.5" x14ac:dyDescent="0.2">
      <c r="A356" s="5" t="s">
        <v>7919</v>
      </c>
      <c r="B356" s="5" t="s">
        <v>83</v>
      </c>
      <c r="C356" s="5"/>
      <c r="D356" s="5" t="s">
        <v>7918</v>
      </c>
      <c r="E356" s="5"/>
      <c r="F356" s="5" t="s">
        <v>7653</v>
      </c>
      <c r="G356" s="5" t="s">
        <v>7296</v>
      </c>
      <c r="H356" s="5" t="s">
        <v>3</v>
      </c>
      <c r="I356" s="5"/>
      <c r="J356" s="5"/>
    </row>
    <row r="357" spans="1:10" x14ac:dyDescent="0.2">
      <c r="A357" s="5" t="s">
        <v>7917</v>
      </c>
      <c r="B357" s="5" t="s">
        <v>83</v>
      </c>
      <c r="C357" s="5"/>
      <c r="D357" s="5" t="s">
        <v>7916</v>
      </c>
      <c r="E357" s="5"/>
      <c r="F357" s="5" t="s">
        <v>7906</v>
      </c>
      <c r="G357" s="5" t="s">
        <v>3059</v>
      </c>
      <c r="H357" s="5" t="s">
        <v>137</v>
      </c>
      <c r="I357" s="5" t="s">
        <v>55</v>
      </c>
      <c r="J357" s="5" t="s">
        <v>7915</v>
      </c>
    </row>
    <row r="358" spans="1:10" ht="25.5" x14ac:dyDescent="0.2">
      <c r="A358" s="5" t="s">
        <v>7914</v>
      </c>
      <c r="B358" s="5" t="s">
        <v>83</v>
      </c>
      <c r="C358" s="5"/>
      <c r="D358" s="5" t="s">
        <v>7913</v>
      </c>
      <c r="E358" s="5"/>
      <c r="F358" s="5" t="s">
        <v>106</v>
      </c>
      <c r="G358" s="5" t="s">
        <v>229</v>
      </c>
      <c r="H358" s="5" t="s">
        <v>3</v>
      </c>
      <c r="I358" s="5"/>
      <c r="J358" s="5" t="s">
        <v>7912</v>
      </c>
    </row>
    <row r="359" spans="1:10" ht="25.5" x14ac:dyDescent="0.2">
      <c r="A359" s="5" t="s">
        <v>7911</v>
      </c>
      <c r="B359" s="5" t="s">
        <v>83</v>
      </c>
      <c r="C359" s="5"/>
      <c r="D359" s="5" t="s">
        <v>7910</v>
      </c>
      <c r="E359" s="5"/>
      <c r="F359" s="5"/>
      <c r="G359" s="5" t="s">
        <v>229</v>
      </c>
      <c r="H359" s="5" t="s">
        <v>137</v>
      </c>
      <c r="I359" s="5"/>
      <c r="J359" s="5"/>
    </row>
    <row r="360" spans="1:10" x14ac:dyDescent="0.2">
      <c r="A360" s="5" t="s">
        <v>7909</v>
      </c>
      <c r="B360" s="5" t="s">
        <v>83</v>
      </c>
      <c r="C360" s="5"/>
      <c r="D360" s="5" t="s">
        <v>7493</v>
      </c>
      <c r="E360" s="5"/>
      <c r="F360" s="5" t="s">
        <v>7577</v>
      </c>
      <c r="G360" s="5" t="s">
        <v>118</v>
      </c>
      <c r="H360" s="5" t="s">
        <v>137</v>
      </c>
      <c r="I360" s="5" t="s">
        <v>55</v>
      </c>
      <c r="J360" s="5" t="s">
        <v>7620</v>
      </c>
    </row>
    <row r="361" spans="1:10" ht="25.5" x14ac:dyDescent="0.2">
      <c r="A361" s="5" t="s">
        <v>7908</v>
      </c>
      <c r="B361" s="5" t="s">
        <v>83</v>
      </c>
      <c r="C361" s="5"/>
      <c r="D361" s="5" t="s">
        <v>7907</v>
      </c>
      <c r="E361" s="5"/>
      <c r="F361" s="5" t="s">
        <v>7906</v>
      </c>
      <c r="G361" s="5" t="s">
        <v>118</v>
      </c>
      <c r="H361" s="5" t="s">
        <v>3</v>
      </c>
      <c r="I361" s="5"/>
      <c r="J361" s="5" t="s">
        <v>7905</v>
      </c>
    </row>
    <row r="362" spans="1:10" ht="25.5" x14ac:dyDescent="0.2">
      <c r="A362" s="5" t="s">
        <v>7904</v>
      </c>
      <c r="B362" s="5" t="s">
        <v>83</v>
      </c>
      <c r="C362" s="5"/>
      <c r="D362" s="5" t="s">
        <v>7903</v>
      </c>
      <c r="E362" s="5"/>
      <c r="F362" s="5" t="s">
        <v>7577</v>
      </c>
      <c r="G362" s="5" t="s">
        <v>118</v>
      </c>
      <c r="H362" s="5" t="s">
        <v>3</v>
      </c>
      <c r="I362" s="5"/>
      <c r="J362" s="5" t="s">
        <v>7900</v>
      </c>
    </row>
    <row r="363" spans="1:10" ht="25.5" x14ac:dyDescent="0.2">
      <c r="A363" s="5" t="s">
        <v>7902</v>
      </c>
      <c r="B363" s="5" t="s">
        <v>83</v>
      </c>
      <c r="C363" s="5"/>
      <c r="D363" s="5" t="s">
        <v>7901</v>
      </c>
      <c r="E363" s="5"/>
      <c r="F363" s="5" t="s">
        <v>7577</v>
      </c>
      <c r="G363" s="5" t="s">
        <v>118</v>
      </c>
      <c r="H363" s="5" t="s">
        <v>3</v>
      </c>
      <c r="I363" s="5"/>
      <c r="J363" s="5" t="s">
        <v>7900</v>
      </c>
    </row>
    <row r="364" spans="1:10" ht="25.5" x14ac:dyDescent="0.2">
      <c r="A364" s="5" t="s">
        <v>7899</v>
      </c>
      <c r="B364" s="5" t="s">
        <v>83</v>
      </c>
      <c r="C364" s="5"/>
      <c r="D364" s="5" t="s">
        <v>7898</v>
      </c>
      <c r="E364" s="5"/>
      <c r="F364" s="5" t="s">
        <v>7895</v>
      </c>
      <c r="G364" s="5" t="s">
        <v>118</v>
      </c>
      <c r="H364" s="5" t="s">
        <v>137</v>
      </c>
      <c r="I364" s="5" t="s">
        <v>55</v>
      </c>
      <c r="J364" s="5" t="s">
        <v>7897</v>
      </c>
    </row>
    <row r="365" spans="1:10" x14ac:dyDescent="0.2">
      <c r="A365" s="5" t="s">
        <v>7896</v>
      </c>
      <c r="B365" s="5" t="s">
        <v>83</v>
      </c>
      <c r="C365" s="5"/>
      <c r="D365" s="5" t="s">
        <v>7493</v>
      </c>
      <c r="E365" s="5"/>
      <c r="F365" s="5" t="s">
        <v>7895</v>
      </c>
      <c r="G365" s="5" t="s">
        <v>118</v>
      </c>
      <c r="H365" s="5" t="s">
        <v>137</v>
      </c>
      <c r="I365" s="5" t="s">
        <v>35</v>
      </c>
      <c r="J365" s="5" t="s">
        <v>7620</v>
      </c>
    </row>
    <row r="366" spans="1:10" x14ac:dyDescent="0.2">
      <c r="A366" s="5" t="s">
        <v>7894</v>
      </c>
      <c r="B366" s="5" t="s">
        <v>83</v>
      </c>
      <c r="C366" s="5"/>
      <c r="D366" s="5" t="s">
        <v>7893</v>
      </c>
      <c r="E366" s="5"/>
      <c r="F366" s="5" t="s">
        <v>7892</v>
      </c>
      <c r="G366" s="5" t="s">
        <v>80</v>
      </c>
      <c r="H366" s="5" t="s">
        <v>3</v>
      </c>
      <c r="I366" s="5"/>
      <c r="J366" s="5"/>
    </row>
    <row r="367" spans="1:10" x14ac:dyDescent="0.2">
      <c r="A367" s="5" t="s">
        <v>7891</v>
      </c>
      <c r="B367" s="5" t="s">
        <v>83</v>
      </c>
      <c r="C367" s="5"/>
      <c r="D367" s="5" t="s">
        <v>7890</v>
      </c>
      <c r="E367" s="5"/>
      <c r="F367" s="5" t="s">
        <v>7889</v>
      </c>
      <c r="G367" s="5" t="s">
        <v>118</v>
      </c>
      <c r="H367" s="5" t="s">
        <v>3</v>
      </c>
      <c r="I367" s="5"/>
      <c r="J367" s="5"/>
    </row>
    <row r="368" spans="1:10" ht="25.5" x14ac:dyDescent="0.2">
      <c r="A368" s="5" t="s">
        <v>7888</v>
      </c>
      <c r="B368" s="5" t="s">
        <v>83</v>
      </c>
      <c r="C368" s="5"/>
      <c r="D368" s="5" t="s">
        <v>7887</v>
      </c>
      <c r="E368" s="5"/>
      <c r="F368" s="5" t="s">
        <v>7573</v>
      </c>
      <c r="G368" s="5" t="s">
        <v>207</v>
      </c>
      <c r="H368" s="5" t="s">
        <v>3</v>
      </c>
      <c r="I368" s="5"/>
      <c r="J368" s="5" t="s">
        <v>7572</v>
      </c>
    </row>
    <row r="369" spans="1:10" ht="25.5" x14ac:dyDescent="0.2">
      <c r="A369" s="5" t="s">
        <v>7886</v>
      </c>
      <c r="B369" s="5" t="s">
        <v>83</v>
      </c>
      <c r="C369" s="5"/>
      <c r="D369" s="5" t="s">
        <v>7885</v>
      </c>
      <c r="E369" s="5"/>
      <c r="F369" s="5" t="s">
        <v>7884</v>
      </c>
      <c r="G369" s="5" t="s">
        <v>3059</v>
      </c>
      <c r="H369" s="5"/>
      <c r="I369" s="5"/>
      <c r="J369" s="5" t="s">
        <v>7883</v>
      </c>
    </row>
    <row r="370" spans="1:10" x14ac:dyDescent="0.2">
      <c r="A370" s="5" t="s">
        <v>7882</v>
      </c>
      <c r="B370" s="5" t="s">
        <v>83</v>
      </c>
      <c r="C370" s="5"/>
      <c r="D370" s="5" t="s">
        <v>7881</v>
      </c>
      <c r="E370" s="5"/>
      <c r="F370" s="5" t="s">
        <v>7875</v>
      </c>
      <c r="G370" s="5" t="s">
        <v>3059</v>
      </c>
      <c r="H370" s="5" t="s">
        <v>3</v>
      </c>
      <c r="I370" s="5"/>
      <c r="J370" s="5"/>
    </row>
    <row r="371" spans="1:10" ht="25.5" x14ac:dyDescent="0.2">
      <c r="A371" s="5" t="s">
        <v>7880</v>
      </c>
      <c r="B371" s="5" t="s">
        <v>83</v>
      </c>
      <c r="C371" s="5"/>
      <c r="D371" s="5" t="s">
        <v>7448</v>
      </c>
      <c r="E371" s="5" t="s">
        <v>138</v>
      </c>
      <c r="F371" s="5" t="s">
        <v>7879</v>
      </c>
      <c r="G371" s="5" t="s">
        <v>91</v>
      </c>
      <c r="H371" s="5" t="s">
        <v>3</v>
      </c>
      <c r="I371" s="5"/>
      <c r="J371" s="5" t="s">
        <v>7878</v>
      </c>
    </row>
    <row r="372" spans="1:10" x14ac:dyDescent="0.2">
      <c r="A372" s="5" t="s">
        <v>7877</v>
      </c>
      <c r="B372" s="5" t="s">
        <v>83</v>
      </c>
      <c r="C372" s="5"/>
      <c r="D372" s="5" t="s">
        <v>7876</v>
      </c>
      <c r="E372" s="5"/>
      <c r="F372" s="5" t="s">
        <v>7875</v>
      </c>
      <c r="G372" s="5" t="s">
        <v>896</v>
      </c>
      <c r="H372" s="5" t="s">
        <v>3</v>
      </c>
      <c r="I372" s="5"/>
      <c r="J372" s="5" t="s">
        <v>7874</v>
      </c>
    </row>
    <row r="373" spans="1:10" ht="25.5" x14ac:dyDescent="0.2">
      <c r="A373" s="5" t="s">
        <v>7873</v>
      </c>
      <c r="B373" s="5" t="s">
        <v>83</v>
      </c>
      <c r="C373" s="5"/>
      <c r="D373" s="5" t="s">
        <v>7872</v>
      </c>
      <c r="E373" s="5"/>
      <c r="F373" s="5" t="s">
        <v>331</v>
      </c>
      <c r="G373" s="5" t="s">
        <v>357</v>
      </c>
      <c r="H373" s="5" t="s">
        <v>3</v>
      </c>
      <c r="I373" s="5"/>
      <c r="J373" s="5" t="s">
        <v>90</v>
      </c>
    </row>
    <row r="374" spans="1:10" x14ac:dyDescent="0.2">
      <c r="A374" s="5" t="s">
        <v>7871</v>
      </c>
      <c r="B374" s="5" t="s">
        <v>83</v>
      </c>
      <c r="C374" s="5"/>
      <c r="D374" s="5" t="s">
        <v>7869</v>
      </c>
      <c r="E374" s="5"/>
      <c r="F374" s="5" t="s">
        <v>7868</v>
      </c>
      <c r="G374" s="5" t="s">
        <v>122</v>
      </c>
      <c r="H374" s="5" t="s">
        <v>3</v>
      </c>
      <c r="I374" s="5"/>
      <c r="J374" s="5"/>
    </row>
    <row r="375" spans="1:10" x14ac:dyDescent="0.2">
      <c r="A375" s="5" t="s">
        <v>7870</v>
      </c>
      <c r="B375" s="5" t="s">
        <v>83</v>
      </c>
      <c r="C375" s="5"/>
      <c r="D375" s="5" t="s">
        <v>7869</v>
      </c>
      <c r="E375" s="5"/>
      <c r="F375" s="5" t="s">
        <v>7868</v>
      </c>
      <c r="G375" s="5" t="s">
        <v>155</v>
      </c>
      <c r="H375" s="5" t="s">
        <v>3</v>
      </c>
      <c r="I375" s="5"/>
      <c r="J375" s="5" t="s">
        <v>7867</v>
      </c>
    </row>
    <row r="376" spans="1:10" x14ac:dyDescent="0.2">
      <c r="A376" s="5" t="s">
        <v>7866</v>
      </c>
      <c r="B376" s="5" t="s">
        <v>83</v>
      </c>
      <c r="C376" s="5"/>
      <c r="D376" s="5" t="s">
        <v>7865</v>
      </c>
      <c r="E376" s="5"/>
      <c r="F376" s="5" t="s">
        <v>7864</v>
      </c>
      <c r="G376" s="5" t="s">
        <v>118</v>
      </c>
      <c r="H376" s="5" t="s">
        <v>3</v>
      </c>
      <c r="I376" s="5"/>
      <c r="J376" s="5" t="s">
        <v>7863</v>
      </c>
    </row>
    <row r="377" spans="1:10" x14ac:dyDescent="0.2">
      <c r="A377" s="5" t="s">
        <v>7862</v>
      </c>
      <c r="B377" s="5" t="s">
        <v>83</v>
      </c>
      <c r="C377" s="5"/>
      <c r="D377" s="5" t="s">
        <v>7861</v>
      </c>
      <c r="E377" s="5"/>
      <c r="F377" s="5" t="s">
        <v>7860</v>
      </c>
      <c r="G377" s="5" t="s">
        <v>105</v>
      </c>
      <c r="H377" s="5" t="s">
        <v>3</v>
      </c>
      <c r="I377" s="5"/>
      <c r="J377" s="5" t="s">
        <v>7859</v>
      </c>
    </row>
    <row r="378" spans="1:10" x14ac:dyDescent="0.2">
      <c r="A378" s="5" t="s">
        <v>7858</v>
      </c>
      <c r="B378" s="5" t="s">
        <v>83</v>
      </c>
      <c r="C378" s="5"/>
      <c r="D378" s="5" t="s">
        <v>7857</v>
      </c>
      <c r="E378" s="5"/>
      <c r="F378" s="5" t="s">
        <v>7856</v>
      </c>
      <c r="G378" s="5" t="s">
        <v>6385</v>
      </c>
      <c r="H378" s="5" t="s">
        <v>3</v>
      </c>
      <c r="I378" s="5"/>
      <c r="J378" s="5"/>
    </row>
    <row r="379" spans="1:10" x14ac:dyDescent="0.2">
      <c r="A379" s="5" t="s">
        <v>7855</v>
      </c>
      <c r="B379" s="5" t="s">
        <v>83</v>
      </c>
      <c r="C379" s="5"/>
      <c r="D379" s="5" t="s">
        <v>7854</v>
      </c>
      <c r="E379" s="5"/>
      <c r="F379" s="5" t="s">
        <v>7853</v>
      </c>
      <c r="G379" s="5" t="s">
        <v>91</v>
      </c>
      <c r="H379" s="5" t="s">
        <v>3</v>
      </c>
      <c r="I379" s="5"/>
      <c r="J379" s="5"/>
    </row>
    <row r="380" spans="1:10" x14ac:dyDescent="0.2">
      <c r="A380" s="5" t="s">
        <v>7852</v>
      </c>
      <c r="B380" s="5" t="s">
        <v>83</v>
      </c>
      <c r="C380" s="5"/>
      <c r="D380" s="5" t="s">
        <v>7851</v>
      </c>
      <c r="E380" s="5"/>
      <c r="F380" s="5" t="s">
        <v>7850</v>
      </c>
      <c r="G380" s="5" t="s">
        <v>229</v>
      </c>
      <c r="H380" s="5" t="s">
        <v>3</v>
      </c>
      <c r="I380" s="5"/>
      <c r="J380" s="5" t="s">
        <v>7849</v>
      </c>
    </row>
    <row r="381" spans="1:10" x14ac:dyDescent="0.2">
      <c r="A381" s="5" t="s">
        <v>7848</v>
      </c>
      <c r="B381" s="5" t="s">
        <v>83</v>
      </c>
      <c r="C381" s="5"/>
      <c r="D381" s="5" t="s">
        <v>7847</v>
      </c>
      <c r="E381" s="5"/>
      <c r="F381" s="5"/>
      <c r="G381" s="5" t="s">
        <v>229</v>
      </c>
      <c r="H381" s="5" t="s">
        <v>3</v>
      </c>
      <c r="I381" s="5"/>
      <c r="J381" s="5"/>
    </row>
    <row r="382" spans="1:10" ht="25.5" x14ac:dyDescent="0.2">
      <c r="A382" s="5" t="s">
        <v>7845</v>
      </c>
      <c r="B382" s="5" t="s">
        <v>83</v>
      </c>
      <c r="C382" s="5"/>
      <c r="D382" s="5" t="s">
        <v>7846</v>
      </c>
      <c r="E382" s="5"/>
      <c r="F382" s="5" t="s">
        <v>7845</v>
      </c>
      <c r="G382" s="5" t="s">
        <v>3059</v>
      </c>
      <c r="H382" s="5" t="s">
        <v>137</v>
      </c>
      <c r="I382" s="5" t="s">
        <v>7844</v>
      </c>
      <c r="J382" s="5" t="s">
        <v>7388</v>
      </c>
    </row>
    <row r="383" spans="1:10" x14ac:dyDescent="0.2">
      <c r="A383" s="5" t="s">
        <v>7843</v>
      </c>
      <c r="B383" s="5" t="s">
        <v>83</v>
      </c>
      <c r="C383" s="5"/>
      <c r="D383" s="5" t="s">
        <v>7842</v>
      </c>
      <c r="E383" s="5"/>
      <c r="F383" s="5" t="s">
        <v>7841</v>
      </c>
      <c r="G383" s="5" t="s">
        <v>105</v>
      </c>
      <c r="H383" s="5" t="s">
        <v>3</v>
      </c>
      <c r="I383" s="5"/>
      <c r="J383" s="5" t="s">
        <v>7840</v>
      </c>
    </row>
    <row r="384" spans="1:10" x14ac:dyDescent="0.2">
      <c r="A384" s="5" t="s">
        <v>7839</v>
      </c>
      <c r="B384" s="5" t="s">
        <v>83</v>
      </c>
      <c r="C384" s="5"/>
      <c r="D384" s="5" t="s">
        <v>7838</v>
      </c>
      <c r="E384" s="5"/>
      <c r="F384" s="5" t="s">
        <v>7837</v>
      </c>
      <c r="G384" s="5" t="s">
        <v>105</v>
      </c>
      <c r="H384" s="5" t="s">
        <v>3</v>
      </c>
      <c r="I384" s="5"/>
      <c r="J384" s="5"/>
    </row>
    <row r="385" spans="1:10" ht="25.5" x14ac:dyDescent="0.2">
      <c r="A385" s="5" t="s">
        <v>7836</v>
      </c>
      <c r="B385" s="5" t="s">
        <v>83</v>
      </c>
      <c r="C385" s="5"/>
      <c r="D385" s="5" t="s">
        <v>7835</v>
      </c>
      <c r="E385" s="5" t="s">
        <v>138</v>
      </c>
      <c r="F385" s="5" t="s">
        <v>331</v>
      </c>
      <c r="G385" s="5" t="s">
        <v>6518</v>
      </c>
      <c r="H385" s="5" t="s">
        <v>3</v>
      </c>
      <c r="I385" s="5"/>
      <c r="J385" s="5" t="s">
        <v>90</v>
      </c>
    </row>
    <row r="386" spans="1:10" x14ac:dyDescent="0.2">
      <c r="A386" s="5" t="s">
        <v>7834</v>
      </c>
      <c r="B386" s="5" t="s">
        <v>83</v>
      </c>
      <c r="C386" s="5"/>
      <c r="D386" s="5" t="s">
        <v>7833</v>
      </c>
      <c r="E386" s="5" t="s">
        <v>288</v>
      </c>
      <c r="F386" s="5" t="s">
        <v>7832</v>
      </c>
      <c r="G386" s="5" t="s">
        <v>91</v>
      </c>
      <c r="H386" s="5" t="s">
        <v>3</v>
      </c>
      <c r="I386" s="5"/>
      <c r="J386" s="5"/>
    </row>
    <row r="387" spans="1:10" x14ac:dyDescent="0.2">
      <c r="A387" s="5" t="s">
        <v>7830</v>
      </c>
      <c r="B387" s="5" t="s">
        <v>83</v>
      </c>
      <c r="C387" s="5"/>
      <c r="D387" s="5" t="s">
        <v>7831</v>
      </c>
      <c r="E387" s="5"/>
      <c r="F387" s="5" t="s">
        <v>7830</v>
      </c>
      <c r="G387" s="5" t="s">
        <v>702</v>
      </c>
      <c r="H387" s="5" t="s">
        <v>3</v>
      </c>
      <c r="I387" s="5"/>
      <c r="J387" s="5" t="s">
        <v>7829</v>
      </c>
    </row>
    <row r="388" spans="1:10" ht="25.5" x14ac:dyDescent="0.2">
      <c r="A388" s="5" t="s">
        <v>7828</v>
      </c>
      <c r="B388" s="5" t="s">
        <v>83</v>
      </c>
      <c r="C388" s="5"/>
      <c r="D388" s="5" t="s">
        <v>7827</v>
      </c>
      <c r="E388" s="5"/>
      <c r="F388" s="5" t="s">
        <v>7826</v>
      </c>
      <c r="G388" s="5" t="s">
        <v>105</v>
      </c>
      <c r="H388" s="5" t="s">
        <v>137</v>
      </c>
      <c r="I388" s="5"/>
      <c r="J388" s="5"/>
    </row>
    <row r="389" spans="1:10" x14ac:dyDescent="0.2">
      <c r="A389" s="5" t="s">
        <v>7825</v>
      </c>
      <c r="B389" s="5" t="s">
        <v>83</v>
      </c>
      <c r="C389" s="5"/>
      <c r="D389" s="5" t="s">
        <v>7824</v>
      </c>
      <c r="E389" s="5" t="s">
        <v>93</v>
      </c>
      <c r="F389" s="5" t="s">
        <v>7823</v>
      </c>
      <c r="G389" s="5" t="s">
        <v>6584</v>
      </c>
      <c r="H389" s="5" t="s">
        <v>3</v>
      </c>
      <c r="I389" s="5"/>
      <c r="J389" s="5"/>
    </row>
    <row r="390" spans="1:10" x14ac:dyDescent="0.2">
      <c r="A390" s="5" t="s">
        <v>7822</v>
      </c>
      <c r="B390" s="5" t="s">
        <v>83</v>
      </c>
      <c r="C390" s="5"/>
      <c r="D390" s="5" t="s">
        <v>7821</v>
      </c>
      <c r="E390" s="5" t="s">
        <v>93</v>
      </c>
      <c r="F390" s="5" t="s">
        <v>7820</v>
      </c>
      <c r="G390" s="5" t="s">
        <v>6584</v>
      </c>
      <c r="H390" s="5" t="s">
        <v>3</v>
      </c>
      <c r="I390" s="5"/>
      <c r="J390" s="5"/>
    </row>
    <row r="391" spans="1:10" x14ac:dyDescent="0.2">
      <c r="A391" s="5" t="s">
        <v>7819</v>
      </c>
      <c r="B391" s="5" t="s">
        <v>83</v>
      </c>
      <c r="C391" s="5"/>
      <c r="D391" s="5" t="s">
        <v>7818</v>
      </c>
      <c r="E391" s="5"/>
      <c r="F391" s="5" t="s">
        <v>7817</v>
      </c>
      <c r="G391" s="5" t="s">
        <v>3059</v>
      </c>
      <c r="H391" s="5" t="s">
        <v>3</v>
      </c>
      <c r="I391" s="5"/>
      <c r="J391" s="5"/>
    </row>
    <row r="392" spans="1:10" x14ac:dyDescent="0.2">
      <c r="A392" s="5" t="s">
        <v>7816</v>
      </c>
      <c r="B392" s="5" t="s">
        <v>83</v>
      </c>
      <c r="C392" s="5"/>
      <c r="D392" s="5" t="s">
        <v>4821</v>
      </c>
      <c r="E392" s="5" t="s">
        <v>150</v>
      </c>
      <c r="F392" s="5" t="s">
        <v>311</v>
      </c>
      <c r="G392" s="5" t="s">
        <v>148</v>
      </c>
      <c r="H392" s="5" t="s">
        <v>3</v>
      </c>
      <c r="I392" s="5"/>
      <c r="J392" s="5"/>
    </row>
    <row r="393" spans="1:10" x14ac:dyDescent="0.2">
      <c r="A393" s="5" t="s">
        <v>7815</v>
      </c>
      <c r="B393" s="5" t="s">
        <v>83</v>
      </c>
      <c r="C393" s="5"/>
      <c r="D393" s="5" t="s">
        <v>7814</v>
      </c>
      <c r="E393" s="5"/>
      <c r="F393" s="5" t="s">
        <v>7813</v>
      </c>
      <c r="G393" s="5" t="s">
        <v>170</v>
      </c>
      <c r="H393" s="5" t="s">
        <v>3</v>
      </c>
      <c r="I393" s="5"/>
      <c r="J393" s="5" t="s">
        <v>7812</v>
      </c>
    </row>
    <row r="394" spans="1:10" x14ac:dyDescent="0.2">
      <c r="A394" s="5" t="s">
        <v>7811</v>
      </c>
      <c r="B394" s="5" t="s">
        <v>83</v>
      </c>
      <c r="C394" s="5"/>
      <c r="D394" s="5" t="s">
        <v>7755</v>
      </c>
      <c r="E394" s="5" t="s">
        <v>150</v>
      </c>
      <c r="F394" s="5" t="s">
        <v>7810</v>
      </c>
      <c r="G394" s="5" t="s">
        <v>148</v>
      </c>
      <c r="H394" s="5" t="s">
        <v>137</v>
      </c>
      <c r="I394" s="5"/>
      <c r="J394" s="5"/>
    </row>
    <row r="395" spans="1:10" x14ac:dyDescent="0.2">
      <c r="A395" s="5" t="s">
        <v>7809</v>
      </c>
      <c r="B395" s="5" t="s">
        <v>83</v>
      </c>
      <c r="C395" s="5"/>
      <c r="D395" s="5" t="s">
        <v>7808</v>
      </c>
      <c r="E395" s="5"/>
      <c r="F395" s="5" t="s">
        <v>7807</v>
      </c>
      <c r="G395" s="5" t="s">
        <v>105</v>
      </c>
      <c r="H395" s="5" t="s">
        <v>137</v>
      </c>
      <c r="I395" s="5"/>
      <c r="J395" s="5"/>
    </row>
    <row r="396" spans="1:10" x14ac:dyDescent="0.2">
      <c r="A396" s="5" t="s">
        <v>7806</v>
      </c>
      <c r="B396" s="5" t="s">
        <v>83</v>
      </c>
      <c r="C396" s="5"/>
      <c r="D396" s="5" t="s">
        <v>7708</v>
      </c>
      <c r="E396" s="5"/>
      <c r="F396" s="5" t="s">
        <v>7661</v>
      </c>
      <c r="G396" s="5" t="s">
        <v>122</v>
      </c>
      <c r="H396" s="5" t="s">
        <v>3</v>
      </c>
      <c r="I396" s="5"/>
      <c r="J396" s="5" t="s">
        <v>7707</v>
      </c>
    </row>
    <row r="397" spans="1:10" x14ac:dyDescent="0.2">
      <c r="A397" s="5" t="s">
        <v>7805</v>
      </c>
      <c r="B397" s="5" t="s">
        <v>83</v>
      </c>
      <c r="C397" s="5"/>
      <c r="D397" s="5" t="s">
        <v>7670</v>
      </c>
      <c r="E397" s="5"/>
      <c r="F397" s="5" t="s">
        <v>7804</v>
      </c>
      <c r="G397" s="5" t="s">
        <v>86</v>
      </c>
      <c r="H397" s="5" t="s">
        <v>3</v>
      </c>
      <c r="I397" s="5"/>
      <c r="J397" s="5"/>
    </row>
    <row r="398" spans="1:10" ht="25.5" x14ac:dyDescent="0.2">
      <c r="A398" s="5" t="s">
        <v>7803</v>
      </c>
      <c r="B398" s="5" t="s">
        <v>83</v>
      </c>
      <c r="C398" s="5"/>
      <c r="D398" s="5" t="s">
        <v>7802</v>
      </c>
      <c r="E398" s="5"/>
      <c r="F398" s="5" t="s">
        <v>7801</v>
      </c>
      <c r="G398" s="5" t="s">
        <v>315</v>
      </c>
      <c r="H398" s="5" t="s">
        <v>3</v>
      </c>
      <c r="I398" s="5"/>
      <c r="J398" s="5"/>
    </row>
    <row r="399" spans="1:10" x14ac:dyDescent="0.2">
      <c r="A399" s="5" t="s">
        <v>7800</v>
      </c>
      <c r="B399" s="5" t="s">
        <v>83</v>
      </c>
      <c r="C399" s="5"/>
      <c r="D399" s="5" t="s">
        <v>7799</v>
      </c>
      <c r="E399" s="5"/>
      <c r="F399" s="5" t="s">
        <v>7798</v>
      </c>
      <c r="G399" s="5" t="s">
        <v>122</v>
      </c>
      <c r="H399" s="5" t="s">
        <v>3</v>
      </c>
      <c r="I399" s="5"/>
      <c r="J399" s="5" t="s">
        <v>7707</v>
      </c>
    </row>
    <row r="400" spans="1:10" x14ac:dyDescent="0.2">
      <c r="A400" s="5" t="s">
        <v>7797</v>
      </c>
      <c r="B400" s="5" t="s">
        <v>83</v>
      </c>
      <c r="C400" s="5"/>
      <c r="D400" s="5">
        <v>1</v>
      </c>
      <c r="E400" s="5"/>
      <c r="F400" s="5"/>
      <c r="G400" s="5"/>
      <c r="H400" s="5"/>
      <c r="I400" s="5"/>
      <c r="J400" s="5"/>
    </row>
    <row r="401" spans="1:10" ht="25.5" x14ac:dyDescent="0.2">
      <c r="A401" s="5" t="s">
        <v>7796</v>
      </c>
      <c r="B401" s="5" t="s">
        <v>83</v>
      </c>
      <c r="C401" s="5"/>
      <c r="D401" s="5" t="s">
        <v>7795</v>
      </c>
      <c r="E401" s="5"/>
      <c r="F401" s="5" t="s">
        <v>7702</v>
      </c>
      <c r="G401" s="5" t="s">
        <v>315</v>
      </c>
      <c r="H401" s="5" t="s">
        <v>137</v>
      </c>
      <c r="I401" s="5" t="s">
        <v>7751</v>
      </c>
      <c r="J401" s="5"/>
    </row>
    <row r="402" spans="1:10" ht="25.5" x14ac:dyDescent="0.2">
      <c r="A402" s="5" t="s">
        <v>7794</v>
      </c>
      <c r="B402" s="5" t="s">
        <v>83</v>
      </c>
      <c r="C402" s="5"/>
      <c r="D402" s="5" t="s">
        <v>7793</v>
      </c>
      <c r="E402" s="5" t="s">
        <v>7792</v>
      </c>
      <c r="F402" s="5" t="s">
        <v>7788</v>
      </c>
      <c r="G402" s="5" t="s">
        <v>137</v>
      </c>
      <c r="H402" s="5"/>
      <c r="I402" s="5"/>
      <c r="J402" s="5"/>
    </row>
    <row r="403" spans="1:10" ht="38.25" x14ac:dyDescent="0.2">
      <c r="A403" s="5" t="s">
        <v>7791</v>
      </c>
      <c r="B403" s="5" t="s">
        <v>83</v>
      </c>
      <c r="C403" s="5"/>
      <c r="D403" s="5" t="s">
        <v>7790</v>
      </c>
      <c r="E403" s="5"/>
      <c r="F403" s="5" t="s">
        <v>7789</v>
      </c>
      <c r="G403" s="5" t="s">
        <v>7788</v>
      </c>
      <c r="H403" s="5" t="s">
        <v>137</v>
      </c>
      <c r="I403" s="5"/>
      <c r="J403" s="5"/>
    </row>
    <row r="404" spans="1:10" ht="25.5" x14ac:dyDescent="0.2">
      <c r="A404" s="5" t="s">
        <v>7787</v>
      </c>
      <c r="B404" s="5" t="s">
        <v>83</v>
      </c>
      <c r="C404" s="5"/>
      <c r="D404" s="5" t="s">
        <v>7786</v>
      </c>
      <c r="E404" s="5" t="s">
        <v>0</v>
      </c>
      <c r="F404" s="5" t="s">
        <v>7785</v>
      </c>
      <c r="G404" s="5" t="s">
        <v>7784</v>
      </c>
      <c r="H404" s="5" t="s">
        <v>3</v>
      </c>
      <c r="I404" s="5"/>
      <c r="J404" s="5"/>
    </row>
    <row r="405" spans="1:10" x14ac:dyDescent="0.2">
      <c r="A405" s="5" t="s">
        <v>7783</v>
      </c>
      <c r="B405" s="5" t="s">
        <v>83</v>
      </c>
      <c r="C405" s="5"/>
      <c r="D405" s="5" t="s">
        <v>7782</v>
      </c>
      <c r="E405" s="5" t="s">
        <v>93</v>
      </c>
      <c r="F405" s="5" t="s">
        <v>7781</v>
      </c>
      <c r="G405" s="5" t="s">
        <v>6584</v>
      </c>
      <c r="H405" s="5" t="s">
        <v>3</v>
      </c>
      <c r="I405" s="5"/>
      <c r="J405" s="5"/>
    </row>
    <row r="406" spans="1:10" x14ac:dyDescent="0.2">
      <c r="A406" s="5" t="s">
        <v>7780</v>
      </c>
      <c r="B406" s="5" t="s">
        <v>83</v>
      </c>
      <c r="C406" s="5"/>
      <c r="D406" s="5" t="s">
        <v>7779</v>
      </c>
      <c r="E406" s="5"/>
      <c r="F406" s="5" t="s">
        <v>7778</v>
      </c>
      <c r="G406" s="5" t="s">
        <v>4028</v>
      </c>
      <c r="H406" s="5" t="s">
        <v>137</v>
      </c>
      <c r="I406" s="5"/>
      <c r="J406" s="5"/>
    </row>
    <row r="407" spans="1:10" ht="25.5" x14ac:dyDescent="0.2">
      <c r="A407" s="5" t="s">
        <v>7777</v>
      </c>
      <c r="B407" s="5" t="s">
        <v>83</v>
      </c>
      <c r="C407" s="5"/>
      <c r="D407" s="5" t="s">
        <v>7776</v>
      </c>
      <c r="E407" s="5"/>
      <c r="F407" s="5" t="s">
        <v>6579</v>
      </c>
      <c r="G407" s="5" t="s">
        <v>105</v>
      </c>
      <c r="H407" s="5" t="s">
        <v>3</v>
      </c>
      <c r="I407" s="5"/>
      <c r="J407" s="5" t="s">
        <v>7775</v>
      </c>
    </row>
    <row r="408" spans="1:10" x14ac:dyDescent="0.2">
      <c r="A408" s="5" t="s">
        <v>7774</v>
      </c>
      <c r="B408" s="5" t="s">
        <v>83</v>
      </c>
      <c r="C408" s="5"/>
      <c r="D408" s="5" t="s">
        <v>6582</v>
      </c>
      <c r="E408" s="5"/>
      <c r="F408" s="5" t="s">
        <v>7773</v>
      </c>
      <c r="G408" s="5" t="s">
        <v>122</v>
      </c>
      <c r="H408" s="5" t="s">
        <v>3</v>
      </c>
      <c r="I408" s="5"/>
      <c r="J408" s="5" t="s">
        <v>7772</v>
      </c>
    </row>
    <row r="409" spans="1:10" ht="38.25" x14ac:dyDescent="0.2">
      <c r="A409" s="5" t="s">
        <v>7771</v>
      </c>
      <c r="B409" s="5" t="s">
        <v>83</v>
      </c>
      <c r="C409" s="5"/>
      <c r="D409" s="5" t="s">
        <v>7770</v>
      </c>
      <c r="E409" s="5"/>
      <c r="F409" s="5" t="s">
        <v>7769</v>
      </c>
      <c r="G409" s="5" t="s">
        <v>7768</v>
      </c>
      <c r="H409" s="5" t="s">
        <v>3</v>
      </c>
      <c r="I409" s="5"/>
      <c r="J409" s="5" t="s">
        <v>7767</v>
      </c>
    </row>
    <row r="410" spans="1:10" ht="25.5" x14ac:dyDescent="0.2">
      <c r="A410" s="5" t="s">
        <v>7766</v>
      </c>
      <c r="B410" s="5" t="s">
        <v>83</v>
      </c>
      <c r="C410" s="5"/>
      <c r="D410" s="5" t="s">
        <v>7765</v>
      </c>
      <c r="E410" s="5" t="s">
        <v>138</v>
      </c>
      <c r="F410" s="5" t="s">
        <v>331</v>
      </c>
      <c r="G410" s="5" t="s">
        <v>403</v>
      </c>
      <c r="H410" s="5" t="s">
        <v>3</v>
      </c>
      <c r="I410" s="5"/>
      <c r="J410" s="5" t="s">
        <v>7764</v>
      </c>
    </row>
    <row r="411" spans="1:10" x14ac:dyDescent="0.2">
      <c r="A411" s="5" t="s">
        <v>7763</v>
      </c>
      <c r="B411" s="5" t="s">
        <v>83</v>
      </c>
      <c r="C411" s="5"/>
      <c r="D411" s="5" t="s">
        <v>7762</v>
      </c>
      <c r="E411" s="5" t="s">
        <v>138</v>
      </c>
      <c r="F411" s="5" t="s">
        <v>7761</v>
      </c>
      <c r="G411" s="5" t="s">
        <v>91</v>
      </c>
      <c r="H411" s="5" t="s">
        <v>3</v>
      </c>
      <c r="I411" s="5"/>
      <c r="J411" s="5" t="s">
        <v>7760</v>
      </c>
    </row>
    <row r="412" spans="1:10" x14ac:dyDescent="0.2">
      <c r="A412" s="5" t="s">
        <v>7759</v>
      </c>
      <c r="B412" s="5" t="s">
        <v>83</v>
      </c>
      <c r="C412" s="5"/>
      <c r="D412" s="5" t="s">
        <v>7758</v>
      </c>
      <c r="E412" s="5"/>
      <c r="F412" s="5" t="s">
        <v>7757</v>
      </c>
      <c r="G412" s="5" t="s">
        <v>105</v>
      </c>
      <c r="H412" s="5" t="s">
        <v>137</v>
      </c>
      <c r="I412" s="5"/>
      <c r="J412" s="5"/>
    </row>
    <row r="413" spans="1:10" ht="38.25" x14ac:dyDescent="0.2">
      <c r="A413" s="5" t="s">
        <v>7756</v>
      </c>
      <c r="B413" s="5" t="s">
        <v>83</v>
      </c>
      <c r="C413" s="5"/>
      <c r="D413" s="5" t="s">
        <v>7755</v>
      </c>
      <c r="E413" s="5" t="s">
        <v>150</v>
      </c>
      <c r="F413" s="5" t="s">
        <v>4589</v>
      </c>
      <c r="G413" s="5" t="s">
        <v>148</v>
      </c>
      <c r="H413" s="5" t="s">
        <v>137</v>
      </c>
      <c r="I413" s="5" t="s">
        <v>7751</v>
      </c>
      <c r="J413" s="5" t="s">
        <v>4592</v>
      </c>
    </row>
    <row r="414" spans="1:10" ht="25.5" x14ac:dyDescent="0.2">
      <c r="A414" s="5" t="s">
        <v>7754</v>
      </c>
      <c r="B414" s="5" t="s">
        <v>83</v>
      </c>
      <c r="C414" s="5"/>
      <c r="D414" s="5" t="s">
        <v>7753</v>
      </c>
      <c r="E414" s="5"/>
      <c r="F414" s="5" t="s">
        <v>7752</v>
      </c>
      <c r="G414" s="5" t="s">
        <v>224</v>
      </c>
      <c r="H414" s="5" t="s">
        <v>137</v>
      </c>
      <c r="I414" s="5" t="s">
        <v>7751</v>
      </c>
      <c r="J414" s="5"/>
    </row>
    <row r="415" spans="1:10" ht="38.25" x14ac:dyDescent="0.2">
      <c r="A415" s="5" t="s">
        <v>7750</v>
      </c>
      <c r="B415" s="5" t="s">
        <v>83</v>
      </c>
      <c r="C415" s="5"/>
      <c r="D415" s="5" t="s">
        <v>7749</v>
      </c>
      <c r="E415" s="5"/>
      <c r="F415" s="5" t="s">
        <v>7748</v>
      </c>
      <c r="G415" s="5" t="s">
        <v>3059</v>
      </c>
      <c r="H415" s="5" t="s">
        <v>3</v>
      </c>
      <c r="I415" s="5"/>
      <c r="J415" s="5" t="s">
        <v>7747</v>
      </c>
    </row>
    <row r="416" spans="1:10" ht="25.5" x14ac:dyDescent="0.2">
      <c r="A416" s="5" t="s">
        <v>7746</v>
      </c>
      <c r="B416" s="5" t="s">
        <v>83</v>
      </c>
      <c r="C416" s="5"/>
      <c r="D416" s="5" t="s">
        <v>7745</v>
      </c>
      <c r="E416" s="5"/>
      <c r="F416" s="5" t="s">
        <v>7744</v>
      </c>
      <c r="G416" s="5" t="s">
        <v>105</v>
      </c>
      <c r="H416" s="5" t="s">
        <v>3</v>
      </c>
      <c r="I416" s="5"/>
      <c r="J416" s="5"/>
    </row>
    <row r="417" spans="1:10" x14ac:dyDescent="0.2">
      <c r="A417" s="5" t="s">
        <v>7736</v>
      </c>
      <c r="B417" s="5" t="s">
        <v>83</v>
      </c>
      <c r="C417" s="5"/>
      <c r="D417" s="5" t="s">
        <v>7743</v>
      </c>
      <c r="E417" s="5"/>
      <c r="F417" s="5" t="s">
        <v>7742</v>
      </c>
      <c r="G417" s="5" t="s">
        <v>6584</v>
      </c>
      <c r="H417" s="5" t="s">
        <v>3</v>
      </c>
      <c r="I417" s="5"/>
      <c r="J417" s="5"/>
    </row>
    <row r="418" spans="1:10" x14ac:dyDescent="0.2">
      <c r="A418" s="5" t="s">
        <v>7741</v>
      </c>
      <c r="B418" s="5" t="s">
        <v>83</v>
      </c>
      <c r="C418" s="5"/>
      <c r="D418" s="5" t="s">
        <v>7740</v>
      </c>
      <c r="E418" s="5" t="s">
        <v>138</v>
      </c>
      <c r="F418" s="5" t="s">
        <v>7739</v>
      </c>
      <c r="G418" s="5" t="s">
        <v>702</v>
      </c>
      <c r="H418" s="5" t="s">
        <v>3</v>
      </c>
      <c r="I418" s="5"/>
      <c r="J418" s="5"/>
    </row>
    <row r="419" spans="1:10" x14ac:dyDescent="0.2">
      <c r="A419" s="5" t="s">
        <v>7738</v>
      </c>
      <c r="B419" s="5" t="s">
        <v>83</v>
      </c>
      <c r="C419" s="5"/>
      <c r="D419" s="5" t="s">
        <v>7737</v>
      </c>
      <c r="E419" s="5"/>
      <c r="F419" s="5" t="s">
        <v>7736</v>
      </c>
      <c r="G419" s="5" t="s">
        <v>283</v>
      </c>
      <c r="H419" s="5" t="s">
        <v>137</v>
      </c>
      <c r="I419" s="5"/>
      <c r="J419" s="5"/>
    </row>
    <row r="420" spans="1:10" x14ac:dyDescent="0.2">
      <c r="A420" s="5" t="s">
        <v>7735</v>
      </c>
      <c r="B420" s="5" t="s">
        <v>83</v>
      </c>
      <c r="C420" s="5"/>
      <c r="D420" s="5" t="s">
        <v>7734</v>
      </c>
      <c r="E420" s="5"/>
      <c r="F420" s="5" t="s">
        <v>7733</v>
      </c>
      <c r="G420" s="5" t="s">
        <v>105</v>
      </c>
      <c r="H420" s="5" t="s">
        <v>3</v>
      </c>
      <c r="I420" s="5"/>
      <c r="J420" s="5" t="s">
        <v>7732</v>
      </c>
    </row>
    <row r="421" spans="1:10" ht="25.5" x14ac:dyDescent="0.2">
      <c r="A421" s="5" t="s">
        <v>7731</v>
      </c>
      <c r="B421" s="5" t="s">
        <v>83</v>
      </c>
      <c r="C421" s="5"/>
      <c r="D421" s="5" t="s">
        <v>7730</v>
      </c>
      <c r="E421" s="5" t="s">
        <v>138</v>
      </c>
      <c r="F421" s="5" t="s">
        <v>331</v>
      </c>
      <c r="G421" s="5" t="s">
        <v>6518</v>
      </c>
      <c r="H421" s="5" t="s">
        <v>3</v>
      </c>
      <c r="I421" s="5"/>
      <c r="J421" s="5" t="s">
        <v>90</v>
      </c>
    </row>
    <row r="422" spans="1:10" ht="25.5" x14ac:dyDescent="0.2">
      <c r="A422" s="5" t="s">
        <v>7729</v>
      </c>
      <c r="B422" s="5" t="s">
        <v>83</v>
      </c>
      <c r="C422" s="5"/>
      <c r="D422" s="5" t="s">
        <v>7728</v>
      </c>
      <c r="E422" s="5" t="s">
        <v>138</v>
      </c>
      <c r="F422" s="5" t="s">
        <v>331</v>
      </c>
      <c r="G422" s="5" t="s">
        <v>6518</v>
      </c>
      <c r="H422" s="5" t="s">
        <v>3</v>
      </c>
      <c r="I422" s="5"/>
      <c r="J422" s="5" t="s">
        <v>90</v>
      </c>
    </row>
    <row r="423" spans="1:10" ht="25.5" x14ac:dyDescent="0.2">
      <c r="A423" s="5" t="s">
        <v>7727</v>
      </c>
      <c r="B423" s="5" t="s">
        <v>83</v>
      </c>
      <c r="C423" s="5"/>
      <c r="D423" s="5" t="s">
        <v>7726</v>
      </c>
      <c r="E423" s="5" t="s">
        <v>368</v>
      </c>
      <c r="F423" s="5" t="s">
        <v>7725</v>
      </c>
      <c r="G423" s="5" t="s">
        <v>91</v>
      </c>
      <c r="H423" s="5" t="s">
        <v>3</v>
      </c>
      <c r="I423" s="5"/>
      <c r="J423" s="5" t="s">
        <v>7724</v>
      </c>
    </row>
    <row r="424" spans="1:10" ht="25.5" x14ac:dyDescent="0.2">
      <c r="A424" s="5" t="s">
        <v>7723</v>
      </c>
      <c r="B424" s="5" t="s">
        <v>83</v>
      </c>
      <c r="C424" s="5"/>
      <c r="D424" s="5" t="s">
        <v>7722</v>
      </c>
      <c r="E424" s="5" t="s">
        <v>138</v>
      </c>
      <c r="F424" s="5" t="s">
        <v>2833</v>
      </c>
      <c r="G424" s="5" t="s">
        <v>181</v>
      </c>
      <c r="H424" s="5" t="s">
        <v>3</v>
      </c>
      <c r="I424" s="5"/>
      <c r="J424" s="5" t="s">
        <v>7721</v>
      </c>
    </row>
    <row r="425" spans="1:10" ht="38.25" x14ac:dyDescent="0.2">
      <c r="A425" s="5" t="s">
        <v>7720</v>
      </c>
      <c r="B425" s="5" t="s">
        <v>83</v>
      </c>
      <c r="C425" s="5"/>
      <c r="D425" s="5" t="s">
        <v>7719</v>
      </c>
      <c r="E425" s="5" t="s">
        <v>150</v>
      </c>
      <c r="F425" s="5" t="s">
        <v>7361</v>
      </c>
      <c r="G425" s="5" t="s">
        <v>91</v>
      </c>
      <c r="H425" s="5" t="s">
        <v>3</v>
      </c>
      <c r="I425" s="5"/>
      <c r="J425" s="5" t="s">
        <v>7718</v>
      </c>
    </row>
    <row r="426" spans="1:10" ht="25.5" x14ac:dyDescent="0.2">
      <c r="A426" s="5" t="s">
        <v>7717</v>
      </c>
      <c r="B426" s="5" t="s">
        <v>83</v>
      </c>
      <c r="C426" s="5"/>
      <c r="D426" s="5" t="s">
        <v>7716</v>
      </c>
      <c r="E426" s="5" t="s">
        <v>150</v>
      </c>
      <c r="F426" s="5" t="s">
        <v>7676</v>
      </c>
      <c r="G426" s="5" t="s">
        <v>148</v>
      </c>
      <c r="H426" s="5" t="s">
        <v>3</v>
      </c>
      <c r="I426" s="5"/>
      <c r="J426" s="5" t="s">
        <v>7715</v>
      </c>
    </row>
    <row r="427" spans="1:10" ht="25.5" x14ac:dyDescent="0.2">
      <c r="A427" s="5" t="s">
        <v>7714</v>
      </c>
      <c r="B427" s="5" t="s">
        <v>83</v>
      </c>
      <c r="C427" s="5"/>
      <c r="D427" s="5" t="s">
        <v>7713</v>
      </c>
      <c r="E427" s="5"/>
      <c r="F427" s="5" t="s">
        <v>7667</v>
      </c>
      <c r="G427" s="5" t="s">
        <v>229</v>
      </c>
      <c r="H427" s="5" t="s">
        <v>3</v>
      </c>
      <c r="I427" s="5"/>
      <c r="J427" s="5" t="s">
        <v>7712</v>
      </c>
    </row>
    <row r="428" spans="1:10" x14ac:dyDescent="0.2">
      <c r="A428" s="5" t="s">
        <v>7711</v>
      </c>
      <c r="B428" s="5" t="s">
        <v>83</v>
      </c>
      <c r="C428" s="5"/>
      <c r="D428" s="5" t="s">
        <v>7710</v>
      </c>
      <c r="E428" s="5"/>
      <c r="F428" s="5" t="s">
        <v>6581</v>
      </c>
      <c r="G428" s="5" t="s">
        <v>122</v>
      </c>
      <c r="H428" s="5" t="s">
        <v>3</v>
      </c>
      <c r="I428" s="5"/>
      <c r="J428" s="5" t="s">
        <v>4575</v>
      </c>
    </row>
    <row r="429" spans="1:10" x14ac:dyDescent="0.2">
      <c r="A429" s="5" t="s">
        <v>7709</v>
      </c>
      <c r="B429" s="5" t="s">
        <v>83</v>
      </c>
      <c r="C429" s="5"/>
      <c r="D429" s="5" t="s">
        <v>7708</v>
      </c>
      <c r="E429" s="5"/>
      <c r="F429" s="5" t="s">
        <v>7661</v>
      </c>
      <c r="G429" s="5" t="s">
        <v>702</v>
      </c>
      <c r="H429" s="5" t="s">
        <v>3</v>
      </c>
      <c r="I429" s="5"/>
      <c r="J429" s="5" t="s">
        <v>7707</v>
      </c>
    </row>
    <row r="430" spans="1:10" x14ac:dyDescent="0.2">
      <c r="A430" s="5" t="s">
        <v>7706</v>
      </c>
      <c r="B430" s="5" t="s">
        <v>83</v>
      </c>
      <c r="C430" s="5"/>
      <c r="D430" s="5" t="s">
        <v>7705</v>
      </c>
      <c r="E430" s="5" t="s">
        <v>150</v>
      </c>
      <c r="F430" s="5" t="s">
        <v>7661</v>
      </c>
      <c r="G430" s="5" t="s">
        <v>148</v>
      </c>
      <c r="H430" s="5" t="s">
        <v>3</v>
      </c>
      <c r="I430" s="5"/>
      <c r="J430" s="5" t="s">
        <v>3077</v>
      </c>
    </row>
    <row r="431" spans="1:10" x14ac:dyDescent="0.2">
      <c r="A431" s="5" t="s">
        <v>7704</v>
      </c>
      <c r="B431" s="5" t="s">
        <v>83</v>
      </c>
      <c r="C431" s="5"/>
      <c r="D431" s="5" t="s">
        <v>7703</v>
      </c>
      <c r="E431" s="5"/>
      <c r="F431" s="5" t="s">
        <v>7702</v>
      </c>
      <c r="G431" s="5" t="s">
        <v>328</v>
      </c>
      <c r="H431" s="5" t="s">
        <v>3</v>
      </c>
      <c r="I431" s="5"/>
      <c r="J431" s="5"/>
    </row>
    <row r="432" spans="1:10" ht="25.5" x14ac:dyDescent="0.2">
      <c r="A432" s="5" t="s">
        <v>7701</v>
      </c>
      <c r="B432" s="5" t="s">
        <v>83</v>
      </c>
      <c r="C432" s="5"/>
      <c r="D432" s="5" t="s">
        <v>7700</v>
      </c>
      <c r="E432" s="5"/>
      <c r="F432" s="5" t="s">
        <v>7699</v>
      </c>
      <c r="G432" s="5" t="s">
        <v>328</v>
      </c>
      <c r="H432" s="5" t="s">
        <v>3</v>
      </c>
      <c r="I432" s="5"/>
      <c r="J432" s="5"/>
    </row>
    <row r="433" spans="1:10" ht="25.5" x14ac:dyDescent="0.2">
      <c r="A433" s="5" t="s">
        <v>7698</v>
      </c>
      <c r="B433" s="5" t="s">
        <v>83</v>
      </c>
      <c r="C433" s="5"/>
      <c r="D433" s="5" t="s">
        <v>7697</v>
      </c>
      <c r="E433" s="5"/>
      <c r="F433" s="5" t="s">
        <v>7696</v>
      </c>
      <c r="G433" s="5" t="s">
        <v>328</v>
      </c>
      <c r="H433" s="5" t="s">
        <v>3</v>
      </c>
      <c r="I433" s="5"/>
      <c r="J433" s="5"/>
    </row>
    <row r="434" spans="1:10" x14ac:dyDescent="0.2">
      <c r="A434" s="5" t="s">
        <v>7695</v>
      </c>
      <c r="B434" s="5" t="s">
        <v>83</v>
      </c>
      <c r="C434" s="5"/>
      <c r="D434" s="5" t="s">
        <v>7694</v>
      </c>
      <c r="E434" s="5" t="s">
        <v>150</v>
      </c>
      <c r="F434" s="5" t="s">
        <v>7693</v>
      </c>
      <c r="G434" s="5" t="s">
        <v>283</v>
      </c>
      <c r="H434" s="5" t="s">
        <v>3</v>
      </c>
      <c r="I434" s="5"/>
      <c r="J434" s="5" t="s">
        <v>7692</v>
      </c>
    </row>
    <row r="435" spans="1:10" x14ac:dyDescent="0.2">
      <c r="A435" s="5" t="s">
        <v>7691</v>
      </c>
      <c r="B435" s="5" t="s">
        <v>83</v>
      </c>
      <c r="C435" s="5"/>
      <c r="D435" s="5" t="s">
        <v>7690</v>
      </c>
      <c r="E435" s="5"/>
      <c r="F435" s="5" t="s">
        <v>7689</v>
      </c>
      <c r="G435" s="5" t="s">
        <v>3059</v>
      </c>
      <c r="H435" s="5" t="s">
        <v>3</v>
      </c>
      <c r="I435" s="5"/>
      <c r="J435" s="5" t="s">
        <v>7688</v>
      </c>
    </row>
    <row r="436" spans="1:10" ht="25.5" x14ac:dyDescent="0.2">
      <c r="A436" s="5" t="s">
        <v>7687</v>
      </c>
      <c r="B436" s="5" t="s">
        <v>83</v>
      </c>
      <c r="C436" s="5"/>
      <c r="D436" s="5" t="s">
        <v>7686</v>
      </c>
      <c r="E436" s="5" t="s">
        <v>150</v>
      </c>
      <c r="F436" s="5" t="s">
        <v>7682</v>
      </c>
      <c r="G436" s="5" t="s">
        <v>91</v>
      </c>
      <c r="H436" s="5" t="s">
        <v>3</v>
      </c>
      <c r="I436" s="5"/>
      <c r="J436" s="5" t="s">
        <v>7685</v>
      </c>
    </row>
    <row r="437" spans="1:10" ht="25.5" x14ac:dyDescent="0.2">
      <c r="A437" s="5" t="s">
        <v>7684</v>
      </c>
      <c r="B437" s="5" t="s">
        <v>83</v>
      </c>
      <c r="C437" s="5"/>
      <c r="D437" s="5" t="s">
        <v>7683</v>
      </c>
      <c r="E437" s="5"/>
      <c r="F437" s="5" t="s">
        <v>7682</v>
      </c>
      <c r="G437" s="5" t="s">
        <v>315</v>
      </c>
      <c r="H437" s="5" t="s">
        <v>3</v>
      </c>
      <c r="I437" s="5"/>
      <c r="J437" s="5" t="s">
        <v>7681</v>
      </c>
    </row>
    <row r="438" spans="1:10" x14ac:dyDescent="0.2">
      <c r="A438" s="5" t="s">
        <v>7680</v>
      </c>
      <c r="B438" s="5" t="s">
        <v>83</v>
      </c>
      <c r="C438" s="5"/>
      <c r="D438" s="5" t="s">
        <v>7679</v>
      </c>
      <c r="E438" s="5" t="s">
        <v>150</v>
      </c>
      <c r="F438" s="5" t="s">
        <v>7523</v>
      </c>
      <c r="G438" s="5" t="s">
        <v>181</v>
      </c>
      <c r="H438" s="5"/>
      <c r="I438" s="5"/>
      <c r="J438" s="5" t="s">
        <v>7522</v>
      </c>
    </row>
    <row r="439" spans="1:10" ht="25.5" x14ac:dyDescent="0.2">
      <c r="A439" s="5" t="s">
        <v>7678</v>
      </c>
      <c r="B439" s="5" t="s">
        <v>83</v>
      </c>
      <c r="C439" s="5"/>
      <c r="D439" s="5" t="s">
        <v>7677</v>
      </c>
      <c r="E439" s="5" t="s">
        <v>150</v>
      </c>
      <c r="F439" s="5" t="s">
        <v>7676</v>
      </c>
      <c r="G439" s="5" t="s">
        <v>148</v>
      </c>
      <c r="H439" s="5" t="s">
        <v>3</v>
      </c>
      <c r="I439" s="5"/>
      <c r="J439" s="5" t="s">
        <v>7675</v>
      </c>
    </row>
    <row r="440" spans="1:10" x14ac:dyDescent="0.2">
      <c r="A440" s="5" t="s">
        <v>7674</v>
      </c>
      <c r="B440" s="5" t="s">
        <v>83</v>
      </c>
      <c r="C440" s="5"/>
      <c r="D440" s="5" t="s">
        <v>7673</v>
      </c>
      <c r="E440" s="5"/>
      <c r="F440" s="5" t="s">
        <v>7667</v>
      </c>
      <c r="G440" s="5" t="s">
        <v>229</v>
      </c>
      <c r="H440" s="5" t="s">
        <v>3</v>
      </c>
      <c r="I440" s="5"/>
      <c r="J440" s="5" t="s">
        <v>7672</v>
      </c>
    </row>
    <row r="441" spans="1:10" x14ac:dyDescent="0.2">
      <c r="A441" s="5" t="s">
        <v>7671</v>
      </c>
      <c r="B441" s="5" t="s">
        <v>83</v>
      </c>
      <c r="C441" s="5"/>
      <c r="D441" s="5" t="s">
        <v>7670</v>
      </c>
      <c r="E441" s="5"/>
      <c r="F441" s="5" t="s">
        <v>6581</v>
      </c>
      <c r="G441" s="5" t="s">
        <v>122</v>
      </c>
      <c r="H441" s="5" t="s">
        <v>3</v>
      </c>
      <c r="I441" s="5"/>
      <c r="J441" s="5"/>
    </row>
    <row r="442" spans="1:10" ht="25.5" x14ac:dyDescent="0.2">
      <c r="A442" s="5" t="s">
        <v>7669</v>
      </c>
      <c r="B442" s="5" t="s">
        <v>83</v>
      </c>
      <c r="C442" s="5"/>
      <c r="D442" s="5" t="s">
        <v>7668</v>
      </c>
      <c r="E442" s="5"/>
      <c r="F442" s="5" t="s">
        <v>7667</v>
      </c>
      <c r="G442" s="5" t="s">
        <v>229</v>
      </c>
      <c r="H442" s="5" t="s">
        <v>3</v>
      </c>
      <c r="I442" s="5"/>
      <c r="J442" s="5" t="s">
        <v>7666</v>
      </c>
    </row>
    <row r="443" spans="1:10" x14ac:dyDescent="0.2">
      <c r="A443" s="5" t="s">
        <v>7665</v>
      </c>
      <c r="B443" s="5" t="s">
        <v>83</v>
      </c>
      <c r="C443" s="5"/>
      <c r="D443" s="5" t="s">
        <v>7664</v>
      </c>
      <c r="E443" s="5" t="s">
        <v>288</v>
      </c>
      <c r="F443" s="5" t="s">
        <v>7663</v>
      </c>
      <c r="G443" s="5" t="s">
        <v>91</v>
      </c>
      <c r="H443" s="5" t="s">
        <v>3</v>
      </c>
      <c r="I443" s="5"/>
      <c r="J443" s="5"/>
    </row>
    <row r="444" spans="1:10" x14ac:dyDescent="0.2">
      <c r="A444" s="5" t="s">
        <v>7662</v>
      </c>
      <c r="B444" s="5" t="s">
        <v>83</v>
      </c>
      <c r="C444" s="5"/>
      <c r="D444" s="5" t="s">
        <v>6582</v>
      </c>
      <c r="E444" s="5"/>
      <c r="F444" s="5" t="s">
        <v>7661</v>
      </c>
      <c r="G444" s="5" t="s">
        <v>122</v>
      </c>
      <c r="H444" s="5" t="s">
        <v>3</v>
      </c>
      <c r="I444" s="5"/>
      <c r="J444" s="5"/>
    </row>
    <row r="445" spans="1:10" ht="25.5" x14ac:dyDescent="0.2">
      <c r="A445" s="5" t="s">
        <v>7660</v>
      </c>
      <c r="B445" s="5" t="s">
        <v>83</v>
      </c>
      <c r="C445" s="5"/>
      <c r="D445" s="5" t="s">
        <v>7659</v>
      </c>
      <c r="E445" s="5" t="s">
        <v>138</v>
      </c>
      <c r="F445" s="5" t="s">
        <v>7658</v>
      </c>
      <c r="G445" s="5" t="s">
        <v>91</v>
      </c>
      <c r="H445" s="5" t="s">
        <v>3</v>
      </c>
      <c r="I445" s="5"/>
      <c r="J445" s="5"/>
    </row>
    <row r="446" spans="1:10" x14ac:dyDescent="0.2">
      <c r="A446" s="5" t="s">
        <v>7657</v>
      </c>
      <c r="B446" s="5" t="s">
        <v>83</v>
      </c>
      <c r="C446" s="5"/>
      <c r="D446" s="5" t="s">
        <v>5503</v>
      </c>
      <c r="E446" s="5"/>
      <c r="F446" s="5" t="s">
        <v>7657</v>
      </c>
      <c r="G446" s="5" t="s">
        <v>328</v>
      </c>
      <c r="H446" s="5" t="s">
        <v>3</v>
      </c>
      <c r="I446" s="5"/>
      <c r="J446" s="5" t="s">
        <v>7656</v>
      </c>
    </row>
    <row r="447" spans="1:10" x14ac:dyDescent="0.2">
      <c r="A447" s="5" t="s">
        <v>7655</v>
      </c>
      <c r="B447" s="5" t="s">
        <v>83</v>
      </c>
      <c r="C447" s="5"/>
      <c r="D447" s="5" t="s">
        <v>7654</v>
      </c>
      <c r="E447" s="5"/>
      <c r="F447" s="5" t="s">
        <v>7653</v>
      </c>
      <c r="G447" s="5" t="s">
        <v>7296</v>
      </c>
      <c r="H447" s="5" t="s">
        <v>3</v>
      </c>
      <c r="I447" s="5"/>
      <c r="J447" s="5"/>
    </row>
    <row r="448" spans="1:10" x14ac:dyDescent="0.2">
      <c r="A448" s="5" t="s">
        <v>7652</v>
      </c>
      <c r="B448" s="5" t="s">
        <v>83</v>
      </c>
      <c r="C448" s="5"/>
      <c r="D448" s="5" t="s">
        <v>7651</v>
      </c>
      <c r="E448" s="5"/>
      <c r="F448" s="5" t="s">
        <v>7644</v>
      </c>
      <c r="G448" s="5" t="s">
        <v>173</v>
      </c>
      <c r="H448" s="5" t="s">
        <v>3</v>
      </c>
      <c r="I448" s="5"/>
      <c r="J448" s="5" t="s">
        <v>7650</v>
      </c>
    </row>
    <row r="449" spans="1:10" x14ac:dyDescent="0.2">
      <c r="A449" s="5" t="s">
        <v>7649</v>
      </c>
      <c r="B449" s="5" t="s">
        <v>83</v>
      </c>
      <c r="C449" s="5"/>
      <c r="D449" s="5" t="s">
        <v>7648</v>
      </c>
      <c r="E449" s="5" t="s">
        <v>138</v>
      </c>
      <c r="F449" s="5" t="s">
        <v>7644</v>
      </c>
      <c r="G449" s="5" t="s">
        <v>148</v>
      </c>
      <c r="H449" s="5" t="s">
        <v>3</v>
      </c>
      <c r="I449" s="5"/>
      <c r="J449" s="5" t="s">
        <v>7647</v>
      </c>
    </row>
    <row r="450" spans="1:10" x14ac:dyDescent="0.2">
      <c r="A450" s="5" t="s">
        <v>7646</v>
      </c>
      <c r="B450" s="5" t="s">
        <v>83</v>
      </c>
      <c r="C450" s="5"/>
      <c r="D450" s="5" t="s">
        <v>7645</v>
      </c>
      <c r="E450" s="5"/>
      <c r="F450" s="5" t="s">
        <v>7644</v>
      </c>
      <c r="G450" s="5" t="s">
        <v>118</v>
      </c>
      <c r="H450" s="5" t="s">
        <v>3</v>
      </c>
      <c r="I450" s="5"/>
      <c r="J450" s="5" t="s">
        <v>7643</v>
      </c>
    </row>
    <row r="451" spans="1:10" ht="25.5" x14ac:dyDescent="0.2">
      <c r="A451" s="5" t="s">
        <v>7642</v>
      </c>
      <c r="B451" s="5" t="s">
        <v>83</v>
      </c>
      <c r="C451" s="5"/>
      <c r="D451" s="5" t="s">
        <v>7641</v>
      </c>
      <c r="E451" s="5"/>
      <c r="F451" s="5" t="s">
        <v>7640</v>
      </c>
      <c r="G451" s="5" t="s">
        <v>199</v>
      </c>
      <c r="H451" s="5" t="s">
        <v>137</v>
      </c>
      <c r="I451" s="5" t="s">
        <v>50</v>
      </c>
      <c r="J451" s="5" t="s">
        <v>7639</v>
      </c>
    </row>
    <row r="452" spans="1:10" ht="25.5" x14ac:dyDescent="0.2">
      <c r="A452" s="5" t="s">
        <v>7638</v>
      </c>
      <c r="B452" s="5" t="s">
        <v>83</v>
      </c>
      <c r="C452" s="5"/>
      <c r="D452" s="5" t="s">
        <v>7637</v>
      </c>
      <c r="E452" s="5" t="s">
        <v>3057</v>
      </c>
      <c r="F452" s="5" t="s">
        <v>7636</v>
      </c>
      <c r="G452" s="5" t="s">
        <v>181</v>
      </c>
      <c r="H452" s="5" t="s">
        <v>3</v>
      </c>
      <c r="I452" s="5"/>
      <c r="J452" s="5" t="s">
        <v>7635</v>
      </c>
    </row>
    <row r="453" spans="1:10" x14ac:dyDescent="0.2">
      <c r="A453" s="5" t="s">
        <v>7634</v>
      </c>
      <c r="B453" s="5" t="s">
        <v>83</v>
      </c>
      <c r="C453" s="5"/>
      <c r="D453" s="5" t="s">
        <v>7633</v>
      </c>
      <c r="E453" s="5"/>
      <c r="F453" s="5"/>
      <c r="G453" s="5" t="s">
        <v>86</v>
      </c>
      <c r="H453" s="5" t="s">
        <v>3</v>
      </c>
      <c r="I453" s="5"/>
      <c r="J453" s="5"/>
    </row>
    <row r="454" spans="1:10" x14ac:dyDescent="0.2">
      <c r="A454" s="5" t="s">
        <v>7632</v>
      </c>
      <c r="B454" s="5" t="s">
        <v>83</v>
      </c>
      <c r="C454" s="5"/>
      <c r="D454" s="5" t="s">
        <v>7631</v>
      </c>
      <c r="E454" s="5"/>
      <c r="F454" s="5"/>
      <c r="G454" s="5" t="s">
        <v>229</v>
      </c>
      <c r="H454" s="5" t="s">
        <v>3</v>
      </c>
      <c r="I454" s="5"/>
      <c r="J454" s="5"/>
    </row>
    <row r="455" spans="1:10" x14ac:dyDescent="0.2">
      <c r="A455" s="5" t="s">
        <v>7630</v>
      </c>
      <c r="B455" s="5" t="s">
        <v>83</v>
      </c>
      <c r="C455" s="5"/>
      <c r="D455" s="5" t="s">
        <v>7629</v>
      </c>
      <c r="E455" s="5"/>
      <c r="F455" s="5" t="s">
        <v>7569</v>
      </c>
      <c r="G455" s="5" t="s">
        <v>195</v>
      </c>
      <c r="H455" s="5" t="s">
        <v>137</v>
      </c>
      <c r="I455" s="5" t="s">
        <v>55</v>
      </c>
      <c r="J455" s="5"/>
    </row>
    <row r="456" spans="1:10" x14ac:dyDescent="0.2">
      <c r="A456" s="5" t="s">
        <v>7628</v>
      </c>
      <c r="B456" s="5" t="s">
        <v>83</v>
      </c>
      <c r="C456" s="5"/>
      <c r="D456" s="5" t="s">
        <v>7627</v>
      </c>
      <c r="E456" s="5" t="s">
        <v>138</v>
      </c>
      <c r="F456" s="5" t="s">
        <v>7569</v>
      </c>
      <c r="G456" s="5" t="s">
        <v>148</v>
      </c>
      <c r="H456" s="5" t="s">
        <v>137</v>
      </c>
      <c r="I456" s="5" t="s">
        <v>55</v>
      </c>
      <c r="J456" s="5" t="s">
        <v>7626</v>
      </c>
    </row>
    <row r="457" spans="1:10" x14ac:dyDescent="0.2">
      <c r="A457" s="5" t="s">
        <v>7625</v>
      </c>
      <c r="B457" s="5" t="s">
        <v>83</v>
      </c>
      <c r="C457" s="5"/>
      <c r="D457" s="5" t="s">
        <v>7624</v>
      </c>
      <c r="E457" s="5" t="s">
        <v>138</v>
      </c>
      <c r="F457" s="5" t="s">
        <v>7623</v>
      </c>
      <c r="G457" s="5" t="s">
        <v>195</v>
      </c>
      <c r="H457" s="5" t="s">
        <v>137</v>
      </c>
      <c r="I457" s="5" t="s">
        <v>35</v>
      </c>
      <c r="J457" s="5"/>
    </row>
    <row r="458" spans="1:10" x14ac:dyDescent="0.2">
      <c r="A458" s="5" t="s">
        <v>7622</v>
      </c>
      <c r="B458" s="5" t="s">
        <v>83</v>
      </c>
      <c r="C458" s="5"/>
      <c r="D458" s="5" t="s">
        <v>7621</v>
      </c>
      <c r="E458" s="5"/>
      <c r="F458" s="5" t="s">
        <v>7577</v>
      </c>
      <c r="G458" s="5" t="s">
        <v>118</v>
      </c>
      <c r="H458" s="5" t="s">
        <v>137</v>
      </c>
      <c r="I458" s="5" t="s">
        <v>35</v>
      </c>
      <c r="J458" s="5" t="s">
        <v>7620</v>
      </c>
    </row>
    <row r="459" spans="1:10" ht="25.5" x14ac:dyDescent="0.2">
      <c r="A459" s="5" t="s">
        <v>7619</v>
      </c>
      <c r="B459" s="5" t="s">
        <v>83</v>
      </c>
      <c r="C459" s="5"/>
      <c r="D459" s="5" t="s">
        <v>7618</v>
      </c>
      <c r="E459" s="5"/>
      <c r="F459" s="5" t="s">
        <v>7573</v>
      </c>
      <c r="G459" s="5" t="s">
        <v>207</v>
      </c>
      <c r="H459" s="5" t="s">
        <v>3</v>
      </c>
      <c r="I459" s="5"/>
      <c r="J459" s="5" t="s">
        <v>7572</v>
      </c>
    </row>
    <row r="460" spans="1:10" x14ac:dyDescent="0.2">
      <c r="A460" s="5" t="s">
        <v>7617</v>
      </c>
      <c r="B460" s="5" t="s">
        <v>83</v>
      </c>
      <c r="C460" s="5"/>
      <c r="D460" s="5" t="s">
        <v>7616</v>
      </c>
      <c r="E460" s="5" t="s">
        <v>138</v>
      </c>
      <c r="F460" s="5" t="s">
        <v>7569</v>
      </c>
      <c r="G460" s="5" t="s">
        <v>195</v>
      </c>
      <c r="H460" s="5" t="s">
        <v>137</v>
      </c>
      <c r="I460" s="5" t="s">
        <v>35</v>
      </c>
      <c r="J460" s="5"/>
    </row>
    <row r="461" spans="1:10" ht="25.5" x14ac:dyDescent="0.2">
      <c r="A461" s="5" t="s">
        <v>7615</v>
      </c>
      <c r="B461" s="5" t="s">
        <v>83</v>
      </c>
      <c r="C461" s="5"/>
      <c r="D461" s="5" t="s">
        <v>6571</v>
      </c>
      <c r="E461" s="5" t="s">
        <v>299</v>
      </c>
      <c r="F461" s="5" t="s">
        <v>6478</v>
      </c>
      <c r="G461" s="5" t="s">
        <v>91</v>
      </c>
      <c r="H461" s="5" t="s">
        <v>3</v>
      </c>
      <c r="I461" s="5"/>
      <c r="J461" s="5" t="s">
        <v>7612</v>
      </c>
    </row>
    <row r="462" spans="1:10" ht="25.5" x14ac:dyDescent="0.2">
      <c r="A462" s="5" t="s">
        <v>7614</v>
      </c>
      <c r="B462" s="5" t="s">
        <v>83</v>
      </c>
      <c r="C462" s="5"/>
      <c r="D462" s="5" t="s">
        <v>7613</v>
      </c>
      <c r="E462" s="5" t="s">
        <v>299</v>
      </c>
      <c r="F462" s="5" t="s">
        <v>6478</v>
      </c>
      <c r="G462" s="5" t="s">
        <v>91</v>
      </c>
      <c r="H462" s="5" t="s">
        <v>3</v>
      </c>
      <c r="I462" s="5"/>
      <c r="J462" s="5" t="s">
        <v>7612</v>
      </c>
    </row>
    <row r="463" spans="1:10" ht="25.5" x14ac:dyDescent="0.2">
      <c r="A463" s="5" t="s">
        <v>7611</v>
      </c>
      <c r="B463" s="5" t="s">
        <v>83</v>
      </c>
      <c r="C463" s="5"/>
      <c r="D463" s="5" t="s">
        <v>7610</v>
      </c>
      <c r="E463" s="5" t="s">
        <v>368</v>
      </c>
      <c r="F463" s="5" t="s">
        <v>6555</v>
      </c>
      <c r="G463" s="5" t="s">
        <v>702</v>
      </c>
      <c r="H463" s="5" t="s">
        <v>3</v>
      </c>
      <c r="I463" s="5"/>
      <c r="J463" s="5" t="s">
        <v>7609</v>
      </c>
    </row>
    <row r="464" spans="1:10" ht="25.5" x14ac:dyDescent="0.2">
      <c r="A464" s="5" t="s">
        <v>7608</v>
      </c>
      <c r="B464" s="5" t="s">
        <v>83</v>
      </c>
      <c r="C464" s="5"/>
      <c r="D464" s="5" t="s">
        <v>7607</v>
      </c>
      <c r="E464" s="5" t="s">
        <v>368</v>
      </c>
      <c r="F464" s="5" t="s">
        <v>6555</v>
      </c>
      <c r="G464" s="5" t="s">
        <v>702</v>
      </c>
      <c r="H464" s="5" t="s">
        <v>3</v>
      </c>
      <c r="I464" s="5"/>
      <c r="J464" s="5" t="s">
        <v>6543</v>
      </c>
    </row>
    <row r="465" spans="1:10" ht="25.5" x14ac:dyDescent="0.2">
      <c r="A465" s="5" t="s">
        <v>7606</v>
      </c>
      <c r="B465" s="5" t="s">
        <v>83</v>
      </c>
      <c r="C465" s="5"/>
      <c r="D465" s="5" t="s">
        <v>6571</v>
      </c>
      <c r="E465" s="5" t="s">
        <v>299</v>
      </c>
      <c r="F465" s="5" t="s">
        <v>7410</v>
      </c>
      <c r="G465" s="5" t="s">
        <v>91</v>
      </c>
      <c r="H465" s="5" t="s">
        <v>3</v>
      </c>
      <c r="I465" s="5"/>
      <c r="J465" s="5" t="s">
        <v>7409</v>
      </c>
    </row>
    <row r="466" spans="1:10" ht="25.5" x14ac:dyDescent="0.2">
      <c r="A466" s="5" t="s">
        <v>7605</v>
      </c>
      <c r="B466" s="5" t="s">
        <v>83</v>
      </c>
      <c r="C466" s="5"/>
      <c r="D466" s="5" t="s">
        <v>6571</v>
      </c>
      <c r="E466" s="5" t="s">
        <v>299</v>
      </c>
      <c r="F466" s="5" t="s">
        <v>7410</v>
      </c>
      <c r="G466" s="5" t="s">
        <v>91</v>
      </c>
      <c r="H466" s="5" t="s">
        <v>3</v>
      </c>
      <c r="I466" s="5"/>
      <c r="J466" s="5" t="s">
        <v>7409</v>
      </c>
    </row>
    <row r="467" spans="1:10" ht="25.5" x14ac:dyDescent="0.2">
      <c r="A467" s="5" t="s">
        <v>7604</v>
      </c>
      <c r="B467" s="5" t="s">
        <v>83</v>
      </c>
      <c r="C467" s="5"/>
      <c r="D467" s="5" t="s">
        <v>7603</v>
      </c>
      <c r="E467" s="5" t="s">
        <v>368</v>
      </c>
      <c r="F467" s="5" t="s">
        <v>6544</v>
      </c>
      <c r="G467" s="5" t="s">
        <v>702</v>
      </c>
      <c r="H467" s="5" t="s">
        <v>3</v>
      </c>
      <c r="I467" s="5"/>
      <c r="J467" s="5" t="s">
        <v>6547</v>
      </c>
    </row>
    <row r="468" spans="1:10" ht="25.5" x14ac:dyDescent="0.2">
      <c r="A468" s="5" t="s">
        <v>7602</v>
      </c>
      <c r="B468" s="5" t="s">
        <v>83</v>
      </c>
      <c r="C468" s="5"/>
      <c r="D468" s="5" t="s">
        <v>7601</v>
      </c>
      <c r="E468" s="5" t="s">
        <v>138</v>
      </c>
      <c r="F468" s="5" t="s">
        <v>331</v>
      </c>
      <c r="G468" s="5" t="s">
        <v>403</v>
      </c>
      <c r="H468" s="5" t="s">
        <v>3</v>
      </c>
      <c r="I468" s="5"/>
      <c r="J468" s="5" t="s">
        <v>90</v>
      </c>
    </row>
    <row r="469" spans="1:10" ht="25.5" x14ac:dyDescent="0.2">
      <c r="A469" s="5" t="s">
        <v>7600</v>
      </c>
      <c r="B469" s="5" t="s">
        <v>83</v>
      </c>
      <c r="C469" s="5"/>
      <c r="D469" s="5" t="s">
        <v>7596</v>
      </c>
      <c r="E469" s="5"/>
      <c r="F469" s="5" t="s">
        <v>7591</v>
      </c>
      <c r="G469" s="5" t="s">
        <v>155</v>
      </c>
      <c r="H469" s="5" t="s">
        <v>137</v>
      </c>
      <c r="I469" s="5" t="s">
        <v>55</v>
      </c>
      <c r="J469" s="5"/>
    </row>
    <row r="470" spans="1:10" ht="25.5" x14ac:dyDescent="0.2">
      <c r="A470" s="5" t="s">
        <v>7599</v>
      </c>
      <c r="B470" s="5" t="s">
        <v>83</v>
      </c>
      <c r="C470" s="5"/>
      <c r="D470" s="5" t="s">
        <v>7598</v>
      </c>
      <c r="E470" s="5" t="s">
        <v>138</v>
      </c>
      <c r="F470" s="5" t="s">
        <v>7569</v>
      </c>
      <c r="G470" s="5" t="s">
        <v>91</v>
      </c>
      <c r="H470" s="5" t="s">
        <v>137</v>
      </c>
      <c r="I470" s="5" t="s">
        <v>55</v>
      </c>
      <c r="J470" s="5"/>
    </row>
    <row r="471" spans="1:10" ht="25.5" x14ac:dyDescent="0.2">
      <c r="A471" s="5" t="s">
        <v>7597</v>
      </c>
      <c r="B471" s="5" t="s">
        <v>83</v>
      </c>
      <c r="C471" s="5"/>
      <c r="D471" s="5" t="s">
        <v>7596</v>
      </c>
      <c r="E471" s="5"/>
      <c r="F471" s="5" t="s">
        <v>7591</v>
      </c>
      <c r="G471" s="5" t="s">
        <v>2308</v>
      </c>
      <c r="H471" s="5" t="s">
        <v>137</v>
      </c>
      <c r="I471" s="5" t="s">
        <v>55</v>
      </c>
      <c r="J471" s="5"/>
    </row>
    <row r="472" spans="1:10" x14ac:dyDescent="0.2">
      <c r="A472" s="5" t="s">
        <v>7595</v>
      </c>
      <c r="B472" s="5" t="s">
        <v>83</v>
      </c>
      <c r="C472" s="5"/>
      <c r="D472" s="5" t="s">
        <v>7594</v>
      </c>
      <c r="E472" s="5"/>
      <c r="F472" s="5" t="s">
        <v>7591</v>
      </c>
      <c r="G472" s="5" t="s">
        <v>276</v>
      </c>
      <c r="H472" s="5" t="s">
        <v>137</v>
      </c>
      <c r="I472" s="5" t="s">
        <v>2231</v>
      </c>
      <c r="J472" s="5" t="s">
        <v>7590</v>
      </c>
    </row>
    <row r="473" spans="1:10" x14ac:dyDescent="0.2">
      <c r="A473" s="5" t="s">
        <v>7593</v>
      </c>
      <c r="B473" s="5" t="s">
        <v>83</v>
      </c>
      <c r="C473" s="5"/>
      <c r="D473" s="5" t="s">
        <v>7592</v>
      </c>
      <c r="E473" s="5"/>
      <c r="F473" s="5" t="s">
        <v>7591</v>
      </c>
      <c r="G473" s="5" t="s">
        <v>276</v>
      </c>
      <c r="H473" s="5" t="s">
        <v>3</v>
      </c>
      <c r="I473" s="5"/>
      <c r="J473" s="5" t="s">
        <v>7590</v>
      </c>
    </row>
    <row r="474" spans="1:10" ht="25.5" x14ac:dyDescent="0.2">
      <c r="A474" s="5" t="s">
        <v>7589</v>
      </c>
      <c r="B474" s="5" t="s">
        <v>83</v>
      </c>
      <c r="C474" s="5"/>
      <c r="D474" s="5" t="s">
        <v>7588</v>
      </c>
      <c r="E474" s="5"/>
      <c r="F474" s="5" t="s">
        <v>7587</v>
      </c>
      <c r="G474" s="5" t="s">
        <v>393</v>
      </c>
      <c r="H474" s="5" t="s">
        <v>3</v>
      </c>
      <c r="I474" s="5"/>
      <c r="J474" s="5" t="s">
        <v>7586</v>
      </c>
    </row>
    <row r="475" spans="1:10" x14ac:dyDescent="0.2">
      <c r="A475" s="5" t="s">
        <v>7585</v>
      </c>
      <c r="B475" s="5" t="s">
        <v>83</v>
      </c>
      <c r="C475" s="5"/>
      <c r="D475" s="5" t="s">
        <v>7584</v>
      </c>
      <c r="E475" s="5"/>
      <c r="F475" s="5" t="s">
        <v>7583</v>
      </c>
      <c r="G475" s="5" t="s">
        <v>229</v>
      </c>
      <c r="H475" s="5" t="s">
        <v>3</v>
      </c>
      <c r="I475" s="5"/>
      <c r="J475" s="5"/>
    </row>
    <row r="476" spans="1:10" x14ac:dyDescent="0.2">
      <c r="A476" s="5" t="s">
        <v>7582</v>
      </c>
      <c r="B476" s="5" t="s">
        <v>83</v>
      </c>
      <c r="C476" s="5"/>
      <c r="D476" s="5" t="s">
        <v>7581</v>
      </c>
      <c r="E476" s="5"/>
      <c r="F476" s="5" t="s">
        <v>7580</v>
      </c>
      <c r="G476" s="5" t="s">
        <v>207</v>
      </c>
      <c r="H476" s="5" t="s">
        <v>3</v>
      </c>
      <c r="I476" s="5"/>
      <c r="J476" s="5"/>
    </row>
    <row r="477" spans="1:10" x14ac:dyDescent="0.2">
      <c r="A477" s="5" t="s">
        <v>7579</v>
      </c>
      <c r="B477" s="5" t="s">
        <v>83</v>
      </c>
      <c r="C477" s="5"/>
      <c r="D477" s="5" t="s">
        <v>7578</v>
      </c>
      <c r="E477" s="5"/>
      <c r="F477" s="5" t="s">
        <v>7577</v>
      </c>
      <c r="G477" s="5" t="s">
        <v>118</v>
      </c>
      <c r="H477" s="5" t="s">
        <v>137</v>
      </c>
      <c r="I477" s="5" t="s">
        <v>35</v>
      </c>
      <c r="J477" s="5" t="s">
        <v>7576</v>
      </c>
    </row>
    <row r="478" spans="1:10" ht="25.5" x14ac:dyDescent="0.2">
      <c r="A478" s="5" t="s">
        <v>7575</v>
      </c>
      <c r="B478" s="5" t="s">
        <v>83</v>
      </c>
      <c r="C478" s="5"/>
      <c r="D478" s="5" t="s">
        <v>7574</v>
      </c>
      <c r="E478" s="5"/>
      <c r="F478" s="5" t="s">
        <v>7573</v>
      </c>
      <c r="G478" s="5" t="s">
        <v>207</v>
      </c>
      <c r="H478" s="5" t="s">
        <v>3</v>
      </c>
      <c r="I478" s="5"/>
      <c r="J478" s="5" t="s">
        <v>7572</v>
      </c>
    </row>
    <row r="479" spans="1:10" x14ac:dyDescent="0.2">
      <c r="A479" s="5" t="s">
        <v>7571</v>
      </c>
      <c r="B479" s="5" t="s">
        <v>83</v>
      </c>
      <c r="C479" s="5"/>
      <c r="D479" s="5" t="s">
        <v>7570</v>
      </c>
      <c r="E479" s="5" t="s">
        <v>138</v>
      </c>
      <c r="F479" s="5" t="s">
        <v>7569</v>
      </c>
      <c r="G479" s="5" t="s">
        <v>195</v>
      </c>
      <c r="H479" s="5" t="s">
        <v>137</v>
      </c>
      <c r="I479" s="5" t="s">
        <v>35</v>
      </c>
      <c r="J479" s="5" t="s">
        <v>7568</v>
      </c>
    </row>
    <row r="480" spans="1:10" ht="25.5" x14ac:dyDescent="0.2">
      <c r="A480" s="5" t="s">
        <v>7567</v>
      </c>
      <c r="B480" s="5" t="s">
        <v>83</v>
      </c>
      <c r="C480" s="5"/>
      <c r="D480" s="5" t="s">
        <v>7566</v>
      </c>
      <c r="E480" s="5" t="s">
        <v>299</v>
      </c>
      <c r="F480" s="5" t="s">
        <v>6607</v>
      </c>
      <c r="G480" s="5" t="s">
        <v>91</v>
      </c>
      <c r="H480" s="5" t="s">
        <v>3</v>
      </c>
      <c r="I480" s="5"/>
      <c r="J480" s="5" t="s">
        <v>6616</v>
      </c>
    </row>
    <row r="481" spans="1:10" ht="25.5" x14ac:dyDescent="0.2">
      <c r="A481" s="5" t="s">
        <v>7565</v>
      </c>
      <c r="B481" s="5" t="s">
        <v>83</v>
      </c>
      <c r="C481" s="5"/>
      <c r="D481" s="5" t="s">
        <v>7564</v>
      </c>
      <c r="E481" s="5" t="s">
        <v>299</v>
      </c>
      <c r="F481" s="5" t="s">
        <v>6607</v>
      </c>
      <c r="G481" s="5" t="s">
        <v>91</v>
      </c>
      <c r="H481" s="5" t="s">
        <v>3</v>
      </c>
      <c r="I481" s="5"/>
      <c r="J481" s="5" t="s">
        <v>6606</v>
      </c>
    </row>
    <row r="482" spans="1:10" ht="25.5" x14ac:dyDescent="0.2">
      <c r="A482" s="5" t="s">
        <v>7563</v>
      </c>
      <c r="B482" s="5" t="s">
        <v>83</v>
      </c>
      <c r="C482" s="5"/>
      <c r="D482" s="5" t="s">
        <v>6571</v>
      </c>
      <c r="E482" s="5" t="s">
        <v>299</v>
      </c>
      <c r="F482" s="5" t="s">
        <v>7552</v>
      </c>
      <c r="G482" s="5" t="s">
        <v>91</v>
      </c>
      <c r="H482" s="5" t="s">
        <v>3</v>
      </c>
      <c r="I482" s="5"/>
      <c r="J482" s="5" t="s">
        <v>7562</v>
      </c>
    </row>
    <row r="483" spans="1:10" ht="25.5" x14ac:dyDescent="0.2">
      <c r="A483" s="5" t="s">
        <v>7561</v>
      </c>
      <c r="B483" s="5" t="s">
        <v>83</v>
      </c>
      <c r="C483" s="5"/>
      <c r="D483" s="5" t="s">
        <v>7560</v>
      </c>
      <c r="E483" s="5" t="s">
        <v>368</v>
      </c>
      <c r="F483" s="5" t="s">
        <v>7552</v>
      </c>
      <c r="G483" s="5" t="s">
        <v>702</v>
      </c>
      <c r="H483" s="5" t="s">
        <v>3</v>
      </c>
      <c r="I483" s="5"/>
      <c r="J483" s="5" t="s">
        <v>7559</v>
      </c>
    </row>
    <row r="484" spans="1:10" ht="25.5" x14ac:dyDescent="0.2">
      <c r="A484" s="5" t="s">
        <v>7558</v>
      </c>
      <c r="B484" s="5" t="s">
        <v>83</v>
      </c>
      <c r="C484" s="5"/>
      <c r="D484" s="5" t="s">
        <v>7557</v>
      </c>
      <c r="E484" s="5" t="s">
        <v>368</v>
      </c>
      <c r="F484" s="5" t="s">
        <v>7552</v>
      </c>
      <c r="G484" s="5" t="s">
        <v>702</v>
      </c>
      <c r="H484" s="5" t="s">
        <v>3</v>
      </c>
      <c r="I484" s="5"/>
      <c r="J484" s="5" t="s">
        <v>6543</v>
      </c>
    </row>
    <row r="485" spans="1:10" ht="25.5" x14ac:dyDescent="0.2">
      <c r="A485" s="5" t="s">
        <v>7556</v>
      </c>
      <c r="B485" s="5" t="s">
        <v>83</v>
      </c>
      <c r="C485" s="5"/>
      <c r="D485" s="5" t="s">
        <v>6571</v>
      </c>
      <c r="E485" s="5" t="s">
        <v>299</v>
      </c>
      <c r="F485" s="5" t="s">
        <v>7552</v>
      </c>
      <c r="G485" s="5" t="s">
        <v>91</v>
      </c>
      <c r="H485" s="5" t="s">
        <v>3</v>
      </c>
      <c r="I485" s="5"/>
      <c r="J485" s="5" t="s">
        <v>7555</v>
      </c>
    </row>
    <row r="486" spans="1:10" ht="25.5" x14ac:dyDescent="0.2">
      <c r="A486" s="5" t="s">
        <v>7554</v>
      </c>
      <c r="B486" s="5" t="s">
        <v>83</v>
      </c>
      <c r="C486" s="5"/>
      <c r="D486" s="5" t="s">
        <v>7553</v>
      </c>
      <c r="E486" s="5" t="s">
        <v>368</v>
      </c>
      <c r="F486" s="5" t="s">
        <v>7552</v>
      </c>
      <c r="G486" s="5" t="s">
        <v>702</v>
      </c>
      <c r="H486" s="5" t="s">
        <v>3</v>
      </c>
      <c r="I486" s="5"/>
      <c r="J486" s="5" t="s">
        <v>6547</v>
      </c>
    </row>
    <row r="487" spans="1:10" x14ac:dyDescent="0.2">
      <c r="A487" s="5" t="s">
        <v>7551</v>
      </c>
      <c r="B487" s="5" t="s">
        <v>83</v>
      </c>
      <c r="C487" s="5"/>
      <c r="D487" s="5" t="s">
        <v>7550</v>
      </c>
      <c r="E487" s="5"/>
      <c r="F487" s="5" t="s">
        <v>6382</v>
      </c>
      <c r="G487" s="5" t="s">
        <v>114</v>
      </c>
      <c r="H487" s="5" t="s">
        <v>3</v>
      </c>
      <c r="I487" s="5"/>
      <c r="J487" s="5" t="s">
        <v>7549</v>
      </c>
    </row>
    <row r="488" spans="1:10" ht="38.25" x14ac:dyDescent="0.2">
      <c r="A488" s="5" t="s">
        <v>7548</v>
      </c>
      <c r="B488" s="5" t="s">
        <v>83</v>
      </c>
      <c r="C488" s="5"/>
      <c r="D488" s="5" t="s">
        <v>7547</v>
      </c>
      <c r="E488" s="5" t="s">
        <v>138</v>
      </c>
      <c r="F488" s="5" t="s">
        <v>331</v>
      </c>
      <c r="G488" s="5" t="s">
        <v>181</v>
      </c>
      <c r="H488" s="5" t="s">
        <v>3</v>
      </c>
      <c r="I488" s="5"/>
      <c r="J488" s="5" t="s">
        <v>7546</v>
      </c>
    </row>
    <row r="489" spans="1:10" ht="25.5" x14ac:dyDescent="0.2">
      <c r="A489" s="5" t="s">
        <v>7545</v>
      </c>
      <c r="B489" s="5" t="s">
        <v>83</v>
      </c>
      <c r="C489" s="5"/>
      <c r="D489" s="5" t="s">
        <v>7544</v>
      </c>
      <c r="E489" s="5" t="s">
        <v>368</v>
      </c>
      <c r="F489" s="5" t="s">
        <v>7506</v>
      </c>
      <c r="G489" s="5" t="s">
        <v>702</v>
      </c>
      <c r="H489" s="5" t="s">
        <v>3</v>
      </c>
      <c r="I489" s="5"/>
      <c r="J489" s="5"/>
    </row>
    <row r="490" spans="1:10" ht="25.5" x14ac:dyDescent="0.2">
      <c r="A490" s="5" t="s">
        <v>7543</v>
      </c>
      <c r="B490" s="5" t="s">
        <v>83</v>
      </c>
      <c r="C490" s="5"/>
      <c r="D490" s="5" t="s">
        <v>7542</v>
      </c>
      <c r="E490" s="5" t="s">
        <v>368</v>
      </c>
      <c r="F490" s="5" t="s">
        <v>7506</v>
      </c>
      <c r="G490" s="5" t="s">
        <v>702</v>
      </c>
      <c r="H490" s="5" t="s">
        <v>3</v>
      </c>
      <c r="I490" s="5"/>
      <c r="J490" s="5" t="s">
        <v>6543</v>
      </c>
    </row>
    <row r="491" spans="1:10" ht="25.5" x14ac:dyDescent="0.2">
      <c r="A491" s="5" t="s">
        <v>7541</v>
      </c>
      <c r="B491" s="5" t="s">
        <v>83</v>
      </c>
      <c r="C491" s="5"/>
      <c r="D491" s="5" t="s">
        <v>7540</v>
      </c>
      <c r="E491" s="5"/>
      <c r="F491" s="5" t="s">
        <v>237</v>
      </c>
      <c r="G491" s="5" t="s">
        <v>80</v>
      </c>
      <c r="H491" s="5" t="s">
        <v>3</v>
      </c>
      <c r="I491" s="5"/>
      <c r="J491" s="5" t="s">
        <v>225</v>
      </c>
    </row>
    <row r="492" spans="1:10" x14ac:dyDescent="0.2">
      <c r="A492" s="5" t="s">
        <v>7539</v>
      </c>
      <c r="B492" s="5" t="s">
        <v>83</v>
      </c>
      <c r="C492" s="5"/>
      <c r="D492" s="5" t="s">
        <v>7538</v>
      </c>
      <c r="E492" s="5" t="s">
        <v>150</v>
      </c>
      <c r="F492" s="5" t="s">
        <v>7537</v>
      </c>
      <c r="G492" s="5" t="s">
        <v>148</v>
      </c>
      <c r="H492" s="5" t="s">
        <v>137</v>
      </c>
      <c r="I492" s="5"/>
      <c r="J492" s="5" t="s">
        <v>7536</v>
      </c>
    </row>
    <row r="493" spans="1:10" x14ac:dyDescent="0.2">
      <c r="A493" s="5" t="s">
        <v>7535</v>
      </c>
      <c r="B493" s="5" t="s">
        <v>83</v>
      </c>
      <c r="C493" s="5"/>
      <c r="D493" s="5" t="s">
        <v>7534</v>
      </c>
      <c r="E493" s="5"/>
      <c r="F493" s="5"/>
      <c r="G493" s="5" t="s">
        <v>224</v>
      </c>
      <c r="H493" s="5" t="s">
        <v>137</v>
      </c>
      <c r="I493" s="5"/>
      <c r="J493" s="5"/>
    </row>
    <row r="494" spans="1:10" x14ac:dyDescent="0.2">
      <c r="A494" s="5" t="s">
        <v>7533</v>
      </c>
      <c r="B494" s="5" t="s">
        <v>83</v>
      </c>
      <c r="C494" s="5"/>
      <c r="D494" s="5" t="s">
        <v>7532</v>
      </c>
      <c r="E494" s="5"/>
      <c r="F494" s="5" t="s">
        <v>7531</v>
      </c>
      <c r="G494" s="5" t="s">
        <v>80</v>
      </c>
      <c r="H494" s="5" t="s">
        <v>3</v>
      </c>
      <c r="I494" s="5"/>
      <c r="J494" s="5"/>
    </row>
    <row r="495" spans="1:10" ht="25.5" x14ac:dyDescent="0.2">
      <c r="A495" s="5" t="s">
        <v>7530</v>
      </c>
      <c r="B495" s="5" t="s">
        <v>83</v>
      </c>
      <c r="C495" s="5"/>
      <c r="D495" s="5" t="s">
        <v>7529</v>
      </c>
      <c r="E495" s="5"/>
      <c r="F495" s="5" t="s">
        <v>7528</v>
      </c>
      <c r="G495" s="5" t="s">
        <v>229</v>
      </c>
      <c r="H495" s="5" t="s">
        <v>3</v>
      </c>
      <c r="I495" s="5"/>
      <c r="J495" s="5"/>
    </row>
    <row r="496" spans="1:10" ht="25.5" x14ac:dyDescent="0.2">
      <c r="A496" s="5" t="s">
        <v>7527</v>
      </c>
      <c r="B496" s="5" t="s">
        <v>83</v>
      </c>
      <c r="C496" s="5"/>
      <c r="D496" s="5" t="s">
        <v>7526</v>
      </c>
      <c r="E496" s="5" t="s">
        <v>138</v>
      </c>
      <c r="F496" s="5" t="s">
        <v>331</v>
      </c>
      <c r="G496" s="5" t="s">
        <v>6518</v>
      </c>
      <c r="H496" s="5" t="s">
        <v>3</v>
      </c>
      <c r="I496" s="5"/>
      <c r="J496" s="5" t="s">
        <v>90</v>
      </c>
    </row>
    <row r="497" spans="1:10" x14ac:dyDescent="0.2">
      <c r="A497" s="5" t="s">
        <v>7525</v>
      </c>
      <c r="B497" s="5" t="s">
        <v>83</v>
      </c>
      <c r="C497" s="5"/>
      <c r="D497" s="5" t="s">
        <v>7524</v>
      </c>
      <c r="E497" s="5" t="s">
        <v>665</v>
      </c>
      <c r="F497" s="5" t="s">
        <v>7523</v>
      </c>
      <c r="G497" s="5" t="s">
        <v>181</v>
      </c>
      <c r="H497" s="5"/>
      <c r="I497" s="5"/>
      <c r="J497" s="5" t="s">
        <v>7522</v>
      </c>
    </row>
    <row r="498" spans="1:10" ht="25.5" x14ac:dyDescent="0.2">
      <c r="A498" s="5" t="s">
        <v>7521</v>
      </c>
      <c r="B498" s="5" t="s">
        <v>83</v>
      </c>
      <c r="C498" s="5"/>
      <c r="D498" s="5" t="s">
        <v>7520</v>
      </c>
      <c r="E498" s="5" t="s">
        <v>138</v>
      </c>
      <c r="F498" s="5" t="s">
        <v>331</v>
      </c>
      <c r="G498" s="5" t="s">
        <v>6518</v>
      </c>
      <c r="H498" s="5" t="s">
        <v>3</v>
      </c>
      <c r="I498" s="5"/>
      <c r="J498" s="5" t="s">
        <v>90</v>
      </c>
    </row>
    <row r="499" spans="1:10" x14ac:dyDescent="0.2">
      <c r="A499" s="5" t="s">
        <v>7519</v>
      </c>
      <c r="B499" s="5" t="s">
        <v>83</v>
      </c>
      <c r="C499" s="5"/>
      <c r="D499" s="5" t="s">
        <v>7518</v>
      </c>
      <c r="E499" s="5"/>
      <c r="F499" s="5" t="s">
        <v>7517</v>
      </c>
      <c r="G499" s="5" t="s">
        <v>122</v>
      </c>
      <c r="H499" s="5" t="s">
        <v>3</v>
      </c>
      <c r="I499" s="5"/>
      <c r="J499" s="5" t="s">
        <v>7516</v>
      </c>
    </row>
    <row r="500" spans="1:10" x14ac:dyDescent="0.2">
      <c r="A500" s="5" t="s">
        <v>7515</v>
      </c>
      <c r="B500" s="5" t="s">
        <v>83</v>
      </c>
      <c r="C500" s="5"/>
      <c r="D500" s="5" t="s">
        <v>7514</v>
      </c>
      <c r="E500" s="5" t="s">
        <v>150</v>
      </c>
      <c r="F500" s="5" t="s">
        <v>7513</v>
      </c>
      <c r="G500" s="5" t="s">
        <v>148</v>
      </c>
      <c r="H500" s="5" t="s">
        <v>3</v>
      </c>
      <c r="I500" s="5"/>
      <c r="J500" s="5" t="s">
        <v>7512</v>
      </c>
    </row>
    <row r="501" spans="1:10" ht="25.5" x14ac:dyDescent="0.2">
      <c r="A501" s="5" t="s">
        <v>7511</v>
      </c>
      <c r="B501" s="5" t="s">
        <v>83</v>
      </c>
      <c r="C501" s="5"/>
      <c r="D501" s="5" t="s">
        <v>7510</v>
      </c>
      <c r="E501" s="5" t="s">
        <v>1783</v>
      </c>
      <c r="F501" s="5" t="s">
        <v>7509</v>
      </c>
      <c r="G501" s="5" t="s">
        <v>118</v>
      </c>
      <c r="H501" s="5" t="s">
        <v>3</v>
      </c>
      <c r="I501" s="5"/>
      <c r="J501" s="5"/>
    </row>
    <row r="502" spans="1:10" ht="25.5" x14ac:dyDescent="0.2">
      <c r="A502" s="5" t="s">
        <v>7508</v>
      </c>
      <c r="B502" s="5" t="s">
        <v>83</v>
      </c>
      <c r="C502" s="5"/>
      <c r="D502" s="5" t="s">
        <v>7507</v>
      </c>
      <c r="E502" s="5" t="s">
        <v>368</v>
      </c>
      <c r="F502" s="5" t="s">
        <v>7506</v>
      </c>
      <c r="G502" s="5" t="s">
        <v>702</v>
      </c>
      <c r="H502" s="5" t="s">
        <v>3</v>
      </c>
      <c r="I502" s="5"/>
      <c r="J502" s="5" t="s">
        <v>6543</v>
      </c>
    </row>
    <row r="503" spans="1:10" ht="25.5" x14ac:dyDescent="0.2">
      <c r="A503" s="5" t="s">
        <v>7505</v>
      </c>
      <c r="B503" s="5" t="s">
        <v>83</v>
      </c>
      <c r="C503" s="5"/>
      <c r="D503" s="5" t="s">
        <v>7504</v>
      </c>
      <c r="E503" s="5"/>
      <c r="F503" s="5" t="s">
        <v>7503</v>
      </c>
      <c r="G503" s="5" t="s">
        <v>283</v>
      </c>
      <c r="H503" s="5" t="s">
        <v>3</v>
      </c>
      <c r="I503" s="5"/>
      <c r="J503" s="5" t="s">
        <v>7502</v>
      </c>
    </row>
    <row r="504" spans="1:10" x14ac:dyDescent="0.2">
      <c r="A504" s="5" t="s">
        <v>7501</v>
      </c>
      <c r="B504" s="5" t="s">
        <v>83</v>
      </c>
      <c r="C504" s="5"/>
      <c r="D504" s="5" t="s">
        <v>231</v>
      </c>
      <c r="E504" s="5"/>
      <c r="F504" s="5" t="s">
        <v>7500</v>
      </c>
      <c r="G504" s="5" t="s">
        <v>80</v>
      </c>
      <c r="H504" s="5" t="s">
        <v>3</v>
      </c>
      <c r="I504" s="5"/>
      <c r="J504" s="5" t="s">
        <v>7499</v>
      </c>
    </row>
    <row r="505" spans="1:10" x14ac:dyDescent="0.2">
      <c r="A505" s="5" t="s">
        <v>7498</v>
      </c>
      <c r="B505" s="5" t="s">
        <v>83</v>
      </c>
      <c r="C505" s="5"/>
      <c r="D505" s="5" t="s">
        <v>231</v>
      </c>
      <c r="E505" s="5"/>
      <c r="F505" s="5" t="s">
        <v>7495</v>
      </c>
      <c r="G505" s="5" t="s">
        <v>234</v>
      </c>
      <c r="H505" s="5" t="s">
        <v>3</v>
      </c>
      <c r="I505" s="5"/>
      <c r="J505" s="5" t="s">
        <v>7497</v>
      </c>
    </row>
    <row r="506" spans="1:10" x14ac:dyDescent="0.2">
      <c r="A506" s="5" t="s">
        <v>7496</v>
      </c>
      <c r="B506" s="5" t="s">
        <v>83</v>
      </c>
      <c r="C506" s="5"/>
      <c r="D506" s="5" t="s">
        <v>231</v>
      </c>
      <c r="E506" s="5"/>
      <c r="F506" s="5" t="s">
        <v>7495</v>
      </c>
      <c r="G506" s="5" t="s">
        <v>229</v>
      </c>
      <c r="H506" s="5" t="s">
        <v>3</v>
      </c>
      <c r="I506" s="5"/>
      <c r="J506" s="5" t="s">
        <v>7494</v>
      </c>
    </row>
    <row r="507" spans="1:10" x14ac:dyDescent="0.2">
      <c r="A507" s="5" t="s">
        <v>316</v>
      </c>
      <c r="B507" s="5" t="s">
        <v>83</v>
      </c>
      <c r="C507" s="5"/>
      <c r="D507" s="5" t="s">
        <v>7493</v>
      </c>
      <c r="E507" s="5"/>
      <c r="F507" s="5" t="s">
        <v>316</v>
      </c>
      <c r="G507" s="5" t="s">
        <v>118</v>
      </c>
      <c r="H507" s="5" t="s">
        <v>137</v>
      </c>
      <c r="I507" s="5" t="s">
        <v>55</v>
      </c>
      <c r="J507" s="5" t="s">
        <v>7492</v>
      </c>
    </row>
    <row r="508" spans="1:10" ht="25.5" x14ac:dyDescent="0.2">
      <c r="A508" s="5" t="s">
        <v>7491</v>
      </c>
      <c r="B508" s="5" t="s">
        <v>83</v>
      </c>
      <c r="C508" s="5"/>
      <c r="D508" s="5" t="s">
        <v>7490</v>
      </c>
      <c r="E508" s="5"/>
      <c r="F508" s="5" t="s">
        <v>316</v>
      </c>
      <c r="G508" s="5" t="s">
        <v>114</v>
      </c>
      <c r="H508" s="5" t="s">
        <v>137</v>
      </c>
      <c r="I508" s="5" t="s">
        <v>55</v>
      </c>
      <c r="J508" s="5" t="s">
        <v>7489</v>
      </c>
    </row>
    <row r="509" spans="1:10" x14ac:dyDescent="0.2">
      <c r="A509" s="5" t="s">
        <v>7488</v>
      </c>
      <c r="B509" s="5" t="s">
        <v>83</v>
      </c>
      <c r="C509" s="5"/>
      <c r="D509" s="5" t="s">
        <v>7487</v>
      </c>
      <c r="E509" s="5"/>
      <c r="F509" s="5" t="s">
        <v>316</v>
      </c>
      <c r="G509" s="5" t="s">
        <v>155</v>
      </c>
      <c r="H509" s="5" t="s">
        <v>3</v>
      </c>
      <c r="I509" s="5"/>
      <c r="J509" s="5" t="s">
        <v>7486</v>
      </c>
    </row>
    <row r="510" spans="1:10" x14ac:dyDescent="0.2">
      <c r="A510" s="5" t="s">
        <v>7485</v>
      </c>
      <c r="B510" s="5" t="s">
        <v>83</v>
      </c>
      <c r="C510" s="5"/>
      <c r="D510" s="5" t="s">
        <v>7484</v>
      </c>
      <c r="E510" s="5"/>
      <c r="F510" s="5"/>
      <c r="G510" s="5" t="s">
        <v>896</v>
      </c>
      <c r="H510" s="5" t="s">
        <v>137</v>
      </c>
      <c r="I510" s="5"/>
      <c r="J510" s="5"/>
    </row>
    <row r="511" spans="1:10" ht="25.5" x14ac:dyDescent="0.2">
      <c r="A511" s="5" t="s">
        <v>7481</v>
      </c>
      <c r="B511" s="5" t="s">
        <v>83</v>
      </c>
      <c r="C511" s="5"/>
      <c r="D511" s="5" t="s">
        <v>7483</v>
      </c>
      <c r="E511" s="5"/>
      <c r="F511" s="5"/>
      <c r="G511" s="5" t="s">
        <v>7482</v>
      </c>
      <c r="H511" s="5" t="s">
        <v>137</v>
      </c>
      <c r="I511" s="5" t="s">
        <v>7481</v>
      </c>
      <c r="J511" s="5"/>
    </row>
    <row r="512" spans="1:10" x14ac:dyDescent="0.2">
      <c r="A512" s="5" t="s">
        <v>7480</v>
      </c>
      <c r="B512" s="5" t="s">
        <v>83</v>
      </c>
      <c r="C512" s="5"/>
      <c r="D512" s="5" t="s">
        <v>7479</v>
      </c>
      <c r="E512" s="5" t="s">
        <v>138</v>
      </c>
      <c r="F512" s="5" t="s">
        <v>92</v>
      </c>
      <c r="G512" s="5" t="s">
        <v>91</v>
      </c>
      <c r="H512" s="5" t="s">
        <v>3</v>
      </c>
      <c r="I512" s="5"/>
      <c r="J512" s="5" t="s">
        <v>7478</v>
      </c>
    </row>
    <row r="513" spans="1:10" ht="25.5" x14ac:dyDescent="0.2">
      <c r="A513" s="5" t="s">
        <v>7477</v>
      </c>
      <c r="B513" s="5" t="s">
        <v>83</v>
      </c>
      <c r="C513" s="5"/>
      <c r="D513" s="5" t="s">
        <v>7476</v>
      </c>
      <c r="E513" s="5"/>
      <c r="F513" s="5" t="s">
        <v>1554</v>
      </c>
      <c r="G513" s="5" t="s">
        <v>6530</v>
      </c>
      <c r="H513" s="5" t="s">
        <v>3</v>
      </c>
      <c r="I513" s="5"/>
      <c r="J513" s="5" t="s">
        <v>7475</v>
      </c>
    </row>
    <row r="514" spans="1:10" ht="38.25" x14ac:dyDescent="0.2">
      <c r="A514" s="5" t="s">
        <v>7474</v>
      </c>
      <c r="B514" s="5" t="s">
        <v>83</v>
      </c>
      <c r="C514" s="5"/>
      <c r="D514" s="5" t="s">
        <v>7473</v>
      </c>
      <c r="E514" s="5" t="s">
        <v>0</v>
      </c>
      <c r="F514" s="5" t="s">
        <v>7472</v>
      </c>
      <c r="G514" s="5" t="s">
        <v>7471</v>
      </c>
      <c r="H514" s="5" t="s">
        <v>137</v>
      </c>
      <c r="I514" s="5"/>
      <c r="J514" s="5" t="s">
        <v>7470</v>
      </c>
    </row>
    <row r="515" spans="1:10" ht="25.5" x14ac:dyDescent="0.2">
      <c r="A515" s="5" t="s">
        <v>7469</v>
      </c>
      <c r="B515" s="5" t="s">
        <v>83</v>
      </c>
      <c r="C515" s="5"/>
      <c r="D515" s="5" t="s">
        <v>7468</v>
      </c>
      <c r="E515" s="5"/>
      <c r="F515" s="5" t="s">
        <v>7467</v>
      </c>
      <c r="G515" s="5" t="s">
        <v>173</v>
      </c>
      <c r="H515" s="5" t="s">
        <v>3</v>
      </c>
      <c r="I515" s="5"/>
      <c r="J515" s="5" t="s">
        <v>7466</v>
      </c>
    </row>
    <row r="516" spans="1:10" x14ac:dyDescent="0.2">
      <c r="A516" s="5" t="s">
        <v>7465</v>
      </c>
      <c r="B516" s="5" t="s">
        <v>83</v>
      </c>
      <c r="C516" s="5"/>
      <c r="D516" s="5" t="s">
        <v>7464</v>
      </c>
      <c r="E516" s="5"/>
      <c r="F516" s="5" t="s">
        <v>7463</v>
      </c>
      <c r="G516" s="5" t="s">
        <v>882</v>
      </c>
      <c r="H516" s="5"/>
      <c r="I516" s="5"/>
      <c r="J516" s="5" t="s">
        <v>7462</v>
      </c>
    </row>
    <row r="517" spans="1:10" ht="25.5" x14ac:dyDescent="0.2">
      <c r="A517" s="5" t="s">
        <v>7461</v>
      </c>
      <c r="B517" s="5" t="s">
        <v>83</v>
      </c>
      <c r="C517" s="5"/>
      <c r="D517" s="5" t="s">
        <v>7460</v>
      </c>
      <c r="E517" s="5" t="s">
        <v>138</v>
      </c>
      <c r="F517" s="5" t="s">
        <v>7431</v>
      </c>
      <c r="G517" s="5" t="s">
        <v>702</v>
      </c>
      <c r="H517" s="5" t="s">
        <v>3</v>
      </c>
      <c r="I517" s="5"/>
      <c r="J517" s="5" t="s">
        <v>7456</v>
      </c>
    </row>
    <row r="518" spans="1:10" ht="25.5" x14ac:dyDescent="0.2">
      <c r="A518" s="5" t="s">
        <v>7459</v>
      </c>
      <c r="B518" s="5" t="s">
        <v>83</v>
      </c>
      <c r="C518" s="5"/>
      <c r="D518" s="5" t="s">
        <v>7458</v>
      </c>
      <c r="E518" s="5" t="s">
        <v>404</v>
      </c>
      <c r="F518" s="5" t="s">
        <v>7457</v>
      </c>
      <c r="G518" s="5" t="s">
        <v>702</v>
      </c>
      <c r="H518" s="5" t="s">
        <v>3</v>
      </c>
      <c r="I518" s="5"/>
      <c r="J518" s="5" t="s">
        <v>7456</v>
      </c>
    </row>
    <row r="519" spans="1:10" ht="25.5" x14ac:dyDescent="0.2">
      <c r="A519" s="5" t="s">
        <v>7455</v>
      </c>
      <c r="B519" s="5" t="s">
        <v>83</v>
      </c>
      <c r="C519" s="5"/>
      <c r="D519" s="5" t="s">
        <v>7454</v>
      </c>
      <c r="E519" s="5"/>
      <c r="F519" s="5" t="s">
        <v>7402</v>
      </c>
      <c r="G519" s="5" t="s">
        <v>173</v>
      </c>
      <c r="H519" s="5"/>
      <c r="I519" s="5"/>
      <c r="J519" s="5" t="s">
        <v>7453</v>
      </c>
    </row>
    <row r="520" spans="1:10" ht="25.5" x14ac:dyDescent="0.2">
      <c r="A520" s="5" t="s">
        <v>7452</v>
      </c>
      <c r="B520" s="5" t="s">
        <v>83</v>
      </c>
      <c r="C520" s="5"/>
      <c r="D520" s="5" t="s">
        <v>7451</v>
      </c>
      <c r="E520" s="5" t="s">
        <v>368</v>
      </c>
      <c r="F520" s="5" t="s">
        <v>7447</v>
      </c>
      <c r="G520" s="5" t="s">
        <v>315</v>
      </c>
      <c r="H520" s="5" t="s">
        <v>3</v>
      </c>
      <c r="I520" s="5"/>
      <c r="J520" s="5" t="s">
        <v>7450</v>
      </c>
    </row>
    <row r="521" spans="1:10" x14ac:dyDescent="0.2">
      <c r="A521" s="5" t="s">
        <v>7449</v>
      </c>
      <c r="B521" s="5" t="s">
        <v>83</v>
      </c>
      <c r="C521" s="5"/>
      <c r="D521" s="5" t="s">
        <v>7448</v>
      </c>
      <c r="E521" s="5" t="s">
        <v>138</v>
      </c>
      <c r="F521" s="5" t="s">
        <v>7447</v>
      </c>
      <c r="G521" s="5" t="s">
        <v>315</v>
      </c>
      <c r="H521" s="5" t="s">
        <v>3</v>
      </c>
      <c r="I521" s="5"/>
      <c r="J521" s="5" t="s">
        <v>7446</v>
      </c>
    </row>
    <row r="522" spans="1:10" x14ac:dyDescent="0.2">
      <c r="A522" s="5" t="s">
        <v>7445</v>
      </c>
      <c r="B522" s="5" t="s">
        <v>83</v>
      </c>
      <c r="C522" s="5"/>
      <c r="D522" s="5" t="s">
        <v>7444</v>
      </c>
      <c r="E522" s="5"/>
      <c r="F522" s="5" t="s">
        <v>7443</v>
      </c>
      <c r="G522" s="5" t="s">
        <v>229</v>
      </c>
      <c r="H522" s="5" t="s">
        <v>3</v>
      </c>
      <c r="I522" s="5"/>
      <c r="J522" s="5"/>
    </row>
    <row r="523" spans="1:10" ht="25.5" x14ac:dyDescent="0.2">
      <c r="A523" s="5" t="s">
        <v>7442</v>
      </c>
      <c r="B523" s="5" t="s">
        <v>83</v>
      </c>
      <c r="C523" s="5"/>
      <c r="D523" s="5" t="s">
        <v>7441</v>
      </c>
      <c r="E523" s="5" t="s">
        <v>247</v>
      </c>
      <c r="F523" s="5" t="s">
        <v>7440</v>
      </c>
      <c r="G523" s="5" t="s">
        <v>6584</v>
      </c>
      <c r="H523" s="5" t="s">
        <v>3</v>
      </c>
      <c r="I523" s="5"/>
      <c r="J523" s="5" t="s">
        <v>7439</v>
      </c>
    </row>
    <row r="524" spans="1:10" ht="25.5" x14ac:dyDescent="0.2">
      <c r="A524" s="5" t="s">
        <v>7438</v>
      </c>
      <c r="B524" s="5" t="s">
        <v>83</v>
      </c>
      <c r="C524" s="5"/>
      <c r="D524" s="5" t="s">
        <v>7437</v>
      </c>
      <c r="E524" s="5" t="s">
        <v>138</v>
      </c>
      <c r="F524" s="5" t="s">
        <v>7431</v>
      </c>
      <c r="G524" s="5" t="s">
        <v>702</v>
      </c>
      <c r="H524" s="5" t="s">
        <v>3</v>
      </c>
      <c r="I524" s="5"/>
      <c r="J524" s="5" t="s">
        <v>7436</v>
      </c>
    </row>
    <row r="525" spans="1:10" ht="38.25" x14ac:dyDescent="0.2">
      <c r="A525" s="5" t="s">
        <v>7435</v>
      </c>
      <c r="B525" s="5" t="s">
        <v>83</v>
      </c>
      <c r="C525" s="5"/>
      <c r="D525" s="5" t="s">
        <v>7434</v>
      </c>
      <c r="E525" s="5" t="s">
        <v>138</v>
      </c>
      <c r="F525" s="5" t="s">
        <v>7431</v>
      </c>
      <c r="G525" s="5" t="s">
        <v>91</v>
      </c>
      <c r="H525" s="5" t="s">
        <v>3</v>
      </c>
      <c r="I525" s="5"/>
      <c r="J525" s="5" t="s">
        <v>7430</v>
      </c>
    </row>
    <row r="526" spans="1:10" ht="38.25" x14ac:dyDescent="0.2">
      <c r="A526" s="5" t="s">
        <v>7433</v>
      </c>
      <c r="B526" s="5" t="s">
        <v>83</v>
      </c>
      <c r="C526" s="5"/>
      <c r="D526" s="5" t="s">
        <v>7432</v>
      </c>
      <c r="E526" s="5" t="s">
        <v>138</v>
      </c>
      <c r="F526" s="5" t="s">
        <v>7431</v>
      </c>
      <c r="G526" s="5" t="s">
        <v>91</v>
      </c>
      <c r="H526" s="5" t="s">
        <v>3</v>
      </c>
      <c r="I526" s="5"/>
      <c r="J526" s="5" t="s">
        <v>7430</v>
      </c>
    </row>
    <row r="527" spans="1:10" ht="25.5" x14ac:dyDescent="0.2">
      <c r="A527" s="5" t="s">
        <v>7429</v>
      </c>
      <c r="B527" s="5" t="s">
        <v>83</v>
      </c>
      <c r="C527" s="5"/>
      <c r="D527" s="5" t="s">
        <v>7428</v>
      </c>
      <c r="E527" s="5" t="s">
        <v>93</v>
      </c>
      <c r="F527" s="5" t="s">
        <v>7427</v>
      </c>
      <c r="G527" s="5" t="s">
        <v>148</v>
      </c>
      <c r="H527" s="5" t="s">
        <v>3</v>
      </c>
      <c r="I527" s="5"/>
      <c r="J527" s="5" t="s">
        <v>7426</v>
      </c>
    </row>
    <row r="528" spans="1:10" ht="25.5" x14ac:dyDescent="0.2">
      <c r="A528" s="5" t="s">
        <v>7425</v>
      </c>
      <c r="B528" s="5" t="s">
        <v>83</v>
      </c>
      <c r="C528" s="5"/>
      <c r="D528" s="5" t="s">
        <v>7424</v>
      </c>
      <c r="E528" s="5"/>
      <c r="F528" s="5" t="s">
        <v>7423</v>
      </c>
      <c r="G528" s="5" t="s">
        <v>105</v>
      </c>
      <c r="H528" s="5" t="s">
        <v>3</v>
      </c>
      <c r="I528" s="5"/>
      <c r="J528" s="5" t="s">
        <v>7422</v>
      </c>
    </row>
    <row r="529" spans="1:10" ht="25.5" x14ac:dyDescent="0.2">
      <c r="A529" s="5" t="s">
        <v>7421</v>
      </c>
      <c r="B529" s="5" t="s">
        <v>83</v>
      </c>
      <c r="C529" s="5"/>
      <c r="D529" s="5" t="s">
        <v>7420</v>
      </c>
      <c r="E529" s="5"/>
      <c r="F529" s="5" t="s">
        <v>7419</v>
      </c>
      <c r="G529" s="5" t="s">
        <v>4</v>
      </c>
      <c r="H529" s="5" t="s">
        <v>3</v>
      </c>
      <c r="I529" s="5"/>
      <c r="J529" s="5" t="s">
        <v>7418</v>
      </c>
    </row>
    <row r="530" spans="1:10" ht="25.5" x14ac:dyDescent="0.2">
      <c r="A530" s="5" t="s">
        <v>7417</v>
      </c>
      <c r="B530" s="5" t="s">
        <v>83</v>
      </c>
      <c r="C530" s="5"/>
      <c r="D530" s="5" t="s">
        <v>7416</v>
      </c>
      <c r="E530" s="5"/>
      <c r="F530" s="5"/>
      <c r="G530" s="5" t="s">
        <v>105</v>
      </c>
      <c r="H530" s="5" t="s">
        <v>137</v>
      </c>
      <c r="I530" s="5" t="s">
        <v>7415</v>
      </c>
      <c r="J530" s="5"/>
    </row>
    <row r="531" spans="1:10" ht="25.5" x14ac:dyDescent="0.2">
      <c r="A531" s="5" t="s">
        <v>7414</v>
      </c>
      <c r="B531" s="5" t="s">
        <v>83</v>
      </c>
      <c r="C531" s="5"/>
      <c r="D531" s="5" t="s">
        <v>6569</v>
      </c>
      <c r="E531" s="5" t="s">
        <v>299</v>
      </c>
      <c r="F531" s="5" t="s">
        <v>6478</v>
      </c>
      <c r="G531" s="5" t="s">
        <v>91</v>
      </c>
      <c r="H531" s="5" t="s">
        <v>3</v>
      </c>
      <c r="I531" s="5"/>
      <c r="J531" s="5" t="s">
        <v>6567</v>
      </c>
    </row>
    <row r="532" spans="1:10" ht="25.5" x14ac:dyDescent="0.2">
      <c r="A532" s="5" t="s">
        <v>7413</v>
      </c>
      <c r="B532" s="5" t="s">
        <v>83</v>
      </c>
      <c r="C532" s="5"/>
      <c r="D532" s="5" t="s">
        <v>7412</v>
      </c>
      <c r="E532" s="5" t="s">
        <v>368</v>
      </c>
      <c r="F532" s="5" t="s">
        <v>6555</v>
      </c>
      <c r="G532" s="5" t="s">
        <v>702</v>
      </c>
      <c r="H532" s="5" t="s">
        <v>3</v>
      </c>
      <c r="I532" s="5"/>
      <c r="J532" s="5" t="s">
        <v>6543</v>
      </c>
    </row>
    <row r="533" spans="1:10" ht="25.5" x14ac:dyDescent="0.2">
      <c r="A533" s="5" t="s">
        <v>7411</v>
      </c>
      <c r="B533" s="5" t="s">
        <v>83</v>
      </c>
      <c r="C533" s="5"/>
      <c r="D533" s="5" t="s">
        <v>6571</v>
      </c>
      <c r="E533" s="5" t="s">
        <v>299</v>
      </c>
      <c r="F533" s="5" t="s">
        <v>7410</v>
      </c>
      <c r="G533" s="5" t="s">
        <v>91</v>
      </c>
      <c r="H533" s="5" t="s">
        <v>3</v>
      </c>
      <c r="I533" s="5"/>
      <c r="J533" s="5" t="s">
        <v>7409</v>
      </c>
    </row>
    <row r="534" spans="1:10" ht="25.5" x14ac:dyDescent="0.2">
      <c r="A534" s="5" t="s">
        <v>7408</v>
      </c>
      <c r="B534" s="5" t="s">
        <v>83</v>
      </c>
      <c r="C534" s="5"/>
      <c r="D534" s="5" t="s">
        <v>7407</v>
      </c>
      <c r="E534" s="5" t="s">
        <v>368</v>
      </c>
      <c r="F534" s="5" t="s">
        <v>6548</v>
      </c>
      <c r="G534" s="5" t="s">
        <v>702</v>
      </c>
      <c r="H534" s="5" t="s">
        <v>3</v>
      </c>
      <c r="I534" s="5"/>
      <c r="J534" s="5" t="s">
        <v>6547</v>
      </c>
    </row>
    <row r="535" spans="1:10" ht="25.5" x14ac:dyDescent="0.2">
      <c r="A535" s="5" t="s">
        <v>7406</v>
      </c>
      <c r="B535" s="5" t="s">
        <v>83</v>
      </c>
      <c r="C535" s="5"/>
      <c r="D535" s="5" t="s">
        <v>7405</v>
      </c>
      <c r="E535" s="5" t="s">
        <v>138</v>
      </c>
      <c r="F535" s="5" t="s">
        <v>331</v>
      </c>
      <c r="G535" s="5" t="s">
        <v>6518</v>
      </c>
      <c r="H535" s="5" t="s">
        <v>3</v>
      </c>
      <c r="I535" s="5"/>
      <c r="J535" s="5" t="s">
        <v>90</v>
      </c>
    </row>
    <row r="536" spans="1:10" x14ac:dyDescent="0.2">
      <c r="A536" s="5" t="s">
        <v>7404</v>
      </c>
      <c r="B536" s="5" t="s">
        <v>83</v>
      </c>
      <c r="C536" s="5"/>
      <c r="D536" s="5" t="s">
        <v>7403</v>
      </c>
      <c r="E536" s="5"/>
      <c r="F536" s="5" t="s">
        <v>7402</v>
      </c>
      <c r="G536" s="5" t="s">
        <v>173</v>
      </c>
      <c r="H536" s="5"/>
      <c r="I536" s="5"/>
      <c r="J536" s="5" t="s">
        <v>7401</v>
      </c>
    </row>
    <row r="537" spans="1:10" x14ac:dyDescent="0.2">
      <c r="A537" s="5" t="s">
        <v>7400</v>
      </c>
      <c r="B537" s="5" t="s">
        <v>83</v>
      </c>
      <c r="C537" s="5"/>
      <c r="D537" s="5" t="s">
        <v>7399</v>
      </c>
      <c r="E537" s="5"/>
      <c r="F537" s="5"/>
      <c r="G537" s="5" t="s">
        <v>91</v>
      </c>
      <c r="H537" s="5" t="s">
        <v>137</v>
      </c>
      <c r="I537" s="5" t="s">
        <v>361</v>
      </c>
      <c r="J537" s="5"/>
    </row>
    <row r="538" spans="1:10" ht="25.5" x14ac:dyDescent="0.2">
      <c r="A538" s="5" t="s">
        <v>7398</v>
      </c>
      <c r="B538" s="5" t="s">
        <v>83</v>
      </c>
      <c r="C538" s="5"/>
      <c r="D538" s="5" t="s">
        <v>7397</v>
      </c>
      <c r="E538" s="5"/>
      <c r="F538" s="5" t="s">
        <v>7396</v>
      </c>
      <c r="G538" s="5" t="s">
        <v>173</v>
      </c>
      <c r="H538" s="5" t="s">
        <v>3</v>
      </c>
      <c r="I538" s="5"/>
      <c r="J538" s="5" t="s">
        <v>7395</v>
      </c>
    </row>
    <row r="539" spans="1:10" x14ac:dyDescent="0.2">
      <c r="A539" s="5" t="s">
        <v>7394</v>
      </c>
      <c r="B539" s="5" t="s">
        <v>83</v>
      </c>
      <c r="C539" s="5"/>
      <c r="D539" s="5" t="s">
        <v>6521</v>
      </c>
      <c r="E539" s="5"/>
      <c r="F539" s="5"/>
      <c r="G539" s="5" t="s">
        <v>4028</v>
      </c>
      <c r="H539" s="5" t="s">
        <v>3</v>
      </c>
      <c r="I539" s="5"/>
      <c r="J539" s="5"/>
    </row>
    <row r="540" spans="1:10" ht="25.5" x14ac:dyDescent="0.2">
      <c r="A540" s="5" t="s">
        <v>7393</v>
      </c>
      <c r="B540" s="5" t="s">
        <v>83</v>
      </c>
      <c r="C540" s="5"/>
      <c r="D540" s="5" t="s">
        <v>7392</v>
      </c>
      <c r="E540" s="5" t="s">
        <v>138</v>
      </c>
      <c r="F540" s="5" t="s">
        <v>331</v>
      </c>
      <c r="G540" s="5" t="s">
        <v>6518</v>
      </c>
      <c r="H540" s="5" t="s">
        <v>3</v>
      </c>
      <c r="I540" s="5"/>
      <c r="J540" s="5" t="s">
        <v>90</v>
      </c>
    </row>
    <row r="541" spans="1:10" ht="25.5" x14ac:dyDescent="0.2">
      <c r="A541" s="5" t="s">
        <v>7391</v>
      </c>
      <c r="B541" s="5" t="s">
        <v>83</v>
      </c>
      <c r="C541" s="5"/>
      <c r="D541" s="5" t="s">
        <v>7390</v>
      </c>
      <c r="E541" s="5"/>
      <c r="F541" s="5" t="s">
        <v>7389</v>
      </c>
      <c r="G541" s="5" t="s">
        <v>114</v>
      </c>
      <c r="H541" s="5" t="s">
        <v>3</v>
      </c>
      <c r="I541" s="5"/>
      <c r="J541" s="5" t="s">
        <v>7388</v>
      </c>
    </row>
    <row r="542" spans="1:10" x14ac:dyDescent="0.2">
      <c r="A542" s="5" t="s">
        <v>7386</v>
      </c>
      <c r="B542" s="5" t="s">
        <v>83</v>
      </c>
      <c r="C542" s="5"/>
      <c r="D542" s="5" t="s">
        <v>7387</v>
      </c>
      <c r="E542" s="5"/>
      <c r="F542" s="5" t="s">
        <v>7386</v>
      </c>
      <c r="G542" s="5" t="s">
        <v>105</v>
      </c>
      <c r="H542" s="5" t="s">
        <v>3</v>
      </c>
      <c r="I542" s="5"/>
      <c r="J542" s="5" t="s">
        <v>7385</v>
      </c>
    </row>
    <row r="543" spans="1:10" ht="25.5" x14ac:dyDescent="0.2">
      <c r="A543" s="5" t="s">
        <v>7384</v>
      </c>
      <c r="B543" s="5" t="s">
        <v>83</v>
      </c>
      <c r="C543" s="5"/>
      <c r="D543" s="5" t="s">
        <v>7383</v>
      </c>
      <c r="E543" s="5"/>
      <c r="F543" s="5" t="s">
        <v>7382</v>
      </c>
      <c r="G543" s="5" t="s">
        <v>118</v>
      </c>
      <c r="H543" s="5" t="s">
        <v>137</v>
      </c>
      <c r="I543" s="5" t="s">
        <v>24</v>
      </c>
      <c r="J543" s="5" t="s">
        <v>7381</v>
      </c>
    </row>
    <row r="544" spans="1:10" ht="25.5" x14ac:dyDescent="0.2">
      <c r="A544" s="5" t="s">
        <v>7350</v>
      </c>
      <c r="B544" s="5" t="s">
        <v>83</v>
      </c>
      <c r="C544" s="5"/>
      <c r="D544" s="5" t="s">
        <v>7380</v>
      </c>
      <c r="E544" s="5"/>
      <c r="F544" s="5" t="s">
        <v>7379</v>
      </c>
      <c r="G544" s="5" t="s">
        <v>7378</v>
      </c>
      <c r="H544" s="5" t="s">
        <v>137</v>
      </c>
      <c r="I544" s="5" t="s">
        <v>24</v>
      </c>
      <c r="J544" s="5" t="s">
        <v>7377</v>
      </c>
    </row>
    <row r="545" spans="1:10" x14ac:dyDescent="0.2">
      <c r="A545" s="5" t="s">
        <v>7376</v>
      </c>
      <c r="B545" s="5" t="s">
        <v>83</v>
      </c>
      <c r="C545" s="5"/>
      <c r="D545" s="5" t="s">
        <v>5397</v>
      </c>
      <c r="E545" s="5"/>
      <c r="F545" s="5" t="s">
        <v>7375</v>
      </c>
      <c r="G545" s="5" t="s">
        <v>105</v>
      </c>
      <c r="H545" s="5" t="s">
        <v>137</v>
      </c>
      <c r="I545" s="5" t="s">
        <v>24</v>
      </c>
      <c r="J545" s="5" t="s">
        <v>7374</v>
      </c>
    </row>
    <row r="546" spans="1:10" x14ac:dyDescent="0.2">
      <c r="A546" s="5" t="s">
        <v>7373</v>
      </c>
      <c r="B546" s="5" t="s">
        <v>83</v>
      </c>
      <c r="C546" s="5"/>
      <c r="D546" s="5" t="s">
        <v>7372</v>
      </c>
      <c r="E546" s="5" t="s">
        <v>213</v>
      </c>
      <c r="F546" s="5" t="s">
        <v>7371</v>
      </c>
      <c r="G546" s="5" t="s">
        <v>91</v>
      </c>
      <c r="H546" s="5" t="s">
        <v>137</v>
      </c>
      <c r="I546" s="5" t="s">
        <v>24</v>
      </c>
      <c r="J546" s="5" t="s">
        <v>7370</v>
      </c>
    </row>
    <row r="547" spans="1:10" x14ac:dyDescent="0.2">
      <c r="A547" s="5" t="s">
        <v>7369</v>
      </c>
      <c r="B547" s="5" t="s">
        <v>83</v>
      </c>
      <c r="C547" s="5"/>
      <c r="D547" s="5" t="s">
        <v>7368</v>
      </c>
      <c r="E547" s="5"/>
      <c r="F547" s="5" t="s">
        <v>7367</v>
      </c>
      <c r="G547" s="5" t="s">
        <v>234</v>
      </c>
      <c r="H547" s="5" t="s">
        <v>137</v>
      </c>
      <c r="I547" s="5" t="s">
        <v>24</v>
      </c>
      <c r="J547" s="5" t="s">
        <v>7366</v>
      </c>
    </row>
    <row r="548" spans="1:10" x14ac:dyDescent="0.2">
      <c r="A548" s="5" t="s">
        <v>7365</v>
      </c>
      <c r="B548" s="5" t="s">
        <v>83</v>
      </c>
      <c r="C548" s="5"/>
      <c r="D548" s="5" t="s">
        <v>5379</v>
      </c>
      <c r="E548" s="5"/>
      <c r="F548" s="5" t="s">
        <v>7364</v>
      </c>
      <c r="G548" s="5" t="s">
        <v>118</v>
      </c>
      <c r="H548" s="5" t="s">
        <v>137</v>
      </c>
      <c r="I548" s="5" t="s">
        <v>24</v>
      </c>
      <c r="J548" s="5" t="s">
        <v>7363</v>
      </c>
    </row>
    <row r="549" spans="1:10" x14ac:dyDescent="0.2">
      <c r="A549" s="5" t="s">
        <v>7362</v>
      </c>
      <c r="B549" s="5" t="s">
        <v>83</v>
      </c>
      <c r="C549" s="5"/>
      <c r="D549" s="5" t="s">
        <v>5388</v>
      </c>
      <c r="E549" s="5" t="s">
        <v>213</v>
      </c>
      <c r="F549" s="5" t="s">
        <v>7361</v>
      </c>
      <c r="G549" s="5" t="s">
        <v>91</v>
      </c>
      <c r="H549" s="5" t="s">
        <v>137</v>
      </c>
      <c r="I549" s="5" t="s">
        <v>24</v>
      </c>
      <c r="J549" s="5" t="s">
        <v>7360</v>
      </c>
    </row>
    <row r="550" spans="1:10" x14ac:dyDescent="0.2">
      <c r="A550" s="5" t="s">
        <v>7359</v>
      </c>
      <c r="B550" s="5" t="s">
        <v>83</v>
      </c>
      <c r="C550" s="5"/>
      <c r="D550" s="5" t="s">
        <v>7358</v>
      </c>
      <c r="E550" s="5"/>
      <c r="F550" s="5" t="s">
        <v>7357</v>
      </c>
      <c r="G550" s="5" t="s">
        <v>234</v>
      </c>
      <c r="H550" s="5" t="s">
        <v>137</v>
      </c>
      <c r="I550" s="5" t="s">
        <v>24</v>
      </c>
      <c r="J550" s="5" t="s">
        <v>7356</v>
      </c>
    </row>
    <row r="551" spans="1:10" ht="25.5" x14ac:dyDescent="0.2">
      <c r="A551" s="5" t="s">
        <v>7355</v>
      </c>
      <c r="B551" s="5" t="s">
        <v>83</v>
      </c>
      <c r="C551" s="5"/>
      <c r="D551" s="5" t="s">
        <v>7354</v>
      </c>
      <c r="E551" s="5"/>
      <c r="F551" s="5" t="s">
        <v>7353</v>
      </c>
      <c r="G551" s="5" t="s">
        <v>118</v>
      </c>
      <c r="H551" s="5" t="s">
        <v>137</v>
      </c>
      <c r="I551" s="5" t="s">
        <v>24</v>
      </c>
      <c r="J551" s="5" t="s">
        <v>7352</v>
      </c>
    </row>
    <row r="552" spans="1:10" ht="38.25" x14ac:dyDescent="0.2">
      <c r="A552" s="5" t="s">
        <v>7351</v>
      </c>
      <c r="B552" s="5" t="s">
        <v>83</v>
      </c>
      <c r="C552" s="5"/>
      <c r="D552" s="5" t="s">
        <v>7350</v>
      </c>
      <c r="E552" s="5"/>
      <c r="F552" s="5" t="s">
        <v>7349</v>
      </c>
      <c r="G552" s="5" t="s">
        <v>80</v>
      </c>
      <c r="H552" s="5" t="s">
        <v>137</v>
      </c>
      <c r="I552" s="5" t="s">
        <v>24</v>
      </c>
      <c r="J552" s="5" t="s">
        <v>7348</v>
      </c>
    </row>
    <row r="553" spans="1:10" x14ac:dyDescent="0.2">
      <c r="A553" s="5" t="s">
        <v>7347</v>
      </c>
      <c r="B553" s="5" t="s">
        <v>83</v>
      </c>
      <c r="C553" s="5"/>
      <c r="D553" s="5" t="s">
        <v>5365</v>
      </c>
      <c r="E553" s="5"/>
      <c r="F553" s="5" t="s">
        <v>5364</v>
      </c>
      <c r="G553" s="5" t="s">
        <v>114</v>
      </c>
      <c r="H553" s="5" t="s">
        <v>137</v>
      </c>
      <c r="I553" s="5" t="s">
        <v>24</v>
      </c>
      <c r="J553" s="5" t="s">
        <v>5363</v>
      </c>
    </row>
    <row r="554" spans="1:10" ht="25.5" x14ac:dyDescent="0.2">
      <c r="A554" s="5" t="s">
        <v>7346</v>
      </c>
      <c r="B554" s="5" t="s">
        <v>83</v>
      </c>
      <c r="C554" s="5"/>
      <c r="D554" s="5" t="s">
        <v>7345</v>
      </c>
      <c r="E554" s="5"/>
      <c r="F554" s="5" t="s">
        <v>5364</v>
      </c>
      <c r="G554" s="5" t="s">
        <v>80</v>
      </c>
      <c r="H554" s="5" t="s">
        <v>137</v>
      </c>
      <c r="I554" s="5" t="s">
        <v>24</v>
      </c>
      <c r="J554" s="5" t="s">
        <v>7344</v>
      </c>
    </row>
    <row r="555" spans="1:10" ht="25.5" x14ac:dyDescent="0.2">
      <c r="A555" s="5" t="s">
        <v>7343</v>
      </c>
      <c r="B555" s="5" t="s">
        <v>83</v>
      </c>
      <c r="C555" s="5"/>
      <c r="D555" s="5" t="s">
        <v>7342</v>
      </c>
      <c r="E555" s="5" t="s">
        <v>150</v>
      </c>
      <c r="F555" s="5" t="s">
        <v>5364</v>
      </c>
      <c r="G555" s="5" t="s">
        <v>148</v>
      </c>
      <c r="H555" s="5" t="s">
        <v>137</v>
      </c>
      <c r="I555" s="5" t="s">
        <v>24</v>
      </c>
      <c r="J555" s="5" t="s">
        <v>7341</v>
      </c>
    </row>
    <row r="556" spans="1:10" ht="25.5" x14ac:dyDescent="0.2">
      <c r="A556" s="5" t="s">
        <v>7340</v>
      </c>
      <c r="B556" s="5" t="s">
        <v>83</v>
      </c>
      <c r="C556" s="5"/>
      <c r="D556" s="5" t="s">
        <v>7339</v>
      </c>
      <c r="E556" s="5"/>
      <c r="F556" s="5" t="s">
        <v>7338</v>
      </c>
      <c r="G556" s="5" t="s">
        <v>105</v>
      </c>
      <c r="H556" s="5" t="s">
        <v>137</v>
      </c>
      <c r="I556" s="5" t="s">
        <v>154</v>
      </c>
      <c r="J556" s="5" t="s">
        <v>7337</v>
      </c>
    </row>
    <row r="557" spans="1:10" ht="25.5" x14ac:dyDescent="0.2">
      <c r="A557" s="5" t="s">
        <v>7336</v>
      </c>
      <c r="B557" s="5" t="s">
        <v>83</v>
      </c>
      <c r="C557" s="5"/>
      <c r="D557" s="5" t="s">
        <v>7335</v>
      </c>
      <c r="E557" s="5"/>
      <c r="F557" s="5" t="s">
        <v>7324</v>
      </c>
      <c r="G557" s="5" t="s">
        <v>91</v>
      </c>
      <c r="H557" s="5" t="s">
        <v>137</v>
      </c>
      <c r="I557" s="5" t="s">
        <v>7323</v>
      </c>
      <c r="J557" s="5" t="s">
        <v>7334</v>
      </c>
    </row>
    <row r="558" spans="1:10" ht="25.5" x14ac:dyDescent="0.2">
      <c r="A558" s="5" t="s">
        <v>7333</v>
      </c>
      <c r="B558" s="5" t="s">
        <v>83</v>
      </c>
      <c r="C558" s="5"/>
      <c r="D558" s="5" t="s">
        <v>7332</v>
      </c>
      <c r="E558" s="5"/>
      <c r="F558" s="5" t="s">
        <v>1770</v>
      </c>
      <c r="G558" s="5" t="s">
        <v>229</v>
      </c>
      <c r="H558" s="5" t="s">
        <v>137</v>
      </c>
      <c r="I558" s="5" t="s">
        <v>15</v>
      </c>
      <c r="J558" s="5" t="s">
        <v>7331</v>
      </c>
    </row>
    <row r="559" spans="1:10" ht="25.5" x14ac:dyDescent="0.2">
      <c r="A559" s="5" t="s">
        <v>7330</v>
      </c>
      <c r="B559" s="5" t="s">
        <v>83</v>
      </c>
      <c r="C559" s="5"/>
      <c r="D559" s="5" t="s">
        <v>7329</v>
      </c>
      <c r="E559" s="5"/>
      <c r="F559" s="5" t="s">
        <v>7328</v>
      </c>
      <c r="G559" s="5" t="s">
        <v>91</v>
      </c>
      <c r="H559" s="5" t="s">
        <v>137</v>
      </c>
      <c r="I559" s="5" t="s">
        <v>7323</v>
      </c>
      <c r="J559" s="5" t="s">
        <v>7327</v>
      </c>
    </row>
    <row r="560" spans="1:10" x14ac:dyDescent="0.2">
      <c r="A560" s="5" t="s">
        <v>7326</v>
      </c>
      <c r="B560" s="5" t="s">
        <v>83</v>
      </c>
      <c r="C560" s="5"/>
      <c r="D560" s="5" t="s">
        <v>7325</v>
      </c>
      <c r="E560" s="5"/>
      <c r="F560" s="5" t="s">
        <v>7324</v>
      </c>
      <c r="G560" s="5" t="s">
        <v>91</v>
      </c>
      <c r="H560" s="5" t="s">
        <v>137</v>
      </c>
      <c r="I560" s="5" t="s">
        <v>7323</v>
      </c>
      <c r="J560" s="5" t="s">
        <v>7322</v>
      </c>
    </row>
    <row r="561" spans="1:10" x14ac:dyDescent="0.2">
      <c r="A561" s="5" t="s">
        <v>7321</v>
      </c>
      <c r="B561" s="5" t="s">
        <v>83</v>
      </c>
      <c r="C561" s="5"/>
      <c r="D561" s="5" t="s">
        <v>6387</v>
      </c>
      <c r="E561" s="5"/>
      <c r="F561" s="5" t="s">
        <v>7321</v>
      </c>
      <c r="G561" s="5" t="s">
        <v>80</v>
      </c>
      <c r="H561" s="5" t="s">
        <v>3</v>
      </c>
      <c r="I561" s="5"/>
      <c r="J561" s="5" t="s">
        <v>7320</v>
      </c>
    </row>
    <row r="562" spans="1:10" ht="25.5" x14ac:dyDescent="0.2">
      <c r="A562" s="5" t="s">
        <v>7319</v>
      </c>
      <c r="B562" s="5" t="s">
        <v>83</v>
      </c>
      <c r="C562" s="5"/>
      <c r="D562" s="5" t="s">
        <v>7318</v>
      </c>
      <c r="E562" s="5"/>
      <c r="F562" s="5" t="s">
        <v>7317</v>
      </c>
      <c r="G562" s="5" t="s">
        <v>105</v>
      </c>
      <c r="H562" s="5" t="s">
        <v>3</v>
      </c>
      <c r="I562" s="5"/>
      <c r="J562" s="5" t="s">
        <v>7316</v>
      </c>
    </row>
    <row r="563" spans="1:10" ht="25.5" x14ac:dyDescent="0.2">
      <c r="A563" s="5" t="s">
        <v>7315</v>
      </c>
      <c r="B563" s="5" t="s">
        <v>83</v>
      </c>
      <c r="C563" s="5"/>
      <c r="D563" s="5" t="s">
        <v>7314</v>
      </c>
      <c r="E563" s="5"/>
      <c r="F563" s="5" t="s">
        <v>7313</v>
      </c>
      <c r="G563" s="5" t="s">
        <v>224</v>
      </c>
      <c r="H563" s="5" t="s">
        <v>3</v>
      </c>
      <c r="I563" s="5"/>
      <c r="J563" s="5" t="s">
        <v>7312</v>
      </c>
    </row>
    <row r="564" spans="1:10" ht="25.5" x14ac:dyDescent="0.2">
      <c r="A564" s="5" t="s">
        <v>7311</v>
      </c>
      <c r="B564" s="5" t="s">
        <v>83</v>
      </c>
      <c r="C564" s="5"/>
      <c r="D564" s="5" t="s">
        <v>7310</v>
      </c>
      <c r="E564" s="5"/>
      <c r="F564" s="5" t="s">
        <v>7309</v>
      </c>
      <c r="G564" s="5" t="s">
        <v>80</v>
      </c>
      <c r="H564" s="5" t="s">
        <v>3</v>
      </c>
      <c r="I564" s="5"/>
      <c r="J564" s="5" t="s">
        <v>7308</v>
      </c>
    </row>
    <row r="565" spans="1:10" ht="25.5" x14ac:dyDescent="0.2">
      <c r="A565" s="5" t="s">
        <v>7307</v>
      </c>
      <c r="B565" s="5" t="s">
        <v>83</v>
      </c>
      <c r="C565" s="5"/>
      <c r="D565" s="5" t="s">
        <v>7306</v>
      </c>
      <c r="E565" s="5"/>
      <c r="F565" s="5" t="s">
        <v>7305</v>
      </c>
      <c r="G565" s="5" t="s">
        <v>173</v>
      </c>
      <c r="H565" s="5" t="s">
        <v>3</v>
      </c>
      <c r="I565" s="5"/>
      <c r="J565" s="5" t="s">
        <v>7304</v>
      </c>
    </row>
    <row r="566" spans="1:10" ht="25.5" x14ac:dyDescent="0.2">
      <c r="A566" s="5" t="s">
        <v>7303</v>
      </c>
      <c r="B566" s="5" t="s">
        <v>83</v>
      </c>
      <c r="C566" s="5"/>
      <c r="D566" s="5" t="s">
        <v>7302</v>
      </c>
      <c r="E566" s="5"/>
      <c r="F566" s="5" t="s">
        <v>7301</v>
      </c>
      <c r="G566" s="5" t="s">
        <v>229</v>
      </c>
      <c r="H566" s="5" t="s">
        <v>137</v>
      </c>
      <c r="I566" s="5" t="s">
        <v>55</v>
      </c>
      <c r="J566" s="5" t="s">
        <v>7300</v>
      </c>
    </row>
    <row r="567" spans="1:10" ht="25.5" x14ac:dyDescent="0.2">
      <c r="A567" s="5" t="s">
        <v>7299</v>
      </c>
      <c r="B567" s="5" t="s">
        <v>83</v>
      </c>
      <c r="C567" s="5"/>
      <c r="D567" s="5" t="s">
        <v>7298</v>
      </c>
      <c r="E567" s="5"/>
      <c r="F567" s="5" t="s">
        <v>7297</v>
      </c>
      <c r="G567" s="5" t="s">
        <v>7296</v>
      </c>
      <c r="H567" s="5" t="s">
        <v>3</v>
      </c>
      <c r="I567" s="5"/>
      <c r="J567" s="5" t="s">
        <v>7295</v>
      </c>
    </row>
    <row r="568" spans="1:10" x14ac:dyDescent="0.2">
      <c r="A568" s="5" t="s">
        <v>7294</v>
      </c>
      <c r="B568" s="5" t="s">
        <v>83</v>
      </c>
      <c r="C568" s="5"/>
      <c r="D568" s="5" t="s">
        <v>7293</v>
      </c>
      <c r="E568" s="5"/>
      <c r="F568" s="5" t="s">
        <v>7292</v>
      </c>
      <c r="G568" s="5" t="s">
        <v>86</v>
      </c>
      <c r="H568" s="5" t="s">
        <v>3</v>
      </c>
      <c r="I568" s="5"/>
      <c r="J568" s="5"/>
    </row>
    <row r="569" spans="1:10" x14ac:dyDescent="0.2">
      <c r="A569" s="5" t="s">
        <v>7291</v>
      </c>
      <c r="B569" s="5" t="s">
        <v>83</v>
      </c>
      <c r="C569" s="5"/>
      <c r="D569" s="5" t="s">
        <v>7290</v>
      </c>
      <c r="E569" s="5"/>
      <c r="F569" s="5" t="s">
        <v>7289</v>
      </c>
      <c r="G569" s="5" t="s">
        <v>114</v>
      </c>
      <c r="H569" s="5" t="s">
        <v>137</v>
      </c>
      <c r="I569" s="5" t="s">
        <v>55</v>
      </c>
      <c r="J569" s="5" t="s">
        <v>7288</v>
      </c>
    </row>
    <row r="570" spans="1:10" x14ac:dyDescent="0.2">
      <c r="A570" s="5" t="s">
        <v>7287</v>
      </c>
      <c r="B570" s="5" t="s">
        <v>83</v>
      </c>
      <c r="C570" s="5"/>
      <c r="D570" s="5" t="s">
        <v>7286</v>
      </c>
      <c r="E570" s="5"/>
      <c r="F570" s="5" t="s">
        <v>6339</v>
      </c>
      <c r="G570" s="5" t="s">
        <v>382</v>
      </c>
      <c r="H570" s="5" t="s">
        <v>3</v>
      </c>
      <c r="I570" s="5"/>
      <c r="J570" s="5" t="s">
        <v>7285</v>
      </c>
    </row>
    <row r="571" spans="1:10" x14ac:dyDescent="0.2">
      <c r="A571" s="5" t="s">
        <v>7284</v>
      </c>
      <c r="B571" s="5" t="s">
        <v>83</v>
      </c>
      <c r="C571" s="5"/>
      <c r="D571" s="5" t="s">
        <v>7283</v>
      </c>
      <c r="E571" s="5"/>
      <c r="F571" s="5" t="s">
        <v>6315</v>
      </c>
      <c r="G571" s="5" t="s">
        <v>382</v>
      </c>
      <c r="H571" s="5" t="s">
        <v>3</v>
      </c>
      <c r="I571" s="5"/>
      <c r="J571" s="5" t="s">
        <v>7282</v>
      </c>
    </row>
    <row r="572" spans="1:10" x14ac:dyDescent="0.2">
      <c r="A572" s="5" t="s">
        <v>7281</v>
      </c>
      <c r="B572" s="5" t="s">
        <v>83</v>
      </c>
      <c r="C572" s="5"/>
      <c r="D572" s="5" t="s">
        <v>7280</v>
      </c>
      <c r="E572" s="5"/>
      <c r="F572" s="5" t="s">
        <v>6291</v>
      </c>
      <c r="G572" s="5" t="s">
        <v>382</v>
      </c>
      <c r="H572" s="5" t="s">
        <v>3</v>
      </c>
      <c r="I572" s="5"/>
      <c r="J572" s="5" t="s">
        <v>7279</v>
      </c>
    </row>
    <row r="573" spans="1:10" x14ac:dyDescent="0.2">
      <c r="A573" s="5" t="s">
        <v>7278</v>
      </c>
      <c r="B573" s="5" t="s">
        <v>83</v>
      </c>
      <c r="C573" s="5"/>
      <c r="D573" s="5" t="s">
        <v>7277</v>
      </c>
      <c r="E573" s="5"/>
      <c r="F573" s="5" t="s">
        <v>6267</v>
      </c>
      <c r="G573" s="5" t="s">
        <v>382</v>
      </c>
      <c r="H573" s="5" t="s">
        <v>3</v>
      </c>
      <c r="I573" s="5"/>
      <c r="J573" s="5" t="s">
        <v>7276</v>
      </c>
    </row>
    <row r="574" spans="1:10" x14ac:dyDescent="0.2">
      <c r="A574" s="5" t="s">
        <v>7275</v>
      </c>
      <c r="B574" s="5" t="s">
        <v>83</v>
      </c>
      <c r="C574" s="5"/>
      <c r="D574" s="5" t="s">
        <v>7274</v>
      </c>
      <c r="E574" s="5"/>
      <c r="F574" s="5" t="s">
        <v>6238</v>
      </c>
      <c r="G574" s="5" t="s">
        <v>382</v>
      </c>
      <c r="H574" s="5" t="s">
        <v>3</v>
      </c>
      <c r="I574" s="5"/>
      <c r="J574" s="5" t="s">
        <v>7273</v>
      </c>
    </row>
    <row r="575" spans="1:10" x14ac:dyDescent="0.2">
      <c r="A575" s="5" t="s">
        <v>7272</v>
      </c>
      <c r="B575" s="5" t="s">
        <v>83</v>
      </c>
      <c r="C575" s="5"/>
      <c r="D575" s="5" t="s">
        <v>7271</v>
      </c>
      <c r="E575" s="5"/>
      <c r="F575" s="5" t="s">
        <v>6214</v>
      </c>
      <c r="G575" s="5" t="s">
        <v>382</v>
      </c>
      <c r="H575" s="5" t="s">
        <v>3</v>
      </c>
      <c r="I575" s="5"/>
      <c r="J575" s="5" t="s">
        <v>7270</v>
      </c>
    </row>
    <row r="576" spans="1:10" x14ac:dyDescent="0.2">
      <c r="A576" s="5" t="s">
        <v>7269</v>
      </c>
      <c r="B576" s="5" t="s">
        <v>83</v>
      </c>
      <c r="C576" s="5"/>
      <c r="D576" s="5" t="s">
        <v>7268</v>
      </c>
      <c r="E576" s="5"/>
      <c r="F576" s="5" t="s">
        <v>6190</v>
      </c>
      <c r="G576" s="5" t="s">
        <v>382</v>
      </c>
      <c r="H576" s="5" t="s">
        <v>3</v>
      </c>
      <c r="I576" s="5"/>
      <c r="J576" s="5" t="s">
        <v>7267</v>
      </c>
    </row>
    <row r="577" spans="1:10" x14ac:dyDescent="0.2">
      <c r="A577" s="5" t="s">
        <v>7266</v>
      </c>
      <c r="B577" s="5" t="s">
        <v>83</v>
      </c>
      <c r="C577" s="5"/>
      <c r="D577" s="5" t="s">
        <v>7265</v>
      </c>
      <c r="E577" s="5"/>
      <c r="F577" s="5" t="s">
        <v>6166</v>
      </c>
      <c r="G577" s="5" t="s">
        <v>382</v>
      </c>
      <c r="H577" s="5" t="s">
        <v>3</v>
      </c>
      <c r="I577" s="5"/>
      <c r="J577" s="5" t="s">
        <v>7264</v>
      </c>
    </row>
    <row r="578" spans="1:10" x14ac:dyDescent="0.2">
      <c r="A578" s="5" t="s">
        <v>7263</v>
      </c>
      <c r="B578" s="5" t="s">
        <v>83</v>
      </c>
      <c r="C578" s="5"/>
      <c r="D578" s="5" t="s">
        <v>7262</v>
      </c>
      <c r="E578" s="5"/>
      <c r="F578" s="5" t="s">
        <v>6142</v>
      </c>
      <c r="G578" s="5" t="s">
        <v>382</v>
      </c>
      <c r="H578" s="5" t="s">
        <v>3</v>
      </c>
      <c r="I578" s="5"/>
      <c r="J578" s="5" t="s">
        <v>7261</v>
      </c>
    </row>
    <row r="579" spans="1:10" x14ac:dyDescent="0.2">
      <c r="A579" s="5" t="s">
        <v>7260</v>
      </c>
      <c r="B579" s="5" t="s">
        <v>83</v>
      </c>
      <c r="C579" s="5"/>
      <c r="D579" s="5" t="s">
        <v>7259</v>
      </c>
      <c r="E579" s="5"/>
      <c r="F579" s="5" t="s">
        <v>6118</v>
      </c>
      <c r="G579" s="5" t="s">
        <v>382</v>
      </c>
      <c r="H579" s="5" t="s">
        <v>3</v>
      </c>
      <c r="I579" s="5"/>
      <c r="J579" s="5" t="s">
        <v>7258</v>
      </c>
    </row>
    <row r="580" spans="1:10" x14ac:dyDescent="0.2">
      <c r="A580" s="5" t="s">
        <v>7257</v>
      </c>
      <c r="B580" s="5" t="s">
        <v>83</v>
      </c>
      <c r="C580" s="5"/>
      <c r="D580" s="5" t="s">
        <v>7256</v>
      </c>
      <c r="E580" s="5"/>
      <c r="F580" s="5" t="e">
        <v>#NAME?</v>
      </c>
      <c r="G580" s="5" t="s">
        <v>382</v>
      </c>
      <c r="H580" s="5" t="s">
        <v>3</v>
      </c>
      <c r="I580" s="5"/>
      <c r="J580" s="5" t="s">
        <v>7255</v>
      </c>
    </row>
    <row r="581" spans="1:10" x14ac:dyDescent="0.2">
      <c r="A581" s="5" t="s">
        <v>7254</v>
      </c>
      <c r="B581" s="5" t="s">
        <v>83</v>
      </c>
      <c r="C581" s="5"/>
      <c r="D581" s="5" t="s">
        <v>7253</v>
      </c>
      <c r="E581" s="5"/>
      <c r="F581" s="5" t="s">
        <v>6071</v>
      </c>
      <c r="G581" s="5" t="s">
        <v>382</v>
      </c>
      <c r="H581" s="5" t="s">
        <v>3</v>
      </c>
      <c r="I581" s="5"/>
      <c r="J581" s="5" t="s">
        <v>7252</v>
      </c>
    </row>
    <row r="582" spans="1:10" x14ac:dyDescent="0.2">
      <c r="A582" s="5" t="s">
        <v>7251</v>
      </c>
      <c r="B582" s="5" t="s">
        <v>83</v>
      </c>
      <c r="C582" s="5"/>
      <c r="D582" s="5" t="s">
        <v>7250</v>
      </c>
      <c r="E582" s="5"/>
      <c r="F582" s="5" t="s">
        <v>6043</v>
      </c>
      <c r="G582" s="5" t="s">
        <v>382</v>
      </c>
      <c r="H582" s="5" t="s">
        <v>3</v>
      </c>
      <c r="I582" s="5"/>
      <c r="J582" s="5" t="s">
        <v>7249</v>
      </c>
    </row>
    <row r="583" spans="1:10" x14ac:dyDescent="0.2">
      <c r="A583" s="5" t="s">
        <v>7248</v>
      </c>
      <c r="B583" s="5" t="s">
        <v>83</v>
      </c>
      <c r="C583" s="5"/>
      <c r="D583" s="5" t="s">
        <v>7247</v>
      </c>
      <c r="E583" s="5"/>
      <c r="F583" s="5" t="s">
        <v>6015</v>
      </c>
      <c r="G583" s="5" t="s">
        <v>382</v>
      </c>
      <c r="H583" s="5" t="s">
        <v>3</v>
      </c>
      <c r="I583" s="5"/>
      <c r="J583" s="5" t="s">
        <v>7246</v>
      </c>
    </row>
    <row r="584" spans="1:10" x14ac:dyDescent="0.2">
      <c r="A584" s="5" t="s">
        <v>7245</v>
      </c>
      <c r="B584" s="5" t="s">
        <v>83</v>
      </c>
      <c r="C584" s="5"/>
      <c r="D584" s="5" t="s">
        <v>7244</v>
      </c>
      <c r="E584" s="5"/>
      <c r="F584" s="5" t="s">
        <v>5991</v>
      </c>
      <c r="G584" s="5" t="s">
        <v>382</v>
      </c>
      <c r="H584" s="5" t="s">
        <v>3</v>
      </c>
      <c r="I584" s="5"/>
      <c r="J584" s="5" t="s">
        <v>7243</v>
      </c>
    </row>
    <row r="585" spans="1:10" x14ac:dyDescent="0.2">
      <c r="A585" s="5" t="s">
        <v>7242</v>
      </c>
      <c r="B585" s="5" t="s">
        <v>83</v>
      </c>
      <c r="C585" s="5"/>
      <c r="D585" s="5" t="s">
        <v>7241</v>
      </c>
      <c r="E585" s="5"/>
      <c r="F585" s="5" t="s">
        <v>5967</v>
      </c>
      <c r="G585" s="5" t="s">
        <v>382</v>
      </c>
      <c r="H585" s="5" t="s">
        <v>3</v>
      </c>
      <c r="I585" s="5"/>
      <c r="J585" s="5" t="s">
        <v>7240</v>
      </c>
    </row>
    <row r="586" spans="1:10" x14ac:dyDescent="0.2">
      <c r="A586" s="5" t="s">
        <v>7239</v>
      </c>
      <c r="B586" s="5" t="s">
        <v>83</v>
      </c>
      <c r="C586" s="5"/>
      <c r="D586" s="5" t="s">
        <v>7238</v>
      </c>
      <c r="E586" s="5"/>
      <c r="F586" s="5" t="s">
        <v>5943</v>
      </c>
      <c r="G586" s="5" t="s">
        <v>382</v>
      </c>
      <c r="H586" s="5" t="s">
        <v>3</v>
      </c>
      <c r="I586" s="5"/>
      <c r="J586" s="5" t="s">
        <v>7237</v>
      </c>
    </row>
    <row r="587" spans="1:10" x14ac:dyDescent="0.2">
      <c r="A587" s="5" t="s">
        <v>7236</v>
      </c>
      <c r="B587" s="5" t="s">
        <v>83</v>
      </c>
      <c r="C587" s="5"/>
      <c r="D587" s="5" t="s">
        <v>7235</v>
      </c>
      <c r="E587" s="5"/>
      <c r="F587" s="5" t="s">
        <v>5919</v>
      </c>
      <c r="G587" s="5" t="s">
        <v>382</v>
      </c>
      <c r="H587" s="5" t="s">
        <v>3</v>
      </c>
      <c r="I587" s="5"/>
      <c r="J587" s="5" t="s">
        <v>7234</v>
      </c>
    </row>
    <row r="588" spans="1:10" x14ac:dyDescent="0.2">
      <c r="A588" s="5" t="s">
        <v>7233</v>
      </c>
      <c r="B588" s="5" t="s">
        <v>83</v>
      </c>
      <c r="C588" s="5"/>
      <c r="D588" s="5" t="s">
        <v>7232</v>
      </c>
      <c r="E588" s="5"/>
      <c r="F588" s="5" t="s">
        <v>5895</v>
      </c>
      <c r="G588" s="5" t="s">
        <v>382</v>
      </c>
      <c r="H588" s="5" t="s">
        <v>3</v>
      </c>
      <c r="I588" s="5"/>
      <c r="J588" s="5" t="s">
        <v>7231</v>
      </c>
    </row>
    <row r="589" spans="1:10" x14ac:dyDescent="0.2">
      <c r="A589" s="5" t="s">
        <v>7230</v>
      </c>
      <c r="B589" s="5" t="s">
        <v>83</v>
      </c>
      <c r="C589" s="5"/>
      <c r="D589" s="5" t="s">
        <v>7229</v>
      </c>
      <c r="E589" s="5"/>
      <c r="F589" s="5" t="s">
        <v>5871</v>
      </c>
      <c r="G589" s="5" t="s">
        <v>382</v>
      </c>
      <c r="H589" s="5" t="s">
        <v>3</v>
      </c>
      <c r="I589" s="5"/>
      <c r="J589" s="5" t="s">
        <v>7228</v>
      </c>
    </row>
    <row r="590" spans="1:10" x14ac:dyDescent="0.2">
      <c r="A590" s="5" t="s">
        <v>7227</v>
      </c>
      <c r="B590" s="5" t="s">
        <v>83</v>
      </c>
      <c r="C590" s="5"/>
      <c r="D590" s="5" t="s">
        <v>7226</v>
      </c>
      <c r="E590" s="5"/>
      <c r="F590" s="5" t="s">
        <v>5847</v>
      </c>
      <c r="G590" s="5" t="s">
        <v>382</v>
      </c>
      <c r="H590" s="5" t="s">
        <v>3</v>
      </c>
      <c r="I590" s="5"/>
      <c r="J590" s="5" t="s">
        <v>7225</v>
      </c>
    </row>
    <row r="591" spans="1:10" x14ac:dyDescent="0.2">
      <c r="A591" s="5" t="s">
        <v>7224</v>
      </c>
      <c r="B591" s="5" t="s">
        <v>83</v>
      </c>
      <c r="C591" s="5"/>
      <c r="D591" s="5" t="s">
        <v>7223</v>
      </c>
      <c r="E591" s="5"/>
      <c r="F591" s="5" t="s">
        <v>5818</v>
      </c>
      <c r="G591" s="5" t="s">
        <v>382</v>
      </c>
      <c r="H591" s="5" t="s">
        <v>3</v>
      </c>
      <c r="I591" s="5"/>
      <c r="J591" s="5" t="s">
        <v>7222</v>
      </c>
    </row>
    <row r="592" spans="1:10" x14ac:dyDescent="0.2">
      <c r="A592" s="5" t="s">
        <v>7221</v>
      </c>
      <c r="B592" s="5" t="s">
        <v>83</v>
      </c>
      <c r="C592" s="5"/>
      <c r="D592" s="5" t="s">
        <v>7220</v>
      </c>
      <c r="E592" s="5"/>
      <c r="F592" s="5" t="s">
        <v>5794</v>
      </c>
      <c r="G592" s="5" t="s">
        <v>382</v>
      </c>
      <c r="H592" s="5" t="s">
        <v>3</v>
      </c>
      <c r="I592" s="5"/>
      <c r="J592" s="5" t="s">
        <v>7219</v>
      </c>
    </row>
    <row r="593" spans="1:10" x14ac:dyDescent="0.2">
      <c r="A593" s="5" t="s">
        <v>7218</v>
      </c>
      <c r="B593" s="5" t="s">
        <v>83</v>
      </c>
      <c r="C593" s="5"/>
      <c r="D593" s="5" t="s">
        <v>7217</v>
      </c>
      <c r="E593" s="5"/>
      <c r="F593" s="5" t="s">
        <v>5615</v>
      </c>
      <c r="G593" s="5" t="s">
        <v>382</v>
      </c>
      <c r="H593" s="5" t="s">
        <v>3</v>
      </c>
      <c r="I593" s="5"/>
      <c r="J593" s="5" t="s">
        <v>7216</v>
      </c>
    </row>
    <row r="594" spans="1:10" x14ac:dyDescent="0.2">
      <c r="A594" s="5" t="s">
        <v>7215</v>
      </c>
      <c r="B594" s="5" t="s">
        <v>83</v>
      </c>
      <c r="C594" s="5"/>
      <c r="D594" s="5" t="s">
        <v>7214</v>
      </c>
      <c r="E594" s="5"/>
      <c r="F594" s="5" t="s">
        <v>5747</v>
      </c>
      <c r="G594" s="5" t="s">
        <v>382</v>
      </c>
      <c r="H594" s="5" t="s">
        <v>3</v>
      </c>
      <c r="I594" s="5"/>
      <c r="J594" s="5" t="s">
        <v>7213</v>
      </c>
    </row>
    <row r="595" spans="1:10" x14ac:dyDescent="0.2">
      <c r="A595" s="5" t="s">
        <v>7212</v>
      </c>
      <c r="B595" s="5" t="s">
        <v>83</v>
      </c>
      <c r="C595" s="5"/>
      <c r="D595" s="5" t="s">
        <v>7211</v>
      </c>
      <c r="E595" s="5"/>
      <c r="F595" s="5" t="s">
        <v>5736</v>
      </c>
      <c r="G595" s="5" t="s">
        <v>382</v>
      </c>
      <c r="H595" s="5" t="s">
        <v>3</v>
      </c>
      <c r="I595" s="5"/>
      <c r="J595" s="5" t="s">
        <v>7210</v>
      </c>
    </row>
    <row r="596" spans="1:10" x14ac:dyDescent="0.2">
      <c r="A596" s="5" t="s">
        <v>7209</v>
      </c>
      <c r="B596" s="5" t="s">
        <v>83</v>
      </c>
      <c r="C596" s="5"/>
      <c r="D596" s="5" t="s">
        <v>7208</v>
      </c>
      <c r="E596" s="5"/>
      <c r="F596" s="5" t="s">
        <v>5712</v>
      </c>
      <c r="G596" s="5" t="s">
        <v>382</v>
      </c>
      <c r="H596" s="5" t="s">
        <v>3</v>
      </c>
      <c r="I596" s="5"/>
      <c r="J596" s="5" t="s">
        <v>7207</v>
      </c>
    </row>
    <row r="597" spans="1:10" x14ac:dyDescent="0.2">
      <c r="A597" s="5" t="s">
        <v>7206</v>
      </c>
      <c r="B597" s="5" t="s">
        <v>83</v>
      </c>
      <c r="C597" s="5"/>
      <c r="D597" s="5" t="s">
        <v>7205</v>
      </c>
      <c r="E597" s="5"/>
      <c r="F597" s="5" t="s">
        <v>5688</v>
      </c>
      <c r="G597" s="5" t="s">
        <v>382</v>
      </c>
      <c r="H597" s="5" t="s">
        <v>3</v>
      </c>
      <c r="I597" s="5"/>
      <c r="J597" s="5" t="s">
        <v>7204</v>
      </c>
    </row>
    <row r="598" spans="1:10" x14ac:dyDescent="0.2">
      <c r="A598" s="5" t="s">
        <v>7203</v>
      </c>
      <c r="B598" s="5" t="s">
        <v>83</v>
      </c>
      <c r="C598" s="5"/>
      <c r="D598" s="5" t="s">
        <v>7202</v>
      </c>
      <c r="E598" s="5"/>
      <c r="F598" s="5" t="s">
        <v>5660</v>
      </c>
      <c r="G598" s="5" t="s">
        <v>382</v>
      </c>
      <c r="H598" s="5" t="s">
        <v>3</v>
      </c>
      <c r="I598" s="5"/>
      <c r="J598" s="5" t="s">
        <v>7201</v>
      </c>
    </row>
    <row r="599" spans="1:10" x14ac:dyDescent="0.2">
      <c r="A599" s="5" t="s">
        <v>7200</v>
      </c>
      <c r="B599" s="5" t="s">
        <v>83</v>
      </c>
      <c r="C599" s="5"/>
      <c r="D599" s="5" t="s">
        <v>7199</v>
      </c>
      <c r="E599" s="5"/>
      <c r="F599" s="5" t="s">
        <v>5636</v>
      </c>
      <c r="G599" s="5" t="s">
        <v>382</v>
      </c>
      <c r="H599" s="5" t="s">
        <v>3</v>
      </c>
      <c r="I599" s="5"/>
      <c r="J599" s="5" t="s">
        <v>7198</v>
      </c>
    </row>
    <row r="600" spans="1:10" x14ac:dyDescent="0.2">
      <c r="A600" s="5" t="s">
        <v>7197</v>
      </c>
      <c r="B600" s="5" t="s">
        <v>83</v>
      </c>
      <c r="C600" s="5"/>
      <c r="D600" s="5" t="s">
        <v>7196</v>
      </c>
      <c r="E600" s="5"/>
      <c r="F600" s="5" t="s">
        <v>5604</v>
      </c>
      <c r="G600" s="5" t="s">
        <v>382</v>
      </c>
      <c r="H600" s="5" t="s">
        <v>3</v>
      </c>
      <c r="I600" s="5"/>
      <c r="J600" s="5" t="s">
        <v>7195</v>
      </c>
    </row>
    <row r="601" spans="1:10" x14ac:dyDescent="0.2">
      <c r="A601" s="5" t="s">
        <v>7194</v>
      </c>
      <c r="B601" s="5" t="s">
        <v>83</v>
      </c>
      <c r="C601" s="5"/>
      <c r="D601" s="5" t="s">
        <v>7193</v>
      </c>
      <c r="E601" s="5"/>
      <c r="F601" s="5" t="s">
        <v>5576</v>
      </c>
      <c r="G601" s="5" t="s">
        <v>382</v>
      </c>
      <c r="H601" s="5" t="s">
        <v>3</v>
      </c>
      <c r="I601" s="5"/>
      <c r="J601" s="5" t="s">
        <v>7192</v>
      </c>
    </row>
    <row r="602" spans="1:10" x14ac:dyDescent="0.2">
      <c r="A602" s="5" t="s">
        <v>7191</v>
      </c>
      <c r="B602" s="5" t="s">
        <v>83</v>
      </c>
      <c r="C602" s="5"/>
      <c r="D602" s="5" t="s">
        <v>7190</v>
      </c>
      <c r="E602" s="5"/>
      <c r="F602" s="5" t="s">
        <v>5552</v>
      </c>
      <c r="G602" s="5" t="s">
        <v>382</v>
      </c>
      <c r="H602" s="5" t="s">
        <v>3</v>
      </c>
      <c r="I602" s="5"/>
      <c r="J602" s="5" t="s">
        <v>7189</v>
      </c>
    </row>
    <row r="603" spans="1:10" x14ac:dyDescent="0.2">
      <c r="A603" s="5" t="s">
        <v>7188</v>
      </c>
      <c r="B603" s="5" t="s">
        <v>83</v>
      </c>
      <c r="C603" s="5"/>
      <c r="D603" s="5" t="s">
        <v>7187</v>
      </c>
      <c r="E603" s="5"/>
      <c r="F603" s="5" t="s">
        <v>5459</v>
      </c>
      <c r="G603" s="5" t="s">
        <v>382</v>
      </c>
      <c r="H603" s="5" t="s">
        <v>3</v>
      </c>
      <c r="I603" s="5"/>
      <c r="J603" s="5" t="s">
        <v>7186</v>
      </c>
    </row>
    <row r="604" spans="1:10" x14ac:dyDescent="0.2">
      <c r="A604" s="5" t="s">
        <v>7185</v>
      </c>
      <c r="B604" s="5" t="s">
        <v>83</v>
      </c>
      <c r="C604" s="5"/>
      <c r="D604" s="5" t="s">
        <v>7184</v>
      </c>
      <c r="E604" s="5"/>
      <c r="F604" s="5" t="s">
        <v>5435</v>
      </c>
      <c r="G604" s="5" t="s">
        <v>382</v>
      </c>
      <c r="H604" s="5" t="s">
        <v>3</v>
      </c>
      <c r="I604" s="5"/>
      <c r="J604" s="5" t="s">
        <v>7183</v>
      </c>
    </row>
    <row r="605" spans="1:10" x14ac:dyDescent="0.2">
      <c r="A605" s="5" t="s">
        <v>7182</v>
      </c>
      <c r="B605" s="5" t="s">
        <v>83</v>
      </c>
      <c r="C605" s="5"/>
      <c r="D605" s="5" t="s">
        <v>7181</v>
      </c>
      <c r="E605" s="5"/>
      <c r="F605" s="5" t="s">
        <v>5407</v>
      </c>
      <c r="G605" s="5" t="s">
        <v>382</v>
      </c>
      <c r="H605" s="5" t="s">
        <v>3</v>
      </c>
      <c r="I605" s="5"/>
      <c r="J605" s="5" t="s">
        <v>7180</v>
      </c>
    </row>
    <row r="606" spans="1:10" x14ac:dyDescent="0.2">
      <c r="A606" s="5" t="s">
        <v>7179</v>
      </c>
      <c r="B606" s="5" t="s">
        <v>83</v>
      </c>
      <c r="C606" s="5"/>
      <c r="D606" s="5" t="s">
        <v>7178</v>
      </c>
      <c r="E606" s="5"/>
      <c r="F606" s="5" t="s">
        <v>5347</v>
      </c>
      <c r="G606" s="5" t="s">
        <v>382</v>
      </c>
      <c r="H606" s="5" t="s">
        <v>3</v>
      </c>
      <c r="I606" s="5"/>
      <c r="J606" s="5" t="s">
        <v>7177</v>
      </c>
    </row>
    <row r="607" spans="1:10" x14ac:dyDescent="0.2">
      <c r="A607" s="5" t="s">
        <v>7176</v>
      </c>
      <c r="B607" s="5" t="s">
        <v>83</v>
      </c>
      <c r="C607" s="5"/>
      <c r="D607" s="5" t="s">
        <v>7175</v>
      </c>
      <c r="E607" s="5"/>
      <c r="F607" s="5" t="s">
        <v>5269</v>
      </c>
      <c r="G607" s="5" t="s">
        <v>382</v>
      </c>
      <c r="H607" s="5" t="s">
        <v>3</v>
      </c>
      <c r="I607" s="5"/>
      <c r="J607" s="5" t="s">
        <v>7174</v>
      </c>
    </row>
    <row r="608" spans="1:10" x14ac:dyDescent="0.2">
      <c r="A608" s="5" t="s">
        <v>7173</v>
      </c>
      <c r="B608" s="5" t="s">
        <v>83</v>
      </c>
      <c r="C608" s="5"/>
      <c r="D608" s="5" t="s">
        <v>7172</v>
      </c>
      <c r="E608" s="5"/>
      <c r="F608" s="5" t="s">
        <v>5311</v>
      </c>
      <c r="G608" s="5" t="s">
        <v>382</v>
      </c>
      <c r="H608" s="5" t="s">
        <v>3</v>
      </c>
      <c r="I608" s="5"/>
      <c r="J608" s="5" t="s">
        <v>7171</v>
      </c>
    </row>
    <row r="609" spans="1:10" x14ac:dyDescent="0.2">
      <c r="A609" s="5" t="s">
        <v>7170</v>
      </c>
      <c r="B609" s="5" t="s">
        <v>83</v>
      </c>
      <c r="C609" s="5"/>
      <c r="D609" s="5" t="s">
        <v>7169</v>
      </c>
      <c r="E609" s="5"/>
      <c r="F609" s="5" t="s">
        <v>5287</v>
      </c>
      <c r="G609" s="5" t="s">
        <v>382</v>
      </c>
      <c r="H609" s="5" t="s">
        <v>3</v>
      </c>
      <c r="I609" s="5"/>
      <c r="J609" s="5" t="s">
        <v>7168</v>
      </c>
    </row>
    <row r="610" spans="1:10" x14ac:dyDescent="0.2">
      <c r="A610" s="5" t="s">
        <v>7167</v>
      </c>
      <c r="B610" s="5" t="s">
        <v>83</v>
      </c>
      <c r="C610" s="5"/>
      <c r="D610" s="5" t="s">
        <v>7166</v>
      </c>
      <c r="E610" s="5"/>
      <c r="F610" s="5" t="s">
        <v>5246</v>
      </c>
      <c r="G610" s="5" t="s">
        <v>382</v>
      </c>
      <c r="H610" s="5" t="s">
        <v>3</v>
      </c>
      <c r="I610" s="5"/>
      <c r="J610" s="5" t="s">
        <v>7165</v>
      </c>
    </row>
    <row r="611" spans="1:10" x14ac:dyDescent="0.2">
      <c r="A611" s="5" t="s">
        <v>7164</v>
      </c>
      <c r="B611" s="5" t="s">
        <v>83</v>
      </c>
      <c r="C611" s="5"/>
      <c r="D611" s="5" t="s">
        <v>7163</v>
      </c>
      <c r="E611" s="5"/>
      <c r="F611" s="5" t="s">
        <v>5213</v>
      </c>
      <c r="G611" s="5" t="s">
        <v>382</v>
      </c>
      <c r="H611" s="5" t="s">
        <v>3</v>
      </c>
      <c r="I611" s="5"/>
      <c r="J611" s="5" t="s">
        <v>7162</v>
      </c>
    </row>
    <row r="612" spans="1:10" x14ac:dyDescent="0.2">
      <c r="A612" s="5" t="s">
        <v>7161</v>
      </c>
      <c r="B612" s="5" t="s">
        <v>83</v>
      </c>
      <c r="C612" s="5"/>
      <c r="D612" s="5" t="s">
        <v>7160</v>
      </c>
      <c r="E612" s="5"/>
      <c r="F612" s="5" t="s">
        <v>5190</v>
      </c>
      <c r="G612" s="5" t="s">
        <v>382</v>
      </c>
      <c r="H612" s="5" t="s">
        <v>3</v>
      </c>
      <c r="I612" s="5"/>
      <c r="J612" s="5" t="s">
        <v>7159</v>
      </c>
    </row>
    <row r="613" spans="1:10" x14ac:dyDescent="0.2">
      <c r="A613" s="5" t="s">
        <v>7158</v>
      </c>
      <c r="B613" s="5" t="s">
        <v>83</v>
      </c>
      <c r="C613" s="5"/>
      <c r="D613" s="5" t="s">
        <v>7157</v>
      </c>
      <c r="E613" s="5"/>
      <c r="F613" s="5" t="s">
        <v>5130</v>
      </c>
      <c r="G613" s="5" t="s">
        <v>382</v>
      </c>
      <c r="H613" s="5" t="s">
        <v>3</v>
      </c>
      <c r="I613" s="5"/>
      <c r="J613" s="5" t="s">
        <v>7156</v>
      </c>
    </row>
    <row r="614" spans="1:10" x14ac:dyDescent="0.2">
      <c r="A614" s="5" t="s">
        <v>7155</v>
      </c>
      <c r="B614" s="5" t="s">
        <v>83</v>
      </c>
      <c r="C614" s="5"/>
      <c r="D614" s="5" t="s">
        <v>7154</v>
      </c>
      <c r="E614" s="5"/>
      <c r="F614" s="5" t="s">
        <v>5151</v>
      </c>
      <c r="G614" s="5" t="s">
        <v>382</v>
      </c>
      <c r="H614" s="5" t="s">
        <v>3</v>
      </c>
      <c r="I614" s="5"/>
      <c r="J614" s="5" t="s">
        <v>7153</v>
      </c>
    </row>
    <row r="615" spans="1:10" x14ac:dyDescent="0.2">
      <c r="A615" s="5" t="s">
        <v>7152</v>
      </c>
      <c r="B615" s="5" t="s">
        <v>83</v>
      </c>
      <c r="C615" s="5"/>
      <c r="D615" s="5" t="s">
        <v>7151</v>
      </c>
      <c r="E615" s="5"/>
      <c r="F615" s="5" t="s">
        <v>5106</v>
      </c>
      <c r="G615" s="5" t="s">
        <v>382</v>
      </c>
      <c r="H615" s="5" t="s">
        <v>3</v>
      </c>
      <c r="I615" s="5"/>
      <c r="J615" s="5" t="s">
        <v>7150</v>
      </c>
    </row>
    <row r="616" spans="1:10" x14ac:dyDescent="0.2">
      <c r="A616" s="5" t="s">
        <v>7149</v>
      </c>
      <c r="B616" s="5" t="s">
        <v>83</v>
      </c>
      <c r="C616" s="5"/>
      <c r="D616" s="5" t="s">
        <v>7148</v>
      </c>
      <c r="E616" s="5"/>
      <c r="F616" s="5" t="s">
        <v>5082</v>
      </c>
      <c r="G616" s="5" t="s">
        <v>382</v>
      </c>
      <c r="H616" s="5" t="s">
        <v>3</v>
      </c>
      <c r="I616" s="5"/>
      <c r="J616" s="5" t="s">
        <v>7147</v>
      </c>
    </row>
    <row r="617" spans="1:10" x14ac:dyDescent="0.2">
      <c r="A617" s="5" t="s">
        <v>7146</v>
      </c>
      <c r="B617" s="5" t="s">
        <v>83</v>
      </c>
      <c r="C617" s="5"/>
      <c r="D617" s="5" t="s">
        <v>7145</v>
      </c>
      <c r="E617" s="5"/>
      <c r="F617" s="5" t="s">
        <v>5056</v>
      </c>
      <c r="G617" s="5" t="s">
        <v>382</v>
      </c>
      <c r="H617" s="5" t="s">
        <v>3</v>
      </c>
      <c r="I617" s="5"/>
      <c r="J617" s="5" t="s">
        <v>7144</v>
      </c>
    </row>
    <row r="618" spans="1:10" x14ac:dyDescent="0.2">
      <c r="A618" s="5" t="s">
        <v>7143</v>
      </c>
      <c r="B618" s="5" t="s">
        <v>83</v>
      </c>
      <c r="C618" s="5"/>
      <c r="D618" s="5" t="s">
        <v>7142</v>
      </c>
      <c r="E618" s="5"/>
      <c r="F618" s="5" t="s">
        <v>5036</v>
      </c>
      <c r="G618" s="5" t="s">
        <v>382</v>
      </c>
      <c r="H618" s="5" t="s">
        <v>3</v>
      </c>
      <c r="I618" s="5"/>
      <c r="J618" s="5" t="s">
        <v>7141</v>
      </c>
    </row>
    <row r="619" spans="1:10" x14ac:dyDescent="0.2">
      <c r="A619" s="5" t="s">
        <v>7140</v>
      </c>
      <c r="B619" s="5" t="s">
        <v>83</v>
      </c>
      <c r="C619" s="5"/>
      <c r="D619" s="5" t="s">
        <v>7139</v>
      </c>
      <c r="E619" s="5"/>
      <c r="F619" s="5" t="s">
        <v>5005</v>
      </c>
      <c r="G619" s="5" t="s">
        <v>382</v>
      </c>
      <c r="H619" s="5" t="s">
        <v>3</v>
      </c>
      <c r="I619" s="5"/>
      <c r="J619" s="5" t="s">
        <v>7138</v>
      </c>
    </row>
    <row r="620" spans="1:10" x14ac:dyDescent="0.2">
      <c r="A620" s="5" t="s">
        <v>7137</v>
      </c>
      <c r="B620" s="5" t="s">
        <v>83</v>
      </c>
      <c r="C620" s="5"/>
      <c r="D620" s="5" t="s">
        <v>7136</v>
      </c>
      <c r="E620" s="5"/>
      <c r="F620" s="5" t="s">
        <v>4981</v>
      </c>
      <c r="G620" s="5" t="s">
        <v>382</v>
      </c>
      <c r="H620" s="5" t="s">
        <v>3</v>
      </c>
      <c r="I620" s="5"/>
      <c r="J620" s="5" t="s">
        <v>7135</v>
      </c>
    </row>
    <row r="621" spans="1:10" x14ac:dyDescent="0.2">
      <c r="A621" s="5" t="s">
        <v>7134</v>
      </c>
      <c r="B621" s="5" t="s">
        <v>83</v>
      </c>
      <c r="C621" s="5"/>
      <c r="D621" s="5" t="s">
        <v>7133</v>
      </c>
      <c r="E621" s="5"/>
      <c r="F621" s="5" t="s">
        <v>4957</v>
      </c>
      <c r="G621" s="5" t="s">
        <v>382</v>
      </c>
      <c r="H621" s="5" t="s">
        <v>3</v>
      </c>
      <c r="I621" s="5"/>
      <c r="J621" s="5" t="s">
        <v>7132</v>
      </c>
    </row>
    <row r="622" spans="1:10" x14ac:dyDescent="0.2">
      <c r="A622" s="5" t="s">
        <v>7131</v>
      </c>
      <c r="B622" s="5" t="s">
        <v>83</v>
      </c>
      <c r="C622" s="5"/>
      <c r="D622" s="5" t="s">
        <v>7130</v>
      </c>
      <c r="E622" s="5"/>
      <c r="F622" s="5" t="s">
        <v>4933</v>
      </c>
      <c r="G622" s="5" t="s">
        <v>382</v>
      </c>
      <c r="H622" s="5" t="s">
        <v>3</v>
      </c>
      <c r="I622" s="5"/>
      <c r="J622" s="5" t="s">
        <v>7129</v>
      </c>
    </row>
    <row r="623" spans="1:10" x14ac:dyDescent="0.2">
      <c r="A623" s="5" t="s">
        <v>7128</v>
      </c>
      <c r="B623" s="5" t="s">
        <v>83</v>
      </c>
      <c r="C623" s="5"/>
      <c r="D623" s="5" t="s">
        <v>7127</v>
      </c>
      <c r="E623" s="5"/>
      <c r="F623" s="5" t="s">
        <v>4909</v>
      </c>
      <c r="G623" s="5" t="s">
        <v>382</v>
      </c>
      <c r="H623" s="5" t="s">
        <v>3</v>
      </c>
      <c r="I623" s="5"/>
      <c r="J623" s="5" t="s">
        <v>7126</v>
      </c>
    </row>
    <row r="624" spans="1:10" x14ac:dyDescent="0.2">
      <c r="A624" s="5" t="s">
        <v>7125</v>
      </c>
      <c r="B624" s="5" t="s">
        <v>83</v>
      </c>
      <c r="C624" s="5"/>
      <c r="D624" s="5" t="s">
        <v>7124</v>
      </c>
      <c r="E624" s="5"/>
      <c r="F624" s="5" t="s">
        <v>4861</v>
      </c>
      <c r="G624" s="5" t="s">
        <v>382</v>
      </c>
      <c r="H624" s="5" t="s">
        <v>3</v>
      </c>
      <c r="I624" s="5"/>
      <c r="J624" s="5" t="s">
        <v>7123</v>
      </c>
    </row>
    <row r="625" spans="1:10" x14ac:dyDescent="0.2">
      <c r="A625" s="5" t="s">
        <v>7122</v>
      </c>
      <c r="B625" s="5" t="s">
        <v>83</v>
      </c>
      <c r="C625" s="5"/>
      <c r="D625" s="5" t="s">
        <v>7121</v>
      </c>
      <c r="E625" s="5"/>
      <c r="F625" s="5" t="s">
        <v>4882</v>
      </c>
      <c r="G625" s="5" t="s">
        <v>382</v>
      </c>
      <c r="H625" s="5" t="s">
        <v>3</v>
      </c>
      <c r="I625" s="5"/>
      <c r="J625" s="5" t="s">
        <v>7120</v>
      </c>
    </row>
    <row r="626" spans="1:10" x14ac:dyDescent="0.2">
      <c r="A626" s="5" t="s">
        <v>7119</v>
      </c>
      <c r="B626" s="5" t="s">
        <v>83</v>
      </c>
      <c r="C626" s="5"/>
      <c r="D626" s="5" t="s">
        <v>7118</v>
      </c>
      <c r="E626" s="5"/>
      <c r="F626" s="5" t="s">
        <v>4831</v>
      </c>
      <c r="G626" s="5" t="s">
        <v>382</v>
      </c>
      <c r="H626" s="5" t="s">
        <v>3</v>
      </c>
      <c r="I626" s="5"/>
      <c r="J626" s="5" t="s">
        <v>7117</v>
      </c>
    </row>
    <row r="627" spans="1:10" x14ac:dyDescent="0.2">
      <c r="A627" s="5" t="s">
        <v>7116</v>
      </c>
      <c r="B627" s="5" t="s">
        <v>83</v>
      </c>
      <c r="C627" s="5"/>
      <c r="D627" s="5" t="s">
        <v>7115</v>
      </c>
      <c r="E627" s="5"/>
      <c r="F627" s="5" t="s">
        <v>4801</v>
      </c>
      <c r="G627" s="5" t="s">
        <v>382</v>
      </c>
      <c r="H627" s="5" t="s">
        <v>3</v>
      </c>
      <c r="I627" s="5"/>
      <c r="J627" s="5" t="s">
        <v>7114</v>
      </c>
    </row>
    <row r="628" spans="1:10" x14ac:dyDescent="0.2">
      <c r="A628" s="5" t="s">
        <v>7113</v>
      </c>
      <c r="B628" s="5" t="s">
        <v>83</v>
      </c>
      <c r="C628" s="5"/>
      <c r="D628" s="5" t="s">
        <v>7112</v>
      </c>
      <c r="E628" s="5"/>
      <c r="F628" s="5" t="s">
        <v>4777</v>
      </c>
      <c r="G628" s="5" t="s">
        <v>382</v>
      </c>
      <c r="H628" s="5" t="s">
        <v>3</v>
      </c>
      <c r="I628" s="5"/>
      <c r="J628" s="5" t="s">
        <v>7111</v>
      </c>
    </row>
    <row r="629" spans="1:10" x14ac:dyDescent="0.2">
      <c r="A629" s="5" t="s">
        <v>7110</v>
      </c>
      <c r="B629" s="5" t="s">
        <v>83</v>
      </c>
      <c r="C629" s="5"/>
      <c r="D629" s="5" t="s">
        <v>7109</v>
      </c>
      <c r="E629" s="5"/>
      <c r="F629" s="5" t="s">
        <v>4751</v>
      </c>
      <c r="G629" s="5" t="s">
        <v>382</v>
      </c>
      <c r="H629" s="5" t="s">
        <v>3</v>
      </c>
      <c r="I629" s="5"/>
      <c r="J629" s="5" t="s">
        <v>7108</v>
      </c>
    </row>
    <row r="630" spans="1:10" x14ac:dyDescent="0.2">
      <c r="A630" s="5" t="s">
        <v>7107</v>
      </c>
      <c r="B630" s="5" t="s">
        <v>83</v>
      </c>
      <c r="C630" s="5"/>
      <c r="D630" s="5" t="s">
        <v>7106</v>
      </c>
      <c r="E630" s="5"/>
      <c r="F630" s="5" t="s">
        <v>4727</v>
      </c>
      <c r="G630" s="5" t="s">
        <v>382</v>
      </c>
      <c r="H630" s="5" t="s">
        <v>3</v>
      </c>
      <c r="I630" s="5"/>
      <c r="J630" s="5" t="s">
        <v>7105</v>
      </c>
    </row>
    <row r="631" spans="1:10" x14ac:dyDescent="0.2">
      <c r="A631" s="5" t="s">
        <v>7104</v>
      </c>
      <c r="B631" s="5" t="s">
        <v>83</v>
      </c>
      <c r="C631" s="5"/>
      <c r="D631" s="5" t="s">
        <v>7103</v>
      </c>
      <c r="E631" s="5"/>
      <c r="F631" s="5" t="s">
        <v>4703</v>
      </c>
      <c r="G631" s="5" t="s">
        <v>382</v>
      </c>
      <c r="H631" s="5" t="s">
        <v>3</v>
      </c>
      <c r="I631" s="5"/>
      <c r="J631" s="5" t="s">
        <v>7102</v>
      </c>
    </row>
    <row r="632" spans="1:10" x14ac:dyDescent="0.2">
      <c r="A632" s="5" t="s">
        <v>7101</v>
      </c>
      <c r="B632" s="5" t="s">
        <v>83</v>
      </c>
      <c r="C632" s="5"/>
      <c r="D632" s="5" t="s">
        <v>7100</v>
      </c>
      <c r="E632" s="5"/>
      <c r="F632" s="5" t="s">
        <v>4683</v>
      </c>
      <c r="G632" s="5" t="s">
        <v>382</v>
      </c>
      <c r="H632" s="5" t="s">
        <v>3</v>
      </c>
      <c r="I632" s="5"/>
      <c r="J632" s="5" t="s">
        <v>7099</v>
      </c>
    </row>
    <row r="633" spans="1:10" x14ac:dyDescent="0.2">
      <c r="A633" s="5" t="s">
        <v>7098</v>
      </c>
      <c r="B633" s="5" t="s">
        <v>83</v>
      </c>
      <c r="C633" s="5"/>
      <c r="D633" s="5" t="s">
        <v>7097</v>
      </c>
      <c r="E633" s="5"/>
      <c r="F633" s="5" t="s">
        <v>4655</v>
      </c>
      <c r="G633" s="5" t="s">
        <v>382</v>
      </c>
      <c r="H633" s="5" t="s">
        <v>3</v>
      </c>
      <c r="I633" s="5"/>
      <c r="J633" s="5" t="s">
        <v>7096</v>
      </c>
    </row>
    <row r="634" spans="1:10" x14ac:dyDescent="0.2">
      <c r="A634" s="5" t="s">
        <v>7095</v>
      </c>
      <c r="B634" s="5" t="s">
        <v>83</v>
      </c>
      <c r="C634" s="5"/>
      <c r="D634" s="5" t="s">
        <v>7094</v>
      </c>
      <c r="E634" s="5"/>
      <c r="F634" s="5" t="s">
        <v>4631</v>
      </c>
      <c r="G634" s="5" t="s">
        <v>382</v>
      </c>
      <c r="H634" s="5" t="s">
        <v>3</v>
      </c>
      <c r="I634" s="5"/>
      <c r="J634" s="5" t="s">
        <v>7093</v>
      </c>
    </row>
    <row r="635" spans="1:10" x14ac:dyDescent="0.2">
      <c r="A635" s="5" t="s">
        <v>7092</v>
      </c>
      <c r="B635" s="5" t="s">
        <v>83</v>
      </c>
      <c r="C635" s="5"/>
      <c r="D635" s="5" t="s">
        <v>7091</v>
      </c>
      <c r="E635" s="5"/>
      <c r="F635" s="5" t="s">
        <v>4552</v>
      </c>
      <c r="G635" s="5" t="s">
        <v>382</v>
      </c>
      <c r="H635" s="5" t="s">
        <v>3</v>
      </c>
      <c r="I635" s="5"/>
      <c r="J635" s="5" t="s">
        <v>7090</v>
      </c>
    </row>
    <row r="636" spans="1:10" x14ac:dyDescent="0.2">
      <c r="A636" s="5" t="s">
        <v>7089</v>
      </c>
      <c r="B636" s="5" t="s">
        <v>83</v>
      </c>
      <c r="C636" s="5"/>
      <c r="D636" s="5" t="s">
        <v>7088</v>
      </c>
      <c r="E636" s="5"/>
      <c r="F636" s="5" t="s">
        <v>4528</v>
      </c>
      <c r="G636" s="5" t="s">
        <v>382</v>
      </c>
      <c r="H636" s="5" t="s">
        <v>3</v>
      </c>
      <c r="I636" s="5"/>
      <c r="J636" s="5" t="s">
        <v>7087</v>
      </c>
    </row>
    <row r="637" spans="1:10" x14ac:dyDescent="0.2">
      <c r="A637" s="5" t="s">
        <v>7086</v>
      </c>
      <c r="B637" s="5" t="s">
        <v>83</v>
      </c>
      <c r="C637" s="5"/>
      <c r="D637" s="5" t="s">
        <v>7085</v>
      </c>
      <c r="E637" s="5"/>
      <c r="F637" s="5" t="s">
        <v>4504</v>
      </c>
      <c r="G637" s="5" t="s">
        <v>382</v>
      </c>
      <c r="H637" s="5" t="s">
        <v>3</v>
      </c>
      <c r="I637" s="5"/>
      <c r="J637" s="5" t="s">
        <v>7084</v>
      </c>
    </row>
    <row r="638" spans="1:10" x14ac:dyDescent="0.2">
      <c r="A638" s="5" t="s">
        <v>7083</v>
      </c>
      <c r="B638" s="5" t="s">
        <v>83</v>
      </c>
      <c r="C638" s="5"/>
      <c r="D638" s="5" t="s">
        <v>7082</v>
      </c>
      <c r="E638" s="5"/>
      <c r="F638" s="5" t="s">
        <v>4484</v>
      </c>
      <c r="G638" s="5" t="s">
        <v>382</v>
      </c>
      <c r="H638" s="5" t="s">
        <v>3</v>
      </c>
      <c r="I638" s="5"/>
      <c r="J638" s="5" t="s">
        <v>7081</v>
      </c>
    </row>
    <row r="639" spans="1:10" x14ac:dyDescent="0.2">
      <c r="A639" s="5" t="s">
        <v>7080</v>
      </c>
      <c r="B639" s="5" t="s">
        <v>83</v>
      </c>
      <c r="C639" s="5"/>
      <c r="D639" s="5" t="s">
        <v>7079</v>
      </c>
      <c r="E639" s="5"/>
      <c r="F639" s="5" t="s">
        <v>4456</v>
      </c>
      <c r="G639" s="5" t="s">
        <v>382</v>
      </c>
      <c r="H639" s="5" t="s">
        <v>3</v>
      </c>
      <c r="I639" s="5"/>
      <c r="J639" s="5" t="s">
        <v>7078</v>
      </c>
    </row>
    <row r="640" spans="1:10" x14ac:dyDescent="0.2">
      <c r="A640" s="5" t="s">
        <v>7077</v>
      </c>
      <c r="B640" s="5" t="s">
        <v>83</v>
      </c>
      <c r="C640" s="5"/>
      <c r="D640" s="5" t="s">
        <v>7076</v>
      </c>
      <c r="E640" s="5"/>
      <c r="F640" s="5" t="s">
        <v>4432</v>
      </c>
      <c r="G640" s="5" t="s">
        <v>382</v>
      </c>
      <c r="H640" s="5" t="s">
        <v>3</v>
      </c>
      <c r="I640" s="5"/>
      <c r="J640" s="5" t="s">
        <v>7075</v>
      </c>
    </row>
    <row r="641" spans="1:10" x14ac:dyDescent="0.2">
      <c r="A641" s="5" t="s">
        <v>7074</v>
      </c>
      <c r="B641" s="5" t="s">
        <v>83</v>
      </c>
      <c r="C641" s="5"/>
      <c r="D641" s="5" t="s">
        <v>7073</v>
      </c>
      <c r="E641" s="5"/>
      <c r="F641" s="5" t="s">
        <v>4408</v>
      </c>
      <c r="G641" s="5" t="s">
        <v>382</v>
      </c>
      <c r="H641" s="5" t="s">
        <v>3</v>
      </c>
      <c r="I641" s="5"/>
      <c r="J641" s="5" t="s">
        <v>7072</v>
      </c>
    </row>
    <row r="642" spans="1:10" x14ac:dyDescent="0.2">
      <c r="A642" s="5" t="s">
        <v>7071</v>
      </c>
      <c r="B642" s="5" t="s">
        <v>83</v>
      </c>
      <c r="C642" s="5"/>
      <c r="D642" s="5" t="s">
        <v>7064</v>
      </c>
      <c r="E642" s="5"/>
      <c r="F642" s="5" t="s">
        <v>4389</v>
      </c>
      <c r="G642" s="5" t="s">
        <v>382</v>
      </c>
      <c r="H642" s="5" t="s">
        <v>3</v>
      </c>
      <c r="I642" s="5"/>
      <c r="J642" s="5" t="s">
        <v>7070</v>
      </c>
    </row>
    <row r="643" spans="1:10" x14ac:dyDescent="0.2">
      <c r="A643" s="5" t="s">
        <v>7069</v>
      </c>
      <c r="B643" s="5" t="s">
        <v>83</v>
      </c>
      <c r="C643" s="5"/>
      <c r="D643" s="5" t="s">
        <v>6801</v>
      </c>
      <c r="E643" s="5"/>
      <c r="F643" s="5" t="s">
        <v>4374</v>
      </c>
      <c r="G643" s="5" t="s">
        <v>382</v>
      </c>
      <c r="H643" s="5" t="s">
        <v>3</v>
      </c>
      <c r="I643" s="5"/>
      <c r="J643" s="5" t="s">
        <v>7068</v>
      </c>
    </row>
    <row r="644" spans="1:10" x14ac:dyDescent="0.2">
      <c r="A644" s="5" t="s">
        <v>7067</v>
      </c>
      <c r="B644" s="5" t="s">
        <v>83</v>
      </c>
      <c r="C644" s="5"/>
      <c r="D644" s="5" t="s">
        <v>6798</v>
      </c>
      <c r="E644" s="5"/>
      <c r="F644" s="5" t="s">
        <v>4352</v>
      </c>
      <c r="G644" s="5" t="s">
        <v>382</v>
      </c>
      <c r="H644" s="5" t="s">
        <v>3</v>
      </c>
      <c r="I644" s="5"/>
      <c r="J644" s="5" t="s">
        <v>7066</v>
      </c>
    </row>
    <row r="645" spans="1:10" x14ac:dyDescent="0.2">
      <c r="A645" s="5" t="s">
        <v>7065</v>
      </c>
      <c r="B645" s="5" t="s">
        <v>83</v>
      </c>
      <c r="C645" s="5"/>
      <c r="D645" s="5" t="s">
        <v>7064</v>
      </c>
      <c r="E645" s="5"/>
      <c r="F645" s="5" t="s">
        <v>4327</v>
      </c>
      <c r="G645" s="5" t="s">
        <v>382</v>
      </c>
      <c r="H645" s="5" t="s">
        <v>3</v>
      </c>
      <c r="I645" s="5"/>
      <c r="J645" s="5" t="s">
        <v>7063</v>
      </c>
    </row>
    <row r="646" spans="1:10" x14ac:dyDescent="0.2">
      <c r="A646" s="5" t="s">
        <v>7062</v>
      </c>
      <c r="B646" s="5" t="s">
        <v>83</v>
      </c>
      <c r="C646" s="5"/>
      <c r="D646" s="5" t="s">
        <v>7061</v>
      </c>
      <c r="E646" s="5"/>
      <c r="F646" s="5" t="s">
        <v>4303</v>
      </c>
      <c r="G646" s="5" t="s">
        <v>382</v>
      </c>
      <c r="H646" s="5" t="s">
        <v>3</v>
      </c>
      <c r="I646" s="5"/>
      <c r="J646" s="5" t="s">
        <v>7060</v>
      </c>
    </row>
    <row r="647" spans="1:10" x14ac:dyDescent="0.2">
      <c r="A647" s="5" t="s">
        <v>7059</v>
      </c>
      <c r="B647" s="5" t="s">
        <v>83</v>
      </c>
      <c r="C647" s="5"/>
      <c r="D647" s="5" t="s">
        <v>7058</v>
      </c>
      <c r="E647" s="5"/>
      <c r="F647" s="5" t="s">
        <v>4272</v>
      </c>
      <c r="G647" s="5" t="s">
        <v>382</v>
      </c>
      <c r="H647" s="5" t="s">
        <v>3</v>
      </c>
      <c r="I647" s="5"/>
      <c r="J647" s="5" t="s">
        <v>7057</v>
      </c>
    </row>
    <row r="648" spans="1:10" x14ac:dyDescent="0.2">
      <c r="A648" s="5" t="s">
        <v>7056</v>
      </c>
      <c r="B648" s="5" t="s">
        <v>83</v>
      </c>
      <c r="C648" s="5"/>
      <c r="D648" s="5" t="s">
        <v>7055</v>
      </c>
      <c r="E648" s="5"/>
      <c r="F648" s="5" t="s">
        <v>4255</v>
      </c>
      <c r="G648" s="5" t="s">
        <v>382</v>
      </c>
      <c r="H648" s="5" t="s">
        <v>3</v>
      </c>
      <c r="I648" s="5"/>
      <c r="J648" s="5" t="s">
        <v>7054</v>
      </c>
    </row>
    <row r="649" spans="1:10" x14ac:dyDescent="0.2">
      <c r="A649" s="5" t="s">
        <v>7053</v>
      </c>
      <c r="B649" s="5" t="s">
        <v>83</v>
      </c>
      <c r="C649" s="5"/>
      <c r="D649" s="5" t="s">
        <v>7052</v>
      </c>
      <c r="E649" s="5"/>
      <c r="F649" s="5" t="s">
        <v>4231</v>
      </c>
      <c r="G649" s="5" t="s">
        <v>382</v>
      </c>
      <c r="H649" s="5" t="s">
        <v>3</v>
      </c>
      <c r="I649" s="5"/>
      <c r="J649" s="5" t="s">
        <v>7051</v>
      </c>
    </row>
    <row r="650" spans="1:10" x14ac:dyDescent="0.2">
      <c r="A650" s="5" t="s">
        <v>7050</v>
      </c>
      <c r="B650" s="5" t="s">
        <v>83</v>
      </c>
      <c r="C650" s="5"/>
      <c r="D650" s="5" t="s">
        <v>7049</v>
      </c>
      <c r="E650" s="5"/>
      <c r="F650" s="5" t="s">
        <v>4204</v>
      </c>
      <c r="G650" s="5" t="s">
        <v>382</v>
      </c>
      <c r="H650" s="5" t="s">
        <v>3</v>
      </c>
      <c r="I650" s="5"/>
      <c r="J650" s="5" t="s">
        <v>7048</v>
      </c>
    </row>
    <row r="651" spans="1:10" x14ac:dyDescent="0.2">
      <c r="A651" s="5" t="s">
        <v>7047</v>
      </c>
      <c r="B651" s="5" t="s">
        <v>83</v>
      </c>
      <c r="C651" s="5"/>
      <c r="D651" s="5" t="s">
        <v>7046</v>
      </c>
      <c r="E651" s="5"/>
      <c r="F651" s="5" t="s">
        <v>4180</v>
      </c>
      <c r="G651" s="5" t="s">
        <v>382</v>
      </c>
      <c r="H651" s="5" t="s">
        <v>3</v>
      </c>
      <c r="I651" s="5"/>
      <c r="J651" s="5" t="s">
        <v>7045</v>
      </c>
    </row>
    <row r="652" spans="1:10" x14ac:dyDescent="0.2">
      <c r="A652" s="5" t="s">
        <v>7044</v>
      </c>
      <c r="B652" s="5" t="s">
        <v>83</v>
      </c>
      <c r="C652" s="5"/>
      <c r="D652" s="5" t="s">
        <v>7043</v>
      </c>
      <c r="E652" s="5"/>
      <c r="F652" s="5" t="s">
        <v>4160</v>
      </c>
      <c r="G652" s="5" t="s">
        <v>382</v>
      </c>
      <c r="H652" s="5" t="s">
        <v>3</v>
      </c>
      <c r="I652" s="5"/>
      <c r="J652" s="5" t="s">
        <v>7042</v>
      </c>
    </row>
    <row r="653" spans="1:10" x14ac:dyDescent="0.2">
      <c r="A653" s="5" t="s">
        <v>7041</v>
      </c>
      <c r="B653" s="5" t="s">
        <v>83</v>
      </c>
      <c r="C653" s="5"/>
      <c r="D653" s="5" t="s">
        <v>7040</v>
      </c>
      <c r="E653" s="5"/>
      <c r="F653" s="5" t="s">
        <v>4132</v>
      </c>
      <c r="G653" s="5" t="s">
        <v>382</v>
      </c>
      <c r="H653" s="5" t="s">
        <v>3</v>
      </c>
      <c r="I653" s="5"/>
      <c r="J653" s="5" t="s">
        <v>7039</v>
      </c>
    </row>
    <row r="654" spans="1:10" x14ac:dyDescent="0.2">
      <c r="A654" s="5" t="s">
        <v>7038</v>
      </c>
      <c r="B654" s="5" t="s">
        <v>83</v>
      </c>
      <c r="C654" s="5"/>
      <c r="D654" s="5" t="s">
        <v>7037</v>
      </c>
      <c r="E654" s="5"/>
      <c r="F654" s="5" t="s">
        <v>4104</v>
      </c>
      <c r="G654" s="5" t="s">
        <v>382</v>
      </c>
      <c r="H654" s="5" t="s">
        <v>3</v>
      </c>
      <c r="I654" s="5"/>
      <c r="J654" s="5" t="s">
        <v>7036</v>
      </c>
    </row>
    <row r="655" spans="1:10" x14ac:dyDescent="0.2">
      <c r="A655" s="5" t="s">
        <v>7035</v>
      </c>
      <c r="B655" s="5" t="s">
        <v>83</v>
      </c>
      <c r="C655" s="5"/>
      <c r="D655" s="5" t="s">
        <v>7034</v>
      </c>
      <c r="E655" s="5"/>
      <c r="F655" s="5" t="s">
        <v>4069</v>
      </c>
      <c r="G655" s="5" t="s">
        <v>382</v>
      </c>
      <c r="H655" s="5" t="s">
        <v>3</v>
      </c>
      <c r="I655" s="5"/>
      <c r="J655" s="5" t="s">
        <v>7033</v>
      </c>
    </row>
    <row r="656" spans="1:10" x14ac:dyDescent="0.2">
      <c r="A656" s="5" t="s">
        <v>7032</v>
      </c>
      <c r="B656" s="5" t="s">
        <v>83</v>
      </c>
      <c r="C656" s="5"/>
      <c r="D656" s="5" t="s">
        <v>7031</v>
      </c>
      <c r="E656" s="5"/>
      <c r="F656" s="5" t="s">
        <v>4009</v>
      </c>
      <c r="G656" s="5" t="s">
        <v>382</v>
      </c>
      <c r="H656" s="5" t="s">
        <v>3</v>
      </c>
      <c r="I656" s="5"/>
      <c r="J656" s="5" t="s">
        <v>7030</v>
      </c>
    </row>
    <row r="657" spans="1:10" x14ac:dyDescent="0.2">
      <c r="A657" s="5" t="s">
        <v>7029</v>
      </c>
      <c r="B657" s="5" t="s">
        <v>83</v>
      </c>
      <c r="C657" s="5"/>
      <c r="D657" s="5" t="s">
        <v>7028</v>
      </c>
      <c r="E657" s="5"/>
      <c r="F657" s="5" t="s">
        <v>3980</v>
      </c>
      <c r="G657" s="5" t="s">
        <v>382</v>
      </c>
      <c r="H657" s="5" t="s">
        <v>3</v>
      </c>
      <c r="I657" s="5"/>
      <c r="J657" s="5" t="s">
        <v>7027</v>
      </c>
    </row>
    <row r="658" spans="1:10" x14ac:dyDescent="0.2">
      <c r="A658" s="5" t="s">
        <v>7026</v>
      </c>
      <c r="B658" s="5" t="s">
        <v>83</v>
      </c>
      <c r="C658" s="5"/>
      <c r="D658" s="5" t="s">
        <v>7025</v>
      </c>
      <c r="E658" s="5"/>
      <c r="F658" s="5" t="s">
        <v>3960</v>
      </c>
      <c r="G658" s="5" t="s">
        <v>382</v>
      </c>
      <c r="H658" s="5" t="s">
        <v>3</v>
      </c>
      <c r="I658" s="5"/>
      <c r="J658" s="5" t="s">
        <v>7024</v>
      </c>
    </row>
    <row r="659" spans="1:10" x14ac:dyDescent="0.2">
      <c r="A659" s="5" t="s">
        <v>7023</v>
      </c>
      <c r="B659" s="5" t="s">
        <v>83</v>
      </c>
      <c r="C659" s="5"/>
      <c r="D659" s="5" t="s">
        <v>7022</v>
      </c>
      <c r="E659" s="5"/>
      <c r="F659" s="5" t="s">
        <v>3920</v>
      </c>
      <c r="G659" s="5" t="s">
        <v>382</v>
      </c>
      <c r="H659" s="5" t="s">
        <v>3</v>
      </c>
      <c r="I659" s="5"/>
      <c r="J659" s="5" t="s">
        <v>7021</v>
      </c>
    </row>
    <row r="660" spans="1:10" x14ac:dyDescent="0.2">
      <c r="A660" s="5" t="s">
        <v>7020</v>
      </c>
      <c r="B660" s="5" t="s">
        <v>83</v>
      </c>
      <c r="C660" s="5"/>
      <c r="D660" s="5" t="s">
        <v>7019</v>
      </c>
      <c r="E660" s="5"/>
      <c r="F660" s="5" t="s">
        <v>3896</v>
      </c>
      <c r="G660" s="5" t="s">
        <v>382</v>
      </c>
      <c r="H660" s="5" t="s">
        <v>3</v>
      </c>
      <c r="I660" s="5"/>
      <c r="J660" s="5" t="s">
        <v>7018</v>
      </c>
    </row>
    <row r="661" spans="1:10" x14ac:dyDescent="0.2">
      <c r="A661" s="5" t="s">
        <v>7017</v>
      </c>
      <c r="B661" s="5" t="s">
        <v>83</v>
      </c>
      <c r="C661" s="5"/>
      <c r="D661" s="5" t="s">
        <v>7016</v>
      </c>
      <c r="E661" s="5"/>
      <c r="F661" s="5" t="s">
        <v>3870</v>
      </c>
      <c r="G661" s="5" t="s">
        <v>382</v>
      </c>
      <c r="H661" s="5" t="s">
        <v>3</v>
      </c>
      <c r="I661" s="5"/>
      <c r="J661" s="5" t="s">
        <v>7015</v>
      </c>
    </row>
    <row r="662" spans="1:10" x14ac:dyDescent="0.2">
      <c r="A662" s="5" t="s">
        <v>7014</v>
      </c>
      <c r="B662" s="5" t="s">
        <v>83</v>
      </c>
      <c r="C662" s="5"/>
      <c r="D662" s="5" t="s">
        <v>7013</v>
      </c>
      <c r="E662" s="5"/>
      <c r="F662" s="5" t="s">
        <v>3846</v>
      </c>
      <c r="G662" s="5" t="s">
        <v>382</v>
      </c>
      <c r="H662" s="5" t="s">
        <v>3</v>
      </c>
      <c r="I662" s="5"/>
      <c r="J662" s="5" t="s">
        <v>7012</v>
      </c>
    </row>
    <row r="663" spans="1:10" x14ac:dyDescent="0.2">
      <c r="A663" s="5" t="s">
        <v>7011</v>
      </c>
      <c r="B663" s="5" t="s">
        <v>83</v>
      </c>
      <c r="C663" s="5"/>
      <c r="D663" s="5" t="s">
        <v>7010</v>
      </c>
      <c r="E663" s="5"/>
      <c r="F663" s="5" t="s">
        <v>3804</v>
      </c>
      <c r="G663" s="5" t="s">
        <v>382</v>
      </c>
      <c r="H663" s="5" t="s">
        <v>3</v>
      </c>
      <c r="I663" s="5"/>
      <c r="J663" s="5" t="s">
        <v>7009</v>
      </c>
    </row>
    <row r="664" spans="1:10" x14ac:dyDescent="0.2">
      <c r="A664" s="5" t="s">
        <v>7008</v>
      </c>
      <c r="B664" s="5" t="s">
        <v>83</v>
      </c>
      <c r="C664" s="5"/>
      <c r="D664" s="5" t="s">
        <v>7007</v>
      </c>
      <c r="E664" s="5"/>
      <c r="F664" s="5" t="s">
        <v>3780</v>
      </c>
      <c r="G664" s="5" t="s">
        <v>382</v>
      </c>
      <c r="H664" s="5" t="s">
        <v>3</v>
      </c>
      <c r="I664" s="5"/>
      <c r="J664" s="5" t="s">
        <v>7006</v>
      </c>
    </row>
    <row r="665" spans="1:10" x14ac:dyDescent="0.2">
      <c r="A665" s="5" t="s">
        <v>7005</v>
      </c>
      <c r="B665" s="5" t="s">
        <v>83</v>
      </c>
      <c r="C665" s="5"/>
      <c r="D665" s="5" t="s">
        <v>7004</v>
      </c>
      <c r="E665" s="5"/>
      <c r="F665" s="5" t="s">
        <v>3756</v>
      </c>
      <c r="G665" s="5" t="s">
        <v>382</v>
      </c>
      <c r="H665" s="5" t="s">
        <v>3</v>
      </c>
      <c r="I665" s="5"/>
      <c r="J665" s="5" t="s">
        <v>7003</v>
      </c>
    </row>
    <row r="666" spans="1:10" x14ac:dyDescent="0.2">
      <c r="A666" s="5" t="s">
        <v>7002</v>
      </c>
      <c r="B666" s="5" t="s">
        <v>83</v>
      </c>
      <c r="C666" s="5"/>
      <c r="D666" s="5" t="s">
        <v>7001</v>
      </c>
      <c r="E666" s="5"/>
      <c r="F666" s="5" t="s">
        <v>3732</v>
      </c>
      <c r="G666" s="5" t="s">
        <v>382</v>
      </c>
      <c r="H666" s="5" t="s">
        <v>3</v>
      </c>
      <c r="I666" s="5"/>
      <c r="J666" s="5" t="s">
        <v>7000</v>
      </c>
    </row>
    <row r="667" spans="1:10" x14ac:dyDescent="0.2">
      <c r="A667" s="5" t="s">
        <v>6999</v>
      </c>
      <c r="B667" s="5" t="s">
        <v>83</v>
      </c>
      <c r="C667" s="5"/>
      <c r="D667" s="5" t="s">
        <v>6998</v>
      </c>
      <c r="E667" s="5"/>
      <c r="F667" s="5" t="s">
        <v>3708</v>
      </c>
      <c r="G667" s="5" t="s">
        <v>382</v>
      </c>
      <c r="H667" s="5" t="s">
        <v>3</v>
      </c>
      <c r="I667" s="5"/>
      <c r="J667" s="5" t="s">
        <v>6997</v>
      </c>
    </row>
    <row r="668" spans="1:10" x14ac:dyDescent="0.2">
      <c r="A668" s="5" t="s">
        <v>6996</v>
      </c>
      <c r="B668" s="5" t="s">
        <v>83</v>
      </c>
      <c r="C668" s="5"/>
      <c r="D668" s="5" t="s">
        <v>6995</v>
      </c>
      <c r="E668" s="5"/>
      <c r="F668" s="5" t="s">
        <v>3681</v>
      </c>
      <c r="G668" s="5" t="s">
        <v>382</v>
      </c>
      <c r="H668" s="5" t="s">
        <v>3</v>
      </c>
      <c r="I668" s="5"/>
      <c r="J668" s="5" t="s">
        <v>6994</v>
      </c>
    </row>
    <row r="669" spans="1:10" x14ac:dyDescent="0.2">
      <c r="A669" s="5" t="s">
        <v>6993</v>
      </c>
      <c r="B669" s="5" t="s">
        <v>83</v>
      </c>
      <c r="C669" s="5"/>
      <c r="D669" s="5" t="s">
        <v>6992</v>
      </c>
      <c r="E669" s="5"/>
      <c r="F669" s="5" t="s">
        <v>3657</v>
      </c>
      <c r="G669" s="5" t="s">
        <v>382</v>
      </c>
      <c r="H669" s="5" t="s">
        <v>3</v>
      </c>
      <c r="I669" s="5"/>
      <c r="J669" s="5" t="s">
        <v>6991</v>
      </c>
    </row>
    <row r="670" spans="1:10" x14ac:dyDescent="0.2">
      <c r="A670" s="5" t="s">
        <v>6990</v>
      </c>
      <c r="B670" s="5" t="s">
        <v>83</v>
      </c>
      <c r="C670" s="5"/>
      <c r="D670" s="5" t="s">
        <v>6989</v>
      </c>
      <c r="E670" s="5"/>
      <c r="F670" s="5" t="s">
        <v>3605</v>
      </c>
      <c r="G670" s="5" t="s">
        <v>382</v>
      </c>
      <c r="H670" s="5" t="s">
        <v>3</v>
      </c>
      <c r="I670" s="5"/>
      <c r="J670" s="5" t="s">
        <v>6988</v>
      </c>
    </row>
    <row r="671" spans="1:10" x14ac:dyDescent="0.2">
      <c r="A671" s="5" t="s">
        <v>6987</v>
      </c>
      <c r="B671" s="5" t="s">
        <v>83</v>
      </c>
      <c r="C671" s="5"/>
      <c r="D671" s="5" t="s">
        <v>6986</v>
      </c>
      <c r="E671" s="5"/>
      <c r="F671" s="5" t="s">
        <v>3581</v>
      </c>
      <c r="G671" s="5" t="s">
        <v>382</v>
      </c>
      <c r="H671" s="5" t="s">
        <v>3</v>
      </c>
      <c r="I671" s="5"/>
      <c r="J671" s="5" t="s">
        <v>6985</v>
      </c>
    </row>
    <row r="672" spans="1:10" x14ac:dyDescent="0.2">
      <c r="A672" s="5" t="s">
        <v>6984</v>
      </c>
      <c r="B672" s="5" t="s">
        <v>83</v>
      </c>
      <c r="C672" s="5"/>
      <c r="D672" s="5" t="s">
        <v>6983</v>
      </c>
      <c r="E672" s="5"/>
      <c r="F672" s="5" t="s">
        <v>3547</v>
      </c>
      <c r="G672" s="5" t="s">
        <v>382</v>
      </c>
      <c r="H672" s="5" t="s">
        <v>3</v>
      </c>
      <c r="I672" s="5"/>
      <c r="J672" s="5" t="s">
        <v>6982</v>
      </c>
    </row>
    <row r="673" spans="1:10" x14ac:dyDescent="0.2">
      <c r="A673" s="5" t="s">
        <v>6981</v>
      </c>
      <c r="B673" s="5" t="s">
        <v>83</v>
      </c>
      <c r="C673" s="5"/>
      <c r="D673" s="5" t="s">
        <v>6980</v>
      </c>
      <c r="E673" s="5"/>
      <c r="F673" s="5" t="s">
        <v>3523</v>
      </c>
      <c r="G673" s="5" t="s">
        <v>382</v>
      </c>
      <c r="H673" s="5" t="s">
        <v>3</v>
      </c>
      <c r="I673" s="5"/>
      <c r="J673" s="5" t="s">
        <v>6979</v>
      </c>
    </row>
    <row r="674" spans="1:10" x14ac:dyDescent="0.2">
      <c r="A674" s="5" t="s">
        <v>6978</v>
      </c>
      <c r="B674" s="5" t="s">
        <v>83</v>
      </c>
      <c r="C674" s="5"/>
      <c r="D674" s="5" t="s">
        <v>6977</v>
      </c>
      <c r="E674" s="5"/>
      <c r="F674" s="5" t="s">
        <v>3495</v>
      </c>
      <c r="G674" s="5" t="s">
        <v>382</v>
      </c>
      <c r="H674" s="5" t="s">
        <v>3</v>
      </c>
      <c r="I674" s="5"/>
      <c r="J674" s="5" t="s">
        <v>6976</v>
      </c>
    </row>
    <row r="675" spans="1:10" x14ac:dyDescent="0.2">
      <c r="A675" s="5" t="s">
        <v>6975</v>
      </c>
      <c r="B675" s="5" t="s">
        <v>83</v>
      </c>
      <c r="C675" s="5"/>
      <c r="D675" s="5" t="s">
        <v>6974</v>
      </c>
      <c r="E675" s="5"/>
      <c r="F675" s="5" t="s">
        <v>3471</v>
      </c>
      <c r="G675" s="5" t="s">
        <v>382</v>
      </c>
      <c r="H675" s="5" t="s">
        <v>3</v>
      </c>
      <c r="I675" s="5"/>
      <c r="J675" s="5" t="s">
        <v>6973</v>
      </c>
    </row>
    <row r="676" spans="1:10" x14ac:dyDescent="0.2">
      <c r="A676" s="5" t="s">
        <v>6972</v>
      </c>
      <c r="B676" s="5" t="s">
        <v>83</v>
      </c>
      <c r="C676" s="5"/>
      <c r="D676" s="5" t="s">
        <v>6971</v>
      </c>
      <c r="E676" s="5"/>
      <c r="F676" s="5" t="s">
        <v>3423</v>
      </c>
      <c r="G676" s="5" t="s">
        <v>382</v>
      </c>
      <c r="H676" s="5" t="s">
        <v>3</v>
      </c>
      <c r="I676" s="5"/>
      <c r="J676" s="5" t="s">
        <v>6970</v>
      </c>
    </row>
    <row r="677" spans="1:10" x14ac:dyDescent="0.2">
      <c r="A677" s="5" t="s">
        <v>6969</v>
      </c>
      <c r="B677" s="5" t="s">
        <v>83</v>
      </c>
      <c r="C677" s="5"/>
      <c r="D677" s="5" t="s">
        <v>6968</v>
      </c>
      <c r="E677" s="5"/>
      <c r="F677" s="5" t="s">
        <v>3441</v>
      </c>
      <c r="G677" s="5" t="s">
        <v>382</v>
      </c>
      <c r="H677" s="5" t="s">
        <v>3</v>
      </c>
      <c r="I677" s="5"/>
      <c r="J677" s="5" t="s">
        <v>6967</v>
      </c>
    </row>
    <row r="678" spans="1:10" x14ac:dyDescent="0.2">
      <c r="A678" s="5" t="s">
        <v>6966</v>
      </c>
      <c r="B678" s="5" t="s">
        <v>83</v>
      </c>
      <c r="C678" s="5"/>
      <c r="D678" s="5" t="s">
        <v>6965</v>
      </c>
      <c r="E678" s="5"/>
      <c r="F678" s="5" t="s">
        <v>3399</v>
      </c>
      <c r="G678" s="5" t="s">
        <v>382</v>
      </c>
      <c r="H678" s="5" t="s">
        <v>3</v>
      </c>
      <c r="I678" s="5"/>
      <c r="J678" s="5" t="s">
        <v>6964</v>
      </c>
    </row>
    <row r="679" spans="1:10" x14ac:dyDescent="0.2">
      <c r="A679" s="5" t="s">
        <v>6963</v>
      </c>
      <c r="B679" s="5" t="s">
        <v>83</v>
      </c>
      <c r="C679" s="5"/>
      <c r="D679" s="5" t="s">
        <v>6962</v>
      </c>
      <c r="E679" s="5"/>
      <c r="F679" s="5" t="s">
        <v>3375</v>
      </c>
      <c r="G679" s="5" t="s">
        <v>382</v>
      </c>
      <c r="H679" s="5" t="s">
        <v>3</v>
      </c>
      <c r="I679" s="5"/>
      <c r="J679" s="5" t="s">
        <v>6961</v>
      </c>
    </row>
    <row r="680" spans="1:10" x14ac:dyDescent="0.2">
      <c r="A680" s="5" t="s">
        <v>6960</v>
      </c>
      <c r="B680" s="5" t="s">
        <v>83</v>
      </c>
      <c r="C680" s="5"/>
      <c r="D680" s="5" t="s">
        <v>6959</v>
      </c>
      <c r="E680" s="5"/>
      <c r="F680" s="5" t="s">
        <v>3351</v>
      </c>
      <c r="G680" s="5" t="s">
        <v>382</v>
      </c>
      <c r="H680" s="5" t="s">
        <v>3</v>
      </c>
      <c r="I680" s="5"/>
      <c r="J680" s="5" t="s">
        <v>6958</v>
      </c>
    </row>
    <row r="681" spans="1:10" x14ac:dyDescent="0.2">
      <c r="A681" s="5" t="s">
        <v>6957</v>
      </c>
      <c r="B681" s="5" t="s">
        <v>83</v>
      </c>
      <c r="C681" s="5"/>
      <c r="D681" s="5" t="s">
        <v>6954</v>
      </c>
      <c r="E681" s="5"/>
      <c r="F681" s="5" t="s">
        <v>3332</v>
      </c>
      <c r="G681" s="5" t="s">
        <v>382</v>
      </c>
      <c r="H681" s="5" t="s">
        <v>3</v>
      </c>
      <c r="I681" s="5"/>
      <c r="J681" s="5" t="s">
        <v>6956</v>
      </c>
    </row>
    <row r="682" spans="1:10" x14ac:dyDescent="0.2">
      <c r="A682" s="5" t="s">
        <v>6955</v>
      </c>
      <c r="B682" s="5" t="s">
        <v>83</v>
      </c>
      <c r="C682" s="5"/>
      <c r="D682" s="5" t="s">
        <v>6954</v>
      </c>
      <c r="E682" s="5"/>
      <c r="F682" s="5" t="s">
        <v>3310</v>
      </c>
      <c r="G682" s="5" t="s">
        <v>382</v>
      </c>
      <c r="H682" s="5" t="s">
        <v>3</v>
      </c>
      <c r="I682" s="5"/>
      <c r="J682" s="5" t="s">
        <v>6953</v>
      </c>
    </row>
    <row r="683" spans="1:10" x14ac:dyDescent="0.2">
      <c r="A683" s="5" t="s">
        <v>6952</v>
      </c>
      <c r="B683" s="5" t="s">
        <v>83</v>
      </c>
      <c r="C683" s="5"/>
      <c r="D683" s="5" t="s">
        <v>6951</v>
      </c>
      <c r="E683" s="5"/>
      <c r="F683" s="5" t="s">
        <v>3286</v>
      </c>
      <c r="G683" s="5" t="s">
        <v>382</v>
      </c>
      <c r="H683" s="5" t="s">
        <v>3</v>
      </c>
      <c r="I683" s="5"/>
      <c r="J683" s="5" t="s">
        <v>6950</v>
      </c>
    </row>
    <row r="684" spans="1:10" x14ac:dyDescent="0.2">
      <c r="A684" s="5" t="s">
        <v>6949</v>
      </c>
      <c r="B684" s="5" t="s">
        <v>83</v>
      </c>
      <c r="C684" s="5"/>
      <c r="D684" s="5" t="s">
        <v>6948</v>
      </c>
      <c r="E684" s="5"/>
      <c r="F684" s="5" t="s">
        <v>3262</v>
      </c>
      <c r="G684" s="5" t="s">
        <v>382</v>
      </c>
      <c r="H684" s="5" t="s">
        <v>3</v>
      </c>
      <c r="I684" s="5"/>
      <c r="J684" s="5" t="s">
        <v>6947</v>
      </c>
    </row>
    <row r="685" spans="1:10" x14ac:dyDescent="0.2">
      <c r="A685" s="5" t="s">
        <v>6946</v>
      </c>
      <c r="B685" s="5" t="s">
        <v>83</v>
      </c>
      <c r="C685" s="5"/>
      <c r="D685" s="5" t="s">
        <v>6945</v>
      </c>
      <c r="E685" s="5"/>
      <c r="F685" s="5" t="s">
        <v>3238</v>
      </c>
      <c r="G685" s="5" t="s">
        <v>382</v>
      </c>
      <c r="H685" s="5" t="s">
        <v>3</v>
      </c>
      <c r="I685" s="5"/>
      <c r="J685" s="5" t="s">
        <v>6944</v>
      </c>
    </row>
    <row r="686" spans="1:10" x14ac:dyDescent="0.2">
      <c r="A686" s="5" t="s">
        <v>6943</v>
      </c>
      <c r="B686" s="5" t="s">
        <v>83</v>
      </c>
      <c r="C686" s="5"/>
      <c r="D686" s="5" t="s">
        <v>6942</v>
      </c>
      <c r="E686" s="5"/>
      <c r="F686" s="5" t="s">
        <v>3214</v>
      </c>
      <c r="G686" s="5" t="s">
        <v>382</v>
      </c>
      <c r="H686" s="5" t="s">
        <v>3</v>
      </c>
      <c r="I686" s="5"/>
      <c r="J686" s="5" t="s">
        <v>6941</v>
      </c>
    </row>
    <row r="687" spans="1:10" x14ac:dyDescent="0.2">
      <c r="A687" s="5" t="s">
        <v>6940</v>
      </c>
      <c r="B687" s="5" t="s">
        <v>83</v>
      </c>
      <c r="C687" s="5"/>
      <c r="D687" s="5" t="s">
        <v>6939</v>
      </c>
      <c r="E687" s="5"/>
      <c r="F687" s="5" t="s">
        <v>3190</v>
      </c>
      <c r="G687" s="5" t="s">
        <v>382</v>
      </c>
      <c r="H687" s="5" t="s">
        <v>3</v>
      </c>
      <c r="I687" s="5"/>
      <c r="J687" s="5" t="s">
        <v>6938</v>
      </c>
    </row>
    <row r="688" spans="1:10" x14ac:dyDescent="0.2">
      <c r="A688" s="5" t="s">
        <v>6937</v>
      </c>
      <c r="B688" s="5" t="s">
        <v>83</v>
      </c>
      <c r="C688" s="5"/>
      <c r="D688" s="5" t="s">
        <v>6936</v>
      </c>
      <c r="E688" s="5"/>
      <c r="F688" s="5" t="s">
        <v>3166</v>
      </c>
      <c r="G688" s="5" t="s">
        <v>382</v>
      </c>
      <c r="H688" s="5" t="s">
        <v>3</v>
      </c>
      <c r="I688" s="5"/>
      <c r="J688" s="5" t="s">
        <v>6935</v>
      </c>
    </row>
    <row r="689" spans="1:10" x14ac:dyDescent="0.2">
      <c r="A689" s="5" t="s">
        <v>6934</v>
      </c>
      <c r="B689" s="5" t="s">
        <v>83</v>
      </c>
      <c r="C689" s="5"/>
      <c r="D689" s="5" t="s">
        <v>6933</v>
      </c>
      <c r="E689" s="5"/>
      <c r="F689" s="5" t="s">
        <v>3142</v>
      </c>
      <c r="G689" s="5" t="s">
        <v>382</v>
      </c>
      <c r="H689" s="5" t="s">
        <v>3</v>
      </c>
      <c r="I689" s="5"/>
      <c r="J689" s="5" t="s">
        <v>6932</v>
      </c>
    </row>
    <row r="690" spans="1:10" x14ac:dyDescent="0.2">
      <c r="A690" s="5" t="s">
        <v>6931</v>
      </c>
      <c r="B690" s="5" t="s">
        <v>83</v>
      </c>
      <c r="C690" s="5"/>
      <c r="D690" s="5" t="s">
        <v>6930</v>
      </c>
      <c r="E690" s="5"/>
      <c r="F690" s="5" t="s">
        <v>3114</v>
      </c>
      <c r="G690" s="5" t="s">
        <v>382</v>
      </c>
      <c r="H690" s="5" t="s">
        <v>3</v>
      </c>
      <c r="I690" s="5"/>
      <c r="J690" s="5" t="s">
        <v>6929</v>
      </c>
    </row>
    <row r="691" spans="1:10" x14ac:dyDescent="0.2">
      <c r="A691" s="5" t="s">
        <v>6928</v>
      </c>
      <c r="B691" s="5" t="s">
        <v>83</v>
      </c>
      <c r="C691" s="5"/>
      <c r="D691" s="5" t="s">
        <v>6927</v>
      </c>
      <c r="E691" s="5"/>
      <c r="F691" s="5" t="s">
        <v>3088</v>
      </c>
      <c r="G691" s="5" t="s">
        <v>382</v>
      </c>
      <c r="H691" s="5" t="s">
        <v>3</v>
      </c>
      <c r="I691" s="5"/>
      <c r="J691" s="5" t="s">
        <v>6926</v>
      </c>
    </row>
    <row r="692" spans="1:10" x14ac:dyDescent="0.2">
      <c r="A692" s="5" t="s">
        <v>6925</v>
      </c>
      <c r="B692" s="5" t="s">
        <v>83</v>
      </c>
      <c r="C692" s="5"/>
      <c r="D692" s="5" t="s">
        <v>6924</v>
      </c>
      <c r="E692" s="5"/>
      <c r="F692" s="5" t="s">
        <v>3036</v>
      </c>
      <c r="G692" s="5" t="s">
        <v>382</v>
      </c>
      <c r="H692" s="5" t="s">
        <v>3</v>
      </c>
      <c r="I692" s="5"/>
      <c r="J692" s="5" t="s">
        <v>6923</v>
      </c>
    </row>
    <row r="693" spans="1:10" x14ac:dyDescent="0.2">
      <c r="A693" s="5" t="s">
        <v>6922</v>
      </c>
      <c r="B693" s="5" t="s">
        <v>83</v>
      </c>
      <c r="C693" s="5"/>
      <c r="D693" s="5" t="s">
        <v>6921</v>
      </c>
      <c r="E693" s="5"/>
      <c r="F693" s="5" t="s">
        <v>3012</v>
      </c>
      <c r="G693" s="5" t="s">
        <v>382</v>
      </c>
      <c r="H693" s="5" t="s">
        <v>3</v>
      </c>
      <c r="I693" s="5"/>
      <c r="J693" s="5" t="s">
        <v>6920</v>
      </c>
    </row>
    <row r="694" spans="1:10" x14ac:dyDescent="0.2">
      <c r="A694" s="5" t="s">
        <v>6919</v>
      </c>
      <c r="B694" s="5" t="s">
        <v>83</v>
      </c>
      <c r="C694" s="5"/>
      <c r="D694" s="5" t="s">
        <v>6918</v>
      </c>
      <c r="E694" s="5"/>
      <c r="F694" s="5" t="s">
        <v>2964</v>
      </c>
      <c r="G694" s="5" t="s">
        <v>382</v>
      </c>
      <c r="H694" s="5" t="s">
        <v>3</v>
      </c>
      <c r="I694" s="5"/>
      <c r="J694" s="5" t="s">
        <v>6917</v>
      </c>
    </row>
    <row r="695" spans="1:10" x14ac:dyDescent="0.2">
      <c r="A695" s="5" t="s">
        <v>6916</v>
      </c>
      <c r="B695" s="5" t="s">
        <v>83</v>
      </c>
      <c r="C695" s="5"/>
      <c r="D695" s="5" t="s">
        <v>6915</v>
      </c>
      <c r="E695" s="5"/>
      <c r="F695" s="5" t="s">
        <v>2985</v>
      </c>
      <c r="G695" s="5" t="s">
        <v>382</v>
      </c>
      <c r="H695" s="5" t="s">
        <v>3</v>
      </c>
      <c r="I695" s="5"/>
      <c r="J695" s="5" t="s">
        <v>6914</v>
      </c>
    </row>
    <row r="696" spans="1:10" x14ac:dyDescent="0.2">
      <c r="A696" s="5" t="s">
        <v>6913</v>
      </c>
      <c r="B696" s="5" t="s">
        <v>83</v>
      </c>
      <c r="C696" s="5"/>
      <c r="D696" s="5" t="s">
        <v>6912</v>
      </c>
      <c r="E696" s="5"/>
      <c r="F696" s="5" t="s">
        <v>2940</v>
      </c>
      <c r="G696" s="5" t="s">
        <v>382</v>
      </c>
      <c r="H696" s="5" t="s">
        <v>3</v>
      </c>
      <c r="I696" s="5"/>
      <c r="J696" s="5" t="s">
        <v>6911</v>
      </c>
    </row>
    <row r="697" spans="1:10" x14ac:dyDescent="0.2">
      <c r="A697" s="5" t="s">
        <v>6910</v>
      </c>
      <c r="B697" s="5" t="s">
        <v>83</v>
      </c>
      <c r="C697" s="5"/>
      <c r="D697" s="5" t="s">
        <v>6909</v>
      </c>
      <c r="E697" s="5"/>
      <c r="F697" s="5" t="s">
        <v>2916</v>
      </c>
      <c r="G697" s="5" t="s">
        <v>382</v>
      </c>
      <c r="H697" s="5" t="s">
        <v>3</v>
      </c>
      <c r="I697" s="5"/>
      <c r="J697" s="5" t="s">
        <v>6908</v>
      </c>
    </row>
    <row r="698" spans="1:10" x14ac:dyDescent="0.2">
      <c r="A698" s="5" t="s">
        <v>6907</v>
      </c>
      <c r="B698" s="5" t="s">
        <v>83</v>
      </c>
      <c r="C698" s="5"/>
      <c r="D698" s="5" t="s">
        <v>6906</v>
      </c>
      <c r="E698" s="5"/>
      <c r="F698" s="5" t="s">
        <v>2892</v>
      </c>
      <c r="G698" s="5" t="s">
        <v>382</v>
      </c>
      <c r="H698" s="5" t="s">
        <v>3</v>
      </c>
      <c r="I698" s="5"/>
      <c r="J698" s="5" t="s">
        <v>6905</v>
      </c>
    </row>
    <row r="699" spans="1:10" x14ac:dyDescent="0.2">
      <c r="A699" s="5" t="s">
        <v>6904</v>
      </c>
      <c r="B699" s="5" t="s">
        <v>83</v>
      </c>
      <c r="C699" s="5"/>
      <c r="D699" s="5" t="s">
        <v>6903</v>
      </c>
      <c r="E699" s="5"/>
      <c r="F699" s="5" t="s">
        <v>2868</v>
      </c>
      <c r="G699" s="5" t="s">
        <v>382</v>
      </c>
      <c r="H699" s="5" t="s">
        <v>3</v>
      </c>
      <c r="I699" s="5"/>
      <c r="J699" s="5" t="s">
        <v>6902</v>
      </c>
    </row>
    <row r="700" spans="1:10" x14ac:dyDescent="0.2">
      <c r="A700" s="5" t="s">
        <v>6901</v>
      </c>
      <c r="B700" s="5" t="s">
        <v>83</v>
      </c>
      <c r="C700" s="5"/>
      <c r="D700" s="5" t="s">
        <v>6900</v>
      </c>
      <c r="E700" s="5"/>
      <c r="F700" s="5" t="s">
        <v>2844</v>
      </c>
      <c r="G700" s="5" t="s">
        <v>382</v>
      </c>
      <c r="H700" s="5" t="s">
        <v>3</v>
      </c>
      <c r="I700" s="5"/>
      <c r="J700" s="5" t="s">
        <v>6899</v>
      </c>
    </row>
    <row r="701" spans="1:10" x14ac:dyDescent="0.2">
      <c r="A701" s="5" t="s">
        <v>6898</v>
      </c>
      <c r="B701" s="5" t="s">
        <v>83</v>
      </c>
      <c r="C701" s="5"/>
      <c r="D701" s="5" t="s">
        <v>6897</v>
      </c>
      <c r="E701" s="5"/>
      <c r="F701" s="5" t="s">
        <v>2804</v>
      </c>
      <c r="G701" s="5" t="s">
        <v>382</v>
      </c>
      <c r="H701" s="5" t="s">
        <v>3</v>
      </c>
      <c r="I701" s="5"/>
      <c r="J701" s="5" t="s">
        <v>6896</v>
      </c>
    </row>
    <row r="702" spans="1:10" x14ac:dyDescent="0.2">
      <c r="A702" s="5" t="s">
        <v>6895</v>
      </c>
      <c r="B702" s="5" t="s">
        <v>83</v>
      </c>
      <c r="C702" s="5"/>
      <c r="D702" s="5" t="s">
        <v>6894</v>
      </c>
      <c r="E702" s="5"/>
      <c r="F702" s="5" t="s">
        <v>2780</v>
      </c>
      <c r="G702" s="5" t="s">
        <v>382</v>
      </c>
      <c r="H702" s="5" t="s">
        <v>3</v>
      </c>
      <c r="I702" s="5"/>
      <c r="J702" s="5" t="s">
        <v>6893</v>
      </c>
    </row>
    <row r="703" spans="1:10" x14ac:dyDescent="0.2">
      <c r="A703" s="5" t="s">
        <v>6892</v>
      </c>
      <c r="B703" s="5" t="s">
        <v>83</v>
      </c>
      <c r="C703" s="5"/>
      <c r="D703" s="5" t="s">
        <v>6891</v>
      </c>
      <c r="E703" s="5"/>
      <c r="F703" s="5" t="s">
        <v>2756</v>
      </c>
      <c r="G703" s="5" t="s">
        <v>382</v>
      </c>
      <c r="H703" s="5" t="s">
        <v>3</v>
      </c>
      <c r="I703" s="5"/>
      <c r="J703" s="5" t="s">
        <v>6890</v>
      </c>
    </row>
    <row r="704" spans="1:10" x14ac:dyDescent="0.2">
      <c r="A704" s="5" t="s">
        <v>6889</v>
      </c>
      <c r="B704" s="5" t="s">
        <v>83</v>
      </c>
      <c r="C704" s="5"/>
      <c r="D704" s="5" t="s">
        <v>6888</v>
      </c>
      <c r="E704" s="5"/>
      <c r="F704" s="5" t="s">
        <v>2732</v>
      </c>
      <c r="G704" s="5" t="s">
        <v>382</v>
      </c>
      <c r="H704" s="5" t="s">
        <v>3</v>
      </c>
      <c r="I704" s="5"/>
      <c r="J704" s="5" t="s">
        <v>6887</v>
      </c>
    </row>
    <row r="705" spans="1:10" x14ac:dyDescent="0.2">
      <c r="A705" s="5" t="s">
        <v>6886</v>
      </c>
      <c r="B705" s="5" t="s">
        <v>83</v>
      </c>
      <c r="C705" s="5"/>
      <c r="D705" s="5" t="s">
        <v>6885</v>
      </c>
      <c r="E705" s="5"/>
      <c r="F705" s="5" t="s">
        <v>2708</v>
      </c>
      <c r="G705" s="5" t="s">
        <v>382</v>
      </c>
      <c r="H705" s="5" t="s">
        <v>3</v>
      </c>
      <c r="I705" s="5"/>
      <c r="J705" s="5" t="s">
        <v>6884</v>
      </c>
    </row>
    <row r="706" spans="1:10" x14ac:dyDescent="0.2">
      <c r="A706" s="5" t="s">
        <v>6883</v>
      </c>
      <c r="B706" s="5" t="s">
        <v>83</v>
      </c>
      <c r="C706" s="5"/>
      <c r="D706" s="5" t="s">
        <v>6882</v>
      </c>
      <c r="E706" s="5"/>
      <c r="F706" s="5" t="s">
        <v>2684</v>
      </c>
      <c r="G706" s="5" t="s">
        <v>382</v>
      </c>
      <c r="H706" s="5" t="s">
        <v>3</v>
      </c>
      <c r="I706" s="5"/>
      <c r="J706" s="5" t="s">
        <v>6881</v>
      </c>
    </row>
    <row r="707" spans="1:10" x14ac:dyDescent="0.2">
      <c r="A707" s="5" t="s">
        <v>6880</v>
      </c>
      <c r="B707" s="5" t="s">
        <v>83</v>
      </c>
      <c r="C707" s="5"/>
      <c r="D707" s="5" t="s">
        <v>6879</v>
      </c>
      <c r="E707" s="5"/>
      <c r="F707" s="5" t="s">
        <v>2655</v>
      </c>
      <c r="G707" s="5" t="s">
        <v>382</v>
      </c>
      <c r="H707" s="5" t="s">
        <v>3</v>
      </c>
      <c r="I707" s="5"/>
      <c r="J707" s="5" t="s">
        <v>6878</v>
      </c>
    </row>
    <row r="708" spans="1:10" x14ac:dyDescent="0.2">
      <c r="A708" s="5" t="s">
        <v>6877</v>
      </c>
      <c r="B708" s="5" t="s">
        <v>83</v>
      </c>
      <c r="C708" s="5"/>
      <c r="D708" s="5" t="s">
        <v>6876</v>
      </c>
      <c r="E708" s="5"/>
      <c r="F708" s="5" t="s">
        <v>2631</v>
      </c>
      <c r="G708" s="5" t="s">
        <v>382</v>
      </c>
      <c r="H708" s="5" t="s">
        <v>3</v>
      </c>
      <c r="I708" s="5"/>
      <c r="J708" s="5" t="s">
        <v>6875</v>
      </c>
    </row>
    <row r="709" spans="1:10" x14ac:dyDescent="0.2">
      <c r="A709" s="5" t="s">
        <v>6874</v>
      </c>
      <c r="B709" s="5" t="s">
        <v>83</v>
      </c>
      <c r="C709" s="5"/>
      <c r="D709" s="5" t="s">
        <v>6873</v>
      </c>
      <c r="E709" s="5"/>
      <c r="F709" s="5" t="s">
        <v>2607</v>
      </c>
      <c r="G709" s="5" t="s">
        <v>382</v>
      </c>
      <c r="H709" s="5" t="s">
        <v>3</v>
      </c>
      <c r="I709" s="5"/>
      <c r="J709" s="5" t="s">
        <v>6872</v>
      </c>
    </row>
    <row r="710" spans="1:10" x14ac:dyDescent="0.2">
      <c r="A710" s="5" t="s">
        <v>6871</v>
      </c>
      <c r="B710" s="5" t="s">
        <v>83</v>
      </c>
      <c r="C710" s="5"/>
      <c r="D710" s="5" t="s">
        <v>6870</v>
      </c>
      <c r="E710" s="5"/>
      <c r="F710" s="5" t="s">
        <v>2583</v>
      </c>
      <c r="G710" s="5" t="s">
        <v>382</v>
      </c>
      <c r="H710" s="5" t="s">
        <v>3</v>
      </c>
      <c r="I710" s="5"/>
      <c r="J710" s="5" t="s">
        <v>6869</v>
      </c>
    </row>
    <row r="711" spans="1:10" x14ac:dyDescent="0.2">
      <c r="A711" s="5" t="s">
        <v>6868</v>
      </c>
      <c r="B711" s="5" t="s">
        <v>83</v>
      </c>
      <c r="C711" s="5"/>
      <c r="D711" s="5" t="s">
        <v>6867</v>
      </c>
      <c r="E711" s="5"/>
      <c r="F711" s="5" t="s">
        <v>2559</v>
      </c>
      <c r="G711" s="5" t="s">
        <v>382</v>
      </c>
      <c r="H711" s="5" t="s">
        <v>3</v>
      </c>
      <c r="I711" s="5"/>
      <c r="J711" s="5" t="s">
        <v>6866</v>
      </c>
    </row>
    <row r="712" spans="1:10" x14ac:dyDescent="0.2">
      <c r="A712" s="5" t="s">
        <v>6865</v>
      </c>
      <c r="B712" s="5" t="s">
        <v>83</v>
      </c>
      <c r="C712" s="5"/>
      <c r="D712" s="5" t="s">
        <v>6864</v>
      </c>
      <c r="E712" s="5"/>
      <c r="F712" s="5" t="s">
        <v>2535</v>
      </c>
      <c r="G712" s="5" t="s">
        <v>382</v>
      </c>
      <c r="H712" s="5" t="s">
        <v>3</v>
      </c>
      <c r="I712" s="5"/>
      <c r="J712" s="5" t="s">
        <v>6863</v>
      </c>
    </row>
    <row r="713" spans="1:10" x14ac:dyDescent="0.2">
      <c r="A713" s="5" t="s">
        <v>6862</v>
      </c>
      <c r="B713" s="5" t="s">
        <v>83</v>
      </c>
      <c r="C713" s="5"/>
      <c r="D713" s="5" t="s">
        <v>6861</v>
      </c>
      <c r="E713" s="5"/>
      <c r="F713" s="5" t="s">
        <v>2511</v>
      </c>
      <c r="G713" s="5" t="s">
        <v>382</v>
      </c>
      <c r="H713" s="5" t="s">
        <v>3</v>
      </c>
      <c r="I713" s="5"/>
      <c r="J713" s="5" t="s">
        <v>6860</v>
      </c>
    </row>
    <row r="714" spans="1:10" x14ac:dyDescent="0.2">
      <c r="A714" s="5" t="s">
        <v>6859</v>
      </c>
      <c r="B714" s="5" t="s">
        <v>83</v>
      </c>
      <c r="C714" s="5"/>
      <c r="D714" s="5" t="s">
        <v>6858</v>
      </c>
      <c r="E714" s="5"/>
      <c r="F714" s="5" t="s">
        <v>2487</v>
      </c>
      <c r="G714" s="5" t="s">
        <v>382</v>
      </c>
      <c r="H714" s="5" t="s">
        <v>3</v>
      </c>
      <c r="I714" s="5"/>
      <c r="J714" s="5" t="s">
        <v>6857</v>
      </c>
    </row>
    <row r="715" spans="1:10" x14ac:dyDescent="0.2">
      <c r="A715" s="5" t="s">
        <v>6856</v>
      </c>
      <c r="B715" s="5" t="s">
        <v>83</v>
      </c>
      <c r="C715" s="5"/>
      <c r="D715" s="5" t="s">
        <v>6855</v>
      </c>
      <c r="E715" s="5"/>
      <c r="F715" s="5" t="s">
        <v>2463</v>
      </c>
      <c r="G715" s="5" t="s">
        <v>382</v>
      </c>
      <c r="H715" s="5" t="s">
        <v>3</v>
      </c>
      <c r="I715" s="5"/>
      <c r="J715" s="5" t="s">
        <v>6854</v>
      </c>
    </row>
    <row r="716" spans="1:10" x14ac:dyDescent="0.2">
      <c r="A716" s="5" t="s">
        <v>6853</v>
      </c>
      <c r="B716" s="5" t="s">
        <v>83</v>
      </c>
      <c r="C716" s="5"/>
      <c r="D716" s="5" t="s">
        <v>6852</v>
      </c>
      <c r="E716" s="5"/>
      <c r="F716" s="5" t="s">
        <v>2387</v>
      </c>
      <c r="G716" s="5" t="s">
        <v>382</v>
      </c>
      <c r="H716" s="5" t="s">
        <v>3</v>
      </c>
      <c r="I716" s="5"/>
      <c r="J716" s="5" t="s">
        <v>6851</v>
      </c>
    </row>
    <row r="717" spans="1:10" x14ac:dyDescent="0.2">
      <c r="A717" s="5" t="s">
        <v>6850</v>
      </c>
      <c r="B717" s="5" t="s">
        <v>83</v>
      </c>
      <c r="C717" s="5"/>
      <c r="D717" s="5" t="s">
        <v>6849</v>
      </c>
      <c r="E717" s="5"/>
      <c r="F717" s="5" t="s">
        <v>2408</v>
      </c>
      <c r="G717" s="5" t="s">
        <v>382</v>
      </c>
      <c r="H717" s="5" t="s">
        <v>3</v>
      </c>
      <c r="I717" s="5"/>
      <c r="J717" s="5" t="s">
        <v>6848</v>
      </c>
    </row>
    <row r="718" spans="1:10" x14ac:dyDescent="0.2">
      <c r="A718" s="5" t="s">
        <v>6847</v>
      </c>
      <c r="B718" s="5" t="s">
        <v>83</v>
      </c>
      <c r="C718" s="5"/>
      <c r="D718" s="5" t="s">
        <v>6846</v>
      </c>
      <c r="E718" s="5"/>
      <c r="F718" s="5" t="s">
        <v>2426</v>
      </c>
      <c r="G718" s="5" t="s">
        <v>382</v>
      </c>
      <c r="H718" s="5" t="s">
        <v>3</v>
      </c>
      <c r="I718" s="5"/>
      <c r="J718" s="5" t="s">
        <v>6845</v>
      </c>
    </row>
    <row r="719" spans="1:10" x14ac:dyDescent="0.2">
      <c r="A719" s="5" t="s">
        <v>6844</v>
      </c>
      <c r="B719" s="5" t="s">
        <v>83</v>
      </c>
      <c r="C719" s="5"/>
      <c r="D719" s="5" t="s">
        <v>6843</v>
      </c>
      <c r="E719" s="5"/>
      <c r="F719" s="5" t="s">
        <v>2367</v>
      </c>
      <c r="G719" s="5" t="s">
        <v>382</v>
      </c>
      <c r="H719" s="5" t="s">
        <v>3</v>
      </c>
      <c r="I719" s="5"/>
      <c r="J719" s="5" t="s">
        <v>6842</v>
      </c>
    </row>
    <row r="720" spans="1:10" x14ac:dyDescent="0.2">
      <c r="A720" s="5" t="s">
        <v>6841</v>
      </c>
      <c r="B720" s="5" t="s">
        <v>83</v>
      </c>
      <c r="C720" s="5"/>
      <c r="D720" s="5" t="s">
        <v>6840</v>
      </c>
      <c r="E720" s="5"/>
      <c r="F720" s="5" t="s">
        <v>2343</v>
      </c>
      <c r="G720" s="5" t="s">
        <v>382</v>
      </c>
      <c r="H720" s="5" t="s">
        <v>3</v>
      </c>
      <c r="I720" s="5"/>
      <c r="J720" s="5" t="s">
        <v>6839</v>
      </c>
    </row>
    <row r="721" spans="1:10" x14ac:dyDescent="0.2">
      <c r="A721" s="5" t="s">
        <v>6838</v>
      </c>
      <c r="B721" s="5" t="s">
        <v>83</v>
      </c>
      <c r="C721" s="5"/>
      <c r="D721" s="5" t="s">
        <v>6837</v>
      </c>
      <c r="E721" s="5"/>
      <c r="F721" s="5" t="s">
        <v>2319</v>
      </c>
      <c r="G721" s="5" t="s">
        <v>382</v>
      </c>
      <c r="H721" s="5" t="s">
        <v>3</v>
      </c>
      <c r="I721" s="5"/>
      <c r="J721" s="5" t="s">
        <v>6836</v>
      </c>
    </row>
    <row r="722" spans="1:10" x14ac:dyDescent="0.2">
      <c r="A722" s="5" t="s">
        <v>6835</v>
      </c>
      <c r="B722" s="5" t="s">
        <v>83</v>
      </c>
      <c r="C722" s="5"/>
      <c r="D722" s="5" t="s">
        <v>6834</v>
      </c>
      <c r="E722" s="5"/>
      <c r="F722" s="5" t="s">
        <v>2287</v>
      </c>
      <c r="G722" s="5" t="s">
        <v>382</v>
      </c>
      <c r="H722" s="5" t="s">
        <v>3</v>
      </c>
      <c r="I722" s="5"/>
      <c r="J722" s="5" t="s">
        <v>6833</v>
      </c>
    </row>
    <row r="723" spans="1:10" x14ac:dyDescent="0.2">
      <c r="A723" s="5" t="s">
        <v>6832</v>
      </c>
      <c r="B723" s="5" t="s">
        <v>83</v>
      </c>
      <c r="C723" s="5"/>
      <c r="D723" s="5" t="s">
        <v>6831</v>
      </c>
      <c r="E723" s="5"/>
      <c r="F723" s="5" t="s">
        <v>2260</v>
      </c>
      <c r="G723" s="5" t="s">
        <v>382</v>
      </c>
      <c r="H723" s="5" t="s">
        <v>3</v>
      </c>
      <c r="I723" s="5"/>
      <c r="J723" s="5" t="s">
        <v>6830</v>
      </c>
    </row>
    <row r="724" spans="1:10" x14ac:dyDescent="0.2">
      <c r="A724" s="5" t="s">
        <v>6829</v>
      </c>
      <c r="B724" s="5" t="s">
        <v>83</v>
      </c>
      <c r="C724" s="5"/>
      <c r="D724" s="5" t="s">
        <v>6828</v>
      </c>
      <c r="E724" s="5"/>
      <c r="F724" s="5" t="s">
        <v>2126</v>
      </c>
      <c r="G724" s="5" t="s">
        <v>382</v>
      </c>
      <c r="H724" s="5" t="s">
        <v>3</v>
      </c>
      <c r="I724" s="5"/>
      <c r="J724" s="5" t="s">
        <v>6827</v>
      </c>
    </row>
    <row r="725" spans="1:10" x14ac:dyDescent="0.2">
      <c r="A725" s="5" t="s">
        <v>6826</v>
      </c>
      <c r="B725" s="5" t="s">
        <v>83</v>
      </c>
      <c r="C725" s="5"/>
      <c r="D725" s="5" t="s">
        <v>6825</v>
      </c>
      <c r="E725" s="5"/>
      <c r="F725" s="5" t="s">
        <v>2195</v>
      </c>
      <c r="G725" s="5" t="s">
        <v>382</v>
      </c>
      <c r="H725" s="5" t="s">
        <v>3</v>
      </c>
      <c r="I725" s="5"/>
      <c r="J725" s="5" t="s">
        <v>6824</v>
      </c>
    </row>
    <row r="726" spans="1:10" x14ac:dyDescent="0.2">
      <c r="A726" s="5" t="s">
        <v>6823</v>
      </c>
      <c r="B726" s="5" t="s">
        <v>83</v>
      </c>
      <c r="C726" s="5"/>
      <c r="D726" s="5" t="s">
        <v>6822</v>
      </c>
      <c r="E726" s="5"/>
      <c r="F726" s="5" t="s">
        <v>2171</v>
      </c>
      <c r="G726" s="5" t="s">
        <v>382</v>
      </c>
      <c r="H726" s="5" t="s">
        <v>3</v>
      </c>
      <c r="I726" s="5"/>
      <c r="J726" s="5" t="s">
        <v>6821</v>
      </c>
    </row>
    <row r="727" spans="1:10" x14ac:dyDescent="0.2">
      <c r="A727" s="5" t="s">
        <v>6820</v>
      </c>
      <c r="B727" s="5" t="s">
        <v>83</v>
      </c>
      <c r="C727" s="5"/>
      <c r="D727" s="5" t="s">
        <v>6819</v>
      </c>
      <c r="E727" s="5"/>
      <c r="F727" s="5" t="s">
        <v>2144</v>
      </c>
      <c r="G727" s="5" t="s">
        <v>382</v>
      </c>
      <c r="H727" s="5" t="s">
        <v>3</v>
      </c>
      <c r="I727" s="5"/>
      <c r="J727" s="5" t="s">
        <v>6818</v>
      </c>
    </row>
    <row r="728" spans="1:10" x14ac:dyDescent="0.2">
      <c r="A728" s="5" t="s">
        <v>6817</v>
      </c>
      <c r="B728" s="5" t="s">
        <v>83</v>
      </c>
      <c r="C728" s="5"/>
      <c r="D728" s="5" t="s">
        <v>6816</v>
      </c>
      <c r="E728" s="5"/>
      <c r="F728" s="5" t="s">
        <v>2106</v>
      </c>
      <c r="G728" s="5" t="s">
        <v>382</v>
      </c>
      <c r="H728" s="5" t="s">
        <v>3</v>
      </c>
      <c r="I728" s="5"/>
      <c r="J728" s="5" t="s">
        <v>6815</v>
      </c>
    </row>
    <row r="729" spans="1:10" x14ac:dyDescent="0.2">
      <c r="A729" s="5" t="s">
        <v>6814</v>
      </c>
      <c r="B729" s="5" t="s">
        <v>83</v>
      </c>
      <c r="C729" s="5"/>
      <c r="D729" s="5" t="s">
        <v>6813</v>
      </c>
      <c r="E729" s="5"/>
      <c r="F729" s="5" t="s">
        <v>2082</v>
      </c>
      <c r="G729" s="5" t="s">
        <v>382</v>
      </c>
      <c r="H729" s="5" t="s">
        <v>3</v>
      </c>
      <c r="I729" s="5"/>
      <c r="J729" s="5" t="s">
        <v>6812</v>
      </c>
    </row>
    <row r="730" spans="1:10" x14ac:dyDescent="0.2">
      <c r="A730" s="5" t="s">
        <v>6811</v>
      </c>
      <c r="B730" s="5" t="s">
        <v>83</v>
      </c>
      <c r="C730" s="5"/>
      <c r="D730" s="5" t="s">
        <v>6810</v>
      </c>
      <c r="E730" s="5"/>
      <c r="F730" s="5" t="s">
        <v>1952</v>
      </c>
      <c r="G730" s="5" t="s">
        <v>382</v>
      </c>
      <c r="H730" s="5" t="s">
        <v>3</v>
      </c>
      <c r="I730" s="5"/>
      <c r="J730" s="5" t="s">
        <v>6809</v>
      </c>
    </row>
    <row r="731" spans="1:10" x14ac:dyDescent="0.2">
      <c r="A731" s="5" t="s">
        <v>6808</v>
      </c>
      <c r="B731" s="5" t="s">
        <v>83</v>
      </c>
      <c r="C731" s="5"/>
      <c r="D731" s="5" t="s">
        <v>6807</v>
      </c>
      <c r="E731" s="5"/>
      <c r="F731" s="5" t="s">
        <v>2055</v>
      </c>
      <c r="G731" s="5" t="s">
        <v>382</v>
      </c>
      <c r="H731" s="5" t="s">
        <v>3</v>
      </c>
      <c r="I731" s="5"/>
      <c r="J731" s="5" t="s">
        <v>6806</v>
      </c>
    </row>
    <row r="732" spans="1:10" x14ac:dyDescent="0.2">
      <c r="A732" s="5" t="s">
        <v>6805</v>
      </c>
      <c r="B732" s="5" t="s">
        <v>83</v>
      </c>
      <c r="C732" s="5"/>
      <c r="D732" s="5" t="s">
        <v>6804</v>
      </c>
      <c r="E732" s="5"/>
      <c r="F732" s="5" t="s">
        <v>2031</v>
      </c>
      <c r="G732" s="5" t="s">
        <v>382</v>
      </c>
      <c r="H732" s="5" t="s">
        <v>3</v>
      </c>
      <c r="I732" s="5"/>
      <c r="J732" s="5" t="s">
        <v>6803</v>
      </c>
    </row>
    <row r="733" spans="1:10" x14ac:dyDescent="0.2">
      <c r="A733" s="5" t="s">
        <v>6802</v>
      </c>
      <c r="B733" s="5" t="s">
        <v>83</v>
      </c>
      <c r="C733" s="5"/>
      <c r="D733" s="5" t="s">
        <v>6801</v>
      </c>
      <c r="E733" s="5"/>
      <c r="F733" s="5" t="s">
        <v>1997</v>
      </c>
      <c r="G733" s="5" t="s">
        <v>382</v>
      </c>
      <c r="H733" s="5" t="s">
        <v>3</v>
      </c>
      <c r="I733" s="5"/>
      <c r="J733" s="5" t="s">
        <v>6800</v>
      </c>
    </row>
    <row r="734" spans="1:10" x14ac:dyDescent="0.2">
      <c r="A734" s="5" t="s">
        <v>6799</v>
      </c>
      <c r="B734" s="5" t="s">
        <v>83</v>
      </c>
      <c r="C734" s="5"/>
      <c r="D734" s="5" t="s">
        <v>6798</v>
      </c>
      <c r="E734" s="5"/>
      <c r="F734" s="5" t="s">
        <v>1973</v>
      </c>
      <c r="G734" s="5" t="s">
        <v>382</v>
      </c>
      <c r="H734" s="5" t="s">
        <v>3</v>
      </c>
      <c r="I734" s="5"/>
      <c r="J734" s="5" t="s">
        <v>6797</v>
      </c>
    </row>
    <row r="735" spans="1:10" x14ac:dyDescent="0.2">
      <c r="A735" s="5" t="s">
        <v>6796</v>
      </c>
      <c r="B735" s="5" t="s">
        <v>83</v>
      </c>
      <c r="C735" s="5"/>
      <c r="D735" s="5" t="s">
        <v>6795</v>
      </c>
      <c r="E735" s="5"/>
      <c r="F735" s="5" t="s">
        <v>1932</v>
      </c>
      <c r="G735" s="5" t="s">
        <v>382</v>
      </c>
      <c r="H735" s="5" t="s">
        <v>3</v>
      </c>
      <c r="I735" s="5"/>
      <c r="J735" s="5" t="s">
        <v>6794</v>
      </c>
    </row>
    <row r="736" spans="1:10" x14ac:dyDescent="0.2">
      <c r="A736" s="5" t="s">
        <v>6793</v>
      </c>
      <c r="B736" s="5" t="s">
        <v>83</v>
      </c>
      <c r="C736" s="5"/>
      <c r="D736" s="5" t="s">
        <v>6792</v>
      </c>
      <c r="E736" s="5"/>
      <c r="F736" s="5" t="s">
        <v>1898</v>
      </c>
      <c r="G736" s="5" t="s">
        <v>382</v>
      </c>
      <c r="H736" s="5" t="s">
        <v>3</v>
      </c>
      <c r="I736" s="5"/>
      <c r="J736" s="5" t="s">
        <v>6791</v>
      </c>
    </row>
    <row r="737" spans="1:10" x14ac:dyDescent="0.2">
      <c r="A737" s="5" t="s">
        <v>6790</v>
      </c>
      <c r="B737" s="5" t="s">
        <v>83</v>
      </c>
      <c r="C737" s="5"/>
      <c r="D737" s="5" t="s">
        <v>6789</v>
      </c>
      <c r="E737" s="5"/>
      <c r="F737" s="5" t="s">
        <v>1846</v>
      </c>
      <c r="G737" s="5" t="s">
        <v>382</v>
      </c>
      <c r="H737" s="5" t="s">
        <v>3</v>
      </c>
      <c r="I737" s="5"/>
      <c r="J737" s="5" t="s">
        <v>6788</v>
      </c>
    </row>
    <row r="738" spans="1:10" x14ac:dyDescent="0.2">
      <c r="A738" s="5" t="s">
        <v>6787</v>
      </c>
      <c r="B738" s="5" t="s">
        <v>83</v>
      </c>
      <c r="C738" s="5"/>
      <c r="D738" s="5" t="s">
        <v>6786</v>
      </c>
      <c r="E738" s="5"/>
      <c r="F738" s="5" t="s">
        <v>1867</v>
      </c>
      <c r="G738" s="5" t="s">
        <v>382</v>
      </c>
      <c r="H738" s="5" t="s">
        <v>3</v>
      </c>
      <c r="I738" s="5"/>
      <c r="J738" s="5" t="s">
        <v>6785</v>
      </c>
    </row>
    <row r="739" spans="1:10" x14ac:dyDescent="0.2">
      <c r="A739" s="5" t="s">
        <v>6784</v>
      </c>
      <c r="B739" s="5" t="s">
        <v>83</v>
      </c>
      <c r="C739" s="5"/>
      <c r="D739" s="5" t="s">
        <v>6783</v>
      </c>
      <c r="E739" s="5"/>
      <c r="F739" s="5" t="s">
        <v>1822</v>
      </c>
      <c r="G739" s="5" t="s">
        <v>382</v>
      </c>
      <c r="H739" s="5" t="s">
        <v>3</v>
      </c>
      <c r="I739" s="5"/>
      <c r="J739" s="5" t="s">
        <v>6782</v>
      </c>
    </row>
    <row r="740" spans="1:10" x14ac:dyDescent="0.2">
      <c r="A740" s="5" t="s">
        <v>6781</v>
      </c>
      <c r="B740" s="5" t="s">
        <v>83</v>
      </c>
      <c r="C740" s="5"/>
      <c r="D740" s="5" t="s">
        <v>6780</v>
      </c>
      <c r="E740" s="5"/>
      <c r="F740" s="5" t="s">
        <v>1794</v>
      </c>
      <c r="G740" s="5" t="s">
        <v>382</v>
      </c>
      <c r="H740" s="5" t="s">
        <v>3</v>
      </c>
      <c r="I740" s="5"/>
      <c r="J740" s="5" t="s">
        <v>6779</v>
      </c>
    </row>
    <row r="741" spans="1:10" x14ac:dyDescent="0.2">
      <c r="A741" s="5" t="s">
        <v>6778</v>
      </c>
      <c r="B741" s="5" t="s">
        <v>83</v>
      </c>
      <c r="C741" s="5"/>
      <c r="D741" s="5" t="s">
        <v>6777</v>
      </c>
      <c r="E741" s="5"/>
      <c r="F741" s="5" t="s">
        <v>1753</v>
      </c>
      <c r="G741" s="5" t="s">
        <v>382</v>
      </c>
      <c r="H741" s="5" t="s">
        <v>3</v>
      </c>
      <c r="I741" s="5"/>
      <c r="J741" s="5" t="s">
        <v>6776</v>
      </c>
    </row>
    <row r="742" spans="1:10" x14ac:dyDescent="0.2">
      <c r="A742" s="5" t="s">
        <v>6775</v>
      </c>
      <c r="B742" s="5" t="s">
        <v>83</v>
      </c>
      <c r="C742" s="5"/>
      <c r="D742" s="5" t="s">
        <v>6774</v>
      </c>
      <c r="E742" s="5"/>
      <c r="F742" s="5" t="s">
        <v>1729</v>
      </c>
      <c r="G742" s="5" t="s">
        <v>382</v>
      </c>
      <c r="H742" s="5" t="s">
        <v>3</v>
      </c>
      <c r="I742" s="5"/>
      <c r="J742" s="5" t="s">
        <v>6773</v>
      </c>
    </row>
    <row r="743" spans="1:10" x14ac:dyDescent="0.2">
      <c r="A743" s="5" t="s">
        <v>6772</v>
      </c>
      <c r="B743" s="5" t="s">
        <v>83</v>
      </c>
      <c r="C743" s="5"/>
      <c r="D743" s="5" t="s">
        <v>6771</v>
      </c>
      <c r="E743" s="5"/>
      <c r="F743" s="5" t="s">
        <v>1699</v>
      </c>
      <c r="G743" s="5" t="s">
        <v>382</v>
      </c>
      <c r="H743" s="5" t="s">
        <v>3</v>
      </c>
      <c r="I743" s="5"/>
      <c r="J743" s="5" t="s">
        <v>6770</v>
      </c>
    </row>
    <row r="744" spans="1:10" x14ac:dyDescent="0.2">
      <c r="A744" s="5" t="s">
        <v>6769</v>
      </c>
      <c r="B744" s="5" t="s">
        <v>83</v>
      </c>
      <c r="C744" s="5"/>
      <c r="D744" s="5" t="s">
        <v>6768</v>
      </c>
      <c r="E744" s="5"/>
      <c r="F744" s="5" t="s">
        <v>1669</v>
      </c>
      <c r="G744" s="5" t="s">
        <v>382</v>
      </c>
      <c r="H744" s="5" t="s">
        <v>3</v>
      </c>
      <c r="I744" s="5"/>
      <c r="J744" s="5" t="s">
        <v>6767</v>
      </c>
    </row>
    <row r="745" spans="1:10" x14ac:dyDescent="0.2">
      <c r="A745" s="5" t="s">
        <v>6766</v>
      </c>
      <c r="B745" s="5" t="s">
        <v>83</v>
      </c>
      <c r="C745" s="5"/>
      <c r="D745" s="5" t="s">
        <v>6765</v>
      </c>
      <c r="E745" s="5"/>
      <c r="F745" s="5" t="s">
        <v>1642</v>
      </c>
      <c r="G745" s="5" t="s">
        <v>382</v>
      </c>
      <c r="H745" s="5" t="s">
        <v>3</v>
      </c>
      <c r="I745" s="5"/>
      <c r="J745" s="5" t="s">
        <v>6764</v>
      </c>
    </row>
    <row r="746" spans="1:10" x14ac:dyDescent="0.2">
      <c r="A746" s="5" t="s">
        <v>6763</v>
      </c>
      <c r="B746" s="5" t="s">
        <v>83</v>
      </c>
      <c r="C746" s="5"/>
      <c r="D746" s="5" t="s">
        <v>6762</v>
      </c>
      <c r="E746" s="5"/>
      <c r="F746" s="5" t="s">
        <v>1613</v>
      </c>
      <c r="G746" s="5" t="s">
        <v>382</v>
      </c>
      <c r="H746" s="5" t="s">
        <v>3</v>
      </c>
      <c r="I746" s="5"/>
      <c r="J746" s="5" t="s">
        <v>6761</v>
      </c>
    </row>
    <row r="747" spans="1:10" x14ac:dyDescent="0.2">
      <c r="A747" s="5" t="s">
        <v>6760</v>
      </c>
      <c r="B747" s="5" t="s">
        <v>83</v>
      </c>
      <c r="C747" s="5"/>
      <c r="D747" s="5" t="s">
        <v>6759</v>
      </c>
      <c r="E747" s="5"/>
      <c r="F747" s="5" t="s">
        <v>1589</v>
      </c>
      <c r="G747" s="5" t="s">
        <v>382</v>
      </c>
      <c r="H747" s="5" t="s">
        <v>3</v>
      </c>
      <c r="I747" s="5"/>
      <c r="J747" s="5" t="s">
        <v>6758</v>
      </c>
    </row>
    <row r="748" spans="1:10" x14ac:dyDescent="0.2">
      <c r="A748" s="5" t="s">
        <v>6757</v>
      </c>
      <c r="B748" s="5" t="s">
        <v>83</v>
      </c>
      <c r="C748" s="5"/>
      <c r="D748" s="5" t="s">
        <v>6756</v>
      </c>
      <c r="E748" s="5"/>
      <c r="F748" s="5" t="s">
        <v>1565</v>
      </c>
      <c r="G748" s="5" t="s">
        <v>382</v>
      </c>
      <c r="H748" s="5" t="s">
        <v>3</v>
      </c>
      <c r="I748" s="5"/>
      <c r="J748" s="5" t="s">
        <v>6755</v>
      </c>
    </row>
    <row r="749" spans="1:10" ht="25.5" x14ac:dyDescent="0.2">
      <c r="A749" s="5" t="s">
        <v>6754</v>
      </c>
      <c r="B749" s="5" t="s">
        <v>83</v>
      </c>
      <c r="C749" s="5"/>
      <c r="D749" s="5" t="s">
        <v>6753</v>
      </c>
      <c r="E749" s="5"/>
      <c r="F749" s="5" t="s">
        <v>1547</v>
      </c>
      <c r="G749" s="5" t="s">
        <v>382</v>
      </c>
      <c r="H749" s="5" t="s">
        <v>3</v>
      </c>
      <c r="I749" s="5"/>
      <c r="J749" s="5" t="s">
        <v>6752</v>
      </c>
    </row>
    <row r="750" spans="1:10" x14ac:dyDescent="0.2">
      <c r="A750" s="5" t="s">
        <v>6751</v>
      </c>
      <c r="B750" s="5" t="s">
        <v>83</v>
      </c>
      <c r="C750" s="5"/>
      <c r="D750" s="5" t="s">
        <v>6750</v>
      </c>
      <c r="E750" s="5"/>
      <c r="F750" s="5" t="s">
        <v>1510</v>
      </c>
      <c r="G750" s="5" t="s">
        <v>382</v>
      </c>
      <c r="H750" s="5" t="s">
        <v>3</v>
      </c>
      <c r="I750" s="5"/>
      <c r="J750" s="5" t="s">
        <v>6749</v>
      </c>
    </row>
    <row r="751" spans="1:10" x14ac:dyDescent="0.2">
      <c r="A751" s="5" t="s">
        <v>6748</v>
      </c>
      <c r="B751" s="5" t="s">
        <v>83</v>
      </c>
      <c r="C751" s="5"/>
      <c r="D751" s="5" t="s">
        <v>6747</v>
      </c>
      <c r="E751" s="5"/>
      <c r="F751" s="5" t="s">
        <v>1478</v>
      </c>
      <c r="G751" s="5" t="s">
        <v>382</v>
      </c>
      <c r="H751" s="5" t="s">
        <v>3</v>
      </c>
      <c r="I751" s="5"/>
      <c r="J751" s="5" t="s">
        <v>6746</v>
      </c>
    </row>
    <row r="752" spans="1:10" x14ac:dyDescent="0.2">
      <c r="A752" s="5" t="s">
        <v>6745</v>
      </c>
      <c r="B752" s="5" t="s">
        <v>83</v>
      </c>
      <c r="C752" s="5"/>
      <c r="D752" s="5" t="s">
        <v>6744</v>
      </c>
      <c r="E752" s="5"/>
      <c r="F752" s="5" t="s">
        <v>1454</v>
      </c>
      <c r="G752" s="5" t="s">
        <v>382</v>
      </c>
      <c r="H752" s="5" t="s">
        <v>3</v>
      </c>
      <c r="I752" s="5"/>
      <c r="J752" s="5" t="s">
        <v>6743</v>
      </c>
    </row>
    <row r="753" spans="1:10" x14ac:dyDescent="0.2">
      <c r="A753" s="5" t="s">
        <v>6742</v>
      </c>
      <c r="B753" s="5" t="s">
        <v>83</v>
      </c>
      <c r="C753" s="5"/>
      <c r="D753" s="5" t="s">
        <v>6741</v>
      </c>
      <c r="E753" s="5"/>
      <c r="F753" s="5" t="s">
        <v>1420</v>
      </c>
      <c r="G753" s="5" t="s">
        <v>382</v>
      </c>
      <c r="H753" s="5" t="s">
        <v>3</v>
      </c>
      <c r="I753" s="5"/>
      <c r="J753" s="5" t="s">
        <v>6740</v>
      </c>
    </row>
    <row r="754" spans="1:10" x14ac:dyDescent="0.2">
      <c r="A754" s="5" t="s">
        <v>6739</v>
      </c>
      <c r="B754" s="5" t="s">
        <v>83</v>
      </c>
      <c r="C754" s="5"/>
      <c r="D754" s="5" t="s">
        <v>6738</v>
      </c>
      <c r="E754" s="5"/>
      <c r="F754" s="5" t="s">
        <v>1396</v>
      </c>
      <c r="G754" s="5" t="s">
        <v>382</v>
      </c>
      <c r="H754" s="5" t="s">
        <v>3</v>
      </c>
      <c r="I754" s="5"/>
      <c r="J754" s="5" t="s">
        <v>6737</v>
      </c>
    </row>
    <row r="755" spans="1:10" x14ac:dyDescent="0.2">
      <c r="A755" s="5" t="s">
        <v>6736</v>
      </c>
      <c r="B755" s="5" t="s">
        <v>83</v>
      </c>
      <c r="C755" s="5"/>
      <c r="D755" s="5" t="s">
        <v>6735</v>
      </c>
      <c r="E755" s="5"/>
      <c r="F755" s="5" t="s">
        <v>1372</v>
      </c>
      <c r="G755" s="5" t="s">
        <v>382</v>
      </c>
      <c r="H755" s="5" t="s">
        <v>3</v>
      </c>
      <c r="I755" s="5"/>
      <c r="J755" s="5" t="s">
        <v>6734</v>
      </c>
    </row>
    <row r="756" spans="1:10" x14ac:dyDescent="0.2">
      <c r="A756" s="5" t="s">
        <v>6733</v>
      </c>
      <c r="B756" s="5" t="s">
        <v>83</v>
      </c>
      <c r="C756" s="5"/>
      <c r="D756" s="5" t="s">
        <v>6732</v>
      </c>
      <c r="E756" s="5"/>
      <c r="F756" s="5" t="s">
        <v>1342</v>
      </c>
      <c r="G756" s="5" t="s">
        <v>382</v>
      </c>
      <c r="H756" s="5" t="s">
        <v>3</v>
      </c>
      <c r="I756" s="5"/>
      <c r="J756" s="5" t="s">
        <v>6731</v>
      </c>
    </row>
    <row r="757" spans="1:10" x14ac:dyDescent="0.2">
      <c r="A757" s="5" t="s">
        <v>6730</v>
      </c>
      <c r="B757" s="5" t="s">
        <v>83</v>
      </c>
      <c r="C757" s="5"/>
      <c r="D757" s="5" t="s">
        <v>6729</v>
      </c>
      <c r="E757" s="5"/>
      <c r="F757" s="5" t="s">
        <v>1319</v>
      </c>
      <c r="G757" s="5" t="s">
        <v>382</v>
      </c>
      <c r="H757" s="5" t="s">
        <v>3</v>
      </c>
      <c r="I757" s="5"/>
      <c r="J757" s="5" t="s">
        <v>6728</v>
      </c>
    </row>
    <row r="758" spans="1:10" x14ac:dyDescent="0.2">
      <c r="A758" s="5" t="s">
        <v>6727</v>
      </c>
      <c r="B758" s="5" t="s">
        <v>83</v>
      </c>
      <c r="C758" s="5"/>
      <c r="D758" s="5" t="s">
        <v>6726</v>
      </c>
      <c r="E758" s="5"/>
      <c r="F758" s="5" t="s">
        <v>1295</v>
      </c>
      <c r="G758" s="5" t="s">
        <v>382</v>
      </c>
      <c r="H758" s="5" t="s">
        <v>3</v>
      </c>
      <c r="I758" s="5"/>
      <c r="J758" s="5" t="s">
        <v>6725</v>
      </c>
    </row>
    <row r="759" spans="1:10" x14ac:dyDescent="0.2">
      <c r="A759" s="5" t="s">
        <v>6724</v>
      </c>
      <c r="B759" s="5" t="s">
        <v>83</v>
      </c>
      <c r="C759" s="5"/>
      <c r="D759" s="5" t="s">
        <v>6723</v>
      </c>
      <c r="E759" s="5"/>
      <c r="F759" s="5" t="s">
        <v>1271</v>
      </c>
      <c r="G759" s="5" t="s">
        <v>382</v>
      </c>
      <c r="H759" s="5" t="s">
        <v>3</v>
      </c>
      <c r="I759" s="5"/>
      <c r="J759" s="5" t="s">
        <v>6722</v>
      </c>
    </row>
    <row r="760" spans="1:10" x14ac:dyDescent="0.2">
      <c r="A760" s="5" t="s">
        <v>6721</v>
      </c>
      <c r="B760" s="5" t="s">
        <v>83</v>
      </c>
      <c r="C760" s="5"/>
      <c r="D760" s="5" t="s">
        <v>6720</v>
      </c>
      <c r="E760" s="5"/>
      <c r="F760" s="5" t="s">
        <v>1247</v>
      </c>
      <c r="G760" s="5" t="s">
        <v>382</v>
      </c>
      <c r="H760" s="5" t="s">
        <v>3</v>
      </c>
      <c r="I760" s="5"/>
      <c r="J760" s="5" t="s">
        <v>6719</v>
      </c>
    </row>
    <row r="761" spans="1:10" x14ac:dyDescent="0.2">
      <c r="A761" s="5" t="s">
        <v>6718</v>
      </c>
      <c r="B761" s="5" t="s">
        <v>83</v>
      </c>
      <c r="C761" s="5"/>
      <c r="D761" s="5" t="s">
        <v>6717</v>
      </c>
      <c r="E761" s="5"/>
      <c r="F761" s="5" t="s">
        <v>1220</v>
      </c>
      <c r="G761" s="5" t="s">
        <v>382</v>
      </c>
      <c r="H761" s="5" t="s">
        <v>3</v>
      </c>
      <c r="I761" s="5"/>
      <c r="J761" s="5" t="s">
        <v>6716</v>
      </c>
    </row>
    <row r="762" spans="1:10" x14ac:dyDescent="0.2">
      <c r="A762" s="5" t="s">
        <v>6715</v>
      </c>
      <c r="B762" s="5" t="s">
        <v>83</v>
      </c>
      <c r="C762" s="5"/>
      <c r="D762" s="5" t="s">
        <v>6714</v>
      </c>
      <c r="E762" s="5"/>
      <c r="F762" s="5" t="s">
        <v>1192</v>
      </c>
      <c r="G762" s="5" t="s">
        <v>382</v>
      </c>
      <c r="H762" s="5" t="s">
        <v>3</v>
      </c>
      <c r="I762" s="5"/>
      <c r="J762" s="5" t="s">
        <v>6713</v>
      </c>
    </row>
    <row r="763" spans="1:10" x14ac:dyDescent="0.2">
      <c r="A763" s="5" t="s">
        <v>6712</v>
      </c>
      <c r="B763" s="5" t="s">
        <v>83</v>
      </c>
      <c r="C763" s="5"/>
      <c r="D763" s="5" t="s">
        <v>6711</v>
      </c>
      <c r="E763" s="5"/>
      <c r="F763" s="5" t="s">
        <v>1168</v>
      </c>
      <c r="G763" s="5" t="s">
        <v>382</v>
      </c>
      <c r="H763" s="5" t="s">
        <v>3</v>
      </c>
      <c r="I763" s="5"/>
      <c r="J763" s="5" t="s">
        <v>6710</v>
      </c>
    </row>
    <row r="764" spans="1:10" x14ac:dyDescent="0.2">
      <c r="A764" s="5" t="s">
        <v>6709</v>
      </c>
      <c r="B764" s="5" t="s">
        <v>83</v>
      </c>
      <c r="C764" s="5"/>
      <c r="D764" s="5" t="s">
        <v>6708</v>
      </c>
      <c r="E764" s="5"/>
      <c r="F764" s="5" t="s">
        <v>1144</v>
      </c>
      <c r="G764" s="5" t="s">
        <v>382</v>
      </c>
      <c r="H764" s="5" t="s">
        <v>3</v>
      </c>
      <c r="I764" s="5"/>
      <c r="J764" s="5" t="s">
        <v>6707</v>
      </c>
    </row>
    <row r="765" spans="1:10" x14ac:dyDescent="0.2">
      <c r="A765" s="5" t="s">
        <v>6706</v>
      </c>
      <c r="B765" s="5" t="s">
        <v>83</v>
      </c>
      <c r="C765" s="5"/>
      <c r="D765" s="5" t="s">
        <v>6705</v>
      </c>
      <c r="E765" s="5"/>
      <c r="F765" s="5" t="s">
        <v>1105</v>
      </c>
      <c r="G765" s="5" t="s">
        <v>382</v>
      </c>
      <c r="H765" s="5" t="s">
        <v>3</v>
      </c>
      <c r="I765" s="5"/>
      <c r="J765" s="5" t="s">
        <v>6704</v>
      </c>
    </row>
    <row r="766" spans="1:10" x14ac:dyDescent="0.2">
      <c r="A766" s="5" t="s">
        <v>6703</v>
      </c>
      <c r="B766" s="5" t="s">
        <v>83</v>
      </c>
      <c r="C766" s="5"/>
      <c r="D766" s="5" t="s">
        <v>6702</v>
      </c>
      <c r="E766" s="5"/>
      <c r="F766" s="5" t="s">
        <v>1076</v>
      </c>
      <c r="G766" s="5" t="s">
        <v>382</v>
      </c>
      <c r="H766" s="5" t="s">
        <v>3</v>
      </c>
      <c r="I766" s="5"/>
      <c r="J766" s="5" t="s">
        <v>6701</v>
      </c>
    </row>
    <row r="767" spans="1:10" x14ac:dyDescent="0.2">
      <c r="A767" s="5" t="s">
        <v>6700</v>
      </c>
      <c r="B767" s="5" t="s">
        <v>83</v>
      </c>
      <c r="C767" s="5"/>
      <c r="D767" s="5" t="s">
        <v>6699</v>
      </c>
      <c r="E767" s="5"/>
      <c r="F767" s="5" t="s">
        <v>1047</v>
      </c>
      <c r="G767" s="5" t="s">
        <v>382</v>
      </c>
      <c r="H767" s="5" t="s">
        <v>3</v>
      </c>
      <c r="I767" s="5"/>
      <c r="J767" s="5" t="s">
        <v>6698</v>
      </c>
    </row>
    <row r="768" spans="1:10" x14ac:dyDescent="0.2">
      <c r="A768" s="5" t="s">
        <v>6697</v>
      </c>
      <c r="B768" s="5" t="s">
        <v>83</v>
      </c>
      <c r="C768" s="5"/>
      <c r="D768" s="5" t="s">
        <v>6696</v>
      </c>
      <c r="E768" s="5"/>
      <c r="F768" s="5" t="s">
        <v>1023</v>
      </c>
      <c r="G768" s="5" t="s">
        <v>382</v>
      </c>
      <c r="H768" s="5" t="s">
        <v>3</v>
      </c>
      <c r="I768" s="5"/>
      <c r="J768" s="5" t="s">
        <v>6695</v>
      </c>
    </row>
    <row r="769" spans="1:10" x14ac:dyDescent="0.2">
      <c r="A769" s="5" t="s">
        <v>6694</v>
      </c>
      <c r="B769" s="5" t="s">
        <v>83</v>
      </c>
      <c r="C769" s="5"/>
      <c r="D769" s="5" t="s">
        <v>6693</v>
      </c>
      <c r="E769" s="5"/>
      <c r="F769" s="5" t="s">
        <v>999</v>
      </c>
      <c r="G769" s="5" t="s">
        <v>382</v>
      </c>
      <c r="H769" s="5" t="s">
        <v>3</v>
      </c>
      <c r="I769" s="5"/>
      <c r="J769" s="5" t="s">
        <v>6692</v>
      </c>
    </row>
    <row r="770" spans="1:10" x14ac:dyDescent="0.2">
      <c r="A770" s="5" t="s">
        <v>6691</v>
      </c>
      <c r="B770" s="5" t="s">
        <v>83</v>
      </c>
      <c r="C770" s="5"/>
      <c r="D770" s="5" t="s">
        <v>6688</v>
      </c>
      <c r="E770" s="5"/>
      <c r="F770" s="5" t="s">
        <v>980</v>
      </c>
      <c r="G770" s="5" t="s">
        <v>382</v>
      </c>
      <c r="H770" s="5" t="s">
        <v>3</v>
      </c>
      <c r="I770" s="5"/>
      <c r="J770" s="5" t="s">
        <v>6690</v>
      </c>
    </row>
    <row r="771" spans="1:10" x14ac:dyDescent="0.2">
      <c r="A771" s="5" t="s">
        <v>6689</v>
      </c>
      <c r="B771" s="5" t="s">
        <v>83</v>
      </c>
      <c r="C771" s="5"/>
      <c r="D771" s="5" t="s">
        <v>6688</v>
      </c>
      <c r="E771" s="5"/>
      <c r="F771" s="5" t="s">
        <v>958</v>
      </c>
      <c r="G771" s="5" t="s">
        <v>382</v>
      </c>
      <c r="H771" s="5" t="s">
        <v>3</v>
      </c>
      <c r="I771" s="5"/>
      <c r="J771" s="5" t="s">
        <v>6687</v>
      </c>
    </row>
    <row r="772" spans="1:10" x14ac:dyDescent="0.2">
      <c r="A772" s="5" t="s">
        <v>6686</v>
      </c>
      <c r="B772" s="5" t="s">
        <v>83</v>
      </c>
      <c r="C772" s="5"/>
      <c r="D772" s="5" t="s">
        <v>6685</v>
      </c>
      <c r="E772" s="5"/>
      <c r="F772" s="5" t="s">
        <v>934</v>
      </c>
      <c r="G772" s="5" t="s">
        <v>382</v>
      </c>
      <c r="H772" s="5" t="s">
        <v>3</v>
      </c>
      <c r="I772" s="5"/>
      <c r="J772" s="5" t="s">
        <v>6684</v>
      </c>
    </row>
    <row r="773" spans="1:10" x14ac:dyDescent="0.2">
      <c r="A773" s="5" t="s">
        <v>6683</v>
      </c>
      <c r="B773" s="5" t="s">
        <v>83</v>
      </c>
      <c r="C773" s="5"/>
      <c r="D773" s="5" t="s">
        <v>6682</v>
      </c>
      <c r="E773" s="5"/>
      <c r="F773" s="5" t="s">
        <v>910</v>
      </c>
      <c r="G773" s="5" t="s">
        <v>382</v>
      </c>
      <c r="H773" s="5" t="s">
        <v>3</v>
      </c>
      <c r="I773" s="5"/>
      <c r="J773" s="5" t="s">
        <v>6681</v>
      </c>
    </row>
    <row r="774" spans="1:10" x14ac:dyDescent="0.2">
      <c r="A774" s="5" t="s">
        <v>6680</v>
      </c>
      <c r="B774" s="5" t="s">
        <v>83</v>
      </c>
      <c r="C774" s="5"/>
      <c r="D774" s="5" t="s">
        <v>6679</v>
      </c>
      <c r="E774" s="5"/>
      <c r="F774" s="5" t="s">
        <v>861</v>
      </c>
      <c r="G774" s="5" t="s">
        <v>382</v>
      </c>
      <c r="H774" s="5" t="s">
        <v>3</v>
      </c>
      <c r="I774" s="5"/>
      <c r="J774" s="5" t="s">
        <v>6678</v>
      </c>
    </row>
    <row r="775" spans="1:10" x14ac:dyDescent="0.2">
      <c r="A775" s="5" t="s">
        <v>6677</v>
      </c>
      <c r="B775" s="5" t="s">
        <v>83</v>
      </c>
      <c r="C775" s="5"/>
      <c r="D775" s="5" t="s">
        <v>6676</v>
      </c>
      <c r="E775" s="5"/>
      <c r="F775" s="5" t="s">
        <v>370</v>
      </c>
      <c r="G775" s="5" t="s">
        <v>382</v>
      </c>
      <c r="H775" s="5" t="s">
        <v>3</v>
      </c>
      <c r="I775" s="5"/>
      <c r="J775" s="5" t="s">
        <v>6675</v>
      </c>
    </row>
    <row r="776" spans="1:10" x14ac:dyDescent="0.2">
      <c r="A776" s="5" t="s">
        <v>6674</v>
      </c>
      <c r="B776" s="5" t="s">
        <v>83</v>
      </c>
      <c r="C776" s="5"/>
      <c r="D776" s="5" t="s">
        <v>6673</v>
      </c>
      <c r="E776" s="5"/>
      <c r="F776" s="5" t="s">
        <v>799</v>
      </c>
      <c r="G776" s="5" t="s">
        <v>382</v>
      </c>
      <c r="H776" s="5" t="s">
        <v>3</v>
      </c>
      <c r="I776" s="5"/>
      <c r="J776" s="5" t="s">
        <v>6672</v>
      </c>
    </row>
    <row r="777" spans="1:10" x14ac:dyDescent="0.2">
      <c r="A777" s="5" t="s">
        <v>6671</v>
      </c>
      <c r="B777" s="5" t="s">
        <v>83</v>
      </c>
      <c r="C777" s="5"/>
      <c r="D777" s="5" t="s">
        <v>6670</v>
      </c>
      <c r="E777" s="5"/>
      <c r="F777" s="5" t="s">
        <v>768</v>
      </c>
      <c r="G777" s="5" t="s">
        <v>382</v>
      </c>
      <c r="H777" s="5" t="s">
        <v>3</v>
      </c>
      <c r="I777" s="5"/>
      <c r="J777" s="5" t="s">
        <v>6669</v>
      </c>
    </row>
    <row r="778" spans="1:10" x14ac:dyDescent="0.2">
      <c r="A778" s="5" t="s">
        <v>6668</v>
      </c>
      <c r="B778" s="5" t="s">
        <v>83</v>
      </c>
      <c r="C778" s="5"/>
      <c r="D778" s="5" t="s">
        <v>6667</v>
      </c>
      <c r="E778" s="5"/>
      <c r="F778" s="5" t="s">
        <v>741</v>
      </c>
      <c r="G778" s="5" t="s">
        <v>382</v>
      </c>
      <c r="H778" s="5" t="s">
        <v>3</v>
      </c>
      <c r="I778" s="5"/>
      <c r="J778" s="5" t="s">
        <v>6666</v>
      </c>
    </row>
    <row r="779" spans="1:10" x14ac:dyDescent="0.2">
      <c r="A779" s="5" t="s">
        <v>6665</v>
      </c>
      <c r="B779" s="5" t="s">
        <v>83</v>
      </c>
      <c r="C779" s="5"/>
      <c r="D779" s="5" t="s">
        <v>6664</v>
      </c>
      <c r="E779" s="5"/>
      <c r="F779" s="5" t="s">
        <v>717</v>
      </c>
      <c r="G779" s="5" t="s">
        <v>382</v>
      </c>
      <c r="H779" s="5" t="s">
        <v>3</v>
      </c>
      <c r="I779" s="5"/>
      <c r="J779" s="5" t="s">
        <v>6663</v>
      </c>
    </row>
    <row r="780" spans="1:10" x14ac:dyDescent="0.2">
      <c r="A780" s="5" t="s">
        <v>6662</v>
      </c>
      <c r="B780" s="5" t="s">
        <v>83</v>
      </c>
      <c r="C780" s="5"/>
      <c r="D780" s="5" t="s">
        <v>6661</v>
      </c>
      <c r="E780" s="5"/>
      <c r="F780" s="5" t="s">
        <v>682</v>
      </c>
      <c r="G780" s="5" t="s">
        <v>382</v>
      </c>
      <c r="H780" s="5" t="s">
        <v>3</v>
      </c>
      <c r="I780" s="5"/>
      <c r="J780" s="5" t="s">
        <v>6660</v>
      </c>
    </row>
    <row r="781" spans="1:10" x14ac:dyDescent="0.2">
      <c r="A781" s="5" t="s">
        <v>6659</v>
      </c>
      <c r="B781" s="5" t="s">
        <v>83</v>
      </c>
      <c r="C781" s="5"/>
      <c r="D781" s="5" t="s">
        <v>6658</v>
      </c>
      <c r="E781" s="5"/>
      <c r="F781" s="5" t="s">
        <v>654</v>
      </c>
      <c r="G781" s="5" t="s">
        <v>382</v>
      </c>
      <c r="H781" s="5" t="s">
        <v>3</v>
      </c>
      <c r="I781" s="5"/>
      <c r="J781" s="5" t="s">
        <v>6657</v>
      </c>
    </row>
    <row r="782" spans="1:10" x14ac:dyDescent="0.2">
      <c r="A782" s="5" t="s">
        <v>6656</v>
      </c>
      <c r="B782" s="5" t="s">
        <v>83</v>
      </c>
      <c r="C782" s="5"/>
      <c r="D782" s="5" t="s">
        <v>6655</v>
      </c>
      <c r="E782" s="5"/>
      <c r="F782" s="5" t="s">
        <v>630</v>
      </c>
      <c r="G782" s="5" t="s">
        <v>382</v>
      </c>
      <c r="H782" s="5" t="s">
        <v>3</v>
      </c>
      <c r="I782" s="5"/>
      <c r="J782" s="5" t="s">
        <v>6654</v>
      </c>
    </row>
    <row r="783" spans="1:10" x14ac:dyDescent="0.2">
      <c r="A783" s="5" t="s">
        <v>6653</v>
      </c>
      <c r="B783" s="5" t="s">
        <v>83</v>
      </c>
      <c r="C783" s="5"/>
      <c r="D783" s="5" t="s">
        <v>6647</v>
      </c>
      <c r="E783" s="5"/>
      <c r="F783" s="5" t="s">
        <v>608</v>
      </c>
      <c r="G783" s="5" t="s">
        <v>382</v>
      </c>
      <c r="H783" s="5" t="s">
        <v>3</v>
      </c>
      <c r="I783" s="5"/>
      <c r="J783" s="5" t="s">
        <v>6652</v>
      </c>
    </row>
    <row r="784" spans="1:10" x14ac:dyDescent="0.2">
      <c r="A784" s="5" t="s">
        <v>6651</v>
      </c>
      <c r="B784" s="5" t="s">
        <v>83</v>
      </c>
      <c r="C784" s="5"/>
      <c r="D784" s="5" t="s">
        <v>6650</v>
      </c>
      <c r="E784" s="5"/>
      <c r="F784" s="5" t="s">
        <v>586</v>
      </c>
      <c r="G784" s="5" t="s">
        <v>382</v>
      </c>
      <c r="H784" s="5" t="s">
        <v>3</v>
      </c>
      <c r="I784" s="5"/>
      <c r="J784" s="5" t="s">
        <v>6649</v>
      </c>
    </row>
    <row r="785" spans="1:10" x14ac:dyDescent="0.2">
      <c r="A785" s="5" t="s">
        <v>6648</v>
      </c>
      <c r="B785" s="5" t="s">
        <v>83</v>
      </c>
      <c r="C785" s="5"/>
      <c r="D785" s="5" t="s">
        <v>6647</v>
      </c>
      <c r="E785" s="5"/>
      <c r="F785" s="5" t="s">
        <v>562</v>
      </c>
      <c r="G785" s="5" t="s">
        <v>382</v>
      </c>
      <c r="H785" s="5" t="s">
        <v>3</v>
      </c>
      <c r="I785" s="5"/>
      <c r="J785" s="5" t="s">
        <v>6646</v>
      </c>
    </row>
    <row r="786" spans="1:10" x14ac:dyDescent="0.2">
      <c r="A786" s="5" t="s">
        <v>6645</v>
      </c>
      <c r="B786" s="5" t="s">
        <v>83</v>
      </c>
      <c r="C786" s="5"/>
      <c r="D786" s="5" t="s">
        <v>6644</v>
      </c>
      <c r="E786" s="5"/>
      <c r="F786" s="5" t="s">
        <v>538</v>
      </c>
      <c r="G786" s="5" t="s">
        <v>382</v>
      </c>
      <c r="H786" s="5" t="s">
        <v>3</v>
      </c>
      <c r="I786" s="5"/>
      <c r="J786" s="5" t="s">
        <v>6643</v>
      </c>
    </row>
    <row r="787" spans="1:10" x14ac:dyDescent="0.2">
      <c r="A787" s="5" t="s">
        <v>6642</v>
      </c>
      <c r="B787" s="5" t="s">
        <v>83</v>
      </c>
      <c r="C787" s="5"/>
      <c r="D787" s="5" t="s">
        <v>6641</v>
      </c>
      <c r="E787" s="5"/>
      <c r="F787" s="5" t="s">
        <v>514</v>
      </c>
      <c r="G787" s="5" t="s">
        <v>382</v>
      </c>
      <c r="H787" s="5" t="s">
        <v>3</v>
      </c>
      <c r="I787" s="5"/>
      <c r="J787" s="5" t="s">
        <v>6640</v>
      </c>
    </row>
    <row r="788" spans="1:10" x14ac:dyDescent="0.2">
      <c r="A788" s="5" t="s">
        <v>6639</v>
      </c>
      <c r="B788" s="5" t="s">
        <v>83</v>
      </c>
      <c r="C788" s="5"/>
      <c r="D788" s="5" t="s">
        <v>6638</v>
      </c>
      <c r="E788" s="5"/>
      <c r="F788" s="5" t="s">
        <v>485</v>
      </c>
      <c r="G788" s="5" t="s">
        <v>382</v>
      </c>
      <c r="H788" s="5" t="s">
        <v>3</v>
      </c>
      <c r="I788" s="5"/>
      <c r="J788" s="5" t="s">
        <v>6637</v>
      </c>
    </row>
    <row r="789" spans="1:10" x14ac:dyDescent="0.2">
      <c r="A789" s="5" t="s">
        <v>6636</v>
      </c>
      <c r="B789" s="5" t="s">
        <v>83</v>
      </c>
      <c r="C789" s="5"/>
      <c r="D789" s="5" t="s">
        <v>6635</v>
      </c>
      <c r="E789" s="5"/>
      <c r="F789" s="5" t="s">
        <v>455</v>
      </c>
      <c r="G789" s="5" t="s">
        <v>382</v>
      </c>
      <c r="H789" s="5" t="s">
        <v>3</v>
      </c>
      <c r="I789" s="5"/>
      <c r="J789" s="5" t="s">
        <v>6634</v>
      </c>
    </row>
    <row r="790" spans="1:10" x14ac:dyDescent="0.2">
      <c r="A790" s="5" t="s">
        <v>6633</v>
      </c>
      <c r="B790" s="5" t="s">
        <v>83</v>
      </c>
      <c r="C790" s="5"/>
      <c r="D790" s="5" t="s">
        <v>6632</v>
      </c>
      <c r="E790" s="5"/>
      <c r="F790" s="5" t="s">
        <v>431</v>
      </c>
      <c r="G790" s="5" t="s">
        <v>382</v>
      </c>
      <c r="H790" s="5" t="s">
        <v>3</v>
      </c>
      <c r="I790" s="5"/>
      <c r="J790" s="5" t="s">
        <v>6631</v>
      </c>
    </row>
    <row r="791" spans="1:10" ht="25.5" x14ac:dyDescent="0.2">
      <c r="A791" s="5" t="s">
        <v>6630</v>
      </c>
      <c r="B791" s="5" t="s">
        <v>83</v>
      </c>
      <c r="C791" s="5"/>
      <c r="D791" s="5" t="s">
        <v>6629</v>
      </c>
      <c r="E791" s="5"/>
      <c r="F791" s="5" t="s">
        <v>6628</v>
      </c>
      <c r="G791" s="5" t="s">
        <v>105</v>
      </c>
      <c r="H791" s="5" t="s">
        <v>3</v>
      </c>
      <c r="I791" s="5"/>
      <c r="J791" s="5" t="s">
        <v>6627</v>
      </c>
    </row>
    <row r="792" spans="1:10" ht="25.5" x14ac:dyDescent="0.2">
      <c r="A792" s="5" t="s">
        <v>6626</v>
      </c>
      <c r="B792" s="5" t="s">
        <v>83</v>
      </c>
      <c r="C792" s="5"/>
      <c r="D792" s="5" t="s">
        <v>6625</v>
      </c>
      <c r="E792" s="5"/>
      <c r="F792" s="5" t="s">
        <v>6621</v>
      </c>
      <c r="G792" s="5" t="s">
        <v>315</v>
      </c>
      <c r="H792" s="5" t="s">
        <v>3</v>
      </c>
      <c r="I792" s="5"/>
      <c r="J792" s="5" t="s">
        <v>6624</v>
      </c>
    </row>
    <row r="793" spans="1:10" x14ac:dyDescent="0.2">
      <c r="A793" s="5" t="s">
        <v>6623</v>
      </c>
      <c r="B793" s="5" t="s">
        <v>83</v>
      </c>
      <c r="C793" s="5"/>
      <c r="D793" s="5" t="s">
        <v>6622</v>
      </c>
      <c r="E793" s="5"/>
      <c r="F793" s="5" t="s">
        <v>6621</v>
      </c>
      <c r="G793" s="5" t="s">
        <v>276</v>
      </c>
      <c r="H793" s="5" t="s">
        <v>3</v>
      </c>
      <c r="I793" s="5"/>
      <c r="J793" s="5" t="s">
        <v>6620</v>
      </c>
    </row>
    <row r="794" spans="1:10" ht="25.5" x14ac:dyDescent="0.2">
      <c r="A794" s="5" t="s">
        <v>6618</v>
      </c>
      <c r="B794" s="5" t="s">
        <v>83</v>
      </c>
      <c r="C794" s="5"/>
      <c r="D794" s="5" t="s">
        <v>6619</v>
      </c>
      <c r="E794" s="5"/>
      <c r="F794" s="5"/>
      <c r="G794" s="5" t="s">
        <v>229</v>
      </c>
      <c r="H794" s="5" t="s">
        <v>137</v>
      </c>
      <c r="I794" s="5" t="s">
        <v>6618</v>
      </c>
      <c r="J794" s="5"/>
    </row>
    <row r="795" spans="1:10" ht="25.5" x14ac:dyDescent="0.2">
      <c r="A795" s="5" t="s">
        <v>6617</v>
      </c>
      <c r="B795" s="5" t="s">
        <v>83</v>
      </c>
      <c r="C795" s="5"/>
      <c r="D795" s="5" t="s">
        <v>6611</v>
      </c>
      <c r="E795" s="5" t="s">
        <v>299</v>
      </c>
      <c r="F795" s="5" t="s">
        <v>6607</v>
      </c>
      <c r="G795" s="5" t="s">
        <v>91</v>
      </c>
      <c r="H795" s="5" t="s">
        <v>3</v>
      </c>
      <c r="I795" s="5"/>
      <c r="J795" s="5" t="s">
        <v>6616</v>
      </c>
    </row>
    <row r="796" spans="1:10" ht="25.5" x14ac:dyDescent="0.2">
      <c r="A796" s="5" t="s">
        <v>6615</v>
      </c>
      <c r="B796" s="5" t="s">
        <v>83</v>
      </c>
      <c r="C796" s="5"/>
      <c r="D796" s="5" t="s">
        <v>6614</v>
      </c>
      <c r="E796" s="5" t="s">
        <v>368</v>
      </c>
      <c r="F796" s="5" t="s">
        <v>6555</v>
      </c>
      <c r="G796" s="5" t="s">
        <v>702</v>
      </c>
      <c r="H796" s="5" t="s">
        <v>3</v>
      </c>
      <c r="I796" s="5"/>
      <c r="J796" s="5" t="s">
        <v>6613</v>
      </c>
    </row>
    <row r="797" spans="1:10" ht="25.5" x14ac:dyDescent="0.2">
      <c r="A797" s="5" t="s">
        <v>6612</v>
      </c>
      <c r="B797" s="5" t="s">
        <v>83</v>
      </c>
      <c r="C797" s="5"/>
      <c r="D797" s="5" t="s">
        <v>6611</v>
      </c>
      <c r="E797" s="5" t="s">
        <v>299</v>
      </c>
      <c r="F797" s="5" t="s">
        <v>6607</v>
      </c>
      <c r="G797" s="5" t="s">
        <v>91</v>
      </c>
      <c r="H797" s="5" t="s">
        <v>3</v>
      </c>
      <c r="I797" s="5"/>
      <c r="J797" s="5" t="s">
        <v>6610</v>
      </c>
    </row>
    <row r="798" spans="1:10" ht="25.5" x14ac:dyDescent="0.2">
      <c r="A798" s="5" t="s">
        <v>6609</v>
      </c>
      <c r="B798" s="5" t="s">
        <v>83</v>
      </c>
      <c r="C798" s="5"/>
      <c r="D798" s="5" t="s">
        <v>6608</v>
      </c>
      <c r="E798" s="5" t="s">
        <v>299</v>
      </c>
      <c r="F798" s="5" t="s">
        <v>6607</v>
      </c>
      <c r="G798" s="5" t="s">
        <v>91</v>
      </c>
      <c r="H798" s="5" t="s">
        <v>3</v>
      </c>
      <c r="I798" s="5"/>
      <c r="J798" s="5" t="s">
        <v>6606</v>
      </c>
    </row>
    <row r="799" spans="1:10" ht="25.5" x14ac:dyDescent="0.2">
      <c r="A799" s="5" t="s">
        <v>6605</v>
      </c>
      <c r="B799" s="5" t="s">
        <v>83</v>
      </c>
      <c r="C799" s="5"/>
      <c r="D799" s="5" t="s">
        <v>6604</v>
      </c>
      <c r="E799" s="5" t="s">
        <v>368</v>
      </c>
      <c r="F799" s="5" t="s">
        <v>6544</v>
      </c>
      <c r="G799" s="5" t="s">
        <v>702</v>
      </c>
      <c r="H799" s="5" t="s">
        <v>3</v>
      </c>
      <c r="I799" s="5"/>
      <c r="J799" s="5" t="s">
        <v>6603</v>
      </c>
    </row>
    <row r="800" spans="1:10" x14ac:dyDescent="0.2">
      <c r="A800" s="5" t="s">
        <v>6602</v>
      </c>
      <c r="B800" s="5" t="s">
        <v>83</v>
      </c>
      <c r="C800" s="5"/>
      <c r="D800" s="5" t="s">
        <v>6390</v>
      </c>
      <c r="E800" s="5" t="s">
        <v>150</v>
      </c>
      <c r="F800" s="5" t="s">
        <v>6601</v>
      </c>
      <c r="G800" s="5" t="s">
        <v>148</v>
      </c>
      <c r="H800" s="5" t="s">
        <v>3</v>
      </c>
      <c r="I800" s="5"/>
      <c r="J800" s="5" t="s">
        <v>6600</v>
      </c>
    </row>
    <row r="801" spans="1:10" x14ac:dyDescent="0.2">
      <c r="A801" s="5" t="s">
        <v>6599</v>
      </c>
      <c r="B801" s="5" t="s">
        <v>83</v>
      </c>
      <c r="C801" s="5"/>
      <c r="D801" s="5" t="s">
        <v>6598</v>
      </c>
      <c r="E801" s="5"/>
      <c r="F801" s="5" t="s">
        <v>6597</v>
      </c>
      <c r="G801" s="5" t="s">
        <v>229</v>
      </c>
      <c r="H801" s="5" t="s">
        <v>3</v>
      </c>
      <c r="I801" s="5"/>
      <c r="J801" s="5"/>
    </row>
    <row r="802" spans="1:10" x14ac:dyDescent="0.2">
      <c r="A802" s="5" t="s">
        <v>6596</v>
      </c>
      <c r="B802" s="5" t="s">
        <v>83</v>
      </c>
      <c r="C802" s="5"/>
      <c r="D802" s="5" t="s">
        <v>6595</v>
      </c>
      <c r="E802" s="5"/>
      <c r="F802" s="5" t="s">
        <v>6594</v>
      </c>
      <c r="G802" s="5" t="s">
        <v>229</v>
      </c>
      <c r="H802" s="5" t="s">
        <v>3</v>
      </c>
      <c r="I802" s="5"/>
      <c r="J802" s="5"/>
    </row>
    <row r="803" spans="1:10" ht="25.5" x14ac:dyDescent="0.2">
      <c r="A803" s="5" t="s">
        <v>6593</v>
      </c>
      <c r="B803" s="5" t="s">
        <v>83</v>
      </c>
      <c r="C803" s="5"/>
      <c r="D803" s="5" t="s">
        <v>6592</v>
      </c>
      <c r="E803" s="5"/>
      <c r="F803" s="5" t="s">
        <v>6591</v>
      </c>
      <c r="G803" s="5" t="s">
        <v>118</v>
      </c>
      <c r="H803" s="5" t="s">
        <v>3</v>
      </c>
      <c r="I803" s="5"/>
      <c r="J803" s="5" t="s">
        <v>6590</v>
      </c>
    </row>
    <row r="804" spans="1:10" ht="25.5" x14ac:dyDescent="0.2">
      <c r="A804" s="5" t="s">
        <v>6578</v>
      </c>
      <c r="B804" s="5" t="s">
        <v>83</v>
      </c>
      <c r="C804" s="5"/>
      <c r="D804" s="5" t="s">
        <v>6589</v>
      </c>
      <c r="E804" s="5"/>
      <c r="F804" s="5" t="s">
        <v>2219</v>
      </c>
      <c r="G804" s="5" t="s">
        <v>2672</v>
      </c>
      <c r="H804" s="5" t="s">
        <v>137</v>
      </c>
      <c r="I804" s="5" t="s">
        <v>263</v>
      </c>
      <c r="J804" s="5" t="s">
        <v>6588</v>
      </c>
    </row>
    <row r="805" spans="1:10" x14ac:dyDescent="0.2">
      <c r="A805" s="5" t="s">
        <v>6587</v>
      </c>
      <c r="B805" s="5" t="s">
        <v>83</v>
      </c>
      <c r="C805" s="5"/>
      <c r="D805" s="5" t="s">
        <v>6586</v>
      </c>
      <c r="E805" s="5"/>
      <c r="F805" s="5" t="s">
        <v>6585</v>
      </c>
      <c r="G805" s="5" t="s">
        <v>6584</v>
      </c>
      <c r="H805" s="5" t="s">
        <v>3</v>
      </c>
      <c r="I805" s="5"/>
      <c r="J805" s="5"/>
    </row>
    <row r="806" spans="1:10" x14ac:dyDescent="0.2">
      <c r="A806" s="5" t="s">
        <v>6583</v>
      </c>
      <c r="B806" s="5" t="s">
        <v>83</v>
      </c>
      <c r="C806" s="5"/>
      <c r="D806" s="5" t="s">
        <v>6582</v>
      </c>
      <c r="E806" s="5"/>
      <c r="F806" s="5" t="s">
        <v>6581</v>
      </c>
      <c r="G806" s="5" t="s">
        <v>122</v>
      </c>
      <c r="H806" s="5" t="s">
        <v>3</v>
      </c>
      <c r="I806" s="5"/>
      <c r="J806" s="5"/>
    </row>
    <row r="807" spans="1:10" ht="25.5" x14ac:dyDescent="0.2">
      <c r="A807" s="5" t="s">
        <v>6580</v>
      </c>
      <c r="B807" s="5" t="s">
        <v>83</v>
      </c>
      <c r="C807" s="5"/>
      <c r="D807" s="5" t="s">
        <v>6401</v>
      </c>
      <c r="E807" s="5"/>
      <c r="F807" s="5" t="s">
        <v>6579</v>
      </c>
      <c r="G807" s="5" t="s">
        <v>91</v>
      </c>
      <c r="H807" s="5" t="s">
        <v>137</v>
      </c>
      <c r="I807" s="5" t="s">
        <v>6578</v>
      </c>
      <c r="J807" s="5" t="s">
        <v>6577</v>
      </c>
    </row>
    <row r="808" spans="1:10" ht="38.25" x14ac:dyDescent="0.2">
      <c r="A808" s="5" t="s">
        <v>6576</v>
      </c>
      <c r="B808" s="5" t="s">
        <v>83</v>
      </c>
      <c r="C808" s="5"/>
      <c r="D808" s="5" t="s">
        <v>6575</v>
      </c>
      <c r="E808" s="5" t="s">
        <v>299</v>
      </c>
      <c r="F808" s="5" t="s">
        <v>6478</v>
      </c>
      <c r="G808" s="5" t="s">
        <v>91</v>
      </c>
      <c r="H808" s="5" t="s">
        <v>3</v>
      </c>
      <c r="I808" s="5"/>
      <c r="J808" s="5" t="s">
        <v>6567</v>
      </c>
    </row>
    <row r="809" spans="1:10" x14ac:dyDescent="0.2">
      <c r="A809" s="5" t="s">
        <v>6574</v>
      </c>
      <c r="B809" s="5" t="s">
        <v>83</v>
      </c>
      <c r="C809" s="5"/>
      <c r="D809" s="5" t="s">
        <v>6571</v>
      </c>
      <c r="E809" s="5" t="s">
        <v>299</v>
      </c>
      <c r="F809" s="5" t="s">
        <v>6573</v>
      </c>
      <c r="G809" s="5" t="s">
        <v>91</v>
      </c>
      <c r="H809" s="5" t="s">
        <v>3</v>
      </c>
      <c r="I809" s="5"/>
      <c r="J809" s="5" t="s">
        <v>6567</v>
      </c>
    </row>
    <row r="810" spans="1:10" x14ac:dyDescent="0.2">
      <c r="A810" s="5" t="s">
        <v>6572</v>
      </c>
      <c r="B810" s="5" t="s">
        <v>83</v>
      </c>
      <c r="C810" s="5"/>
      <c r="D810" s="5" t="s">
        <v>6571</v>
      </c>
      <c r="E810" s="5" t="s">
        <v>299</v>
      </c>
      <c r="F810" s="5" t="s">
        <v>6478</v>
      </c>
      <c r="G810" s="5" t="s">
        <v>91</v>
      </c>
      <c r="H810" s="5" t="s">
        <v>3</v>
      </c>
      <c r="I810" s="5"/>
      <c r="J810" s="5" t="s">
        <v>6567</v>
      </c>
    </row>
    <row r="811" spans="1:10" ht="25.5" x14ac:dyDescent="0.2">
      <c r="A811" s="5" t="s">
        <v>6570</v>
      </c>
      <c r="B811" s="5" t="s">
        <v>83</v>
      </c>
      <c r="C811" s="5"/>
      <c r="D811" s="5" t="s">
        <v>6569</v>
      </c>
      <c r="E811" s="5" t="s">
        <v>299</v>
      </c>
      <c r="F811" s="5" t="s">
        <v>6568</v>
      </c>
      <c r="G811" s="5" t="s">
        <v>91</v>
      </c>
      <c r="H811" s="5" t="s">
        <v>3</v>
      </c>
      <c r="I811" s="5"/>
      <c r="J811" s="5" t="s">
        <v>6567</v>
      </c>
    </row>
    <row r="812" spans="1:10" x14ac:dyDescent="0.2">
      <c r="A812" s="5" t="s">
        <v>6566</v>
      </c>
      <c r="B812" s="5" t="s">
        <v>83</v>
      </c>
      <c r="C812" s="5"/>
      <c r="D812" s="5" t="s">
        <v>6556</v>
      </c>
      <c r="E812" s="5" t="s">
        <v>368</v>
      </c>
      <c r="F812" s="5" t="s">
        <v>6555</v>
      </c>
      <c r="G812" s="5" t="s">
        <v>702</v>
      </c>
      <c r="H812" s="5" t="s">
        <v>3</v>
      </c>
      <c r="I812" s="5"/>
      <c r="J812" s="5" t="s">
        <v>6554</v>
      </c>
    </row>
    <row r="813" spans="1:10" ht="25.5" x14ac:dyDescent="0.2">
      <c r="A813" s="5" t="s">
        <v>6565</v>
      </c>
      <c r="B813" s="5" t="s">
        <v>83</v>
      </c>
      <c r="C813" s="5"/>
      <c r="D813" s="5" t="s">
        <v>6564</v>
      </c>
      <c r="E813" s="5" t="s">
        <v>368</v>
      </c>
      <c r="F813" s="5" t="s">
        <v>6555</v>
      </c>
      <c r="G813" s="5" t="s">
        <v>702</v>
      </c>
      <c r="H813" s="5" t="s">
        <v>3</v>
      </c>
      <c r="I813" s="5"/>
      <c r="J813" s="5" t="s">
        <v>6543</v>
      </c>
    </row>
    <row r="814" spans="1:10" ht="25.5" x14ac:dyDescent="0.2">
      <c r="A814" s="5" t="s">
        <v>6563</v>
      </c>
      <c r="B814" s="5" t="s">
        <v>83</v>
      </c>
      <c r="C814" s="5"/>
      <c r="D814" s="5" t="s">
        <v>6562</v>
      </c>
      <c r="E814" s="5" t="s">
        <v>368</v>
      </c>
      <c r="F814" s="5" t="s">
        <v>6555</v>
      </c>
      <c r="G814" s="5" t="s">
        <v>702</v>
      </c>
      <c r="H814" s="5" t="s">
        <v>3</v>
      </c>
      <c r="I814" s="5"/>
      <c r="J814" s="5" t="s">
        <v>6543</v>
      </c>
    </row>
    <row r="815" spans="1:10" x14ac:dyDescent="0.2">
      <c r="A815" s="5" t="s">
        <v>6561</v>
      </c>
      <c r="B815" s="5" t="s">
        <v>83</v>
      </c>
      <c r="C815" s="5"/>
      <c r="D815" s="5" t="s">
        <v>6560</v>
      </c>
      <c r="E815" s="5" t="s">
        <v>368</v>
      </c>
      <c r="F815" s="5" t="s">
        <v>6555</v>
      </c>
      <c r="G815" s="5" t="s">
        <v>702</v>
      </c>
      <c r="H815" s="5" t="s">
        <v>137</v>
      </c>
      <c r="I815" s="5" t="s">
        <v>55</v>
      </c>
      <c r="J815" s="5" t="s">
        <v>6554</v>
      </c>
    </row>
    <row r="816" spans="1:10" x14ac:dyDescent="0.2">
      <c r="A816" s="5" t="s">
        <v>6559</v>
      </c>
      <c r="B816" s="5" t="s">
        <v>83</v>
      </c>
      <c r="C816" s="5"/>
      <c r="D816" s="5" t="s">
        <v>6558</v>
      </c>
      <c r="E816" s="5" t="s">
        <v>368</v>
      </c>
      <c r="F816" s="5" t="s">
        <v>6555</v>
      </c>
      <c r="G816" s="5" t="s">
        <v>702</v>
      </c>
      <c r="H816" s="5" t="s">
        <v>3</v>
      </c>
      <c r="I816" s="5"/>
      <c r="J816" s="5" t="s">
        <v>6554</v>
      </c>
    </row>
    <row r="817" spans="1:10" x14ac:dyDescent="0.2">
      <c r="A817" s="5" t="s">
        <v>6557</v>
      </c>
      <c r="B817" s="5" t="s">
        <v>83</v>
      </c>
      <c r="C817" s="5"/>
      <c r="D817" s="5" t="s">
        <v>6556</v>
      </c>
      <c r="E817" s="5" t="s">
        <v>93</v>
      </c>
      <c r="F817" s="5" t="s">
        <v>6555</v>
      </c>
      <c r="G817" s="5" t="s">
        <v>91</v>
      </c>
      <c r="H817" s="5" t="s">
        <v>3</v>
      </c>
      <c r="I817" s="5"/>
      <c r="J817" s="5" t="s">
        <v>6554</v>
      </c>
    </row>
    <row r="818" spans="1:10" ht="25.5" x14ac:dyDescent="0.2">
      <c r="A818" s="5" t="s">
        <v>6553</v>
      </c>
      <c r="B818" s="5" t="s">
        <v>83</v>
      </c>
      <c r="C818" s="5"/>
      <c r="D818" s="5" t="s">
        <v>6552</v>
      </c>
      <c r="E818" s="5" t="s">
        <v>299</v>
      </c>
      <c r="F818" s="5" t="s">
        <v>6478</v>
      </c>
      <c r="G818" s="5" t="s">
        <v>91</v>
      </c>
      <c r="H818" s="5" t="s">
        <v>3</v>
      </c>
      <c r="I818" s="5"/>
      <c r="J818" s="5" t="s">
        <v>6551</v>
      </c>
    </row>
    <row r="819" spans="1:10" ht="25.5" x14ac:dyDescent="0.2">
      <c r="A819" s="5" t="s">
        <v>6550</v>
      </c>
      <c r="B819" s="5" t="s">
        <v>83</v>
      </c>
      <c r="C819" s="5"/>
      <c r="D819" s="5" t="s">
        <v>6549</v>
      </c>
      <c r="E819" s="5" t="s">
        <v>368</v>
      </c>
      <c r="F819" s="5" t="s">
        <v>6548</v>
      </c>
      <c r="G819" s="5" t="s">
        <v>702</v>
      </c>
      <c r="H819" s="5" t="s">
        <v>3</v>
      </c>
      <c r="I819" s="5"/>
      <c r="J819" s="5" t="s">
        <v>6547</v>
      </c>
    </row>
    <row r="820" spans="1:10" ht="25.5" x14ac:dyDescent="0.2">
      <c r="A820" s="5" t="s">
        <v>6546</v>
      </c>
      <c r="B820" s="5" t="s">
        <v>83</v>
      </c>
      <c r="C820" s="5"/>
      <c r="D820" s="5" t="s">
        <v>6545</v>
      </c>
      <c r="E820" s="5" t="s">
        <v>368</v>
      </c>
      <c r="F820" s="5" t="s">
        <v>6544</v>
      </c>
      <c r="G820" s="5" t="s">
        <v>702</v>
      </c>
      <c r="H820" s="5" t="s">
        <v>3</v>
      </c>
      <c r="I820" s="5"/>
      <c r="J820" s="5" t="s">
        <v>6543</v>
      </c>
    </row>
    <row r="821" spans="1:10" ht="25.5" x14ac:dyDescent="0.2">
      <c r="A821" s="5" t="s">
        <v>6542</v>
      </c>
      <c r="B821" s="5" t="s">
        <v>83</v>
      </c>
      <c r="C821" s="5"/>
      <c r="D821" s="5" t="s">
        <v>6541</v>
      </c>
      <c r="E821" s="5" t="s">
        <v>368</v>
      </c>
      <c r="F821" s="5" t="s">
        <v>4053</v>
      </c>
      <c r="G821" s="5" t="s">
        <v>181</v>
      </c>
      <c r="H821" s="5" t="s">
        <v>3</v>
      </c>
      <c r="I821" s="5"/>
      <c r="J821" s="5" t="s">
        <v>6540</v>
      </c>
    </row>
    <row r="822" spans="1:10" ht="25.5" x14ac:dyDescent="0.2">
      <c r="A822" s="5" t="s">
        <v>6539</v>
      </c>
      <c r="B822" s="5" t="s">
        <v>83</v>
      </c>
      <c r="C822" s="5"/>
      <c r="D822" s="5" t="s">
        <v>6538</v>
      </c>
      <c r="E822" s="5"/>
      <c r="F822" s="5" t="s">
        <v>6534</v>
      </c>
      <c r="G822" s="5" t="s">
        <v>105</v>
      </c>
      <c r="H822" s="5" t="s">
        <v>3</v>
      </c>
      <c r="I822" s="5"/>
      <c r="J822" s="5" t="s">
        <v>6537</v>
      </c>
    </row>
    <row r="823" spans="1:10" ht="25.5" x14ac:dyDescent="0.2">
      <c r="A823" s="5" t="s">
        <v>6536</v>
      </c>
      <c r="B823" s="5" t="s">
        <v>83</v>
      </c>
      <c r="C823" s="5"/>
      <c r="D823" s="5" t="s">
        <v>6535</v>
      </c>
      <c r="E823" s="5"/>
      <c r="F823" s="5" t="s">
        <v>6534</v>
      </c>
      <c r="G823" s="5" t="s">
        <v>105</v>
      </c>
      <c r="H823" s="5" t="s">
        <v>3</v>
      </c>
      <c r="I823" s="5"/>
      <c r="J823" s="5" t="s">
        <v>6533</v>
      </c>
    </row>
    <row r="824" spans="1:10" x14ac:dyDescent="0.2">
      <c r="A824" s="5" t="s">
        <v>6532</v>
      </c>
      <c r="B824" s="5" t="s">
        <v>83</v>
      </c>
      <c r="C824" s="5"/>
      <c r="D824" s="5" t="s">
        <v>6531</v>
      </c>
      <c r="E824" s="5"/>
      <c r="F824" s="5" t="s">
        <v>6507</v>
      </c>
      <c r="G824" s="5" t="s">
        <v>6530</v>
      </c>
      <c r="H824" s="5" t="s">
        <v>3</v>
      </c>
      <c r="I824" s="5"/>
      <c r="J824" s="5"/>
    </row>
    <row r="825" spans="1:10" x14ac:dyDescent="0.2">
      <c r="A825" s="5" t="s">
        <v>6528</v>
      </c>
      <c r="B825" s="5" t="s">
        <v>83</v>
      </c>
      <c r="C825" s="5"/>
      <c r="D825" s="5" t="s">
        <v>6529</v>
      </c>
      <c r="E825" s="5"/>
      <c r="F825" s="5" t="s">
        <v>6528</v>
      </c>
      <c r="G825" s="5" t="s">
        <v>6527</v>
      </c>
      <c r="H825" s="5" t="s">
        <v>3</v>
      </c>
      <c r="I825" s="5"/>
      <c r="J825" s="5"/>
    </row>
    <row r="826" spans="1:10" x14ac:dyDescent="0.2">
      <c r="A826" s="5" t="s">
        <v>6525</v>
      </c>
      <c r="B826" s="5" t="s">
        <v>83</v>
      </c>
      <c r="C826" s="5"/>
      <c r="D826" s="5" t="s">
        <v>6526</v>
      </c>
      <c r="E826" s="5"/>
      <c r="F826" s="5" t="s">
        <v>6525</v>
      </c>
      <c r="G826" s="5" t="s">
        <v>229</v>
      </c>
      <c r="H826" s="5" t="s">
        <v>3</v>
      </c>
      <c r="I826" s="5"/>
      <c r="J826" s="5"/>
    </row>
    <row r="827" spans="1:10" ht="25.5" x14ac:dyDescent="0.2">
      <c r="A827" s="5" t="s">
        <v>6523</v>
      </c>
      <c r="B827" s="5" t="s">
        <v>83</v>
      </c>
      <c r="C827" s="5"/>
      <c r="D827" s="5" t="s">
        <v>6524</v>
      </c>
      <c r="E827" s="5"/>
      <c r="F827" s="5" t="s">
        <v>6523</v>
      </c>
      <c r="G827" s="5" t="s">
        <v>229</v>
      </c>
      <c r="H827" s="5" t="s">
        <v>3</v>
      </c>
      <c r="I827" s="5"/>
      <c r="J827" s="5"/>
    </row>
    <row r="828" spans="1:10" x14ac:dyDescent="0.2">
      <c r="A828" s="5" t="s">
        <v>6522</v>
      </c>
      <c r="B828" s="5" t="s">
        <v>83</v>
      </c>
      <c r="C828" s="5"/>
      <c r="D828" s="5" t="s">
        <v>6521</v>
      </c>
      <c r="E828" s="5"/>
      <c r="F828" s="5"/>
      <c r="G828" s="5" t="s">
        <v>4028</v>
      </c>
      <c r="H828" s="5" t="s">
        <v>3</v>
      </c>
      <c r="I828" s="5"/>
      <c r="J828" s="5"/>
    </row>
    <row r="829" spans="1:10" ht="25.5" x14ac:dyDescent="0.2">
      <c r="A829" s="5" t="s">
        <v>6520</v>
      </c>
      <c r="B829" s="5" t="s">
        <v>83</v>
      </c>
      <c r="C829" s="5"/>
      <c r="D829" s="5" t="s">
        <v>6519</v>
      </c>
      <c r="E829" s="5" t="s">
        <v>138</v>
      </c>
      <c r="F829" s="5" t="s">
        <v>331</v>
      </c>
      <c r="G829" s="5" t="s">
        <v>6518</v>
      </c>
      <c r="H829" s="5" t="s">
        <v>3</v>
      </c>
      <c r="I829" s="5"/>
      <c r="J829" s="5" t="s">
        <v>90</v>
      </c>
    </row>
    <row r="830" spans="1:10" ht="25.5" x14ac:dyDescent="0.2">
      <c r="A830" s="5" t="s">
        <v>6517</v>
      </c>
      <c r="B830" s="5" t="s">
        <v>83</v>
      </c>
      <c r="C830" s="5"/>
      <c r="D830" s="5" t="s">
        <v>6516</v>
      </c>
      <c r="E830" s="5"/>
      <c r="F830" s="5" t="s">
        <v>6386</v>
      </c>
      <c r="G830" s="5" t="s">
        <v>1527</v>
      </c>
      <c r="H830" s="5" t="s">
        <v>3</v>
      </c>
      <c r="I830" s="5"/>
      <c r="J830" s="5"/>
    </row>
    <row r="831" spans="1:10" x14ac:dyDescent="0.2">
      <c r="A831" s="5" t="s">
        <v>6515</v>
      </c>
      <c r="B831" s="5" t="s">
        <v>83</v>
      </c>
      <c r="C831" s="5"/>
      <c r="D831" s="5" t="s">
        <v>6514</v>
      </c>
      <c r="E831" s="5"/>
      <c r="F831" s="5" t="s">
        <v>6386</v>
      </c>
      <c r="G831" s="5" t="s">
        <v>1527</v>
      </c>
      <c r="H831" s="5" t="s">
        <v>3</v>
      </c>
      <c r="I831" s="5"/>
      <c r="J831" s="5"/>
    </row>
    <row r="832" spans="1:10" x14ac:dyDescent="0.2">
      <c r="A832" s="5" t="s">
        <v>6513</v>
      </c>
      <c r="B832" s="5" t="s">
        <v>83</v>
      </c>
      <c r="C832" s="5"/>
      <c r="D832" s="5" t="s">
        <v>6512</v>
      </c>
      <c r="E832" s="5"/>
      <c r="F832" s="5" t="s">
        <v>6511</v>
      </c>
      <c r="G832" s="5" t="s">
        <v>80</v>
      </c>
      <c r="H832" s="5" t="s">
        <v>3</v>
      </c>
      <c r="I832" s="5"/>
      <c r="J832" s="5" t="s">
        <v>6510</v>
      </c>
    </row>
    <row r="833" spans="1:10" ht="25.5" x14ac:dyDescent="0.2">
      <c r="A833" s="5" t="s">
        <v>6509</v>
      </c>
      <c r="B833" s="5" t="s">
        <v>83</v>
      </c>
      <c r="C833" s="5"/>
      <c r="D833" s="5" t="s">
        <v>6508</v>
      </c>
      <c r="E833" s="5"/>
      <c r="F833" s="5" t="s">
        <v>6507</v>
      </c>
      <c r="G833" s="5" t="s">
        <v>173</v>
      </c>
      <c r="H833" s="5" t="s">
        <v>3</v>
      </c>
      <c r="I833" s="5"/>
      <c r="J833" s="5" t="s">
        <v>6506</v>
      </c>
    </row>
    <row r="834" spans="1:10" ht="25.5" x14ac:dyDescent="0.2">
      <c r="A834" s="5" t="s">
        <v>6495</v>
      </c>
      <c r="B834" s="5" t="s">
        <v>83</v>
      </c>
      <c r="C834" s="5"/>
      <c r="D834" s="5" t="s">
        <v>6505</v>
      </c>
      <c r="E834" s="5"/>
      <c r="F834" s="5" t="s">
        <v>6495</v>
      </c>
      <c r="G834" s="5" t="s">
        <v>105</v>
      </c>
      <c r="H834" s="5" t="s">
        <v>3</v>
      </c>
      <c r="I834" s="5"/>
      <c r="J834" s="5" t="s">
        <v>6504</v>
      </c>
    </row>
    <row r="835" spans="1:10" ht="25.5" x14ac:dyDescent="0.2">
      <c r="A835" s="5" t="s">
        <v>6503</v>
      </c>
      <c r="B835" s="5" t="s">
        <v>83</v>
      </c>
      <c r="C835" s="5"/>
      <c r="D835" s="5" t="s">
        <v>6502</v>
      </c>
      <c r="E835" s="5"/>
      <c r="F835" s="5" t="s">
        <v>6495</v>
      </c>
      <c r="G835" s="5" t="s">
        <v>105</v>
      </c>
      <c r="H835" s="5" t="s">
        <v>3</v>
      </c>
      <c r="I835" s="5"/>
      <c r="J835" s="5"/>
    </row>
    <row r="836" spans="1:10" x14ac:dyDescent="0.2">
      <c r="A836" s="5" t="s">
        <v>6501</v>
      </c>
      <c r="B836" s="5" t="s">
        <v>83</v>
      </c>
      <c r="C836" s="5"/>
      <c r="D836" s="5" t="s">
        <v>6500</v>
      </c>
      <c r="E836" s="5"/>
      <c r="F836" s="5" t="s">
        <v>6499</v>
      </c>
      <c r="G836" s="5" t="s">
        <v>105</v>
      </c>
      <c r="H836" s="5" t="s">
        <v>3</v>
      </c>
      <c r="I836" s="5"/>
      <c r="J836" s="5" t="s">
        <v>6498</v>
      </c>
    </row>
    <row r="837" spans="1:10" ht="25.5" x14ac:dyDescent="0.2">
      <c r="A837" s="5" t="s">
        <v>6497</v>
      </c>
      <c r="B837" s="5" t="s">
        <v>83</v>
      </c>
      <c r="C837" s="5"/>
      <c r="D837" s="5" t="s">
        <v>6496</v>
      </c>
      <c r="E837" s="5"/>
      <c r="F837" s="5" t="s">
        <v>6495</v>
      </c>
      <c r="G837" s="5" t="s">
        <v>181</v>
      </c>
      <c r="H837" s="5" t="s">
        <v>3</v>
      </c>
      <c r="I837" s="5"/>
      <c r="J837" s="5" t="s">
        <v>6494</v>
      </c>
    </row>
    <row r="838" spans="1:10" ht="25.5" x14ac:dyDescent="0.2">
      <c r="A838" s="5" t="s">
        <v>6493</v>
      </c>
      <c r="B838" s="5" t="s">
        <v>83</v>
      </c>
      <c r="C838" s="5"/>
      <c r="D838" s="5" t="s">
        <v>6492</v>
      </c>
      <c r="E838" s="5"/>
      <c r="F838" s="5" t="s">
        <v>6491</v>
      </c>
      <c r="G838" s="5" t="s">
        <v>4028</v>
      </c>
      <c r="H838" s="5" t="s">
        <v>137</v>
      </c>
      <c r="I838" s="5" t="s">
        <v>1781</v>
      </c>
      <c r="J838" s="5" t="s">
        <v>6490</v>
      </c>
    </row>
    <row r="839" spans="1:10" x14ac:dyDescent="0.2">
      <c r="A839" s="5" t="s">
        <v>6489</v>
      </c>
      <c r="B839" s="5" t="s">
        <v>83</v>
      </c>
      <c r="C839" s="5"/>
      <c r="D839" s="5" t="s">
        <v>6488</v>
      </c>
      <c r="E839" s="5"/>
      <c r="F839" s="5" t="s">
        <v>6487</v>
      </c>
      <c r="G839" s="5" t="s">
        <v>80</v>
      </c>
      <c r="H839" s="5" t="s">
        <v>3</v>
      </c>
      <c r="I839" s="5"/>
      <c r="J839" s="5" t="s">
        <v>6486</v>
      </c>
    </row>
    <row r="840" spans="1:10" x14ac:dyDescent="0.2">
      <c r="A840" s="5" t="s">
        <v>6485</v>
      </c>
      <c r="B840" s="5" t="s">
        <v>83</v>
      </c>
      <c r="C840" s="5"/>
      <c r="D840" s="5" t="s">
        <v>6484</v>
      </c>
      <c r="E840" s="5"/>
      <c r="F840" s="5"/>
      <c r="G840" s="5" t="s">
        <v>229</v>
      </c>
      <c r="H840" s="5" t="s">
        <v>3</v>
      </c>
      <c r="I840" s="5"/>
      <c r="J840" s="5"/>
    </row>
    <row r="841" spans="1:10" x14ac:dyDescent="0.2">
      <c r="A841" s="5" t="s">
        <v>6483</v>
      </c>
      <c r="B841" s="5" t="s">
        <v>83</v>
      </c>
      <c r="C841" s="5"/>
      <c r="D841" s="5" t="s">
        <v>6482</v>
      </c>
      <c r="E841" s="5" t="s">
        <v>299</v>
      </c>
      <c r="F841" s="5"/>
      <c r="G841" s="5" t="s">
        <v>195</v>
      </c>
      <c r="H841" s="5" t="s">
        <v>3</v>
      </c>
      <c r="I841" s="5"/>
      <c r="J841" s="5"/>
    </row>
    <row r="842" spans="1:10" ht="25.5" x14ac:dyDescent="0.2">
      <c r="A842" s="5" t="s">
        <v>6481</v>
      </c>
      <c r="B842" s="5" t="s">
        <v>83</v>
      </c>
      <c r="C842" s="5"/>
      <c r="D842" s="5" t="s">
        <v>6479</v>
      </c>
      <c r="E842" s="5" t="s">
        <v>299</v>
      </c>
      <c r="F842" s="5" t="s">
        <v>6478</v>
      </c>
      <c r="G842" s="5" t="s">
        <v>195</v>
      </c>
      <c r="H842" s="5" t="s">
        <v>3</v>
      </c>
      <c r="I842" s="5"/>
      <c r="J842" s="5"/>
    </row>
    <row r="843" spans="1:10" ht="25.5" x14ac:dyDescent="0.2">
      <c r="A843" s="5" t="s">
        <v>6480</v>
      </c>
      <c r="B843" s="5" t="s">
        <v>83</v>
      </c>
      <c r="C843" s="5"/>
      <c r="D843" s="5" t="s">
        <v>6479</v>
      </c>
      <c r="E843" s="5" t="s">
        <v>299</v>
      </c>
      <c r="F843" s="5" t="s">
        <v>6478</v>
      </c>
      <c r="G843" s="5" t="s">
        <v>195</v>
      </c>
      <c r="H843" s="5" t="s">
        <v>3</v>
      </c>
      <c r="I843" s="5"/>
      <c r="J843" s="5"/>
    </row>
    <row r="844" spans="1:10" ht="25.5" x14ac:dyDescent="0.2">
      <c r="A844" s="5" t="s">
        <v>6477</v>
      </c>
      <c r="B844" s="5" t="s">
        <v>83</v>
      </c>
      <c r="C844" s="5"/>
      <c r="D844" s="5" t="s">
        <v>6476</v>
      </c>
      <c r="E844" s="5" t="s">
        <v>299</v>
      </c>
      <c r="F844" s="5" t="s">
        <v>6475</v>
      </c>
      <c r="G844" s="5" t="s">
        <v>702</v>
      </c>
      <c r="H844" s="5" t="s">
        <v>137</v>
      </c>
      <c r="I844" s="5"/>
      <c r="J844" s="5"/>
    </row>
    <row r="845" spans="1:10" ht="25.5" x14ac:dyDescent="0.2">
      <c r="A845" s="5" t="s">
        <v>6474</v>
      </c>
      <c r="B845" s="5" t="s">
        <v>83</v>
      </c>
      <c r="C845" s="5"/>
      <c r="D845" s="5" t="s">
        <v>6473</v>
      </c>
      <c r="E845" s="5"/>
      <c r="F845" s="5" t="s">
        <v>6472</v>
      </c>
      <c r="G845" s="5" t="s">
        <v>148</v>
      </c>
      <c r="H845" s="5" t="s">
        <v>3</v>
      </c>
      <c r="I845" s="5"/>
      <c r="J845" s="5" t="s">
        <v>6471</v>
      </c>
    </row>
    <row r="846" spans="1:10" x14ac:dyDescent="0.2">
      <c r="A846" s="5" t="s">
        <v>6470</v>
      </c>
      <c r="B846" s="5" t="s">
        <v>83</v>
      </c>
      <c r="C846" s="5"/>
      <c r="D846" s="5" t="s">
        <v>6469</v>
      </c>
      <c r="E846" s="5"/>
      <c r="F846" s="5" t="s">
        <v>6462</v>
      </c>
      <c r="G846" s="5" t="s">
        <v>896</v>
      </c>
      <c r="H846" s="5" t="s">
        <v>3</v>
      </c>
      <c r="I846" s="5"/>
      <c r="J846" s="5"/>
    </row>
    <row r="847" spans="1:10" x14ac:dyDescent="0.2">
      <c r="A847" s="5" t="s">
        <v>6468</v>
      </c>
      <c r="B847" s="5" t="s">
        <v>83</v>
      </c>
      <c r="C847" s="5"/>
      <c r="D847" s="5" t="s">
        <v>6450</v>
      </c>
      <c r="E847" s="5" t="s">
        <v>93</v>
      </c>
      <c r="F847" s="5" t="s">
        <v>101</v>
      </c>
      <c r="G847" s="5" t="s">
        <v>403</v>
      </c>
      <c r="H847" s="5" t="s">
        <v>3</v>
      </c>
      <c r="I847" s="5"/>
      <c r="J847" s="5" t="s">
        <v>6467</v>
      </c>
    </row>
    <row r="848" spans="1:10" x14ac:dyDescent="0.2">
      <c r="A848" s="5" t="s">
        <v>6466</v>
      </c>
      <c r="B848" s="5" t="s">
        <v>83</v>
      </c>
      <c r="C848" s="5"/>
      <c r="D848" s="5" t="s">
        <v>6465</v>
      </c>
      <c r="E848" s="5" t="s">
        <v>138</v>
      </c>
      <c r="F848" s="5" t="s">
        <v>6462</v>
      </c>
      <c r="G848" s="5" t="s">
        <v>91</v>
      </c>
      <c r="H848" s="5" t="s">
        <v>3</v>
      </c>
      <c r="I848" s="5"/>
      <c r="J848" s="5"/>
    </row>
    <row r="849" spans="1:10" ht="25.5" x14ac:dyDescent="0.2">
      <c r="A849" s="5" t="s">
        <v>6464</v>
      </c>
      <c r="B849" s="5" t="s">
        <v>83</v>
      </c>
      <c r="C849" s="5"/>
      <c r="D849" s="5" t="s">
        <v>6463</v>
      </c>
      <c r="E849" s="5" t="s">
        <v>93</v>
      </c>
      <c r="F849" s="5" t="s">
        <v>6462</v>
      </c>
      <c r="G849" s="5" t="s">
        <v>403</v>
      </c>
      <c r="H849" s="5" t="s">
        <v>3</v>
      </c>
      <c r="I849" s="5"/>
      <c r="J849" s="5" t="s">
        <v>6461</v>
      </c>
    </row>
    <row r="850" spans="1:10" ht="25.5" x14ac:dyDescent="0.2">
      <c r="A850" s="5" t="s">
        <v>6460</v>
      </c>
      <c r="B850" s="5" t="s">
        <v>83</v>
      </c>
      <c r="C850" s="5"/>
      <c r="D850" s="5" t="s">
        <v>6459</v>
      </c>
      <c r="E850" s="5" t="s">
        <v>93</v>
      </c>
      <c r="F850" s="5" t="s">
        <v>6458</v>
      </c>
      <c r="G850" s="5" t="s">
        <v>403</v>
      </c>
      <c r="H850" s="5" t="s">
        <v>3</v>
      </c>
      <c r="I850" s="5"/>
      <c r="J850" s="5" t="s">
        <v>6457</v>
      </c>
    </row>
    <row r="851" spans="1:10" ht="25.5" x14ac:dyDescent="0.2">
      <c r="A851" s="5" t="s">
        <v>6456</v>
      </c>
      <c r="B851" s="5" t="s">
        <v>83</v>
      </c>
      <c r="C851" s="5"/>
      <c r="D851" s="5" t="s">
        <v>6454</v>
      </c>
      <c r="E851" s="5" t="s">
        <v>93</v>
      </c>
      <c r="F851" s="5" t="s">
        <v>6453</v>
      </c>
      <c r="G851" s="5" t="s">
        <v>403</v>
      </c>
      <c r="H851" s="5" t="s">
        <v>3</v>
      </c>
      <c r="I851" s="5"/>
      <c r="J851" s="5" t="s">
        <v>6452</v>
      </c>
    </row>
    <row r="852" spans="1:10" ht="25.5" x14ac:dyDescent="0.2">
      <c r="A852" s="5" t="s">
        <v>6455</v>
      </c>
      <c r="B852" s="5" t="s">
        <v>83</v>
      </c>
      <c r="C852" s="5"/>
      <c r="D852" s="5" t="s">
        <v>6454</v>
      </c>
      <c r="E852" s="5" t="s">
        <v>93</v>
      </c>
      <c r="F852" s="5" t="s">
        <v>6453</v>
      </c>
      <c r="G852" s="5" t="s">
        <v>403</v>
      </c>
      <c r="H852" s="5" t="s">
        <v>3</v>
      </c>
      <c r="I852" s="5"/>
      <c r="J852" s="5" t="s">
        <v>6452</v>
      </c>
    </row>
    <row r="853" spans="1:10" x14ac:dyDescent="0.2">
      <c r="A853" s="5" t="s">
        <v>6451</v>
      </c>
      <c r="B853" s="5" t="s">
        <v>83</v>
      </c>
      <c r="C853" s="5"/>
      <c r="D853" s="5" t="s">
        <v>6450</v>
      </c>
      <c r="E853" s="5" t="s">
        <v>93</v>
      </c>
      <c r="F853" s="5" t="s">
        <v>101</v>
      </c>
      <c r="G853" s="5" t="s">
        <v>403</v>
      </c>
      <c r="H853" s="5" t="s">
        <v>3</v>
      </c>
      <c r="I853" s="5"/>
      <c r="J853" s="5" t="s">
        <v>6449</v>
      </c>
    </row>
    <row r="854" spans="1:10" x14ac:dyDescent="0.2">
      <c r="A854" s="5" t="s">
        <v>6448</v>
      </c>
      <c r="B854" s="5" t="s">
        <v>83</v>
      </c>
      <c r="C854" s="5"/>
      <c r="D854" s="5" t="s">
        <v>6447</v>
      </c>
      <c r="E854" s="5"/>
      <c r="F854" s="5" t="s">
        <v>6446</v>
      </c>
      <c r="G854" s="5" t="s">
        <v>105</v>
      </c>
      <c r="H854" s="5" t="s">
        <v>3</v>
      </c>
      <c r="I854" s="5"/>
      <c r="J854" s="5" t="s">
        <v>6445</v>
      </c>
    </row>
    <row r="855" spans="1:10" ht="25.5" x14ac:dyDescent="0.2">
      <c r="A855" s="5" t="s">
        <v>6444</v>
      </c>
      <c r="B855" s="5" t="s">
        <v>83</v>
      </c>
      <c r="C855" s="5"/>
      <c r="D855" s="5" t="s">
        <v>6443</v>
      </c>
      <c r="E855" s="5"/>
      <c r="F855" s="5" t="s">
        <v>6442</v>
      </c>
      <c r="G855" s="5" t="s">
        <v>224</v>
      </c>
      <c r="H855" s="5" t="s">
        <v>3</v>
      </c>
      <c r="I855" s="5"/>
      <c r="J855" s="5" t="s">
        <v>6441</v>
      </c>
    </row>
    <row r="856" spans="1:10" x14ac:dyDescent="0.2">
      <c r="A856" s="5" t="s">
        <v>6440</v>
      </c>
      <c r="B856" s="5" t="s">
        <v>83</v>
      </c>
      <c r="C856" s="5"/>
      <c r="D856" s="5" t="s">
        <v>6439</v>
      </c>
      <c r="E856" s="5"/>
      <c r="F856" s="5" t="s">
        <v>6432</v>
      </c>
      <c r="G856" s="5" t="s">
        <v>91</v>
      </c>
      <c r="H856" s="5" t="s">
        <v>3</v>
      </c>
      <c r="I856" s="5"/>
      <c r="J856" s="5"/>
    </row>
    <row r="857" spans="1:10" x14ac:dyDescent="0.2">
      <c r="A857" s="5" t="s">
        <v>6438</v>
      </c>
      <c r="B857" s="5" t="s">
        <v>83</v>
      </c>
      <c r="C857" s="5"/>
      <c r="D857" s="5" t="s">
        <v>6437</v>
      </c>
      <c r="E857" s="5"/>
      <c r="F857" s="5" t="s">
        <v>6432</v>
      </c>
      <c r="G857" s="5" t="s">
        <v>91</v>
      </c>
      <c r="H857" s="5" t="s">
        <v>3</v>
      </c>
      <c r="I857" s="5"/>
      <c r="J857" s="5"/>
    </row>
    <row r="858" spans="1:10" x14ac:dyDescent="0.2">
      <c r="A858" s="5" t="s">
        <v>6436</v>
      </c>
      <c r="B858" s="5" t="s">
        <v>83</v>
      </c>
      <c r="C858" s="5"/>
      <c r="D858" s="5" t="s">
        <v>6435</v>
      </c>
      <c r="E858" s="5"/>
      <c r="F858" s="5" t="s">
        <v>6432</v>
      </c>
      <c r="G858" s="5" t="s">
        <v>91</v>
      </c>
      <c r="H858" s="5" t="s">
        <v>3</v>
      </c>
      <c r="I858" s="5"/>
      <c r="J858" s="5"/>
    </row>
    <row r="859" spans="1:10" x14ac:dyDescent="0.2">
      <c r="A859" s="5" t="s">
        <v>6434</v>
      </c>
      <c r="B859" s="5" t="s">
        <v>83</v>
      </c>
      <c r="C859" s="5"/>
      <c r="D859" s="5" t="s">
        <v>6433</v>
      </c>
      <c r="E859" s="5"/>
      <c r="F859" s="5" t="s">
        <v>6432</v>
      </c>
      <c r="G859" s="5" t="s">
        <v>91</v>
      </c>
      <c r="H859" s="5" t="s">
        <v>3</v>
      </c>
      <c r="I859" s="5"/>
      <c r="J859" s="5"/>
    </row>
    <row r="860" spans="1:10" ht="25.5" x14ac:dyDescent="0.2">
      <c r="A860" s="5" t="s">
        <v>6431</v>
      </c>
      <c r="B860" s="5" t="s">
        <v>83</v>
      </c>
      <c r="C860" s="5"/>
      <c r="D860" s="5" t="s">
        <v>6430</v>
      </c>
      <c r="E860" s="5" t="s">
        <v>299</v>
      </c>
      <c r="F860" s="5" t="s">
        <v>6417</v>
      </c>
      <c r="G860" s="5" t="s">
        <v>148</v>
      </c>
      <c r="H860" s="5" t="s">
        <v>137</v>
      </c>
      <c r="I860" s="5" t="s">
        <v>263</v>
      </c>
      <c r="J860" s="5" t="s">
        <v>6429</v>
      </c>
    </row>
    <row r="861" spans="1:10" ht="25.5" x14ac:dyDescent="0.2">
      <c r="A861" s="5" t="s">
        <v>6428</v>
      </c>
      <c r="B861" s="5" t="s">
        <v>83</v>
      </c>
      <c r="C861" s="5"/>
      <c r="D861" s="5" t="s">
        <v>6427</v>
      </c>
      <c r="E861" s="5"/>
      <c r="F861" s="5" t="s">
        <v>6417</v>
      </c>
      <c r="G861" s="5" t="s">
        <v>118</v>
      </c>
      <c r="H861" s="5" t="s">
        <v>137</v>
      </c>
      <c r="I861" s="5" t="s">
        <v>263</v>
      </c>
      <c r="J861" s="5" t="s">
        <v>6426</v>
      </c>
    </row>
    <row r="862" spans="1:10" ht="25.5" x14ac:dyDescent="0.2">
      <c r="A862" s="5" t="s">
        <v>6425</v>
      </c>
      <c r="B862" s="5" t="s">
        <v>83</v>
      </c>
      <c r="C862" s="5"/>
      <c r="D862" s="5" t="s">
        <v>6424</v>
      </c>
      <c r="E862" s="5"/>
      <c r="F862" s="5" t="s">
        <v>6417</v>
      </c>
      <c r="G862" s="5" t="s">
        <v>118</v>
      </c>
      <c r="H862" s="5" t="s">
        <v>137</v>
      </c>
      <c r="I862" s="5" t="s">
        <v>263</v>
      </c>
      <c r="J862" s="5" t="s">
        <v>6423</v>
      </c>
    </row>
    <row r="863" spans="1:10" ht="25.5" x14ac:dyDescent="0.2">
      <c r="A863" s="5" t="s">
        <v>6422</v>
      </c>
      <c r="B863" s="5" t="s">
        <v>83</v>
      </c>
      <c r="C863" s="5"/>
      <c r="D863" s="5" t="s">
        <v>6421</v>
      </c>
      <c r="E863" s="5"/>
      <c r="F863" s="5" t="s">
        <v>6417</v>
      </c>
      <c r="G863" s="5" t="s">
        <v>173</v>
      </c>
      <c r="H863" s="5" t="s">
        <v>137</v>
      </c>
      <c r="I863" s="5" t="s">
        <v>263</v>
      </c>
      <c r="J863" s="5" t="s">
        <v>6420</v>
      </c>
    </row>
    <row r="864" spans="1:10" ht="25.5" x14ac:dyDescent="0.2">
      <c r="A864" s="5" t="s">
        <v>6419</v>
      </c>
      <c r="B864" s="5" t="s">
        <v>83</v>
      </c>
      <c r="C864" s="5"/>
      <c r="D864" s="5" t="s">
        <v>6418</v>
      </c>
      <c r="E864" s="5" t="s">
        <v>138</v>
      </c>
      <c r="F864" s="5" t="s">
        <v>6417</v>
      </c>
      <c r="G864" s="5" t="s">
        <v>91</v>
      </c>
      <c r="H864" s="5" t="s">
        <v>137</v>
      </c>
      <c r="I864" s="5" t="s">
        <v>263</v>
      </c>
      <c r="J864" s="5" t="s">
        <v>6416</v>
      </c>
    </row>
    <row r="865" spans="1:10" ht="25.5" x14ac:dyDescent="0.2">
      <c r="A865" s="5" t="s">
        <v>6415</v>
      </c>
      <c r="B865" s="5" t="s">
        <v>83</v>
      </c>
      <c r="C865" s="5"/>
      <c r="D865" s="5" t="s">
        <v>6414</v>
      </c>
      <c r="E865" s="5"/>
      <c r="F865" s="5" t="s">
        <v>6413</v>
      </c>
      <c r="G865" s="5" t="s">
        <v>118</v>
      </c>
      <c r="H865" s="5" t="s">
        <v>3</v>
      </c>
      <c r="I865" s="5"/>
      <c r="J865" s="5" t="s">
        <v>6412</v>
      </c>
    </row>
    <row r="866" spans="1:10" ht="25.5" x14ac:dyDescent="0.2">
      <c r="A866" s="5" t="s">
        <v>6411</v>
      </c>
      <c r="B866" s="5" t="s">
        <v>83</v>
      </c>
      <c r="C866" s="5"/>
      <c r="D866" s="5" t="s">
        <v>6410</v>
      </c>
      <c r="E866" s="5"/>
      <c r="F866" s="5" t="s">
        <v>6409</v>
      </c>
      <c r="G866" s="5" t="s">
        <v>224</v>
      </c>
      <c r="H866" s="5" t="s">
        <v>3</v>
      </c>
      <c r="I866" s="5"/>
      <c r="J866" s="5" t="s">
        <v>6408</v>
      </c>
    </row>
    <row r="867" spans="1:10" ht="25.5" x14ac:dyDescent="0.2">
      <c r="A867" s="5" t="s">
        <v>6407</v>
      </c>
      <c r="B867" s="5" t="s">
        <v>83</v>
      </c>
      <c r="C867" s="5"/>
      <c r="D867" s="5" t="s">
        <v>6406</v>
      </c>
      <c r="E867" s="5"/>
      <c r="F867" s="5" t="s">
        <v>6405</v>
      </c>
      <c r="G867" s="5" t="s">
        <v>6404</v>
      </c>
      <c r="H867" s="5" t="s">
        <v>3</v>
      </c>
      <c r="I867" s="5"/>
      <c r="J867" s="5" t="s">
        <v>6403</v>
      </c>
    </row>
    <row r="868" spans="1:10" ht="25.5" x14ac:dyDescent="0.2">
      <c r="A868" s="5" t="s">
        <v>6402</v>
      </c>
      <c r="B868" s="5" t="s">
        <v>83</v>
      </c>
      <c r="C868" s="5"/>
      <c r="D868" s="5" t="s">
        <v>6401</v>
      </c>
      <c r="E868" s="5" t="s">
        <v>138</v>
      </c>
      <c r="F868" s="5" t="s">
        <v>2219</v>
      </c>
      <c r="G868" s="5" t="s">
        <v>148</v>
      </c>
      <c r="H868" s="5" t="s">
        <v>137</v>
      </c>
      <c r="I868" s="5" t="s">
        <v>263</v>
      </c>
      <c r="J868" s="5" t="s">
        <v>2218</v>
      </c>
    </row>
    <row r="869" spans="1:10" x14ac:dyDescent="0.2">
      <c r="A869" s="5" t="s">
        <v>6386</v>
      </c>
      <c r="B869" s="5" t="s">
        <v>83</v>
      </c>
      <c r="C869" s="5"/>
      <c r="D869" s="5" t="s">
        <v>5533</v>
      </c>
      <c r="E869" s="5"/>
      <c r="F869" s="5" t="s">
        <v>6386</v>
      </c>
      <c r="G869" s="5" t="s">
        <v>6385</v>
      </c>
      <c r="H869" s="5" t="s">
        <v>3</v>
      </c>
      <c r="I869" s="5"/>
      <c r="J869" s="5"/>
    </row>
    <row r="870" spans="1:10" ht="25.5" x14ac:dyDescent="0.2">
      <c r="A870" s="5" t="s">
        <v>6400</v>
      </c>
      <c r="B870" s="5" t="s">
        <v>83</v>
      </c>
      <c r="C870" s="5"/>
      <c r="D870" s="5" t="s">
        <v>6399</v>
      </c>
      <c r="E870" s="5"/>
      <c r="F870" s="5"/>
      <c r="G870" s="5" t="s">
        <v>896</v>
      </c>
      <c r="H870" s="5" t="s">
        <v>3</v>
      </c>
      <c r="I870" s="5"/>
      <c r="J870" s="5" t="s">
        <v>6398</v>
      </c>
    </row>
    <row r="871" spans="1:10" ht="25.5" x14ac:dyDescent="0.2">
      <c r="A871" s="5" t="s">
        <v>6397</v>
      </c>
      <c r="B871" s="5" t="s">
        <v>83</v>
      </c>
      <c r="C871" s="5"/>
      <c r="D871" s="5" t="s">
        <v>6396</v>
      </c>
      <c r="E871" s="5"/>
      <c r="F871" s="5"/>
      <c r="G871" s="5" t="s">
        <v>122</v>
      </c>
      <c r="H871" s="5" t="s">
        <v>3</v>
      </c>
      <c r="I871" s="5"/>
      <c r="J871" s="5" t="s">
        <v>6395</v>
      </c>
    </row>
    <row r="872" spans="1:10" ht="38.25" x14ac:dyDescent="0.2">
      <c r="A872" s="5" t="s">
        <v>6394</v>
      </c>
      <c r="B872" s="5" t="s">
        <v>83</v>
      </c>
      <c r="C872" s="5"/>
      <c r="D872" s="5" t="s">
        <v>6393</v>
      </c>
      <c r="E872" s="5"/>
      <c r="F872" s="5"/>
      <c r="G872" s="5" t="s">
        <v>105</v>
      </c>
      <c r="H872" s="5" t="s">
        <v>3</v>
      </c>
      <c r="I872" s="5"/>
      <c r="J872" s="5" t="s">
        <v>6392</v>
      </c>
    </row>
    <row r="873" spans="1:10" ht="25.5" x14ac:dyDescent="0.2">
      <c r="A873" s="5" t="s">
        <v>6391</v>
      </c>
      <c r="B873" s="5" t="s">
        <v>83</v>
      </c>
      <c r="C873" s="5"/>
      <c r="D873" s="5" t="s">
        <v>6390</v>
      </c>
      <c r="E873" s="5"/>
      <c r="F873" s="5"/>
      <c r="G873" s="5" t="s">
        <v>4028</v>
      </c>
      <c r="H873" s="5" t="s">
        <v>3</v>
      </c>
      <c r="I873" s="5"/>
      <c r="J873" s="5" t="s">
        <v>6389</v>
      </c>
    </row>
    <row r="874" spans="1:10" x14ac:dyDescent="0.2">
      <c r="A874" s="5" t="s">
        <v>6388</v>
      </c>
      <c r="B874" s="5" t="s">
        <v>83</v>
      </c>
      <c r="C874" s="5"/>
      <c r="D874" s="5" t="s">
        <v>6387</v>
      </c>
      <c r="E874" s="5"/>
      <c r="F874" s="5" t="s">
        <v>6386</v>
      </c>
      <c r="G874" s="5" t="s">
        <v>6385</v>
      </c>
      <c r="H874" s="5" t="s">
        <v>3</v>
      </c>
      <c r="I874" s="5"/>
      <c r="J874" s="5"/>
    </row>
    <row r="875" spans="1:10" x14ac:dyDescent="0.2">
      <c r="A875" s="5" t="s">
        <v>6384</v>
      </c>
      <c r="B875" s="5" t="s">
        <v>83</v>
      </c>
      <c r="C875" s="5"/>
      <c r="D875" s="5" t="s">
        <v>6383</v>
      </c>
      <c r="E875" s="5"/>
      <c r="F875" s="5" t="s">
        <v>6382</v>
      </c>
      <c r="G875" s="5" t="s">
        <v>114</v>
      </c>
      <c r="H875" s="5" t="s">
        <v>3</v>
      </c>
      <c r="I875" s="5"/>
      <c r="J875" s="5"/>
    </row>
    <row r="876" spans="1:10" x14ac:dyDescent="0.2">
      <c r="A876" s="5" t="s">
        <v>6381</v>
      </c>
      <c r="B876" s="5" t="s">
        <v>83</v>
      </c>
      <c r="C876" s="5"/>
      <c r="D876" s="5" t="s">
        <v>6380</v>
      </c>
      <c r="E876" s="5"/>
      <c r="F876" s="5"/>
      <c r="G876" s="5" t="s">
        <v>105</v>
      </c>
      <c r="H876" s="5" t="s">
        <v>3</v>
      </c>
      <c r="I876" s="5"/>
      <c r="J876" s="5" t="s">
        <v>6379</v>
      </c>
    </row>
    <row r="877" spans="1:10" ht="38.25" x14ac:dyDescent="0.2">
      <c r="A877" s="5" t="s">
        <v>6378</v>
      </c>
      <c r="B877" s="5" t="s">
        <v>83</v>
      </c>
      <c r="C877" s="5"/>
      <c r="D877" s="5" t="s">
        <v>6377</v>
      </c>
      <c r="E877" s="5" t="s">
        <v>6367</v>
      </c>
      <c r="F877" s="5"/>
      <c r="G877" s="5" t="s">
        <v>105</v>
      </c>
      <c r="H877" s="5" t="s">
        <v>3</v>
      </c>
      <c r="I877" s="5"/>
      <c r="J877" s="5" t="s">
        <v>6376</v>
      </c>
    </row>
    <row r="878" spans="1:10" x14ac:dyDescent="0.2">
      <c r="A878" s="5" t="s">
        <v>6375</v>
      </c>
      <c r="B878" s="5" t="s">
        <v>83</v>
      </c>
      <c r="C878" s="5"/>
      <c r="D878" s="5" t="s">
        <v>6374</v>
      </c>
      <c r="E878" s="5" t="s">
        <v>138</v>
      </c>
      <c r="F878" s="5"/>
      <c r="G878" s="5" t="s">
        <v>91</v>
      </c>
      <c r="H878" s="5" t="s">
        <v>3</v>
      </c>
      <c r="I878" s="5"/>
      <c r="J878" s="5" t="s">
        <v>6373</v>
      </c>
    </row>
    <row r="879" spans="1:10" ht="25.5" x14ac:dyDescent="0.2">
      <c r="A879" s="5" t="s">
        <v>6372</v>
      </c>
      <c r="B879" s="5" t="s">
        <v>83</v>
      </c>
      <c r="C879" s="5"/>
      <c r="D879" s="5" t="s">
        <v>6371</v>
      </c>
      <c r="E879" s="5" t="s">
        <v>368</v>
      </c>
      <c r="F879" s="5"/>
      <c r="G879" s="5" t="s">
        <v>382</v>
      </c>
      <c r="H879" s="5" t="s">
        <v>3</v>
      </c>
      <c r="I879" s="5"/>
      <c r="J879" s="5" t="s">
        <v>6370</v>
      </c>
    </row>
    <row r="880" spans="1:10" ht="25.5" x14ac:dyDescent="0.2">
      <c r="A880" s="5" t="s">
        <v>6369</v>
      </c>
      <c r="B880" s="5" t="s">
        <v>83</v>
      </c>
      <c r="C880" s="5"/>
      <c r="D880" s="5" t="s">
        <v>6368</v>
      </c>
      <c r="E880" s="5" t="s">
        <v>6367</v>
      </c>
      <c r="F880" s="5"/>
      <c r="G880" s="5" t="s">
        <v>105</v>
      </c>
      <c r="H880" s="5" t="s">
        <v>3</v>
      </c>
      <c r="I880" s="5"/>
      <c r="J880" s="5" t="s">
        <v>6366</v>
      </c>
    </row>
    <row r="881" spans="1:10" x14ac:dyDescent="0.2">
      <c r="A881" s="5" t="s">
        <v>6365</v>
      </c>
      <c r="B881" s="5" t="s">
        <v>83</v>
      </c>
      <c r="C881" s="5"/>
      <c r="D881" s="5" t="s">
        <v>6364</v>
      </c>
      <c r="E881" s="5" t="s">
        <v>138</v>
      </c>
      <c r="F881" s="5" t="s">
        <v>6356</v>
      </c>
      <c r="G881" s="5" t="s">
        <v>91</v>
      </c>
      <c r="H881" s="5" t="s">
        <v>3</v>
      </c>
      <c r="I881" s="5"/>
      <c r="J881" s="5" t="s">
        <v>6355</v>
      </c>
    </row>
    <row r="882" spans="1:10" x14ac:dyDescent="0.2">
      <c r="A882" s="5" t="s">
        <v>6363</v>
      </c>
      <c r="B882" s="5" t="s">
        <v>83</v>
      </c>
      <c r="C882" s="5"/>
      <c r="D882" s="5" t="s">
        <v>6362</v>
      </c>
      <c r="E882" s="5"/>
      <c r="F882" s="5" t="s">
        <v>6361</v>
      </c>
      <c r="G882" s="5" t="s">
        <v>118</v>
      </c>
      <c r="H882" s="5" t="s">
        <v>3</v>
      </c>
      <c r="I882" s="5"/>
      <c r="J882" s="5"/>
    </row>
    <row r="883" spans="1:10" ht="25.5" x14ac:dyDescent="0.2">
      <c r="A883" s="5" t="s">
        <v>6360</v>
      </c>
      <c r="B883" s="5" t="s">
        <v>83</v>
      </c>
      <c r="C883" s="5"/>
      <c r="D883" s="5" t="s">
        <v>6359</v>
      </c>
      <c r="E883" s="5" t="s">
        <v>138</v>
      </c>
      <c r="F883" s="5" t="s">
        <v>6356</v>
      </c>
      <c r="G883" s="5" t="s">
        <v>91</v>
      </c>
      <c r="H883" s="5" t="s">
        <v>3</v>
      </c>
      <c r="I883" s="5"/>
      <c r="J883" s="5" t="s">
        <v>6355</v>
      </c>
    </row>
    <row r="884" spans="1:10" x14ac:dyDescent="0.2">
      <c r="A884" s="5" t="s">
        <v>6358</v>
      </c>
      <c r="B884" s="5" t="s">
        <v>83</v>
      </c>
      <c r="C884" s="5"/>
      <c r="D884" s="5" t="s">
        <v>6357</v>
      </c>
      <c r="E884" s="5" t="s">
        <v>138</v>
      </c>
      <c r="F884" s="5" t="s">
        <v>6356</v>
      </c>
      <c r="G884" s="5" t="s">
        <v>91</v>
      </c>
      <c r="H884" s="5" t="s">
        <v>3</v>
      </c>
      <c r="I884" s="5"/>
      <c r="J884" s="5" t="s">
        <v>6355</v>
      </c>
    </row>
    <row r="885" spans="1:10" ht="25.5" x14ac:dyDescent="0.2">
      <c r="A885" s="5" t="s">
        <v>6354</v>
      </c>
      <c r="B885" s="5" t="s">
        <v>83</v>
      </c>
      <c r="C885" s="5"/>
      <c r="D885" s="5" t="s">
        <v>6353</v>
      </c>
      <c r="E885" s="5"/>
      <c r="F885" s="5" t="s">
        <v>6339</v>
      </c>
      <c r="G885" s="5" t="s">
        <v>382</v>
      </c>
      <c r="H885" s="5" t="s">
        <v>3</v>
      </c>
      <c r="I885" s="5"/>
      <c r="J885" s="5" t="s">
        <v>6352</v>
      </c>
    </row>
    <row r="886" spans="1:10" ht="25.5" x14ac:dyDescent="0.2">
      <c r="A886" s="5" t="s">
        <v>6351</v>
      </c>
      <c r="B886" s="5" t="s">
        <v>83</v>
      </c>
      <c r="C886" s="5"/>
      <c r="D886" s="5" t="s">
        <v>6350</v>
      </c>
      <c r="E886" s="5"/>
      <c r="F886" s="5" t="s">
        <v>6339</v>
      </c>
      <c r="G886" s="5" t="s">
        <v>382</v>
      </c>
      <c r="H886" s="5" t="s">
        <v>137</v>
      </c>
      <c r="I886" s="5" t="s">
        <v>6346</v>
      </c>
      <c r="J886" s="5" t="s">
        <v>6349</v>
      </c>
    </row>
    <row r="887" spans="1:10" ht="25.5" x14ac:dyDescent="0.2">
      <c r="A887" s="5" t="s">
        <v>6348</v>
      </c>
      <c r="B887" s="5" t="s">
        <v>83</v>
      </c>
      <c r="C887" s="5"/>
      <c r="D887" s="5" t="s">
        <v>6347</v>
      </c>
      <c r="E887" s="5" t="s">
        <v>150</v>
      </c>
      <c r="F887" s="5" t="s">
        <v>6339</v>
      </c>
      <c r="G887" s="5" t="s">
        <v>148</v>
      </c>
      <c r="H887" s="5" t="s">
        <v>137</v>
      </c>
      <c r="I887" s="5" t="s">
        <v>6346</v>
      </c>
      <c r="J887" s="5" t="s">
        <v>6345</v>
      </c>
    </row>
    <row r="888" spans="1:10" x14ac:dyDescent="0.2">
      <c r="A888" s="5" t="s">
        <v>6344</v>
      </c>
      <c r="B888" s="5" t="s">
        <v>83</v>
      </c>
      <c r="C888" s="5"/>
      <c r="D888" s="5" t="s">
        <v>6343</v>
      </c>
      <c r="E888" s="5" t="s">
        <v>150</v>
      </c>
      <c r="F888" s="5" t="s">
        <v>6339</v>
      </c>
      <c r="G888" s="5" t="s">
        <v>148</v>
      </c>
      <c r="H888" s="5" t="s">
        <v>3</v>
      </c>
      <c r="I888" s="5"/>
      <c r="J888" s="5" t="s">
        <v>6342</v>
      </c>
    </row>
    <row r="889" spans="1:10" x14ac:dyDescent="0.2">
      <c r="A889" s="5" t="s">
        <v>6341</v>
      </c>
      <c r="B889" s="5" t="s">
        <v>83</v>
      </c>
      <c r="C889" s="5"/>
      <c r="D889" s="5" t="s">
        <v>6340</v>
      </c>
      <c r="E889" s="5" t="s">
        <v>150</v>
      </c>
      <c r="F889" s="5" t="s">
        <v>6339</v>
      </c>
      <c r="G889" s="5" t="s">
        <v>148</v>
      </c>
      <c r="H889" s="5" t="s">
        <v>3</v>
      </c>
      <c r="I889" s="5"/>
      <c r="J889" s="5" t="s">
        <v>6338</v>
      </c>
    </row>
    <row r="890" spans="1:10" ht="25.5" x14ac:dyDescent="0.2">
      <c r="A890" s="5" t="s">
        <v>6337</v>
      </c>
      <c r="B890" s="5" t="s">
        <v>83</v>
      </c>
      <c r="C890" s="5"/>
      <c r="D890" s="5" t="s">
        <v>6336</v>
      </c>
      <c r="E890" s="5" t="s">
        <v>150</v>
      </c>
      <c r="F890" s="5" t="s">
        <v>424</v>
      </c>
      <c r="G890" s="5" t="s">
        <v>148</v>
      </c>
      <c r="H890" s="5" t="s">
        <v>137</v>
      </c>
      <c r="I890" s="5" t="s">
        <v>6332</v>
      </c>
      <c r="J890" s="5" t="s">
        <v>6335</v>
      </c>
    </row>
    <row r="891" spans="1:10" ht="25.5" x14ac:dyDescent="0.2">
      <c r="A891" s="5" t="s">
        <v>6334</v>
      </c>
      <c r="B891" s="5" t="s">
        <v>83</v>
      </c>
      <c r="C891" s="5"/>
      <c r="D891" s="5" t="s">
        <v>6333</v>
      </c>
      <c r="E891" s="5"/>
      <c r="F891" s="5" t="s">
        <v>424</v>
      </c>
      <c r="G891" s="5" t="s">
        <v>170</v>
      </c>
      <c r="H891" s="5" t="s">
        <v>137</v>
      </c>
      <c r="I891" s="5" t="s">
        <v>6332</v>
      </c>
      <c r="J891" s="5" t="s">
        <v>6331</v>
      </c>
    </row>
    <row r="892" spans="1:10" ht="25.5" x14ac:dyDescent="0.2">
      <c r="A892" s="5" t="s">
        <v>6330</v>
      </c>
      <c r="B892" s="5" t="s">
        <v>83</v>
      </c>
      <c r="C892" s="5"/>
      <c r="D892" s="5" t="s">
        <v>6329</v>
      </c>
      <c r="E892" s="5"/>
      <c r="F892" s="5" t="s">
        <v>6315</v>
      </c>
      <c r="G892" s="5" t="s">
        <v>382</v>
      </c>
      <c r="H892" s="5" t="s">
        <v>3</v>
      </c>
      <c r="I892" s="5"/>
      <c r="J892" s="5" t="s">
        <v>6328</v>
      </c>
    </row>
    <row r="893" spans="1:10" ht="25.5" x14ac:dyDescent="0.2">
      <c r="A893" s="5" t="s">
        <v>6327</v>
      </c>
      <c r="B893" s="5" t="s">
        <v>83</v>
      </c>
      <c r="C893" s="5"/>
      <c r="D893" s="5" t="s">
        <v>6326</v>
      </c>
      <c r="E893" s="5"/>
      <c r="F893" s="5" t="s">
        <v>6315</v>
      </c>
      <c r="G893" s="5" t="s">
        <v>382</v>
      </c>
      <c r="H893" s="5" t="s">
        <v>137</v>
      </c>
      <c r="I893" s="5" t="s">
        <v>6322</v>
      </c>
      <c r="J893" s="5" t="s">
        <v>6325</v>
      </c>
    </row>
    <row r="894" spans="1:10" ht="25.5" x14ac:dyDescent="0.2">
      <c r="A894" s="5" t="s">
        <v>6324</v>
      </c>
      <c r="B894" s="5" t="s">
        <v>83</v>
      </c>
      <c r="C894" s="5"/>
      <c r="D894" s="5" t="s">
        <v>6323</v>
      </c>
      <c r="E894" s="5" t="s">
        <v>150</v>
      </c>
      <c r="F894" s="5" t="s">
        <v>6315</v>
      </c>
      <c r="G894" s="5" t="s">
        <v>148</v>
      </c>
      <c r="H894" s="5" t="s">
        <v>137</v>
      </c>
      <c r="I894" s="5" t="s">
        <v>6322</v>
      </c>
      <c r="J894" s="5" t="s">
        <v>6321</v>
      </c>
    </row>
    <row r="895" spans="1:10" x14ac:dyDescent="0.2">
      <c r="A895" s="5" t="s">
        <v>6320</v>
      </c>
      <c r="B895" s="5" t="s">
        <v>83</v>
      </c>
      <c r="C895" s="5"/>
      <c r="D895" s="5" t="s">
        <v>6319</v>
      </c>
      <c r="E895" s="5" t="s">
        <v>150</v>
      </c>
      <c r="F895" s="5" t="s">
        <v>6315</v>
      </c>
      <c r="G895" s="5" t="s">
        <v>148</v>
      </c>
      <c r="H895" s="5" t="s">
        <v>3</v>
      </c>
      <c r="I895" s="5"/>
      <c r="J895" s="5" t="s">
        <v>6318</v>
      </c>
    </row>
    <row r="896" spans="1:10" x14ac:dyDescent="0.2">
      <c r="A896" s="5" t="s">
        <v>6317</v>
      </c>
      <c r="B896" s="5" t="s">
        <v>83</v>
      </c>
      <c r="C896" s="5"/>
      <c r="D896" s="5" t="s">
        <v>6316</v>
      </c>
      <c r="E896" s="5" t="s">
        <v>150</v>
      </c>
      <c r="F896" s="5" t="s">
        <v>6315</v>
      </c>
      <c r="G896" s="5" t="s">
        <v>148</v>
      </c>
      <c r="H896" s="5" t="s">
        <v>3</v>
      </c>
      <c r="I896" s="5"/>
      <c r="J896" s="5" t="s">
        <v>6314</v>
      </c>
    </row>
    <row r="897" spans="1:10" ht="38.25" x14ac:dyDescent="0.2">
      <c r="A897" s="5" t="s">
        <v>6313</v>
      </c>
      <c r="B897" s="5" t="s">
        <v>83</v>
      </c>
      <c r="C897" s="5"/>
      <c r="D897" s="5" t="s">
        <v>6312</v>
      </c>
      <c r="E897" s="5" t="s">
        <v>150</v>
      </c>
      <c r="F897" s="5" t="s">
        <v>424</v>
      </c>
      <c r="G897" s="5" t="s">
        <v>148</v>
      </c>
      <c r="H897" s="5" t="s">
        <v>137</v>
      </c>
      <c r="I897" s="5" t="s">
        <v>6308</v>
      </c>
      <c r="J897" s="5" t="s">
        <v>6311</v>
      </c>
    </row>
    <row r="898" spans="1:10" ht="38.25" x14ac:dyDescent="0.2">
      <c r="A898" s="5" t="s">
        <v>6310</v>
      </c>
      <c r="B898" s="5" t="s">
        <v>83</v>
      </c>
      <c r="C898" s="5"/>
      <c r="D898" s="5" t="s">
        <v>6309</v>
      </c>
      <c r="E898" s="5"/>
      <c r="F898" s="5" t="s">
        <v>424</v>
      </c>
      <c r="G898" s="5" t="s">
        <v>170</v>
      </c>
      <c r="H898" s="5" t="s">
        <v>137</v>
      </c>
      <c r="I898" s="5" t="s">
        <v>6308</v>
      </c>
      <c r="J898" s="5" t="s">
        <v>6307</v>
      </c>
    </row>
    <row r="899" spans="1:10" ht="25.5" x14ac:dyDescent="0.2">
      <c r="A899" s="5" t="s">
        <v>6306</v>
      </c>
      <c r="B899" s="5" t="s">
        <v>83</v>
      </c>
      <c r="C899" s="5"/>
      <c r="D899" s="5" t="s">
        <v>6305</v>
      </c>
      <c r="E899" s="5"/>
      <c r="F899" s="5" t="s">
        <v>6291</v>
      </c>
      <c r="G899" s="5" t="s">
        <v>382</v>
      </c>
      <c r="H899" s="5" t="s">
        <v>3</v>
      </c>
      <c r="I899" s="5"/>
      <c r="J899" s="5" t="s">
        <v>6304</v>
      </c>
    </row>
    <row r="900" spans="1:10" ht="25.5" x14ac:dyDescent="0.2">
      <c r="A900" s="5" t="s">
        <v>6303</v>
      </c>
      <c r="B900" s="5" t="s">
        <v>83</v>
      </c>
      <c r="C900" s="5"/>
      <c r="D900" s="5" t="s">
        <v>6302</v>
      </c>
      <c r="E900" s="5"/>
      <c r="F900" s="5" t="s">
        <v>6291</v>
      </c>
      <c r="G900" s="5" t="s">
        <v>382</v>
      </c>
      <c r="H900" s="5" t="s">
        <v>137</v>
      </c>
      <c r="I900" s="5" t="s">
        <v>6298</v>
      </c>
      <c r="J900" s="5" t="s">
        <v>6301</v>
      </c>
    </row>
    <row r="901" spans="1:10" ht="25.5" x14ac:dyDescent="0.2">
      <c r="A901" s="5" t="s">
        <v>6300</v>
      </c>
      <c r="B901" s="5" t="s">
        <v>83</v>
      </c>
      <c r="C901" s="5"/>
      <c r="D901" s="5" t="s">
        <v>6299</v>
      </c>
      <c r="E901" s="5" t="s">
        <v>150</v>
      </c>
      <c r="F901" s="5" t="s">
        <v>6291</v>
      </c>
      <c r="G901" s="5" t="s">
        <v>148</v>
      </c>
      <c r="H901" s="5" t="s">
        <v>137</v>
      </c>
      <c r="I901" s="5" t="s">
        <v>6298</v>
      </c>
      <c r="J901" s="5" t="s">
        <v>6297</v>
      </c>
    </row>
    <row r="902" spans="1:10" x14ac:dyDescent="0.2">
      <c r="A902" s="5" t="s">
        <v>6296</v>
      </c>
      <c r="B902" s="5" t="s">
        <v>83</v>
      </c>
      <c r="C902" s="5"/>
      <c r="D902" s="5" t="s">
        <v>6295</v>
      </c>
      <c r="E902" s="5" t="s">
        <v>150</v>
      </c>
      <c r="F902" s="5" t="s">
        <v>6291</v>
      </c>
      <c r="G902" s="5" t="s">
        <v>148</v>
      </c>
      <c r="H902" s="5" t="s">
        <v>3</v>
      </c>
      <c r="I902" s="5"/>
      <c r="J902" s="5" t="s">
        <v>6294</v>
      </c>
    </row>
    <row r="903" spans="1:10" x14ac:dyDescent="0.2">
      <c r="A903" s="5" t="s">
        <v>6293</v>
      </c>
      <c r="B903" s="5" t="s">
        <v>83</v>
      </c>
      <c r="C903" s="5"/>
      <c r="D903" s="5" t="s">
        <v>6292</v>
      </c>
      <c r="E903" s="5" t="s">
        <v>150</v>
      </c>
      <c r="F903" s="5" t="s">
        <v>6291</v>
      </c>
      <c r="G903" s="5" t="s">
        <v>148</v>
      </c>
      <c r="H903" s="5" t="s">
        <v>3</v>
      </c>
      <c r="I903" s="5"/>
      <c r="J903" s="5" t="s">
        <v>6290</v>
      </c>
    </row>
    <row r="904" spans="1:10" ht="38.25" x14ac:dyDescent="0.2">
      <c r="A904" s="5" t="s">
        <v>6289</v>
      </c>
      <c r="B904" s="5" t="s">
        <v>83</v>
      </c>
      <c r="C904" s="5"/>
      <c r="D904" s="5" t="s">
        <v>6288</v>
      </c>
      <c r="E904" s="5" t="s">
        <v>150</v>
      </c>
      <c r="F904" s="5" t="s">
        <v>424</v>
      </c>
      <c r="G904" s="5" t="s">
        <v>148</v>
      </c>
      <c r="H904" s="5" t="s">
        <v>137</v>
      </c>
      <c r="I904" s="5" t="s">
        <v>6284</v>
      </c>
      <c r="J904" s="5" t="s">
        <v>6287</v>
      </c>
    </row>
    <row r="905" spans="1:10" ht="38.25" x14ac:dyDescent="0.2">
      <c r="A905" s="5" t="s">
        <v>6286</v>
      </c>
      <c r="B905" s="5" t="s">
        <v>83</v>
      </c>
      <c r="C905" s="5"/>
      <c r="D905" s="5" t="s">
        <v>6285</v>
      </c>
      <c r="E905" s="5"/>
      <c r="F905" s="5" t="s">
        <v>424</v>
      </c>
      <c r="G905" s="5" t="s">
        <v>170</v>
      </c>
      <c r="H905" s="5" t="s">
        <v>137</v>
      </c>
      <c r="I905" s="5" t="s">
        <v>6284</v>
      </c>
      <c r="J905" s="5" t="s">
        <v>6283</v>
      </c>
    </row>
    <row r="906" spans="1:10" ht="25.5" x14ac:dyDescent="0.2">
      <c r="A906" s="5" t="s">
        <v>6282</v>
      </c>
      <c r="B906" s="5" t="s">
        <v>83</v>
      </c>
      <c r="C906" s="5"/>
      <c r="D906" s="5" t="s">
        <v>6281</v>
      </c>
      <c r="E906" s="5"/>
      <c r="F906" s="5" t="s">
        <v>6267</v>
      </c>
      <c r="G906" s="5" t="s">
        <v>382</v>
      </c>
      <c r="H906" s="5" t="s">
        <v>3</v>
      </c>
      <c r="I906" s="5"/>
      <c r="J906" s="5" t="s">
        <v>6280</v>
      </c>
    </row>
    <row r="907" spans="1:10" ht="25.5" x14ac:dyDescent="0.2">
      <c r="A907" s="5" t="s">
        <v>6279</v>
      </c>
      <c r="B907" s="5" t="s">
        <v>83</v>
      </c>
      <c r="C907" s="5"/>
      <c r="D907" s="5" t="s">
        <v>6278</v>
      </c>
      <c r="E907" s="5"/>
      <c r="F907" s="5" t="s">
        <v>6267</v>
      </c>
      <c r="G907" s="5" t="s">
        <v>382</v>
      </c>
      <c r="H907" s="5" t="s">
        <v>137</v>
      </c>
      <c r="I907" s="5" t="s">
        <v>6274</v>
      </c>
      <c r="J907" s="5" t="s">
        <v>6277</v>
      </c>
    </row>
    <row r="908" spans="1:10" ht="25.5" x14ac:dyDescent="0.2">
      <c r="A908" s="5" t="s">
        <v>6276</v>
      </c>
      <c r="B908" s="5" t="s">
        <v>83</v>
      </c>
      <c r="C908" s="5"/>
      <c r="D908" s="5" t="s">
        <v>6275</v>
      </c>
      <c r="E908" s="5" t="s">
        <v>150</v>
      </c>
      <c r="F908" s="5" t="s">
        <v>6267</v>
      </c>
      <c r="G908" s="5" t="s">
        <v>148</v>
      </c>
      <c r="H908" s="5" t="s">
        <v>137</v>
      </c>
      <c r="I908" s="5" t="s">
        <v>6274</v>
      </c>
      <c r="J908" s="5" t="s">
        <v>6273</v>
      </c>
    </row>
    <row r="909" spans="1:10" x14ac:dyDescent="0.2">
      <c r="A909" s="5" t="s">
        <v>6272</v>
      </c>
      <c r="B909" s="5" t="s">
        <v>83</v>
      </c>
      <c r="C909" s="5"/>
      <c r="D909" s="5" t="s">
        <v>6271</v>
      </c>
      <c r="E909" s="5" t="s">
        <v>150</v>
      </c>
      <c r="F909" s="5" t="s">
        <v>6267</v>
      </c>
      <c r="G909" s="5" t="s">
        <v>148</v>
      </c>
      <c r="H909" s="5" t="s">
        <v>3</v>
      </c>
      <c r="I909" s="5"/>
      <c r="J909" s="5" t="s">
        <v>6270</v>
      </c>
    </row>
    <row r="910" spans="1:10" x14ac:dyDescent="0.2">
      <c r="A910" s="5" t="s">
        <v>6269</v>
      </c>
      <c r="B910" s="5" t="s">
        <v>83</v>
      </c>
      <c r="C910" s="5"/>
      <c r="D910" s="5" t="s">
        <v>6268</v>
      </c>
      <c r="E910" s="5" t="s">
        <v>150</v>
      </c>
      <c r="F910" s="5" t="s">
        <v>6267</v>
      </c>
      <c r="G910" s="5" t="s">
        <v>148</v>
      </c>
      <c r="H910" s="5" t="s">
        <v>3</v>
      </c>
      <c r="I910" s="5"/>
      <c r="J910" s="5" t="s">
        <v>6266</v>
      </c>
    </row>
    <row r="911" spans="1:10" ht="25.5" x14ac:dyDescent="0.2">
      <c r="A911" s="5" t="s">
        <v>6265</v>
      </c>
      <c r="B911" s="5" t="s">
        <v>83</v>
      </c>
      <c r="C911" s="5"/>
      <c r="D911" s="5" t="s">
        <v>6264</v>
      </c>
      <c r="E911" s="5" t="s">
        <v>150</v>
      </c>
      <c r="F911" s="5" t="s">
        <v>424</v>
      </c>
      <c r="G911" s="5" t="s">
        <v>148</v>
      </c>
      <c r="H911" s="5" t="s">
        <v>137</v>
      </c>
      <c r="I911" s="5" t="s">
        <v>6260</v>
      </c>
      <c r="J911" s="5" t="s">
        <v>6263</v>
      </c>
    </row>
    <row r="912" spans="1:10" ht="25.5" x14ac:dyDescent="0.2">
      <c r="A912" s="5" t="s">
        <v>6262</v>
      </c>
      <c r="B912" s="5" t="s">
        <v>83</v>
      </c>
      <c r="C912" s="5"/>
      <c r="D912" s="5" t="s">
        <v>6261</v>
      </c>
      <c r="E912" s="5"/>
      <c r="F912" s="5" t="s">
        <v>424</v>
      </c>
      <c r="G912" s="5" t="s">
        <v>170</v>
      </c>
      <c r="H912" s="5" t="s">
        <v>137</v>
      </c>
      <c r="I912" s="5" t="s">
        <v>6260</v>
      </c>
      <c r="J912" s="5" t="s">
        <v>6259</v>
      </c>
    </row>
    <row r="913" spans="1:10" x14ac:dyDescent="0.2">
      <c r="A913" s="5" t="s">
        <v>6258</v>
      </c>
      <c r="B913" s="5" t="s">
        <v>83</v>
      </c>
      <c r="C913" s="5"/>
      <c r="D913" s="5" t="s">
        <v>6257</v>
      </c>
      <c r="E913" s="5" t="s">
        <v>138</v>
      </c>
      <c r="F913" s="5" t="s">
        <v>6256</v>
      </c>
      <c r="G913" s="5" t="s">
        <v>148</v>
      </c>
      <c r="H913" s="5" t="s">
        <v>3</v>
      </c>
      <c r="I913" s="5"/>
      <c r="J913" s="5"/>
    </row>
    <row r="914" spans="1:10" x14ac:dyDescent="0.2">
      <c r="A914" s="5" t="s">
        <v>6255</v>
      </c>
      <c r="B914" s="5" t="s">
        <v>83</v>
      </c>
      <c r="C914" s="5"/>
      <c r="D914" s="5" t="s">
        <v>6254</v>
      </c>
      <c r="E914" s="5" t="s">
        <v>138</v>
      </c>
      <c r="F914" s="5" t="s">
        <v>4053</v>
      </c>
      <c r="G914" s="5" t="s">
        <v>91</v>
      </c>
      <c r="H914" s="5" t="s">
        <v>3</v>
      </c>
      <c r="I914" s="5"/>
      <c r="J914" s="5"/>
    </row>
    <row r="915" spans="1:10" ht="25.5" x14ac:dyDescent="0.2">
      <c r="A915" s="5" t="s">
        <v>6253</v>
      </c>
      <c r="B915" s="5" t="s">
        <v>83</v>
      </c>
      <c r="C915" s="5"/>
      <c r="D915" s="5" t="s">
        <v>6252</v>
      </c>
      <c r="E915" s="5"/>
      <c r="F915" s="5" t="s">
        <v>6238</v>
      </c>
      <c r="G915" s="5" t="s">
        <v>382</v>
      </c>
      <c r="H915" s="5" t="s">
        <v>3</v>
      </c>
      <c r="I915" s="5"/>
      <c r="J915" s="5" t="s">
        <v>6251</v>
      </c>
    </row>
    <row r="916" spans="1:10" ht="25.5" x14ac:dyDescent="0.2">
      <c r="A916" s="5" t="s">
        <v>6250</v>
      </c>
      <c r="B916" s="5" t="s">
        <v>83</v>
      </c>
      <c r="C916" s="5"/>
      <c r="D916" s="5" t="s">
        <v>6249</v>
      </c>
      <c r="E916" s="5"/>
      <c r="F916" s="5" t="s">
        <v>6238</v>
      </c>
      <c r="G916" s="5" t="s">
        <v>382</v>
      </c>
      <c r="H916" s="5" t="s">
        <v>137</v>
      </c>
      <c r="I916" s="5" t="s">
        <v>6245</v>
      </c>
      <c r="J916" s="5" t="s">
        <v>6248</v>
      </c>
    </row>
    <row r="917" spans="1:10" ht="25.5" x14ac:dyDescent="0.2">
      <c r="A917" s="5" t="s">
        <v>6247</v>
      </c>
      <c r="B917" s="5" t="s">
        <v>83</v>
      </c>
      <c r="C917" s="5"/>
      <c r="D917" s="5" t="s">
        <v>6246</v>
      </c>
      <c r="E917" s="5" t="s">
        <v>150</v>
      </c>
      <c r="F917" s="5" t="s">
        <v>6238</v>
      </c>
      <c r="G917" s="5" t="s">
        <v>148</v>
      </c>
      <c r="H917" s="5" t="s">
        <v>137</v>
      </c>
      <c r="I917" s="5" t="s">
        <v>6245</v>
      </c>
      <c r="J917" s="5" t="s">
        <v>6244</v>
      </c>
    </row>
    <row r="918" spans="1:10" x14ac:dyDescent="0.2">
      <c r="A918" s="5" t="s">
        <v>6243</v>
      </c>
      <c r="B918" s="5" t="s">
        <v>83</v>
      </c>
      <c r="C918" s="5"/>
      <c r="D918" s="5" t="s">
        <v>6242</v>
      </c>
      <c r="E918" s="5" t="s">
        <v>150</v>
      </c>
      <c r="F918" s="5" t="s">
        <v>6238</v>
      </c>
      <c r="G918" s="5" t="s">
        <v>148</v>
      </c>
      <c r="H918" s="5" t="s">
        <v>3</v>
      </c>
      <c r="I918" s="5"/>
      <c r="J918" s="5" t="s">
        <v>6241</v>
      </c>
    </row>
    <row r="919" spans="1:10" x14ac:dyDescent="0.2">
      <c r="A919" s="5" t="s">
        <v>6240</v>
      </c>
      <c r="B919" s="5" t="s">
        <v>83</v>
      </c>
      <c r="C919" s="5"/>
      <c r="D919" s="5" t="s">
        <v>6239</v>
      </c>
      <c r="E919" s="5" t="s">
        <v>150</v>
      </c>
      <c r="F919" s="5" t="s">
        <v>6238</v>
      </c>
      <c r="G919" s="5" t="s">
        <v>148</v>
      </c>
      <c r="H919" s="5" t="s">
        <v>3</v>
      </c>
      <c r="I919" s="5"/>
      <c r="J919" s="5" t="s">
        <v>6237</v>
      </c>
    </row>
    <row r="920" spans="1:10" ht="25.5" x14ac:dyDescent="0.2">
      <c r="A920" s="5" t="s">
        <v>6236</v>
      </c>
      <c r="B920" s="5" t="s">
        <v>83</v>
      </c>
      <c r="C920" s="5"/>
      <c r="D920" s="5" t="s">
        <v>6235</v>
      </c>
      <c r="E920" s="5" t="s">
        <v>150</v>
      </c>
      <c r="F920" s="5" t="s">
        <v>424</v>
      </c>
      <c r="G920" s="5" t="s">
        <v>148</v>
      </c>
      <c r="H920" s="5" t="s">
        <v>137</v>
      </c>
      <c r="I920" s="5" t="s">
        <v>6231</v>
      </c>
      <c r="J920" s="5" t="s">
        <v>6234</v>
      </c>
    </row>
    <row r="921" spans="1:10" ht="25.5" x14ac:dyDescent="0.2">
      <c r="A921" s="5" t="s">
        <v>6233</v>
      </c>
      <c r="B921" s="5" t="s">
        <v>83</v>
      </c>
      <c r="C921" s="5"/>
      <c r="D921" s="5" t="s">
        <v>6232</v>
      </c>
      <c r="E921" s="5"/>
      <c r="F921" s="5" t="s">
        <v>424</v>
      </c>
      <c r="G921" s="5" t="s">
        <v>170</v>
      </c>
      <c r="H921" s="5" t="s">
        <v>137</v>
      </c>
      <c r="I921" s="5" t="s">
        <v>6231</v>
      </c>
      <c r="J921" s="5" t="s">
        <v>6230</v>
      </c>
    </row>
    <row r="922" spans="1:10" ht="25.5" x14ac:dyDescent="0.2">
      <c r="A922" s="5" t="s">
        <v>6229</v>
      </c>
      <c r="B922" s="5" t="s">
        <v>83</v>
      </c>
      <c r="C922" s="5"/>
      <c r="D922" s="5" t="s">
        <v>6228</v>
      </c>
      <c r="E922" s="5"/>
      <c r="F922" s="5" t="s">
        <v>6214</v>
      </c>
      <c r="G922" s="5" t="s">
        <v>382</v>
      </c>
      <c r="H922" s="5" t="s">
        <v>3</v>
      </c>
      <c r="I922" s="5"/>
      <c r="J922" s="5" t="s">
        <v>6227</v>
      </c>
    </row>
    <row r="923" spans="1:10" ht="25.5" x14ac:dyDescent="0.2">
      <c r="A923" s="5" t="s">
        <v>6226</v>
      </c>
      <c r="B923" s="5" t="s">
        <v>83</v>
      </c>
      <c r="C923" s="5"/>
      <c r="D923" s="5" t="s">
        <v>6225</v>
      </c>
      <c r="E923" s="5"/>
      <c r="F923" s="5" t="s">
        <v>6214</v>
      </c>
      <c r="G923" s="5" t="s">
        <v>382</v>
      </c>
      <c r="H923" s="5" t="s">
        <v>137</v>
      </c>
      <c r="I923" s="5" t="s">
        <v>6221</v>
      </c>
      <c r="J923" s="5" t="s">
        <v>6224</v>
      </c>
    </row>
    <row r="924" spans="1:10" ht="25.5" x14ac:dyDescent="0.2">
      <c r="A924" s="5" t="s">
        <v>6223</v>
      </c>
      <c r="B924" s="5" t="s">
        <v>83</v>
      </c>
      <c r="C924" s="5"/>
      <c r="D924" s="5" t="s">
        <v>6222</v>
      </c>
      <c r="E924" s="5" t="s">
        <v>150</v>
      </c>
      <c r="F924" s="5" t="s">
        <v>6214</v>
      </c>
      <c r="G924" s="5" t="s">
        <v>148</v>
      </c>
      <c r="H924" s="5" t="s">
        <v>137</v>
      </c>
      <c r="I924" s="5" t="s">
        <v>6221</v>
      </c>
      <c r="J924" s="5" t="s">
        <v>6220</v>
      </c>
    </row>
    <row r="925" spans="1:10" x14ac:dyDescent="0.2">
      <c r="A925" s="5" t="s">
        <v>6219</v>
      </c>
      <c r="B925" s="5" t="s">
        <v>83</v>
      </c>
      <c r="C925" s="5"/>
      <c r="D925" s="5" t="s">
        <v>6218</v>
      </c>
      <c r="E925" s="5" t="s">
        <v>150</v>
      </c>
      <c r="F925" s="5" t="s">
        <v>6214</v>
      </c>
      <c r="G925" s="5" t="s">
        <v>148</v>
      </c>
      <c r="H925" s="5" t="s">
        <v>3</v>
      </c>
      <c r="I925" s="5"/>
      <c r="J925" s="5" t="s">
        <v>6217</v>
      </c>
    </row>
    <row r="926" spans="1:10" x14ac:dyDescent="0.2">
      <c r="A926" s="5" t="s">
        <v>6216</v>
      </c>
      <c r="B926" s="5" t="s">
        <v>83</v>
      </c>
      <c r="C926" s="5"/>
      <c r="D926" s="5" t="s">
        <v>6215</v>
      </c>
      <c r="E926" s="5" t="s">
        <v>150</v>
      </c>
      <c r="F926" s="5" t="s">
        <v>6214</v>
      </c>
      <c r="G926" s="5" t="s">
        <v>148</v>
      </c>
      <c r="H926" s="5" t="s">
        <v>3</v>
      </c>
      <c r="I926" s="5"/>
      <c r="J926" s="5" t="s">
        <v>6213</v>
      </c>
    </row>
    <row r="927" spans="1:10" ht="38.25" x14ac:dyDescent="0.2">
      <c r="A927" s="5" t="s">
        <v>6212</v>
      </c>
      <c r="B927" s="5" t="s">
        <v>83</v>
      </c>
      <c r="C927" s="5"/>
      <c r="D927" s="5" t="s">
        <v>6211</v>
      </c>
      <c r="E927" s="5" t="s">
        <v>150</v>
      </c>
      <c r="F927" s="5" t="s">
        <v>424</v>
      </c>
      <c r="G927" s="5" t="s">
        <v>148</v>
      </c>
      <c r="H927" s="5" t="s">
        <v>137</v>
      </c>
      <c r="I927" s="5" t="s">
        <v>6207</v>
      </c>
      <c r="J927" s="5" t="s">
        <v>6210</v>
      </c>
    </row>
    <row r="928" spans="1:10" ht="38.25" x14ac:dyDescent="0.2">
      <c r="A928" s="5" t="s">
        <v>6209</v>
      </c>
      <c r="B928" s="5" t="s">
        <v>83</v>
      </c>
      <c r="C928" s="5"/>
      <c r="D928" s="5" t="s">
        <v>6208</v>
      </c>
      <c r="E928" s="5"/>
      <c r="F928" s="5" t="s">
        <v>424</v>
      </c>
      <c r="G928" s="5" t="s">
        <v>170</v>
      </c>
      <c r="H928" s="5" t="s">
        <v>137</v>
      </c>
      <c r="I928" s="5" t="s">
        <v>6207</v>
      </c>
      <c r="J928" s="5" t="s">
        <v>6206</v>
      </c>
    </row>
    <row r="929" spans="1:10" ht="25.5" x14ac:dyDescent="0.2">
      <c r="A929" s="5" t="s">
        <v>6205</v>
      </c>
      <c r="B929" s="5" t="s">
        <v>83</v>
      </c>
      <c r="C929" s="5"/>
      <c r="D929" s="5" t="s">
        <v>6204</v>
      </c>
      <c r="E929" s="5"/>
      <c r="F929" s="5" t="s">
        <v>6190</v>
      </c>
      <c r="G929" s="5" t="s">
        <v>382</v>
      </c>
      <c r="H929" s="5" t="s">
        <v>3</v>
      </c>
      <c r="I929" s="5"/>
      <c r="J929" s="5" t="s">
        <v>6203</v>
      </c>
    </row>
    <row r="930" spans="1:10" ht="25.5" x14ac:dyDescent="0.2">
      <c r="A930" s="5" t="s">
        <v>6202</v>
      </c>
      <c r="B930" s="5" t="s">
        <v>83</v>
      </c>
      <c r="C930" s="5"/>
      <c r="D930" s="5" t="s">
        <v>6201</v>
      </c>
      <c r="E930" s="5"/>
      <c r="F930" s="5" t="s">
        <v>6190</v>
      </c>
      <c r="G930" s="5" t="s">
        <v>382</v>
      </c>
      <c r="H930" s="5" t="s">
        <v>137</v>
      </c>
      <c r="I930" s="5" t="s">
        <v>6197</v>
      </c>
      <c r="J930" s="5" t="s">
        <v>6200</v>
      </c>
    </row>
    <row r="931" spans="1:10" ht="25.5" x14ac:dyDescent="0.2">
      <c r="A931" s="5" t="s">
        <v>6199</v>
      </c>
      <c r="B931" s="5" t="s">
        <v>83</v>
      </c>
      <c r="C931" s="5"/>
      <c r="D931" s="5" t="s">
        <v>6198</v>
      </c>
      <c r="E931" s="5" t="s">
        <v>150</v>
      </c>
      <c r="F931" s="5" t="s">
        <v>6190</v>
      </c>
      <c r="G931" s="5" t="s">
        <v>148</v>
      </c>
      <c r="H931" s="5" t="s">
        <v>137</v>
      </c>
      <c r="I931" s="5" t="s">
        <v>6197</v>
      </c>
      <c r="J931" s="5" t="s">
        <v>6196</v>
      </c>
    </row>
    <row r="932" spans="1:10" x14ac:dyDescent="0.2">
      <c r="A932" s="5" t="s">
        <v>6195</v>
      </c>
      <c r="B932" s="5" t="s">
        <v>83</v>
      </c>
      <c r="C932" s="5"/>
      <c r="D932" s="5" t="s">
        <v>6194</v>
      </c>
      <c r="E932" s="5" t="s">
        <v>150</v>
      </c>
      <c r="F932" s="5" t="s">
        <v>6190</v>
      </c>
      <c r="G932" s="5" t="s">
        <v>148</v>
      </c>
      <c r="H932" s="5" t="s">
        <v>3</v>
      </c>
      <c r="I932" s="5"/>
      <c r="J932" s="5" t="s">
        <v>6193</v>
      </c>
    </row>
    <row r="933" spans="1:10" x14ac:dyDescent="0.2">
      <c r="A933" s="5" t="s">
        <v>6192</v>
      </c>
      <c r="B933" s="5" t="s">
        <v>83</v>
      </c>
      <c r="C933" s="5"/>
      <c r="D933" s="5" t="s">
        <v>6191</v>
      </c>
      <c r="E933" s="5" t="s">
        <v>150</v>
      </c>
      <c r="F933" s="5" t="s">
        <v>6190</v>
      </c>
      <c r="G933" s="5" t="s">
        <v>148</v>
      </c>
      <c r="H933" s="5" t="s">
        <v>3</v>
      </c>
      <c r="I933" s="5"/>
      <c r="J933" s="5" t="s">
        <v>6189</v>
      </c>
    </row>
    <row r="934" spans="1:10" ht="25.5" x14ac:dyDescent="0.2">
      <c r="A934" s="5" t="s">
        <v>6188</v>
      </c>
      <c r="B934" s="5" t="s">
        <v>83</v>
      </c>
      <c r="C934" s="5"/>
      <c r="D934" s="5" t="s">
        <v>6187</v>
      </c>
      <c r="E934" s="5" t="s">
        <v>150</v>
      </c>
      <c r="F934" s="5" t="s">
        <v>424</v>
      </c>
      <c r="G934" s="5" t="s">
        <v>148</v>
      </c>
      <c r="H934" s="5" t="s">
        <v>137</v>
      </c>
      <c r="I934" s="5" t="s">
        <v>6183</v>
      </c>
      <c r="J934" s="5" t="s">
        <v>6186</v>
      </c>
    </row>
    <row r="935" spans="1:10" ht="25.5" x14ac:dyDescent="0.2">
      <c r="A935" s="5" t="s">
        <v>6185</v>
      </c>
      <c r="B935" s="5" t="s">
        <v>83</v>
      </c>
      <c r="C935" s="5"/>
      <c r="D935" s="5" t="s">
        <v>6184</v>
      </c>
      <c r="E935" s="5"/>
      <c r="F935" s="5" t="s">
        <v>424</v>
      </c>
      <c r="G935" s="5" t="s">
        <v>170</v>
      </c>
      <c r="H935" s="5" t="s">
        <v>137</v>
      </c>
      <c r="I935" s="5" t="s">
        <v>6183</v>
      </c>
      <c r="J935" s="5" t="s">
        <v>6182</v>
      </c>
    </row>
    <row r="936" spans="1:10" ht="25.5" x14ac:dyDescent="0.2">
      <c r="A936" s="5" t="s">
        <v>6181</v>
      </c>
      <c r="B936" s="5" t="s">
        <v>83</v>
      </c>
      <c r="C936" s="5"/>
      <c r="D936" s="5" t="s">
        <v>6180</v>
      </c>
      <c r="E936" s="5"/>
      <c r="F936" s="5" t="s">
        <v>6166</v>
      </c>
      <c r="G936" s="5" t="s">
        <v>382</v>
      </c>
      <c r="H936" s="5" t="s">
        <v>3</v>
      </c>
      <c r="I936" s="5"/>
      <c r="J936" s="5" t="s">
        <v>6179</v>
      </c>
    </row>
    <row r="937" spans="1:10" ht="25.5" x14ac:dyDescent="0.2">
      <c r="A937" s="5" t="s">
        <v>6178</v>
      </c>
      <c r="B937" s="5" t="s">
        <v>83</v>
      </c>
      <c r="C937" s="5"/>
      <c r="D937" s="5" t="s">
        <v>6177</v>
      </c>
      <c r="E937" s="5"/>
      <c r="F937" s="5" t="s">
        <v>6166</v>
      </c>
      <c r="G937" s="5" t="s">
        <v>382</v>
      </c>
      <c r="H937" s="5" t="s">
        <v>137</v>
      </c>
      <c r="I937" s="5" t="s">
        <v>6173</v>
      </c>
      <c r="J937" s="5" t="s">
        <v>6176</v>
      </c>
    </row>
    <row r="938" spans="1:10" ht="25.5" x14ac:dyDescent="0.2">
      <c r="A938" s="5" t="s">
        <v>6175</v>
      </c>
      <c r="B938" s="5" t="s">
        <v>83</v>
      </c>
      <c r="C938" s="5"/>
      <c r="D938" s="5" t="s">
        <v>6174</v>
      </c>
      <c r="E938" s="5" t="s">
        <v>150</v>
      </c>
      <c r="F938" s="5" t="s">
        <v>6166</v>
      </c>
      <c r="G938" s="5" t="s">
        <v>148</v>
      </c>
      <c r="H938" s="5" t="s">
        <v>137</v>
      </c>
      <c r="I938" s="5" t="s">
        <v>6173</v>
      </c>
      <c r="J938" s="5" t="s">
        <v>6172</v>
      </c>
    </row>
    <row r="939" spans="1:10" x14ac:dyDescent="0.2">
      <c r="A939" s="5" t="s">
        <v>6171</v>
      </c>
      <c r="B939" s="5" t="s">
        <v>83</v>
      </c>
      <c r="C939" s="5"/>
      <c r="D939" s="5" t="s">
        <v>6170</v>
      </c>
      <c r="E939" s="5" t="s">
        <v>150</v>
      </c>
      <c r="F939" s="5" t="s">
        <v>6166</v>
      </c>
      <c r="G939" s="5" t="s">
        <v>148</v>
      </c>
      <c r="H939" s="5" t="s">
        <v>3</v>
      </c>
      <c r="I939" s="5"/>
      <c r="J939" s="5" t="s">
        <v>6169</v>
      </c>
    </row>
    <row r="940" spans="1:10" x14ac:dyDescent="0.2">
      <c r="A940" s="5" t="s">
        <v>6168</v>
      </c>
      <c r="B940" s="5" t="s">
        <v>83</v>
      </c>
      <c r="C940" s="5"/>
      <c r="D940" s="5" t="s">
        <v>6167</v>
      </c>
      <c r="E940" s="5" t="s">
        <v>150</v>
      </c>
      <c r="F940" s="5" t="s">
        <v>6166</v>
      </c>
      <c r="G940" s="5" t="s">
        <v>148</v>
      </c>
      <c r="H940" s="5" t="s">
        <v>3</v>
      </c>
      <c r="I940" s="5"/>
      <c r="J940" s="5" t="s">
        <v>6165</v>
      </c>
    </row>
    <row r="941" spans="1:10" ht="25.5" x14ac:dyDescent="0.2">
      <c r="A941" s="5" t="s">
        <v>6164</v>
      </c>
      <c r="B941" s="5" t="s">
        <v>83</v>
      </c>
      <c r="C941" s="5"/>
      <c r="D941" s="5" t="s">
        <v>6163</v>
      </c>
      <c r="E941" s="5" t="s">
        <v>150</v>
      </c>
      <c r="F941" s="5" t="s">
        <v>424</v>
      </c>
      <c r="G941" s="5" t="s">
        <v>148</v>
      </c>
      <c r="H941" s="5" t="s">
        <v>137</v>
      </c>
      <c r="I941" s="5" t="s">
        <v>6159</v>
      </c>
      <c r="J941" s="5" t="s">
        <v>6162</v>
      </c>
    </row>
    <row r="942" spans="1:10" ht="25.5" x14ac:dyDescent="0.2">
      <c r="A942" s="5" t="s">
        <v>6161</v>
      </c>
      <c r="B942" s="5" t="s">
        <v>83</v>
      </c>
      <c r="C942" s="5"/>
      <c r="D942" s="5" t="s">
        <v>6160</v>
      </c>
      <c r="E942" s="5"/>
      <c r="F942" s="5" t="s">
        <v>424</v>
      </c>
      <c r="G942" s="5" t="s">
        <v>170</v>
      </c>
      <c r="H942" s="5" t="s">
        <v>137</v>
      </c>
      <c r="I942" s="5" t="s">
        <v>6159</v>
      </c>
      <c r="J942" s="5" t="s">
        <v>6158</v>
      </c>
    </row>
    <row r="943" spans="1:10" ht="25.5" x14ac:dyDescent="0.2">
      <c r="A943" s="5" t="s">
        <v>6157</v>
      </c>
      <c r="B943" s="5" t="s">
        <v>83</v>
      </c>
      <c r="C943" s="5"/>
      <c r="D943" s="5" t="s">
        <v>6156</v>
      </c>
      <c r="E943" s="5"/>
      <c r="F943" s="5" t="s">
        <v>6142</v>
      </c>
      <c r="G943" s="5" t="s">
        <v>382</v>
      </c>
      <c r="H943" s="5" t="s">
        <v>3</v>
      </c>
      <c r="I943" s="5"/>
      <c r="J943" s="5" t="s">
        <v>6155</v>
      </c>
    </row>
    <row r="944" spans="1:10" ht="25.5" x14ac:dyDescent="0.2">
      <c r="A944" s="5" t="s">
        <v>6154</v>
      </c>
      <c r="B944" s="5" t="s">
        <v>83</v>
      </c>
      <c r="C944" s="5"/>
      <c r="D944" s="5" t="s">
        <v>6153</v>
      </c>
      <c r="E944" s="5"/>
      <c r="F944" s="5" t="s">
        <v>6142</v>
      </c>
      <c r="G944" s="5" t="s">
        <v>382</v>
      </c>
      <c r="H944" s="5" t="s">
        <v>137</v>
      </c>
      <c r="I944" s="5" t="s">
        <v>6149</v>
      </c>
      <c r="J944" s="5" t="s">
        <v>6152</v>
      </c>
    </row>
    <row r="945" spans="1:10" ht="25.5" x14ac:dyDescent="0.2">
      <c r="A945" s="5" t="s">
        <v>6151</v>
      </c>
      <c r="B945" s="5" t="s">
        <v>83</v>
      </c>
      <c r="C945" s="5"/>
      <c r="D945" s="5" t="s">
        <v>6150</v>
      </c>
      <c r="E945" s="5" t="s">
        <v>150</v>
      </c>
      <c r="F945" s="5" t="s">
        <v>6142</v>
      </c>
      <c r="G945" s="5" t="s">
        <v>148</v>
      </c>
      <c r="H945" s="5" t="s">
        <v>137</v>
      </c>
      <c r="I945" s="5" t="s">
        <v>6149</v>
      </c>
      <c r="J945" s="5" t="s">
        <v>6148</v>
      </c>
    </row>
    <row r="946" spans="1:10" x14ac:dyDescent="0.2">
      <c r="A946" s="5" t="s">
        <v>6147</v>
      </c>
      <c r="B946" s="5" t="s">
        <v>83</v>
      </c>
      <c r="C946" s="5"/>
      <c r="D946" s="5" t="s">
        <v>6146</v>
      </c>
      <c r="E946" s="5" t="s">
        <v>150</v>
      </c>
      <c r="F946" s="5" t="s">
        <v>6142</v>
      </c>
      <c r="G946" s="5" t="s">
        <v>148</v>
      </c>
      <c r="H946" s="5" t="s">
        <v>3</v>
      </c>
      <c r="I946" s="5"/>
      <c r="J946" s="5" t="s">
        <v>6145</v>
      </c>
    </row>
    <row r="947" spans="1:10" x14ac:dyDescent="0.2">
      <c r="A947" s="5" t="s">
        <v>6144</v>
      </c>
      <c r="B947" s="5" t="s">
        <v>83</v>
      </c>
      <c r="C947" s="5"/>
      <c r="D947" s="5" t="s">
        <v>6143</v>
      </c>
      <c r="E947" s="5" t="s">
        <v>150</v>
      </c>
      <c r="F947" s="5" t="s">
        <v>6142</v>
      </c>
      <c r="G947" s="5" t="s">
        <v>148</v>
      </c>
      <c r="H947" s="5" t="s">
        <v>3</v>
      </c>
      <c r="I947" s="5"/>
      <c r="J947" s="5" t="s">
        <v>6141</v>
      </c>
    </row>
    <row r="948" spans="1:10" ht="38.25" x14ac:dyDescent="0.2">
      <c r="A948" s="5" t="s">
        <v>6140</v>
      </c>
      <c r="B948" s="5" t="s">
        <v>83</v>
      </c>
      <c r="C948" s="5"/>
      <c r="D948" s="5" t="s">
        <v>6139</v>
      </c>
      <c r="E948" s="5" t="s">
        <v>150</v>
      </c>
      <c r="F948" s="5" t="s">
        <v>424</v>
      </c>
      <c r="G948" s="5" t="s">
        <v>148</v>
      </c>
      <c r="H948" s="5" t="s">
        <v>137</v>
      </c>
      <c r="I948" s="5" t="s">
        <v>6135</v>
      </c>
      <c r="J948" s="5" t="s">
        <v>6138</v>
      </c>
    </row>
    <row r="949" spans="1:10" ht="38.25" x14ac:dyDescent="0.2">
      <c r="A949" s="5" t="s">
        <v>6137</v>
      </c>
      <c r="B949" s="5" t="s">
        <v>83</v>
      </c>
      <c r="C949" s="5"/>
      <c r="D949" s="5" t="s">
        <v>6136</v>
      </c>
      <c r="E949" s="5"/>
      <c r="F949" s="5" t="s">
        <v>424</v>
      </c>
      <c r="G949" s="5" t="s">
        <v>170</v>
      </c>
      <c r="H949" s="5" t="s">
        <v>137</v>
      </c>
      <c r="I949" s="5" t="s">
        <v>6135</v>
      </c>
      <c r="J949" s="5" t="s">
        <v>6134</v>
      </c>
    </row>
    <row r="950" spans="1:10" ht="25.5" x14ac:dyDescent="0.2">
      <c r="A950" s="5" t="s">
        <v>6133</v>
      </c>
      <c r="B950" s="5" t="s">
        <v>83</v>
      </c>
      <c r="C950" s="5"/>
      <c r="D950" s="5" t="s">
        <v>6132</v>
      </c>
      <c r="E950" s="5"/>
      <c r="F950" s="5" t="s">
        <v>6118</v>
      </c>
      <c r="G950" s="5" t="s">
        <v>382</v>
      </c>
      <c r="H950" s="5" t="s">
        <v>3</v>
      </c>
      <c r="I950" s="5"/>
      <c r="J950" s="5" t="s">
        <v>6131</v>
      </c>
    </row>
    <row r="951" spans="1:10" ht="25.5" x14ac:dyDescent="0.2">
      <c r="A951" s="5" t="s">
        <v>6130</v>
      </c>
      <c r="B951" s="5" t="s">
        <v>83</v>
      </c>
      <c r="C951" s="5"/>
      <c r="D951" s="5" t="s">
        <v>6129</v>
      </c>
      <c r="E951" s="5"/>
      <c r="F951" s="5" t="s">
        <v>6118</v>
      </c>
      <c r="G951" s="5" t="s">
        <v>382</v>
      </c>
      <c r="H951" s="5" t="s">
        <v>137</v>
      </c>
      <c r="I951" s="5" t="s">
        <v>6125</v>
      </c>
      <c r="J951" s="5" t="s">
        <v>6128</v>
      </c>
    </row>
    <row r="952" spans="1:10" ht="25.5" x14ac:dyDescent="0.2">
      <c r="A952" s="5" t="s">
        <v>6127</v>
      </c>
      <c r="B952" s="5" t="s">
        <v>83</v>
      </c>
      <c r="C952" s="5"/>
      <c r="D952" s="5" t="s">
        <v>6126</v>
      </c>
      <c r="E952" s="5" t="s">
        <v>150</v>
      </c>
      <c r="F952" s="5" t="s">
        <v>6118</v>
      </c>
      <c r="G952" s="5" t="s">
        <v>148</v>
      </c>
      <c r="H952" s="5" t="s">
        <v>137</v>
      </c>
      <c r="I952" s="5" t="s">
        <v>6125</v>
      </c>
      <c r="J952" s="5" t="s">
        <v>6124</v>
      </c>
    </row>
    <row r="953" spans="1:10" x14ac:dyDescent="0.2">
      <c r="A953" s="5" t="s">
        <v>6123</v>
      </c>
      <c r="B953" s="5" t="s">
        <v>83</v>
      </c>
      <c r="C953" s="5"/>
      <c r="D953" s="5" t="s">
        <v>6122</v>
      </c>
      <c r="E953" s="5" t="s">
        <v>150</v>
      </c>
      <c r="F953" s="5" t="s">
        <v>6118</v>
      </c>
      <c r="G953" s="5" t="s">
        <v>148</v>
      </c>
      <c r="H953" s="5" t="s">
        <v>3</v>
      </c>
      <c r="I953" s="5"/>
      <c r="J953" s="5" t="s">
        <v>6121</v>
      </c>
    </row>
    <row r="954" spans="1:10" x14ac:dyDescent="0.2">
      <c r="A954" s="5" t="s">
        <v>6120</v>
      </c>
      <c r="B954" s="5" t="s">
        <v>83</v>
      </c>
      <c r="C954" s="5"/>
      <c r="D954" s="5" t="s">
        <v>6119</v>
      </c>
      <c r="E954" s="5" t="s">
        <v>150</v>
      </c>
      <c r="F954" s="5" t="s">
        <v>6118</v>
      </c>
      <c r="G954" s="5" t="s">
        <v>148</v>
      </c>
      <c r="H954" s="5" t="s">
        <v>3</v>
      </c>
      <c r="I954" s="5"/>
      <c r="J954" s="5" t="s">
        <v>6117</v>
      </c>
    </row>
    <row r="955" spans="1:10" ht="38.25" x14ac:dyDescent="0.2">
      <c r="A955" s="5" t="s">
        <v>6116</v>
      </c>
      <c r="B955" s="5" t="s">
        <v>83</v>
      </c>
      <c r="C955" s="5"/>
      <c r="D955" s="5" t="s">
        <v>6115</v>
      </c>
      <c r="E955" s="5" t="s">
        <v>150</v>
      </c>
      <c r="F955" s="5" t="s">
        <v>424</v>
      </c>
      <c r="G955" s="5" t="s">
        <v>148</v>
      </c>
      <c r="H955" s="5" t="s">
        <v>137</v>
      </c>
      <c r="I955" s="5" t="s">
        <v>6111</v>
      </c>
      <c r="J955" s="5" t="s">
        <v>6114</v>
      </c>
    </row>
    <row r="956" spans="1:10" ht="38.25" x14ac:dyDescent="0.2">
      <c r="A956" s="5" t="s">
        <v>6113</v>
      </c>
      <c r="B956" s="5" t="s">
        <v>83</v>
      </c>
      <c r="C956" s="5"/>
      <c r="D956" s="5" t="s">
        <v>6112</v>
      </c>
      <c r="E956" s="5"/>
      <c r="F956" s="5" t="s">
        <v>424</v>
      </c>
      <c r="G956" s="5" t="s">
        <v>170</v>
      </c>
      <c r="H956" s="5" t="s">
        <v>137</v>
      </c>
      <c r="I956" s="5" t="s">
        <v>6111</v>
      </c>
      <c r="J956" s="5" t="s">
        <v>6110</v>
      </c>
    </row>
    <row r="957" spans="1:10" ht="25.5" x14ac:dyDescent="0.2">
      <c r="A957" s="5" t="s">
        <v>6109</v>
      </c>
      <c r="B957" s="5" t="s">
        <v>83</v>
      </c>
      <c r="C957" s="5"/>
      <c r="D957" s="5" t="s">
        <v>6108</v>
      </c>
      <c r="E957" s="5"/>
      <c r="F957" s="5" t="e">
        <v>#NAME?</v>
      </c>
      <c r="G957" s="5" t="s">
        <v>382</v>
      </c>
      <c r="H957" s="5" t="s">
        <v>3</v>
      </c>
      <c r="I957" s="5"/>
      <c r="J957" s="5" t="s">
        <v>6107</v>
      </c>
    </row>
    <row r="958" spans="1:10" ht="25.5" x14ac:dyDescent="0.2">
      <c r="A958" s="5" t="s">
        <v>6106</v>
      </c>
      <c r="B958" s="5" t="s">
        <v>83</v>
      </c>
      <c r="C958" s="5"/>
      <c r="D958" s="5" t="s">
        <v>6105</v>
      </c>
      <c r="E958" s="5"/>
      <c r="F958" s="5" t="e">
        <v>#NAME?</v>
      </c>
      <c r="G958" s="5" t="s">
        <v>382</v>
      </c>
      <c r="H958" s="5" t="s">
        <v>137</v>
      </c>
      <c r="I958" s="5" t="s">
        <v>6101</v>
      </c>
      <c r="J958" s="5" t="s">
        <v>6104</v>
      </c>
    </row>
    <row r="959" spans="1:10" ht="25.5" x14ac:dyDescent="0.2">
      <c r="A959" s="5" t="s">
        <v>6103</v>
      </c>
      <c r="B959" s="5" t="s">
        <v>83</v>
      </c>
      <c r="C959" s="5"/>
      <c r="D959" s="5" t="s">
        <v>6102</v>
      </c>
      <c r="E959" s="5" t="s">
        <v>150</v>
      </c>
      <c r="F959" s="5" t="e">
        <v>#NAME?</v>
      </c>
      <c r="G959" s="5" t="s">
        <v>148</v>
      </c>
      <c r="H959" s="5" t="s">
        <v>137</v>
      </c>
      <c r="I959" s="5" t="s">
        <v>6101</v>
      </c>
      <c r="J959" s="5" t="s">
        <v>6100</v>
      </c>
    </row>
    <row r="960" spans="1:10" x14ac:dyDescent="0.2">
      <c r="A960" s="5" t="s">
        <v>6099</v>
      </c>
      <c r="B960" s="5" t="s">
        <v>83</v>
      </c>
      <c r="C960" s="5"/>
      <c r="D960" s="5" t="s">
        <v>6098</v>
      </c>
      <c r="E960" s="5" t="s">
        <v>150</v>
      </c>
      <c r="F960" s="5" t="e">
        <v>#NAME?</v>
      </c>
      <c r="G960" s="5" t="s">
        <v>148</v>
      </c>
      <c r="H960" s="5" t="s">
        <v>3</v>
      </c>
      <c r="I960" s="5"/>
      <c r="J960" s="5" t="s">
        <v>6097</v>
      </c>
    </row>
    <row r="961" spans="1:10" x14ac:dyDescent="0.2">
      <c r="A961" s="5" t="s">
        <v>6096</v>
      </c>
      <c r="B961" s="5" t="s">
        <v>83</v>
      </c>
      <c r="C961" s="5"/>
      <c r="D961" s="5" t="s">
        <v>6095</v>
      </c>
      <c r="E961" s="5" t="s">
        <v>150</v>
      </c>
      <c r="F961" s="5" t="e">
        <v>#NAME?</v>
      </c>
      <c r="G961" s="5" t="s">
        <v>148</v>
      </c>
      <c r="H961" s="5" t="s">
        <v>3</v>
      </c>
      <c r="I961" s="5"/>
      <c r="J961" s="5" t="s">
        <v>6094</v>
      </c>
    </row>
    <row r="962" spans="1:10" ht="25.5" x14ac:dyDescent="0.2">
      <c r="A962" s="5" t="s">
        <v>6093</v>
      </c>
      <c r="B962" s="5" t="s">
        <v>83</v>
      </c>
      <c r="C962" s="5"/>
      <c r="D962" s="5" t="s">
        <v>6092</v>
      </c>
      <c r="E962" s="5" t="s">
        <v>150</v>
      </c>
      <c r="F962" s="5" t="s">
        <v>424</v>
      </c>
      <c r="G962" s="5" t="s">
        <v>148</v>
      </c>
      <c r="H962" s="5" t="s">
        <v>137</v>
      </c>
      <c r="I962" s="5" t="s">
        <v>6088</v>
      </c>
      <c r="J962" s="5" t="s">
        <v>6091</v>
      </c>
    </row>
    <row r="963" spans="1:10" ht="25.5" x14ac:dyDescent="0.2">
      <c r="A963" s="5" t="s">
        <v>6090</v>
      </c>
      <c r="B963" s="5" t="s">
        <v>83</v>
      </c>
      <c r="C963" s="5"/>
      <c r="D963" s="5" t="s">
        <v>6089</v>
      </c>
      <c r="E963" s="5"/>
      <c r="F963" s="5" t="s">
        <v>424</v>
      </c>
      <c r="G963" s="5" t="s">
        <v>170</v>
      </c>
      <c r="H963" s="5" t="s">
        <v>137</v>
      </c>
      <c r="I963" s="5" t="s">
        <v>6088</v>
      </c>
      <c r="J963" s="5" t="s">
        <v>6087</v>
      </c>
    </row>
    <row r="964" spans="1:10" ht="25.5" x14ac:dyDescent="0.2">
      <c r="A964" s="5" t="s">
        <v>6086</v>
      </c>
      <c r="B964" s="5" t="s">
        <v>83</v>
      </c>
      <c r="C964" s="5"/>
      <c r="D964" s="5" t="s">
        <v>6085</v>
      </c>
      <c r="E964" s="5"/>
      <c r="F964" s="5" t="s">
        <v>6071</v>
      </c>
      <c r="G964" s="5" t="s">
        <v>382</v>
      </c>
      <c r="H964" s="5" t="s">
        <v>3</v>
      </c>
      <c r="I964" s="5"/>
      <c r="J964" s="5" t="s">
        <v>6084</v>
      </c>
    </row>
    <row r="965" spans="1:10" x14ac:dyDescent="0.2">
      <c r="A965" s="5" t="s">
        <v>6083</v>
      </c>
      <c r="B965" s="5" t="s">
        <v>83</v>
      </c>
      <c r="C965" s="5"/>
      <c r="D965" s="5" t="s">
        <v>6082</v>
      </c>
      <c r="E965" s="5"/>
      <c r="F965" s="5" t="s">
        <v>6071</v>
      </c>
      <c r="G965" s="5" t="s">
        <v>382</v>
      </c>
      <c r="H965" s="5" t="s">
        <v>137</v>
      </c>
      <c r="I965" s="5" t="s">
        <v>6078</v>
      </c>
      <c r="J965" s="5" t="s">
        <v>6081</v>
      </c>
    </row>
    <row r="966" spans="1:10" x14ac:dyDescent="0.2">
      <c r="A966" s="5" t="s">
        <v>6080</v>
      </c>
      <c r="B966" s="5" t="s">
        <v>83</v>
      </c>
      <c r="C966" s="5"/>
      <c r="D966" s="5" t="s">
        <v>6079</v>
      </c>
      <c r="E966" s="5" t="s">
        <v>150</v>
      </c>
      <c r="F966" s="5" t="s">
        <v>6071</v>
      </c>
      <c r="G966" s="5" t="s">
        <v>148</v>
      </c>
      <c r="H966" s="5" t="s">
        <v>137</v>
      </c>
      <c r="I966" s="5" t="s">
        <v>6078</v>
      </c>
      <c r="J966" s="5" t="s">
        <v>6077</v>
      </c>
    </row>
    <row r="967" spans="1:10" x14ac:dyDescent="0.2">
      <c r="A967" s="5" t="s">
        <v>6076</v>
      </c>
      <c r="B967" s="5" t="s">
        <v>83</v>
      </c>
      <c r="C967" s="5"/>
      <c r="D967" s="5" t="s">
        <v>6075</v>
      </c>
      <c r="E967" s="5" t="s">
        <v>150</v>
      </c>
      <c r="F967" s="5" t="s">
        <v>6071</v>
      </c>
      <c r="G967" s="5" t="s">
        <v>148</v>
      </c>
      <c r="H967" s="5" t="s">
        <v>3</v>
      </c>
      <c r="I967" s="5"/>
      <c r="J967" s="5" t="s">
        <v>6074</v>
      </c>
    </row>
    <row r="968" spans="1:10" x14ac:dyDescent="0.2">
      <c r="A968" s="5" t="s">
        <v>6073</v>
      </c>
      <c r="B968" s="5" t="s">
        <v>83</v>
      </c>
      <c r="C968" s="5"/>
      <c r="D968" s="5" t="s">
        <v>6072</v>
      </c>
      <c r="E968" s="5" t="s">
        <v>150</v>
      </c>
      <c r="F968" s="5" t="s">
        <v>6071</v>
      </c>
      <c r="G968" s="5" t="s">
        <v>148</v>
      </c>
      <c r="H968" s="5" t="s">
        <v>3</v>
      </c>
      <c r="I968" s="5"/>
      <c r="J968" s="5" t="s">
        <v>6070</v>
      </c>
    </row>
    <row r="969" spans="1:10" ht="25.5" x14ac:dyDescent="0.2">
      <c r="A969" s="5" t="s">
        <v>6069</v>
      </c>
      <c r="B969" s="5" t="s">
        <v>83</v>
      </c>
      <c r="C969" s="5"/>
      <c r="D969" s="5" t="s">
        <v>6068</v>
      </c>
      <c r="E969" s="5" t="s">
        <v>150</v>
      </c>
      <c r="F969" s="5" t="s">
        <v>424</v>
      </c>
      <c r="G969" s="5" t="s">
        <v>148</v>
      </c>
      <c r="H969" s="5" t="s">
        <v>137</v>
      </c>
      <c r="I969" s="5" t="s">
        <v>6060</v>
      </c>
      <c r="J969" s="5" t="s">
        <v>6067</v>
      </c>
    </row>
    <row r="970" spans="1:10" ht="25.5" x14ac:dyDescent="0.2">
      <c r="A970" s="5" t="s">
        <v>6066</v>
      </c>
      <c r="B970" s="5" t="s">
        <v>83</v>
      </c>
      <c r="C970" s="5"/>
      <c r="D970" s="5" t="s">
        <v>6065</v>
      </c>
      <c r="E970" s="5"/>
      <c r="F970" s="5" t="s">
        <v>424</v>
      </c>
      <c r="G970" s="5" t="s">
        <v>170</v>
      </c>
      <c r="H970" s="5" t="s">
        <v>137</v>
      </c>
      <c r="I970" s="5" t="s">
        <v>6060</v>
      </c>
      <c r="J970" s="5" t="s">
        <v>6064</v>
      </c>
    </row>
    <row r="971" spans="1:10" ht="25.5" x14ac:dyDescent="0.2">
      <c r="A971" s="5" t="s">
        <v>6063</v>
      </c>
      <c r="B971" s="5" t="s">
        <v>83</v>
      </c>
      <c r="C971" s="5"/>
      <c r="D971" s="5" t="s">
        <v>6062</v>
      </c>
      <c r="E971" s="5"/>
      <c r="F971" s="5" t="s">
        <v>6061</v>
      </c>
      <c r="G971" s="5" t="s">
        <v>170</v>
      </c>
      <c r="H971" s="5" t="s">
        <v>137</v>
      </c>
      <c r="I971" s="5" t="s">
        <v>6060</v>
      </c>
      <c r="J971" s="5" t="s">
        <v>6059</v>
      </c>
    </row>
    <row r="972" spans="1:10" ht="25.5" x14ac:dyDescent="0.2">
      <c r="A972" s="5" t="s">
        <v>6058</v>
      </c>
      <c r="B972" s="5" t="s">
        <v>83</v>
      </c>
      <c r="C972" s="5"/>
      <c r="D972" s="5" t="s">
        <v>6057</v>
      </c>
      <c r="E972" s="5"/>
      <c r="F972" s="5" t="s">
        <v>6043</v>
      </c>
      <c r="G972" s="5" t="s">
        <v>382</v>
      </c>
      <c r="H972" s="5" t="s">
        <v>3</v>
      </c>
      <c r="I972" s="5"/>
      <c r="J972" s="5" t="s">
        <v>6056</v>
      </c>
    </row>
    <row r="973" spans="1:10" x14ac:dyDescent="0.2">
      <c r="A973" s="5" t="s">
        <v>6055</v>
      </c>
      <c r="B973" s="5" t="s">
        <v>83</v>
      </c>
      <c r="C973" s="5"/>
      <c r="D973" s="5" t="s">
        <v>6054</v>
      </c>
      <c r="E973" s="5"/>
      <c r="F973" s="5" t="s">
        <v>6043</v>
      </c>
      <c r="G973" s="5" t="s">
        <v>382</v>
      </c>
      <c r="H973" s="5" t="s">
        <v>137</v>
      </c>
      <c r="I973" s="5" t="s">
        <v>6050</v>
      </c>
      <c r="J973" s="5" t="s">
        <v>6053</v>
      </c>
    </row>
    <row r="974" spans="1:10" x14ac:dyDescent="0.2">
      <c r="A974" s="5" t="s">
        <v>6052</v>
      </c>
      <c r="B974" s="5" t="s">
        <v>83</v>
      </c>
      <c r="C974" s="5"/>
      <c r="D974" s="5" t="s">
        <v>6051</v>
      </c>
      <c r="E974" s="5" t="s">
        <v>150</v>
      </c>
      <c r="F974" s="5" t="s">
        <v>6043</v>
      </c>
      <c r="G974" s="5" t="s">
        <v>148</v>
      </c>
      <c r="H974" s="5" t="s">
        <v>137</v>
      </c>
      <c r="I974" s="5" t="s">
        <v>6050</v>
      </c>
      <c r="J974" s="5" t="s">
        <v>6049</v>
      </c>
    </row>
    <row r="975" spans="1:10" x14ac:dyDescent="0.2">
      <c r="A975" s="5" t="s">
        <v>6048</v>
      </c>
      <c r="B975" s="5" t="s">
        <v>83</v>
      </c>
      <c r="C975" s="5"/>
      <c r="D975" s="5" t="s">
        <v>6047</v>
      </c>
      <c r="E975" s="5" t="s">
        <v>150</v>
      </c>
      <c r="F975" s="5" t="s">
        <v>6043</v>
      </c>
      <c r="G975" s="5" t="s">
        <v>148</v>
      </c>
      <c r="H975" s="5" t="s">
        <v>3</v>
      </c>
      <c r="I975" s="5"/>
      <c r="J975" s="5" t="s">
        <v>6046</v>
      </c>
    </row>
    <row r="976" spans="1:10" x14ac:dyDescent="0.2">
      <c r="A976" s="5" t="s">
        <v>6045</v>
      </c>
      <c r="B976" s="5" t="s">
        <v>83</v>
      </c>
      <c r="C976" s="5"/>
      <c r="D976" s="5" t="s">
        <v>6044</v>
      </c>
      <c r="E976" s="5" t="s">
        <v>150</v>
      </c>
      <c r="F976" s="5" t="s">
        <v>6043</v>
      </c>
      <c r="G976" s="5" t="s">
        <v>148</v>
      </c>
      <c r="H976" s="5" t="s">
        <v>3</v>
      </c>
      <c r="I976" s="5"/>
      <c r="J976" s="5" t="s">
        <v>6042</v>
      </c>
    </row>
    <row r="977" spans="1:10" ht="25.5" x14ac:dyDescent="0.2">
      <c r="A977" s="5" t="s">
        <v>6041</v>
      </c>
      <c r="B977" s="5" t="s">
        <v>83</v>
      </c>
      <c r="C977" s="5"/>
      <c r="D977" s="5" t="s">
        <v>6040</v>
      </c>
      <c r="E977" s="5" t="s">
        <v>150</v>
      </c>
      <c r="F977" s="5" t="s">
        <v>424</v>
      </c>
      <c r="G977" s="5" t="s">
        <v>148</v>
      </c>
      <c r="H977" s="5" t="s">
        <v>137</v>
      </c>
      <c r="I977" s="5" t="s">
        <v>6032</v>
      </c>
      <c r="J977" s="5" t="s">
        <v>6039</v>
      </c>
    </row>
    <row r="978" spans="1:10" ht="25.5" x14ac:dyDescent="0.2">
      <c r="A978" s="5" t="s">
        <v>6038</v>
      </c>
      <c r="B978" s="5" t="s">
        <v>83</v>
      </c>
      <c r="C978" s="5"/>
      <c r="D978" s="5" t="s">
        <v>6037</v>
      </c>
      <c r="E978" s="5"/>
      <c r="F978" s="5" t="s">
        <v>424</v>
      </c>
      <c r="G978" s="5" t="s">
        <v>170</v>
      </c>
      <c r="H978" s="5" t="s">
        <v>137</v>
      </c>
      <c r="I978" s="5" t="s">
        <v>6032</v>
      </c>
      <c r="J978" s="5" t="s">
        <v>6036</v>
      </c>
    </row>
    <row r="979" spans="1:10" ht="25.5" x14ac:dyDescent="0.2">
      <c r="A979" s="5" t="s">
        <v>6035</v>
      </c>
      <c r="B979" s="5" t="s">
        <v>83</v>
      </c>
      <c r="C979" s="5"/>
      <c r="D979" s="5" t="s">
        <v>6034</v>
      </c>
      <c r="E979" s="5"/>
      <c r="F979" s="5" t="s">
        <v>6033</v>
      </c>
      <c r="G979" s="5" t="s">
        <v>170</v>
      </c>
      <c r="H979" s="5" t="s">
        <v>137</v>
      </c>
      <c r="I979" s="5" t="s">
        <v>6032</v>
      </c>
      <c r="J979" s="5" t="s">
        <v>6031</v>
      </c>
    </row>
    <row r="980" spans="1:10" ht="25.5" x14ac:dyDescent="0.2">
      <c r="A980" s="5" t="s">
        <v>6030</v>
      </c>
      <c r="B980" s="5" t="s">
        <v>83</v>
      </c>
      <c r="C980" s="5"/>
      <c r="D980" s="5" t="s">
        <v>6029</v>
      </c>
      <c r="E980" s="5"/>
      <c r="F980" s="5" t="s">
        <v>6015</v>
      </c>
      <c r="G980" s="5" t="s">
        <v>382</v>
      </c>
      <c r="H980" s="5" t="s">
        <v>3</v>
      </c>
      <c r="I980" s="5"/>
      <c r="J980" s="5" t="s">
        <v>6028</v>
      </c>
    </row>
    <row r="981" spans="1:10" ht="25.5" x14ac:dyDescent="0.2">
      <c r="A981" s="5" t="s">
        <v>6027</v>
      </c>
      <c r="B981" s="5" t="s">
        <v>83</v>
      </c>
      <c r="C981" s="5"/>
      <c r="D981" s="5" t="s">
        <v>6026</v>
      </c>
      <c r="E981" s="5"/>
      <c r="F981" s="5" t="s">
        <v>6015</v>
      </c>
      <c r="G981" s="5" t="s">
        <v>382</v>
      </c>
      <c r="H981" s="5" t="s">
        <v>137</v>
      </c>
      <c r="I981" s="5" t="s">
        <v>6022</v>
      </c>
      <c r="J981" s="5" t="s">
        <v>6025</v>
      </c>
    </row>
    <row r="982" spans="1:10" ht="25.5" x14ac:dyDescent="0.2">
      <c r="A982" s="5" t="s">
        <v>6024</v>
      </c>
      <c r="B982" s="5" t="s">
        <v>83</v>
      </c>
      <c r="C982" s="5"/>
      <c r="D982" s="5" t="s">
        <v>6023</v>
      </c>
      <c r="E982" s="5" t="s">
        <v>150</v>
      </c>
      <c r="F982" s="5" t="s">
        <v>6015</v>
      </c>
      <c r="G982" s="5" t="s">
        <v>148</v>
      </c>
      <c r="H982" s="5" t="s">
        <v>137</v>
      </c>
      <c r="I982" s="5" t="s">
        <v>6022</v>
      </c>
      <c r="J982" s="5" t="s">
        <v>6021</v>
      </c>
    </row>
    <row r="983" spans="1:10" x14ac:dyDescent="0.2">
      <c r="A983" s="5" t="s">
        <v>6020</v>
      </c>
      <c r="B983" s="5" t="s">
        <v>83</v>
      </c>
      <c r="C983" s="5"/>
      <c r="D983" s="5" t="s">
        <v>6019</v>
      </c>
      <c r="E983" s="5" t="s">
        <v>150</v>
      </c>
      <c r="F983" s="5" t="s">
        <v>6015</v>
      </c>
      <c r="G983" s="5" t="s">
        <v>148</v>
      </c>
      <c r="H983" s="5" t="s">
        <v>3</v>
      </c>
      <c r="I983" s="5"/>
      <c r="J983" s="5" t="s">
        <v>6018</v>
      </c>
    </row>
    <row r="984" spans="1:10" x14ac:dyDescent="0.2">
      <c r="A984" s="5" t="s">
        <v>6017</v>
      </c>
      <c r="B984" s="5" t="s">
        <v>83</v>
      </c>
      <c r="C984" s="5"/>
      <c r="D984" s="5" t="s">
        <v>6016</v>
      </c>
      <c r="E984" s="5" t="s">
        <v>150</v>
      </c>
      <c r="F984" s="5" t="s">
        <v>6015</v>
      </c>
      <c r="G984" s="5" t="s">
        <v>148</v>
      </c>
      <c r="H984" s="5" t="s">
        <v>3</v>
      </c>
      <c r="I984" s="5"/>
      <c r="J984" s="5" t="s">
        <v>6014</v>
      </c>
    </row>
    <row r="985" spans="1:10" ht="25.5" x14ac:dyDescent="0.2">
      <c r="A985" s="5" t="s">
        <v>6013</v>
      </c>
      <c r="B985" s="5" t="s">
        <v>83</v>
      </c>
      <c r="C985" s="5"/>
      <c r="D985" s="5" t="s">
        <v>6012</v>
      </c>
      <c r="E985" s="5" t="s">
        <v>150</v>
      </c>
      <c r="F985" s="5" t="s">
        <v>424</v>
      </c>
      <c r="G985" s="5" t="s">
        <v>148</v>
      </c>
      <c r="H985" s="5" t="s">
        <v>137</v>
      </c>
      <c r="I985" s="5" t="s">
        <v>6008</v>
      </c>
      <c r="J985" s="5" t="s">
        <v>6011</v>
      </c>
    </row>
    <row r="986" spans="1:10" ht="25.5" x14ac:dyDescent="0.2">
      <c r="A986" s="5" t="s">
        <v>6010</v>
      </c>
      <c r="B986" s="5" t="s">
        <v>83</v>
      </c>
      <c r="C986" s="5"/>
      <c r="D986" s="5" t="s">
        <v>6009</v>
      </c>
      <c r="E986" s="5"/>
      <c r="F986" s="5" t="s">
        <v>424</v>
      </c>
      <c r="G986" s="5" t="s">
        <v>170</v>
      </c>
      <c r="H986" s="5" t="s">
        <v>137</v>
      </c>
      <c r="I986" s="5" t="s">
        <v>6008</v>
      </c>
      <c r="J986" s="5" t="s">
        <v>6007</v>
      </c>
    </row>
    <row r="987" spans="1:10" ht="25.5" x14ac:dyDescent="0.2">
      <c r="A987" s="5" t="s">
        <v>6006</v>
      </c>
      <c r="B987" s="5" t="s">
        <v>83</v>
      </c>
      <c r="C987" s="5"/>
      <c r="D987" s="5" t="s">
        <v>6005</v>
      </c>
      <c r="E987" s="5"/>
      <c r="F987" s="5" t="s">
        <v>5991</v>
      </c>
      <c r="G987" s="5" t="s">
        <v>382</v>
      </c>
      <c r="H987" s="5" t="s">
        <v>3</v>
      </c>
      <c r="I987" s="5"/>
      <c r="J987" s="5" t="s">
        <v>6004</v>
      </c>
    </row>
    <row r="988" spans="1:10" ht="25.5" x14ac:dyDescent="0.2">
      <c r="A988" s="5" t="s">
        <v>6003</v>
      </c>
      <c r="B988" s="5" t="s">
        <v>83</v>
      </c>
      <c r="C988" s="5"/>
      <c r="D988" s="5" t="s">
        <v>6002</v>
      </c>
      <c r="E988" s="5"/>
      <c r="F988" s="5" t="s">
        <v>5991</v>
      </c>
      <c r="G988" s="5" t="s">
        <v>382</v>
      </c>
      <c r="H988" s="5" t="s">
        <v>137</v>
      </c>
      <c r="I988" s="5" t="s">
        <v>5998</v>
      </c>
      <c r="J988" s="5" t="s">
        <v>6001</v>
      </c>
    </row>
    <row r="989" spans="1:10" ht="25.5" x14ac:dyDescent="0.2">
      <c r="A989" s="5" t="s">
        <v>6000</v>
      </c>
      <c r="B989" s="5" t="s">
        <v>83</v>
      </c>
      <c r="C989" s="5"/>
      <c r="D989" s="5" t="s">
        <v>5999</v>
      </c>
      <c r="E989" s="5" t="s">
        <v>150</v>
      </c>
      <c r="F989" s="5" t="s">
        <v>5991</v>
      </c>
      <c r="G989" s="5" t="s">
        <v>148</v>
      </c>
      <c r="H989" s="5" t="s">
        <v>137</v>
      </c>
      <c r="I989" s="5" t="s">
        <v>5998</v>
      </c>
      <c r="J989" s="5" t="s">
        <v>5997</v>
      </c>
    </row>
    <row r="990" spans="1:10" x14ac:dyDescent="0.2">
      <c r="A990" s="5" t="s">
        <v>5996</v>
      </c>
      <c r="B990" s="5" t="s">
        <v>83</v>
      </c>
      <c r="C990" s="5"/>
      <c r="D990" s="5" t="s">
        <v>5995</v>
      </c>
      <c r="E990" s="5" t="s">
        <v>150</v>
      </c>
      <c r="F990" s="5" t="s">
        <v>5991</v>
      </c>
      <c r="G990" s="5" t="s">
        <v>148</v>
      </c>
      <c r="H990" s="5" t="s">
        <v>3</v>
      </c>
      <c r="I990" s="5"/>
      <c r="J990" s="5" t="s">
        <v>5994</v>
      </c>
    </row>
    <row r="991" spans="1:10" x14ac:dyDescent="0.2">
      <c r="A991" s="5" t="s">
        <v>5993</v>
      </c>
      <c r="B991" s="5" t="s">
        <v>83</v>
      </c>
      <c r="C991" s="5"/>
      <c r="D991" s="5" t="s">
        <v>5992</v>
      </c>
      <c r="E991" s="5" t="s">
        <v>150</v>
      </c>
      <c r="F991" s="5" t="s">
        <v>5991</v>
      </c>
      <c r="G991" s="5" t="s">
        <v>148</v>
      </c>
      <c r="H991" s="5" t="s">
        <v>3</v>
      </c>
      <c r="I991" s="5"/>
      <c r="J991" s="5" t="s">
        <v>5990</v>
      </c>
    </row>
    <row r="992" spans="1:10" ht="25.5" x14ac:dyDescent="0.2">
      <c r="A992" s="5" t="s">
        <v>5989</v>
      </c>
      <c r="B992" s="5" t="s">
        <v>83</v>
      </c>
      <c r="C992" s="5"/>
      <c r="D992" s="5" t="s">
        <v>5988</v>
      </c>
      <c r="E992" s="5" t="s">
        <v>150</v>
      </c>
      <c r="F992" s="5" t="s">
        <v>424</v>
      </c>
      <c r="G992" s="5" t="s">
        <v>148</v>
      </c>
      <c r="H992" s="5" t="s">
        <v>137</v>
      </c>
      <c r="I992" s="5" t="s">
        <v>5984</v>
      </c>
      <c r="J992" s="5" t="s">
        <v>5987</v>
      </c>
    </row>
    <row r="993" spans="1:10" ht="25.5" x14ac:dyDescent="0.2">
      <c r="A993" s="5" t="s">
        <v>5986</v>
      </c>
      <c r="B993" s="5" t="s">
        <v>83</v>
      </c>
      <c r="C993" s="5"/>
      <c r="D993" s="5" t="s">
        <v>5985</v>
      </c>
      <c r="E993" s="5"/>
      <c r="F993" s="5" t="s">
        <v>424</v>
      </c>
      <c r="G993" s="5" t="s">
        <v>170</v>
      </c>
      <c r="H993" s="5" t="s">
        <v>137</v>
      </c>
      <c r="I993" s="5" t="s">
        <v>5984</v>
      </c>
      <c r="J993" s="5" t="s">
        <v>5983</v>
      </c>
    </row>
    <row r="994" spans="1:10" ht="25.5" x14ac:dyDescent="0.2">
      <c r="A994" s="5" t="s">
        <v>5982</v>
      </c>
      <c r="B994" s="5" t="s">
        <v>83</v>
      </c>
      <c r="C994" s="5"/>
      <c r="D994" s="5" t="s">
        <v>5981</v>
      </c>
      <c r="E994" s="5"/>
      <c r="F994" s="5" t="s">
        <v>5967</v>
      </c>
      <c r="G994" s="5" t="s">
        <v>382</v>
      </c>
      <c r="H994" s="5" t="s">
        <v>3</v>
      </c>
      <c r="I994" s="5"/>
      <c r="J994" s="5" t="s">
        <v>5980</v>
      </c>
    </row>
    <row r="995" spans="1:10" ht="25.5" x14ac:dyDescent="0.2">
      <c r="A995" s="5" t="s">
        <v>5979</v>
      </c>
      <c r="B995" s="5" t="s">
        <v>83</v>
      </c>
      <c r="C995" s="5"/>
      <c r="D995" s="5" t="s">
        <v>5978</v>
      </c>
      <c r="E995" s="5"/>
      <c r="F995" s="5" t="s">
        <v>5967</v>
      </c>
      <c r="G995" s="5" t="s">
        <v>382</v>
      </c>
      <c r="H995" s="5" t="s">
        <v>137</v>
      </c>
      <c r="I995" s="5" t="s">
        <v>5974</v>
      </c>
      <c r="J995" s="5" t="s">
        <v>5977</v>
      </c>
    </row>
    <row r="996" spans="1:10" ht="25.5" x14ac:dyDescent="0.2">
      <c r="A996" s="5" t="s">
        <v>5976</v>
      </c>
      <c r="B996" s="5" t="s">
        <v>83</v>
      </c>
      <c r="C996" s="5"/>
      <c r="D996" s="5" t="s">
        <v>5975</v>
      </c>
      <c r="E996" s="5" t="s">
        <v>150</v>
      </c>
      <c r="F996" s="5" t="s">
        <v>5967</v>
      </c>
      <c r="G996" s="5" t="s">
        <v>148</v>
      </c>
      <c r="H996" s="5" t="s">
        <v>137</v>
      </c>
      <c r="I996" s="5" t="s">
        <v>5974</v>
      </c>
      <c r="J996" s="5" t="s">
        <v>5973</v>
      </c>
    </row>
    <row r="997" spans="1:10" x14ac:dyDescent="0.2">
      <c r="A997" s="5" t="s">
        <v>5972</v>
      </c>
      <c r="B997" s="5" t="s">
        <v>83</v>
      </c>
      <c r="C997" s="5"/>
      <c r="D997" s="5" t="s">
        <v>5971</v>
      </c>
      <c r="E997" s="5" t="s">
        <v>150</v>
      </c>
      <c r="F997" s="5" t="s">
        <v>5967</v>
      </c>
      <c r="G997" s="5" t="s">
        <v>148</v>
      </c>
      <c r="H997" s="5" t="s">
        <v>3</v>
      </c>
      <c r="I997" s="5"/>
      <c r="J997" s="5" t="s">
        <v>5970</v>
      </c>
    </row>
    <row r="998" spans="1:10" x14ac:dyDescent="0.2">
      <c r="A998" s="5" t="s">
        <v>5969</v>
      </c>
      <c r="B998" s="5" t="s">
        <v>83</v>
      </c>
      <c r="C998" s="5"/>
      <c r="D998" s="5" t="s">
        <v>5968</v>
      </c>
      <c r="E998" s="5" t="s">
        <v>150</v>
      </c>
      <c r="F998" s="5" t="s">
        <v>5967</v>
      </c>
      <c r="G998" s="5" t="s">
        <v>148</v>
      </c>
      <c r="H998" s="5" t="s">
        <v>3</v>
      </c>
      <c r="I998" s="5"/>
      <c r="J998" s="5" t="s">
        <v>5966</v>
      </c>
    </row>
    <row r="999" spans="1:10" ht="25.5" x14ac:dyDescent="0.2">
      <c r="A999" s="5" t="s">
        <v>5965</v>
      </c>
      <c r="B999" s="5" t="s">
        <v>83</v>
      </c>
      <c r="C999" s="5"/>
      <c r="D999" s="5" t="s">
        <v>5964</v>
      </c>
      <c r="E999" s="5" t="s">
        <v>150</v>
      </c>
      <c r="F999" s="5" t="s">
        <v>424</v>
      </c>
      <c r="G999" s="5" t="s">
        <v>148</v>
      </c>
      <c r="H999" s="5" t="s">
        <v>137</v>
      </c>
      <c r="I999" s="5" t="s">
        <v>5960</v>
      </c>
      <c r="J999" s="5" t="s">
        <v>5963</v>
      </c>
    </row>
    <row r="1000" spans="1:10" ht="25.5" x14ac:dyDescent="0.2">
      <c r="A1000" s="5" t="s">
        <v>5962</v>
      </c>
      <c r="B1000" s="5" t="s">
        <v>83</v>
      </c>
      <c r="C1000" s="5"/>
      <c r="D1000" s="5" t="s">
        <v>5961</v>
      </c>
      <c r="E1000" s="5"/>
      <c r="F1000" s="5" t="s">
        <v>424</v>
      </c>
      <c r="G1000" s="5" t="s">
        <v>170</v>
      </c>
      <c r="H1000" s="5" t="s">
        <v>137</v>
      </c>
      <c r="I1000" s="5" t="s">
        <v>5960</v>
      </c>
      <c r="J1000" s="5" t="s">
        <v>5959</v>
      </c>
    </row>
    <row r="1001" spans="1:10" ht="25.5" x14ac:dyDescent="0.2">
      <c r="A1001" s="5" t="s">
        <v>5958</v>
      </c>
      <c r="B1001" s="5" t="s">
        <v>83</v>
      </c>
      <c r="C1001" s="5"/>
      <c r="D1001" s="5" t="s">
        <v>5957</v>
      </c>
      <c r="E1001" s="5"/>
      <c r="F1001" s="5" t="s">
        <v>5943</v>
      </c>
      <c r="G1001" s="5" t="s">
        <v>382</v>
      </c>
      <c r="H1001" s="5" t="s">
        <v>3</v>
      </c>
      <c r="I1001" s="5"/>
      <c r="J1001" s="5" t="s">
        <v>5956</v>
      </c>
    </row>
    <row r="1002" spans="1:10" ht="25.5" x14ac:dyDescent="0.2">
      <c r="A1002" s="5" t="s">
        <v>5955</v>
      </c>
      <c r="B1002" s="5" t="s">
        <v>83</v>
      </c>
      <c r="C1002" s="5"/>
      <c r="D1002" s="5" t="s">
        <v>5954</v>
      </c>
      <c r="E1002" s="5"/>
      <c r="F1002" s="5" t="s">
        <v>5943</v>
      </c>
      <c r="G1002" s="5" t="s">
        <v>382</v>
      </c>
      <c r="H1002" s="5" t="s">
        <v>137</v>
      </c>
      <c r="I1002" s="5" t="s">
        <v>5950</v>
      </c>
      <c r="J1002" s="5" t="s">
        <v>5953</v>
      </c>
    </row>
    <row r="1003" spans="1:10" ht="25.5" x14ac:dyDescent="0.2">
      <c r="A1003" s="5" t="s">
        <v>5952</v>
      </c>
      <c r="B1003" s="5" t="s">
        <v>83</v>
      </c>
      <c r="C1003" s="5"/>
      <c r="D1003" s="5" t="s">
        <v>5951</v>
      </c>
      <c r="E1003" s="5" t="s">
        <v>150</v>
      </c>
      <c r="F1003" s="5" t="s">
        <v>5943</v>
      </c>
      <c r="G1003" s="5" t="s">
        <v>148</v>
      </c>
      <c r="H1003" s="5" t="s">
        <v>137</v>
      </c>
      <c r="I1003" s="5" t="s">
        <v>5950</v>
      </c>
      <c r="J1003" s="5" t="s">
        <v>5949</v>
      </c>
    </row>
    <row r="1004" spans="1:10" x14ac:dyDescent="0.2">
      <c r="A1004" s="5" t="s">
        <v>5948</v>
      </c>
      <c r="B1004" s="5" t="s">
        <v>83</v>
      </c>
      <c r="C1004" s="5"/>
      <c r="D1004" s="5" t="s">
        <v>5947</v>
      </c>
      <c r="E1004" s="5" t="s">
        <v>150</v>
      </c>
      <c r="F1004" s="5" t="s">
        <v>5943</v>
      </c>
      <c r="G1004" s="5" t="s">
        <v>148</v>
      </c>
      <c r="H1004" s="5" t="s">
        <v>3</v>
      </c>
      <c r="I1004" s="5"/>
      <c r="J1004" s="5" t="s">
        <v>5946</v>
      </c>
    </row>
    <row r="1005" spans="1:10" x14ac:dyDescent="0.2">
      <c r="A1005" s="5" t="s">
        <v>5945</v>
      </c>
      <c r="B1005" s="5" t="s">
        <v>83</v>
      </c>
      <c r="C1005" s="5"/>
      <c r="D1005" s="5" t="s">
        <v>5944</v>
      </c>
      <c r="E1005" s="5" t="s">
        <v>150</v>
      </c>
      <c r="F1005" s="5" t="s">
        <v>5943</v>
      </c>
      <c r="G1005" s="5" t="s">
        <v>148</v>
      </c>
      <c r="H1005" s="5" t="s">
        <v>3</v>
      </c>
      <c r="I1005" s="5"/>
      <c r="J1005" s="5" t="s">
        <v>5942</v>
      </c>
    </row>
    <row r="1006" spans="1:10" ht="25.5" x14ac:dyDescent="0.2">
      <c r="A1006" s="5" t="s">
        <v>5941</v>
      </c>
      <c r="B1006" s="5" t="s">
        <v>83</v>
      </c>
      <c r="C1006" s="5"/>
      <c r="D1006" s="5" t="s">
        <v>5940</v>
      </c>
      <c r="E1006" s="5" t="s">
        <v>150</v>
      </c>
      <c r="F1006" s="5" t="s">
        <v>424</v>
      </c>
      <c r="G1006" s="5" t="s">
        <v>148</v>
      </c>
      <c r="H1006" s="5" t="s">
        <v>137</v>
      </c>
      <c r="I1006" s="5" t="s">
        <v>5936</v>
      </c>
      <c r="J1006" s="5" t="s">
        <v>5939</v>
      </c>
    </row>
    <row r="1007" spans="1:10" ht="25.5" x14ac:dyDescent="0.2">
      <c r="A1007" s="5" t="s">
        <v>5938</v>
      </c>
      <c r="B1007" s="5" t="s">
        <v>83</v>
      </c>
      <c r="C1007" s="5"/>
      <c r="D1007" s="5" t="s">
        <v>5937</v>
      </c>
      <c r="E1007" s="5"/>
      <c r="F1007" s="5" t="s">
        <v>424</v>
      </c>
      <c r="G1007" s="5" t="s">
        <v>170</v>
      </c>
      <c r="H1007" s="5" t="s">
        <v>137</v>
      </c>
      <c r="I1007" s="5" t="s">
        <v>5936</v>
      </c>
      <c r="J1007" s="5" t="s">
        <v>5935</v>
      </c>
    </row>
    <row r="1008" spans="1:10" ht="25.5" x14ac:dyDescent="0.2">
      <c r="A1008" s="5" t="s">
        <v>5934</v>
      </c>
      <c r="B1008" s="5" t="s">
        <v>83</v>
      </c>
      <c r="C1008" s="5"/>
      <c r="D1008" s="5" t="s">
        <v>5933</v>
      </c>
      <c r="E1008" s="5"/>
      <c r="F1008" s="5" t="s">
        <v>5919</v>
      </c>
      <c r="G1008" s="5" t="s">
        <v>382</v>
      </c>
      <c r="H1008" s="5" t="s">
        <v>3</v>
      </c>
      <c r="I1008" s="5"/>
      <c r="J1008" s="5" t="s">
        <v>5932</v>
      </c>
    </row>
    <row r="1009" spans="1:10" ht="25.5" x14ac:dyDescent="0.2">
      <c r="A1009" s="5" t="s">
        <v>5931</v>
      </c>
      <c r="B1009" s="5" t="s">
        <v>83</v>
      </c>
      <c r="C1009" s="5"/>
      <c r="D1009" s="5" t="s">
        <v>5930</v>
      </c>
      <c r="E1009" s="5"/>
      <c r="F1009" s="5" t="s">
        <v>5919</v>
      </c>
      <c r="G1009" s="5" t="s">
        <v>382</v>
      </c>
      <c r="H1009" s="5" t="s">
        <v>137</v>
      </c>
      <c r="I1009" s="5" t="s">
        <v>5926</v>
      </c>
      <c r="J1009" s="5" t="s">
        <v>5929</v>
      </c>
    </row>
    <row r="1010" spans="1:10" ht="25.5" x14ac:dyDescent="0.2">
      <c r="A1010" s="5" t="s">
        <v>5928</v>
      </c>
      <c r="B1010" s="5" t="s">
        <v>83</v>
      </c>
      <c r="C1010" s="5"/>
      <c r="D1010" s="5" t="s">
        <v>5927</v>
      </c>
      <c r="E1010" s="5" t="s">
        <v>150</v>
      </c>
      <c r="F1010" s="5" t="s">
        <v>5919</v>
      </c>
      <c r="G1010" s="5" t="s">
        <v>148</v>
      </c>
      <c r="H1010" s="5" t="s">
        <v>137</v>
      </c>
      <c r="I1010" s="5" t="s">
        <v>5926</v>
      </c>
      <c r="J1010" s="5" t="s">
        <v>5925</v>
      </c>
    </row>
    <row r="1011" spans="1:10" x14ac:dyDescent="0.2">
      <c r="A1011" s="5" t="s">
        <v>5924</v>
      </c>
      <c r="B1011" s="5" t="s">
        <v>83</v>
      </c>
      <c r="C1011" s="5"/>
      <c r="D1011" s="5" t="s">
        <v>5923</v>
      </c>
      <c r="E1011" s="5" t="s">
        <v>150</v>
      </c>
      <c r="F1011" s="5" t="s">
        <v>5919</v>
      </c>
      <c r="G1011" s="5" t="s">
        <v>148</v>
      </c>
      <c r="H1011" s="5" t="s">
        <v>3</v>
      </c>
      <c r="I1011" s="5"/>
      <c r="J1011" s="5" t="s">
        <v>5922</v>
      </c>
    </row>
    <row r="1012" spans="1:10" x14ac:dyDescent="0.2">
      <c r="A1012" s="5" t="s">
        <v>5921</v>
      </c>
      <c r="B1012" s="5" t="s">
        <v>83</v>
      </c>
      <c r="C1012" s="5"/>
      <c r="D1012" s="5" t="s">
        <v>5920</v>
      </c>
      <c r="E1012" s="5" t="s">
        <v>150</v>
      </c>
      <c r="F1012" s="5" t="s">
        <v>5919</v>
      </c>
      <c r="G1012" s="5" t="s">
        <v>148</v>
      </c>
      <c r="H1012" s="5" t="s">
        <v>3</v>
      </c>
      <c r="I1012" s="5"/>
      <c r="J1012" s="5" t="s">
        <v>5918</v>
      </c>
    </row>
    <row r="1013" spans="1:10" ht="25.5" x14ac:dyDescent="0.2">
      <c r="A1013" s="5" t="s">
        <v>5917</v>
      </c>
      <c r="B1013" s="5" t="s">
        <v>83</v>
      </c>
      <c r="C1013" s="5"/>
      <c r="D1013" s="5" t="s">
        <v>5916</v>
      </c>
      <c r="E1013" s="5" t="s">
        <v>150</v>
      </c>
      <c r="F1013" s="5" t="s">
        <v>424</v>
      </c>
      <c r="G1013" s="5" t="s">
        <v>148</v>
      </c>
      <c r="H1013" s="5" t="s">
        <v>137</v>
      </c>
      <c r="I1013" s="5" t="s">
        <v>5912</v>
      </c>
      <c r="J1013" s="5" t="s">
        <v>5915</v>
      </c>
    </row>
    <row r="1014" spans="1:10" ht="25.5" x14ac:dyDescent="0.2">
      <c r="A1014" s="5" t="s">
        <v>5914</v>
      </c>
      <c r="B1014" s="5" t="s">
        <v>83</v>
      </c>
      <c r="C1014" s="5"/>
      <c r="D1014" s="5" t="s">
        <v>5913</v>
      </c>
      <c r="E1014" s="5"/>
      <c r="F1014" s="5" t="s">
        <v>424</v>
      </c>
      <c r="G1014" s="5" t="s">
        <v>170</v>
      </c>
      <c r="H1014" s="5" t="s">
        <v>137</v>
      </c>
      <c r="I1014" s="5" t="s">
        <v>5912</v>
      </c>
      <c r="J1014" s="5" t="s">
        <v>5911</v>
      </c>
    </row>
    <row r="1015" spans="1:10" ht="25.5" x14ac:dyDescent="0.2">
      <c r="A1015" s="5" t="s">
        <v>5910</v>
      </c>
      <c r="B1015" s="5" t="s">
        <v>83</v>
      </c>
      <c r="C1015" s="5"/>
      <c r="D1015" s="5" t="s">
        <v>5909</v>
      </c>
      <c r="E1015" s="5"/>
      <c r="F1015" s="5" t="s">
        <v>5895</v>
      </c>
      <c r="G1015" s="5" t="s">
        <v>382</v>
      </c>
      <c r="H1015" s="5" t="s">
        <v>3</v>
      </c>
      <c r="I1015" s="5"/>
      <c r="J1015" s="5" t="s">
        <v>5908</v>
      </c>
    </row>
    <row r="1016" spans="1:10" ht="25.5" x14ac:dyDescent="0.2">
      <c r="A1016" s="5" t="s">
        <v>5907</v>
      </c>
      <c r="B1016" s="5" t="s">
        <v>83</v>
      </c>
      <c r="C1016" s="5"/>
      <c r="D1016" s="5" t="s">
        <v>5906</v>
      </c>
      <c r="E1016" s="5"/>
      <c r="F1016" s="5" t="s">
        <v>5895</v>
      </c>
      <c r="G1016" s="5" t="s">
        <v>382</v>
      </c>
      <c r="H1016" s="5" t="s">
        <v>137</v>
      </c>
      <c r="I1016" s="5" t="s">
        <v>5902</v>
      </c>
      <c r="J1016" s="5" t="s">
        <v>5905</v>
      </c>
    </row>
    <row r="1017" spans="1:10" ht="25.5" x14ac:dyDescent="0.2">
      <c r="A1017" s="5" t="s">
        <v>5904</v>
      </c>
      <c r="B1017" s="5" t="s">
        <v>83</v>
      </c>
      <c r="C1017" s="5"/>
      <c r="D1017" s="5" t="s">
        <v>5903</v>
      </c>
      <c r="E1017" s="5" t="s">
        <v>150</v>
      </c>
      <c r="F1017" s="5" t="s">
        <v>5895</v>
      </c>
      <c r="G1017" s="5" t="s">
        <v>148</v>
      </c>
      <c r="H1017" s="5" t="s">
        <v>137</v>
      </c>
      <c r="I1017" s="5" t="s">
        <v>5902</v>
      </c>
      <c r="J1017" s="5" t="s">
        <v>5901</v>
      </c>
    </row>
    <row r="1018" spans="1:10" x14ac:dyDescent="0.2">
      <c r="A1018" s="5" t="s">
        <v>5900</v>
      </c>
      <c r="B1018" s="5" t="s">
        <v>83</v>
      </c>
      <c r="C1018" s="5"/>
      <c r="D1018" s="5" t="s">
        <v>5899</v>
      </c>
      <c r="E1018" s="5" t="s">
        <v>150</v>
      </c>
      <c r="F1018" s="5" t="s">
        <v>5895</v>
      </c>
      <c r="G1018" s="5" t="s">
        <v>148</v>
      </c>
      <c r="H1018" s="5" t="s">
        <v>3</v>
      </c>
      <c r="I1018" s="5"/>
      <c r="J1018" s="5" t="s">
        <v>5898</v>
      </c>
    </row>
    <row r="1019" spans="1:10" x14ac:dyDescent="0.2">
      <c r="A1019" s="5" t="s">
        <v>5897</v>
      </c>
      <c r="B1019" s="5" t="s">
        <v>83</v>
      </c>
      <c r="C1019" s="5"/>
      <c r="D1019" s="5" t="s">
        <v>5896</v>
      </c>
      <c r="E1019" s="5" t="s">
        <v>150</v>
      </c>
      <c r="F1019" s="5" t="s">
        <v>5895</v>
      </c>
      <c r="G1019" s="5" t="s">
        <v>148</v>
      </c>
      <c r="H1019" s="5" t="s">
        <v>3</v>
      </c>
      <c r="I1019" s="5"/>
      <c r="J1019" s="5" t="s">
        <v>5894</v>
      </c>
    </row>
    <row r="1020" spans="1:10" ht="25.5" x14ac:dyDescent="0.2">
      <c r="A1020" s="5" t="s">
        <v>5893</v>
      </c>
      <c r="B1020" s="5" t="s">
        <v>83</v>
      </c>
      <c r="C1020" s="5"/>
      <c r="D1020" s="5" t="s">
        <v>5892</v>
      </c>
      <c r="E1020" s="5" t="s">
        <v>150</v>
      </c>
      <c r="F1020" s="5" t="s">
        <v>424</v>
      </c>
      <c r="G1020" s="5" t="s">
        <v>148</v>
      </c>
      <c r="H1020" s="5" t="s">
        <v>137</v>
      </c>
      <c r="I1020" s="5" t="s">
        <v>5888</v>
      </c>
      <c r="J1020" s="5" t="s">
        <v>5891</v>
      </c>
    </row>
    <row r="1021" spans="1:10" ht="25.5" x14ac:dyDescent="0.2">
      <c r="A1021" s="5" t="s">
        <v>5890</v>
      </c>
      <c r="B1021" s="5" t="s">
        <v>83</v>
      </c>
      <c r="C1021" s="5"/>
      <c r="D1021" s="5" t="s">
        <v>5889</v>
      </c>
      <c r="E1021" s="5"/>
      <c r="F1021" s="5" t="s">
        <v>424</v>
      </c>
      <c r="G1021" s="5" t="s">
        <v>170</v>
      </c>
      <c r="H1021" s="5" t="s">
        <v>137</v>
      </c>
      <c r="I1021" s="5" t="s">
        <v>5888</v>
      </c>
      <c r="J1021" s="5" t="s">
        <v>5887</v>
      </c>
    </row>
    <row r="1022" spans="1:10" ht="25.5" x14ac:dyDescent="0.2">
      <c r="A1022" s="5" t="s">
        <v>5886</v>
      </c>
      <c r="B1022" s="5" t="s">
        <v>83</v>
      </c>
      <c r="C1022" s="5"/>
      <c r="D1022" s="5" t="s">
        <v>5885</v>
      </c>
      <c r="E1022" s="5"/>
      <c r="F1022" s="5" t="s">
        <v>5871</v>
      </c>
      <c r="G1022" s="5" t="s">
        <v>382</v>
      </c>
      <c r="H1022" s="5" t="s">
        <v>3</v>
      </c>
      <c r="I1022" s="5"/>
      <c r="J1022" s="5" t="s">
        <v>5884</v>
      </c>
    </row>
    <row r="1023" spans="1:10" ht="25.5" x14ac:dyDescent="0.2">
      <c r="A1023" s="5" t="s">
        <v>5883</v>
      </c>
      <c r="B1023" s="5" t="s">
        <v>83</v>
      </c>
      <c r="C1023" s="5"/>
      <c r="D1023" s="5" t="s">
        <v>5882</v>
      </c>
      <c r="E1023" s="5"/>
      <c r="F1023" s="5" t="s">
        <v>5871</v>
      </c>
      <c r="G1023" s="5" t="s">
        <v>382</v>
      </c>
      <c r="H1023" s="5" t="s">
        <v>137</v>
      </c>
      <c r="I1023" s="5" t="s">
        <v>5878</v>
      </c>
      <c r="J1023" s="5" t="s">
        <v>5881</v>
      </c>
    </row>
    <row r="1024" spans="1:10" ht="25.5" x14ac:dyDescent="0.2">
      <c r="A1024" s="5" t="s">
        <v>5880</v>
      </c>
      <c r="B1024" s="5" t="s">
        <v>83</v>
      </c>
      <c r="C1024" s="5"/>
      <c r="D1024" s="5" t="s">
        <v>5879</v>
      </c>
      <c r="E1024" s="5" t="s">
        <v>150</v>
      </c>
      <c r="F1024" s="5" t="s">
        <v>5871</v>
      </c>
      <c r="G1024" s="5" t="s">
        <v>148</v>
      </c>
      <c r="H1024" s="5" t="s">
        <v>137</v>
      </c>
      <c r="I1024" s="5" t="s">
        <v>5878</v>
      </c>
      <c r="J1024" s="5" t="s">
        <v>5877</v>
      </c>
    </row>
    <row r="1025" spans="1:10" x14ac:dyDescent="0.2">
      <c r="A1025" s="5" t="s">
        <v>5876</v>
      </c>
      <c r="B1025" s="5" t="s">
        <v>83</v>
      </c>
      <c r="C1025" s="5"/>
      <c r="D1025" s="5" t="s">
        <v>5875</v>
      </c>
      <c r="E1025" s="5" t="s">
        <v>150</v>
      </c>
      <c r="F1025" s="5" t="s">
        <v>5871</v>
      </c>
      <c r="G1025" s="5" t="s">
        <v>148</v>
      </c>
      <c r="H1025" s="5" t="s">
        <v>3</v>
      </c>
      <c r="I1025" s="5"/>
      <c r="J1025" s="5" t="s">
        <v>5874</v>
      </c>
    </row>
    <row r="1026" spans="1:10" x14ac:dyDescent="0.2">
      <c r="A1026" s="5" t="s">
        <v>5873</v>
      </c>
      <c r="B1026" s="5" t="s">
        <v>83</v>
      </c>
      <c r="C1026" s="5"/>
      <c r="D1026" s="5" t="s">
        <v>5872</v>
      </c>
      <c r="E1026" s="5" t="s">
        <v>150</v>
      </c>
      <c r="F1026" s="5" t="s">
        <v>5871</v>
      </c>
      <c r="G1026" s="5" t="s">
        <v>148</v>
      </c>
      <c r="H1026" s="5" t="s">
        <v>3</v>
      </c>
      <c r="I1026" s="5"/>
      <c r="J1026" s="5" t="s">
        <v>5870</v>
      </c>
    </row>
    <row r="1027" spans="1:10" ht="25.5" x14ac:dyDescent="0.2">
      <c r="A1027" s="5" t="s">
        <v>5869</v>
      </c>
      <c r="B1027" s="5" t="s">
        <v>83</v>
      </c>
      <c r="C1027" s="5"/>
      <c r="D1027" s="5" t="s">
        <v>5868</v>
      </c>
      <c r="E1027" s="5" t="s">
        <v>150</v>
      </c>
      <c r="F1027" s="5" t="s">
        <v>424</v>
      </c>
      <c r="G1027" s="5" t="s">
        <v>148</v>
      </c>
      <c r="H1027" s="5" t="s">
        <v>137</v>
      </c>
      <c r="I1027" s="5" t="s">
        <v>5864</v>
      </c>
      <c r="J1027" s="5" t="s">
        <v>5867</v>
      </c>
    </row>
    <row r="1028" spans="1:10" ht="25.5" x14ac:dyDescent="0.2">
      <c r="A1028" s="5" t="s">
        <v>5866</v>
      </c>
      <c r="B1028" s="5" t="s">
        <v>83</v>
      </c>
      <c r="C1028" s="5"/>
      <c r="D1028" s="5" t="s">
        <v>5865</v>
      </c>
      <c r="E1028" s="5"/>
      <c r="F1028" s="5" t="s">
        <v>424</v>
      </c>
      <c r="G1028" s="5" t="s">
        <v>170</v>
      </c>
      <c r="H1028" s="5" t="s">
        <v>137</v>
      </c>
      <c r="I1028" s="5" t="s">
        <v>5864</v>
      </c>
      <c r="J1028" s="5" t="s">
        <v>5863</v>
      </c>
    </row>
    <row r="1029" spans="1:10" ht="25.5" x14ac:dyDescent="0.2">
      <c r="A1029" s="5" t="s">
        <v>5862</v>
      </c>
      <c r="B1029" s="5" t="s">
        <v>83</v>
      </c>
      <c r="C1029" s="5"/>
      <c r="D1029" s="5" t="s">
        <v>5861</v>
      </c>
      <c r="E1029" s="5"/>
      <c r="F1029" s="5" t="s">
        <v>5847</v>
      </c>
      <c r="G1029" s="5" t="s">
        <v>382</v>
      </c>
      <c r="H1029" s="5" t="s">
        <v>3</v>
      </c>
      <c r="I1029" s="5"/>
      <c r="J1029" s="5" t="s">
        <v>5860</v>
      </c>
    </row>
    <row r="1030" spans="1:10" ht="25.5" x14ac:dyDescent="0.2">
      <c r="A1030" s="5" t="s">
        <v>5859</v>
      </c>
      <c r="B1030" s="5" t="s">
        <v>83</v>
      </c>
      <c r="C1030" s="5"/>
      <c r="D1030" s="5" t="s">
        <v>5858</v>
      </c>
      <c r="E1030" s="5"/>
      <c r="F1030" s="5" t="s">
        <v>5847</v>
      </c>
      <c r="G1030" s="5" t="s">
        <v>382</v>
      </c>
      <c r="H1030" s="5" t="s">
        <v>137</v>
      </c>
      <c r="I1030" s="5" t="s">
        <v>5854</v>
      </c>
      <c r="J1030" s="5" t="s">
        <v>5857</v>
      </c>
    </row>
    <row r="1031" spans="1:10" ht="25.5" x14ac:dyDescent="0.2">
      <c r="A1031" s="5" t="s">
        <v>5856</v>
      </c>
      <c r="B1031" s="5" t="s">
        <v>83</v>
      </c>
      <c r="C1031" s="5"/>
      <c r="D1031" s="5" t="s">
        <v>5855</v>
      </c>
      <c r="E1031" s="5" t="s">
        <v>150</v>
      </c>
      <c r="F1031" s="5" t="s">
        <v>5847</v>
      </c>
      <c r="G1031" s="5" t="s">
        <v>148</v>
      </c>
      <c r="H1031" s="5" t="s">
        <v>137</v>
      </c>
      <c r="I1031" s="5" t="s">
        <v>5854</v>
      </c>
      <c r="J1031" s="5" t="s">
        <v>5853</v>
      </c>
    </row>
    <row r="1032" spans="1:10" x14ac:dyDescent="0.2">
      <c r="A1032" s="5" t="s">
        <v>5852</v>
      </c>
      <c r="B1032" s="5" t="s">
        <v>83</v>
      </c>
      <c r="C1032" s="5"/>
      <c r="D1032" s="5" t="s">
        <v>5851</v>
      </c>
      <c r="E1032" s="5" t="s">
        <v>150</v>
      </c>
      <c r="F1032" s="5" t="s">
        <v>5847</v>
      </c>
      <c r="G1032" s="5" t="s">
        <v>148</v>
      </c>
      <c r="H1032" s="5" t="s">
        <v>3</v>
      </c>
      <c r="I1032" s="5"/>
      <c r="J1032" s="5" t="s">
        <v>5850</v>
      </c>
    </row>
    <row r="1033" spans="1:10" x14ac:dyDescent="0.2">
      <c r="A1033" s="5" t="s">
        <v>5849</v>
      </c>
      <c r="B1033" s="5" t="s">
        <v>83</v>
      </c>
      <c r="C1033" s="5"/>
      <c r="D1033" s="5" t="s">
        <v>5848</v>
      </c>
      <c r="E1033" s="5" t="s">
        <v>150</v>
      </c>
      <c r="F1033" s="5" t="s">
        <v>5847</v>
      </c>
      <c r="G1033" s="5" t="s">
        <v>148</v>
      </c>
      <c r="H1033" s="5" t="s">
        <v>3</v>
      </c>
      <c r="I1033" s="5"/>
      <c r="J1033" s="5" t="s">
        <v>5846</v>
      </c>
    </row>
    <row r="1034" spans="1:10" ht="25.5" x14ac:dyDescent="0.2">
      <c r="A1034" s="5" t="s">
        <v>5845</v>
      </c>
      <c r="B1034" s="5" t="s">
        <v>83</v>
      </c>
      <c r="C1034" s="5"/>
      <c r="D1034" s="5" t="s">
        <v>5844</v>
      </c>
      <c r="E1034" s="5" t="s">
        <v>150</v>
      </c>
      <c r="F1034" s="5" t="s">
        <v>424</v>
      </c>
      <c r="G1034" s="5" t="s">
        <v>148</v>
      </c>
      <c r="H1034" s="5" t="s">
        <v>137</v>
      </c>
      <c r="I1034" s="5" t="s">
        <v>5840</v>
      </c>
      <c r="J1034" s="5" t="s">
        <v>5843</v>
      </c>
    </row>
    <row r="1035" spans="1:10" ht="25.5" x14ac:dyDescent="0.2">
      <c r="A1035" s="5" t="s">
        <v>5842</v>
      </c>
      <c r="B1035" s="5" t="s">
        <v>83</v>
      </c>
      <c r="C1035" s="5"/>
      <c r="D1035" s="5" t="s">
        <v>5841</v>
      </c>
      <c r="E1035" s="5"/>
      <c r="F1035" s="5" t="s">
        <v>424</v>
      </c>
      <c r="G1035" s="5" t="s">
        <v>170</v>
      </c>
      <c r="H1035" s="5" t="s">
        <v>137</v>
      </c>
      <c r="I1035" s="5" t="s">
        <v>5840</v>
      </c>
      <c r="J1035" s="5" t="s">
        <v>5839</v>
      </c>
    </row>
    <row r="1036" spans="1:10" ht="25.5" x14ac:dyDescent="0.2">
      <c r="A1036" s="5" t="s">
        <v>5838</v>
      </c>
      <c r="B1036" s="5" t="s">
        <v>83</v>
      </c>
      <c r="C1036" s="5"/>
      <c r="D1036" s="5" t="s">
        <v>94</v>
      </c>
      <c r="E1036" s="5" t="s">
        <v>138</v>
      </c>
      <c r="F1036" s="5" t="s">
        <v>331</v>
      </c>
      <c r="G1036" s="5" t="s">
        <v>181</v>
      </c>
      <c r="H1036" s="5" t="s">
        <v>3</v>
      </c>
      <c r="I1036" s="5"/>
      <c r="J1036" s="5" t="s">
        <v>5837</v>
      </c>
    </row>
    <row r="1037" spans="1:10" x14ac:dyDescent="0.2">
      <c r="A1037" s="5" t="s">
        <v>5835</v>
      </c>
      <c r="B1037" s="5" t="s">
        <v>83</v>
      </c>
      <c r="C1037" s="5"/>
      <c r="D1037" s="5" t="s">
        <v>5836</v>
      </c>
      <c r="E1037" s="5"/>
      <c r="F1037" s="5" t="s">
        <v>5835</v>
      </c>
      <c r="G1037" s="5" t="s">
        <v>105</v>
      </c>
      <c r="H1037" s="5" t="s">
        <v>3</v>
      </c>
      <c r="I1037" s="5"/>
      <c r="J1037" s="5" t="s">
        <v>5834</v>
      </c>
    </row>
    <row r="1038" spans="1:10" ht="25.5" x14ac:dyDescent="0.2">
      <c r="A1038" s="5" t="s">
        <v>5833</v>
      </c>
      <c r="B1038" s="5" t="s">
        <v>83</v>
      </c>
      <c r="C1038" s="5"/>
      <c r="D1038" s="5" t="s">
        <v>5832</v>
      </c>
      <c r="E1038" s="5"/>
      <c r="F1038" s="5" t="s">
        <v>5818</v>
      </c>
      <c r="G1038" s="5" t="s">
        <v>382</v>
      </c>
      <c r="H1038" s="5" t="s">
        <v>3</v>
      </c>
      <c r="I1038" s="5"/>
      <c r="J1038" s="5" t="s">
        <v>5831</v>
      </c>
    </row>
    <row r="1039" spans="1:10" ht="25.5" x14ac:dyDescent="0.2">
      <c r="A1039" s="5" t="s">
        <v>5830</v>
      </c>
      <c r="B1039" s="5" t="s">
        <v>83</v>
      </c>
      <c r="C1039" s="5"/>
      <c r="D1039" s="5" t="s">
        <v>5829</v>
      </c>
      <c r="E1039" s="5"/>
      <c r="F1039" s="5" t="s">
        <v>5818</v>
      </c>
      <c r="G1039" s="5" t="s">
        <v>382</v>
      </c>
      <c r="H1039" s="5" t="s">
        <v>137</v>
      </c>
      <c r="I1039" s="5" t="s">
        <v>5825</v>
      </c>
      <c r="J1039" s="5" t="s">
        <v>5828</v>
      </c>
    </row>
    <row r="1040" spans="1:10" ht="25.5" x14ac:dyDescent="0.2">
      <c r="A1040" s="5" t="s">
        <v>5827</v>
      </c>
      <c r="B1040" s="5" t="s">
        <v>83</v>
      </c>
      <c r="C1040" s="5"/>
      <c r="D1040" s="5" t="s">
        <v>5826</v>
      </c>
      <c r="E1040" s="5" t="s">
        <v>150</v>
      </c>
      <c r="F1040" s="5" t="s">
        <v>5818</v>
      </c>
      <c r="G1040" s="5" t="s">
        <v>148</v>
      </c>
      <c r="H1040" s="5" t="s">
        <v>137</v>
      </c>
      <c r="I1040" s="5" t="s">
        <v>5825</v>
      </c>
      <c r="J1040" s="5" t="s">
        <v>5824</v>
      </c>
    </row>
    <row r="1041" spans="1:10" x14ac:dyDescent="0.2">
      <c r="A1041" s="5" t="s">
        <v>5823</v>
      </c>
      <c r="B1041" s="5" t="s">
        <v>83</v>
      </c>
      <c r="C1041" s="5"/>
      <c r="D1041" s="5" t="s">
        <v>5822</v>
      </c>
      <c r="E1041" s="5" t="s">
        <v>150</v>
      </c>
      <c r="F1041" s="5" t="s">
        <v>5818</v>
      </c>
      <c r="G1041" s="5" t="s">
        <v>148</v>
      </c>
      <c r="H1041" s="5" t="s">
        <v>3</v>
      </c>
      <c r="I1041" s="5"/>
      <c r="J1041" s="5" t="s">
        <v>5821</v>
      </c>
    </row>
    <row r="1042" spans="1:10" x14ac:dyDescent="0.2">
      <c r="A1042" s="5" t="s">
        <v>5820</v>
      </c>
      <c r="B1042" s="5" t="s">
        <v>83</v>
      </c>
      <c r="C1042" s="5"/>
      <c r="D1042" s="5" t="s">
        <v>5819</v>
      </c>
      <c r="E1042" s="5" t="s">
        <v>150</v>
      </c>
      <c r="F1042" s="5" t="s">
        <v>5818</v>
      </c>
      <c r="G1042" s="5" t="s">
        <v>148</v>
      </c>
      <c r="H1042" s="5" t="s">
        <v>3</v>
      </c>
      <c r="I1042" s="5"/>
      <c r="J1042" s="5" t="s">
        <v>5817</v>
      </c>
    </row>
    <row r="1043" spans="1:10" ht="38.25" x14ac:dyDescent="0.2">
      <c r="A1043" s="5" t="s">
        <v>5816</v>
      </c>
      <c r="B1043" s="5" t="s">
        <v>83</v>
      </c>
      <c r="C1043" s="5"/>
      <c r="D1043" s="5" t="s">
        <v>5815</v>
      </c>
      <c r="E1043" s="5" t="s">
        <v>150</v>
      </c>
      <c r="F1043" s="5" t="s">
        <v>424</v>
      </c>
      <c r="G1043" s="5" t="s">
        <v>148</v>
      </c>
      <c r="H1043" s="5" t="s">
        <v>137</v>
      </c>
      <c r="I1043" s="5" t="s">
        <v>5811</v>
      </c>
      <c r="J1043" s="5" t="s">
        <v>5814</v>
      </c>
    </row>
    <row r="1044" spans="1:10" ht="38.25" x14ac:dyDescent="0.2">
      <c r="A1044" s="5" t="s">
        <v>5813</v>
      </c>
      <c r="B1044" s="5" t="s">
        <v>83</v>
      </c>
      <c r="C1044" s="5"/>
      <c r="D1044" s="5" t="s">
        <v>5812</v>
      </c>
      <c r="E1044" s="5"/>
      <c r="F1044" s="5" t="s">
        <v>424</v>
      </c>
      <c r="G1044" s="5" t="s">
        <v>170</v>
      </c>
      <c r="H1044" s="5" t="s">
        <v>137</v>
      </c>
      <c r="I1044" s="5" t="s">
        <v>5811</v>
      </c>
      <c r="J1044" s="5" t="s">
        <v>5810</v>
      </c>
    </row>
    <row r="1045" spans="1:10" ht="25.5" x14ac:dyDescent="0.2">
      <c r="A1045" s="5" t="s">
        <v>5809</v>
      </c>
      <c r="B1045" s="5" t="s">
        <v>83</v>
      </c>
      <c r="C1045" s="5"/>
      <c r="D1045" s="5" t="s">
        <v>5808</v>
      </c>
      <c r="E1045" s="5"/>
      <c r="F1045" s="5" t="s">
        <v>5794</v>
      </c>
      <c r="G1045" s="5" t="s">
        <v>382</v>
      </c>
      <c r="H1045" s="5" t="s">
        <v>3</v>
      </c>
      <c r="I1045" s="5"/>
      <c r="J1045" s="5" t="s">
        <v>5807</v>
      </c>
    </row>
    <row r="1046" spans="1:10" ht="25.5" x14ac:dyDescent="0.2">
      <c r="A1046" s="5" t="s">
        <v>5806</v>
      </c>
      <c r="B1046" s="5" t="s">
        <v>83</v>
      </c>
      <c r="C1046" s="5"/>
      <c r="D1046" s="5" t="s">
        <v>5805</v>
      </c>
      <c r="E1046" s="5"/>
      <c r="F1046" s="5" t="s">
        <v>5794</v>
      </c>
      <c r="G1046" s="5" t="s">
        <v>382</v>
      </c>
      <c r="H1046" s="5" t="s">
        <v>137</v>
      </c>
      <c r="I1046" s="5" t="s">
        <v>5801</v>
      </c>
      <c r="J1046" s="5" t="s">
        <v>5804</v>
      </c>
    </row>
    <row r="1047" spans="1:10" ht="25.5" x14ac:dyDescent="0.2">
      <c r="A1047" s="5" t="s">
        <v>5803</v>
      </c>
      <c r="B1047" s="5" t="s">
        <v>83</v>
      </c>
      <c r="C1047" s="5"/>
      <c r="D1047" s="5" t="s">
        <v>5802</v>
      </c>
      <c r="E1047" s="5" t="s">
        <v>150</v>
      </c>
      <c r="F1047" s="5" t="s">
        <v>5794</v>
      </c>
      <c r="G1047" s="5" t="s">
        <v>148</v>
      </c>
      <c r="H1047" s="5" t="s">
        <v>137</v>
      </c>
      <c r="I1047" s="5" t="s">
        <v>5801</v>
      </c>
      <c r="J1047" s="5" t="s">
        <v>5800</v>
      </c>
    </row>
    <row r="1048" spans="1:10" x14ac:dyDescent="0.2">
      <c r="A1048" s="5" t="s">
        <v>5799</v>
      </c>
      <c r="B1048" s="5" t="s">
        <v>83</v>
      </c>
      <c r="C1048" s="5"/>
      <c r="D1048" s="5" t="s">
        <v>5798</v>
      </c>
      <c r="E1048" s="5" t="s">
        <v>150</v>
      </c>
      <c r="F1048" s="5" t="s">
        <v>5794</v>
      </c>
      <c r="G1048" s="5" t="s">
        <v>148</v>
      </c>
      <c r="H1048" s="5" t="s">
        <v>3</v>
      </c>
      <c r="I1048" s="5"/>
      <c r="J1048" s="5" t="s">
        <v>5797</v>
      </c>
    </row>
    <row r="1049" spans="1:10" x14ac:dyDescent="0.2">
      <c r="A1049" s="5" t="s">
        <v>5796</v>
      </c>
      <c r="B1049" s="5" t="s">
        <v>83</v>
      </c>
      <c r="C1049" s="5"/>
      <c r="D1049" s="5" t="s">
        <v>5795</v>
      </c>
      <c r="E1049" s="5" t="s">
        <v>150</v>
      </c>
      <c r="F1049" s="5" t="s">
        <v>5794</v>
      </c>
      <c r="G1049" s="5" t="s">
        <v>148</v>
      </c>
      <c r="H1049" s="5" t="s">
        <v>3</v>
      </c>
      <c r="I1049" s="5"/>
      <c r="J1049" s="5" t="s">
        <v>5793</v>
      </c>
    </row>
    <row r="1050" spans="1:10" ht="25.5" x14ac:dyDescent="0.2">
      <c r="A1050" s="5" t="s">
        <v>5792</v>
      </c>
      <c r="B1050" s="5" t="s">
        <v>83</v>
      </c>
      <c r="C1050" s="5"/>
      <c r="D1050" s="5" t="s">
        <v>5791</v>
      </c>
      <c r="E1050" s="5" t="s">
        <v>150</v>
      </c>
      <c r="F1050" s="5" t="s">
        <v>424</v>
      </c>
      <c r="G1050" s="5" t="s">
        <v>148</v>
      </c>
      <c r="H1050" s="5" t="s">
        <v>137</v>
      </c>
      <c r="I1050" s="5" t="s">
        <v>5787</v>
      </c>
      <c r="J1050" s="5" t="s">
        <v>5790</v>
      </c>
    </row>
    <row r="1051" spans="1:10" ht="25.5" x14ac:dyDescent="0.2">
      <c r="A1051" s="5" t="s">
        <v>5789</v>
      </c>
      <c r="B1051" s="5" t="s">
        <v>83</v>
      </c>
      <c r="C1051" s="5"/>
      <c r="D1051" s="5" t="s">
        <v>5788</v>
      </c>
      <c r="E1051" s="5"/>
      <c r="F1051" s="5" t="s">
        <v>424</v>
      </c>
      <c r="G1051" s="5" t="s">
        <v>170</v>
      </c>
      <c r="H1051" s="5" t="s">
        <v>137</v>
      </c>
      <c r="I1051" s="5" t="s">
        <v>5787</v>
      </c>
      <c r="J1051" s="5" t="s">
        <v>5786</v>
      </c>
    </row>
    <row r="1052" spans="1:10" x14ac:dyDescent="0.2">
      <c r="A1052" s="5" t="s">
        <v>5785</v>
      </c>
      <c r="B1052" s="5" t="s">
        <v>83</v>
      </c>
      <c r="C1052" s="5"/>
      <c r="D1052" s="5" t="s">
        <v>5784</v>
      </c>
      <c r="E1052" s="5"/>
      <c r="F1052" s="5" t="s">
        <v>5783</v>
      </c>
      <c r="G1052" s="5" t="s">
        <v>502</v>
      </c>
      <c r="H1052" s="5" t="s">
        <v>3</v>
      </c>
      <c r="I1052" s="5"/>
      <c r="J1052" s="5"/>
    </row>
    <row r="1053" spans="1:10" x14ac:dyDescent="0.2">
      <c r="A1053" s="5" t="s">
        <v>5782</v>
      </c>
      <c r="B1053" s="5" t="s">
        <v>83</v>
      </c>
      <c r="C1053" s="5"/>
      <c r="D1053" s="5" t="s">
        <v>5781</v>
      </c>
      <c r="E1053" s="5"/>
      <c r="F1053" s="5" t="s">
        <v>5780</v>
      </c>
      <c r="G1053" s="5" t="s">
        <v>382</v>
      </c>
      <c r="H1053" s="5" t="s">
        <v>3</v>
      </c>
      <c r="I1053" s="5"/>
      <c r="J1053" s="5" t="s">
        <v>5779</v>
      </c>
    </row>
    <row r="1054" spans="1:10" x14ac:dyDescent="0.2">
      <c r="A1054" s="5" t="s">
        <v>5778</v>
      </c>
      <c r="B1054" s="5" t="s">
        <v>83</v>
      </c>
      <c r="C1054" s="5"/>
      <c r="D1054" s="5" t="s">
        <v>5774</v>
      </c>
      <c r="E1054" s="5"/>
      <c r="F1054" s="5" t="s">
        <v>5777</v>
      </c>
      <c r="G1054" s="5" t="s">
        <v>122</v>
      </c>
      <c r="H1054" s="5" t="s">
        <v>3</v>
      </c>
      <c r="I1054" s="5"/>
      <c r="J1054" s="5" t="s">
        <v>5776</v>
      </c>
    </row>
    <row r="1055" spans="1:10" ht="25.5" x14ac:dyDescent="0.2">
      <c r="A1055" s="5" t="s">
        <v>5775</v>
      </c>
      <c r="B1055" s="5" t="s">
        <v>83</v>
      </c>
      <c r="C1055" s="5"/>
      <c r="D1055" s="5" t="s">
        <v>5774</v>
      </c>
      <c r="E1055" s="5"/>
      <c r="F1055" s="5" t="s">
        <v>5773</v>
      </c>
      <c r="G1055" s="5" t="s">
        <v>122</v>
      </c>
      <c r="H1055" s="5" t="s">
        <v>3</v>
      </c>
      <c r="I1055" s="5"/>
      <c r="J1055" s="5" t="s">
        <v>5772</v>
      </c>
    </row>
    <row r="1056" spans="1:10" x14ac:dyDescent="0.2">
      <c r="A1056" s="5" t="s">
        <v>5771</v>
      </c>
      <c r="B1056" s="5" t="s">
        <v>83</v>
      </c>
      <c r="C1056" s="5"/>
      <c r="D1056" s="5" t="s">
        <v>5770</v>
      </c>
      <c r="E1056" s="5"/>
      <c r="F1056" s="5" t="s">
        <v>5615</v>
      </c>
      <c r="G1056" s="5" t="s">
        <v>382</v>
      </c>
      <c r="H1056" s="5" t="s">
        <v>3</v>
      </c>
      <c r="I1056" s="5"/>
      <c r="J1056" s="5" t="s">
        <v>5769</v>
      </c>
    </row>
    <row r="1057" spans="1:10" x14ac:dyDescent="0.2">
      <c r="A1057" s="5" t="s">
        <v>5768</v>
      </c>
      <c r="B1057" s="5" t="s">
        <v>83</v>
      </c>
      <c r="C1057" s="5"/>
      <c r="D1057" s="5" t="s">
        <v>5767</v>
      </c>
      <c r="E1057" s="5"/>
      <c r="F1057" s="5" t="s">
        <v>5615</v>
      </c>
      <c r="G1057" s="5" t="s">
        <v>382</v>
      </c>
      <c r="H1057" s="5" t="s">
        <v>137</v>
      </c>
      <c r="I1057" s="5" t="s">
        <v>5622</v>
      </c>
      <c r="J1057" s="5" t="s">
        <v>5766</v>
      </c>
    </row>
    <row r="1058" spans="1:10" ht="25.5" x14ac:dyDescent="0.2">
      <c r="A1058" s="5" t="s">
        <v>5765</v>
      </c>
      <c r="B1058" s="5" t="s">
        <v>83</v>
      </c>
      <c r="C1058" s="5"/>
      <c r="D1058" s="5" t="s">
        <v>5764</v>
      </c>
      <c r="E1058" s="5"/>
      <c r="F1058" s="5" t="s">
        <v>5747</v>
      </c>
      <c r="G1058" s="5" t="s">
        <v>382</v>
      </c>
      <c r="H1058" s="5" t="s">
        <v>3</v>
      </c>
      <c r="I1058" s="5"/>
      <c r="J1058" s="5" t="s">
        <v>5763</v>
      </c>
    </row>
    <row r="1059" spans="1:10" ht="25.5" x14ac:dyDescent="0.2">
      <c r="A1059" s="5" t="s">
        <v>5762</v>
      </c>
      <c r="B1059" s="5" t="s">
        <v>83</v>
      </c>
      <c r="C1059" s="5"/>
      <c r="D1059" s="5" t="s">
        <v>5761</v>
      </c>
      <c r="E1059" s="5"/>
      <c r="F1059" s="5" t="s">
        <v>5747</v>
      </c>
      <c r="G1059" s="5" t="s">
        <v>382</v>
      </c>
      <c r="H1059" s="5" t="s">
        <v>137</v>
      </c>
      <c r="I1059" s="5" t="s">
        <v>5760</v>
      </c>
      <c r="J1059" s="5" t="s">
        <v>5759</v>
      </c>
    </row>
    <row r="1060" spans="1:10" ht="25.5" x14ac:dyDescent="0.2">
      <c r="A1060" s="5" t="s">
        <v>5758</v>
      </c>
      <c r="B1060" s="5" t="s">
        <v>83</v>
      </c>
      <c r="C1060" s="5"/>
      <c r="D1060" s="5" t="s">
        <v>5757</v>
      </c>
      <c r="E1060" s="5"/>
      <c r="F1060" s="5" t="s">
        <v>5736</v>
      </c>
      <c r="G1060" s="5" t="s">
        <v>382</v>
      </c>
      <c r="H1060" s="5" t="s">
        <v>3</v>
      </c>
      <c r="I1060" s="5"/>
      <c r="J1060" s="5" t="s">
        <v>5756</v>
      </c>
    </row>
    <row r="1061" spans="1:10" ht="25.5" x14ac:dyDescent="0.2">
      <c r="A1061" s="5" t="s">
        <v>5755</v>
      </c>
      <c r="B1061" s="5" t="s">
        <v>83</v>
      </c>
      <c r="C1061" s="5"/>
      <c r="D1061" s="5" t="s">
        <v>5754</v>
      </c>
      <c r="E1061" s="5"/>
      <c r="F1061" s="5" t="s">
        <v>5736</v>
      </c>
      <c r="G1061" s="5" t="s">
        <v>382</v>
      </c>
      <c r="H1061" s="5" t="s">
        <v>137</v>
      </c>
      <c r="I1061" s="5" t="s">
        <v>5743</v>
      </c>
      <c r="J1061" s="5" t="s">
        <v>5753</v>
      </c>
    </row>
    <row r="1062" spans="1:10" x14ac:dyDescent="0.2">
      <c r="A1062" s="5" t="s">
        <v>5752</v>
      </c>
      <c r="B1062" s="5" t="s">
        <v>83</v>
      </c>
      <c r="C1062" s="5"/>
      <c r="D1062" s="5" t="s">
        <v>5751</v>
      </c>
      <c r="E1062" s="5" t="s">
        <v>150</v>
      </c>
      <c r="F1062" s="5" t="s">
        <v>5747</v>
      </c>
      <c r="G1062" s="5" t="s">
        <v>148</v>
      </c>
      <c r="H1062" s="5" t="s">
        <v>3</v>
      </c>
      <c r="I1062" s="5"/>
      <c r="J1062" s="5" t="s">
        <v>5750</v>
      </c>
    </row>
    <row r="1063" spans="1:10" x14ac:dyDescent="0.2">
      <c r="A1063" s="5" t="s">
        <v>5749</v>
      </c>
      <c r="B1063" s="5" t="s">
        <v>83</v>
      </c>
      <c r="C1063" s="5"/>
      <c r="D1063" s="5" t="s">
        <v>5748</v>
      </c>
      <c r="E1063" s="5" t="s">
        <v>150</v>
      </c>
      <c r="F1063" s="5" t="s">
        <v>5747</v>
      </c>
      <c r="G1063" s="5" t="s">
        <v>148</v>
      </c>
      <c r="H1063" s="5" t="s">
        <v>3</v>
      </c>
      <c r="I1063" s="5"/>
      <c r="J1063" s="5" t="s">
        <v>5746</v>
      </c>
    </row>
    <row r="1064" spans="1:10" ht="25.5" x14ac:dyDescent="0.2">
      <c r="A1064" s="5" t="s">
        <v>5745</v>
      </c>
      <c r="B1064" s="5" t="s">
        <v>83</v>
      </c>
      <c r="C1064" s="5"/>
      <c r="D1064" s="5" t="s">
        <v>5744</v>
      </c>
      <c r="E1064" s="5" t="s">
        <v>150</v>
      </c>
      <c r="F1064" s="5" t="s">
        <v>5736</v>
      </c>
      <c r="G1064" s="5" t="s">
        <v>148</v>
      </c>
      <c r="H1064" s="5" t="s">
        <v>137</v>
      </c>
      <c r="I1064" s="5" t="s">
        <v>5743</v>
      </c>
      <c r="J1064" s="5" t="s">
        <v>5742</v>
      </c>
    </row>
    <row r="1065" spans="1:10" x14ac:dyDescent="0.2">
      <c r="A1065" s="5" t="s">
        <v>5741</v>
      </c>
      <c r="B1065" s="5" t="s">
        <v>83</v>
      </c>
      <c r="C1065" s="5"/>
      <c r="D1065" s="5" t="s">
        <v>5740</v>
      </c>
      <c r="E1065" s="5" t="s">
        <v>150</v>
      </c>
      <c r="F1065" s="5" t="s">
        <v>5736</v>
      </c>
      <c r="G1065" s="5" t="s">
        <v>148</v>
      </c>
      <c r="H1065" s="5" t="s">
        <v>3</v>
      </c>
      <c r="I1065" s="5"/>
      <c r="J1065" s="5" t="s">
        <v>5739</v>
      </c>
    </row>
    <row r="1066" spans="1:10" x14ac:dyDescent="0.2">
      <c r="A1066" s="5" t="s">
        <v>5738</v>
      </c>
      <c r="B1066" s="5" t="s">
        <v>83</v>
      </c>
      <c r="C1066" s="5"/>
      <c r="D1066" s="5" t="s">
        <v>5737</v>
      </c>
      <c r="E1066" s="5" t="s">
        <v>150</v>
      </c>
      <c r="F1066" s="5" t="s">
        <v>5736</v>
      </c>
      <c r="G1066" s="5" t="s">
        <v>148</v>
      </c>
      <c r="H1066" s="5" t="s">
        <v>3</v>
      </c>
      <c r="I1066" s="5"/>
      <c r="J1066" s="5" t="s">
        <v>5735</v>
      </c>
    </row>
    <row r="1067" spans="1:10" ht="25.5" x14ac:dyDescent="0.2">
      <c r="A1067" s="5" t="s">
        <v>5734</v>
      </c>
      <c r="B1067" s="5" t="s">
        <v>83</v>
      </c>
      <c r="C1067" s="5"/>
      <c r="D1067" s="5" t="s">
        <v>5733</v>
      </c>
      <c r="E1067" s="5" t="s">
        <v>150</v>
      </c>
      <c r="F1067" s="5" t="s">
        <v>424</v>
      </c>
      <c r="G1067" s="5" t="s">
        <v>148</v>
      </c>
      <c r="H1067" s="5" t="s">
        <v>137</v>
      </c>
      <c r="I1067" s="5" t="s">
        <v>5729</v>
      </c>
      <c r="J1067" s="5" t="s">
        <v>5732</v>
      </c>
    </row>
    <row r="1068" spans="1:10" ht="25.5" x14ac:dyDescent="0.2">
      <c r="A1068" s="5" t="s">
        <v>5731</v>
      </c>
      <c r="B1068" s="5" t="s">
        <v>83</v>
      </c>
      <c r="C1068" s="5"/>
      <c r="D1068" s="5" t="s">
        <v>5730</v>
      </c>
      <c r="E1068" s="5"/>
      <c r="F1068" s="5" t="s">
        <v>424</v>
      </c>
      <c r="G1068" s="5" t="s">
        <v>170</v>
      </c>
      <c r="H1068" s="5" t="s">
        <v>137</v>
      </c>
      <c r="I1068" s="5" t="s">
        <v>5729</v>
      </c>
      <c r="J1068" s="5" t="s">
        <v>5728</v>
      </c>
    </row>
    <row r="1069" spans="1:10" ht="25.5" x14ac:dyDescent="0.2">
      <c r="A1069" s="5" t="s">
        <v>5727</v>
      </c>
      <c r="B1069" s="5" t="s">
        <v>83</v>
      </c>
      <c r="C1069" s="5"/>
      <c r="D1069" s="5" t="s">
        <v>5726</v>
      </c>
      <c r="E1069" s="5"/>
      <c r="F1069" s="5" t="s">
        <v>5712</v>
      </c>
      <c r="G1069" s="5" t="s">
        <v>382</v>
      </c>
      <c r="H1069" s="5" t="s">
        <v>3</v>
      </c>
      <c r="I1069" s="5"/>
      <c r="J1069" s="5" t="s">
        <v>5725</v>
      </c>
    </row>
    <row r="1070" spans="1:10" ht="25.5" x14ac:dyDescent="0.2">
      <c r="A1070" s="5" t="s">
        <v>5724</v>
      </c>
      <c r="B1070" s="5" t="s">
        <v>83</v>
      </c>
      <c r="C1070" s="5"/>
      <c r="D1070" s="5" t="s">
        <v>5723</v>
      </c>
      <c r="E1070" s="5"/>
      <c r="F1070" s="5" t="s">
        <v>5712</v>
      </c>
      <c r="G1070" s="5" t="s">
        <v>382</v>
      </c>
      <c r="H1070" s="5" t="s">
        <v>137</v>
      </c>
      <c r="I1070" s="5" t="s">
        <v>5719</v>
      </c>
      <c r="J1070" s="5" t="s">
        <v>5722</v>
      </c>
    </row>
    <row r="1071" spans="1:10" ht="25.5" x14ac:dyDescent="0.2">
      <c r="A1071" s="5" t="s">
        <v>5721</v>
      </c>
      <c r="B1071" s="5" t="s">
        <v>83</v>
      </c>
      <c r="C1071" s="5"/>
      <c r="D1071" s="5" t="s">
        <v>5720</v>
      </c>
      <c r="E1071" s="5" t="s">
        <v>150</v>
      </c>
      <c r="F1071" s="5" t="s">
        <v>5712</v>
      </c>
      <c r="G1071" s="5" t="s">
        <v>148</v>
      </c>
      <c r="H1071" s="5" t="s">
        <v>137</v>
      </c>
      <c r="I1071" s="5" t="s">
        <v>5719</v>
      </c>
      <c r="J1071" s="5" t="s">
        <v>5718</v>
      </c>
    </row>
    <row r="1072" spans="1:10" x14ac:dyDescent="0.2">
      <c r="A1072" s="5" t="s">
        <v>5717</v>
      </c>
      <c r="B1072" s="5" t="s">
        <v>83</v>
      </c>
      <c r="C1072" s="5"/>
      <c r="D1072" s="5" t="s">
        <v>5716</v>
      </c>
      <c r="E1072" s="5" t="s">
        <v>150</v>
      </c>
      <c r="F1072" s="5" t="s">
        <v>5712</v>
      </c>
      <c r="G1072" s="5" t="s">
        <v>148</v>
      </c>
      <c r="H1072" s="5" t="s">
        <v>3</v>
      </c>
      <c r="I1072" s="5"/>
      <c r="J1072" s="5" t="s">
        <v>5715</v>
      </c>
    </row>
    <row r="1073" spans="1:10" x14ac:dyDescent="0.2">
      <c r="A1073" s="5" t="s">
        <v>5714</v>
      </c>
      <c r="B1073" s="5" t="s">
        <v>83</v>
      </c>
      <c r="C1073" s="5"/>
      <c r="D1073" s="5" t="s">
        <v>5713</v>
      </c>
      <c r="E1073" s="5" t="s">
        <v>150</v>
      </c>
      <c r="F1073" s="5" t="s">
        <v>5712</v>
      </c>
      <c r="G1073" s="5" t="s">
        <v>148</v>
      </c>
      <c r="H1073" s="5" t="s">
        <v>3</v>
      </c>
      <c r="I1073" s="5"/>
      <c r="J1073" s="5" t="s">
        <v>5711</v>
      </c>
    </row>
    <row r="1074" spans="1:10" ht="25.5" x14ac:dyDescent="0.2">
      <c r="A1074" s="5" t="s">
        <v>5710</v>
      </c>
      <c r="B1074" s="5" t="s">
        <v>83</v>
      </c>
      <c r="C1074" s="5"/>
      <c r="D1074" s="5" t="s">
        <v>5709</v>
      </c>
      <c r="E1074" s="5" t="s">
        <v>150</v>
      </c>
      <c r="F1074" s="5" t="s">
        <v>424</v>
      </c>
      <c r="G1074" s="5" t="s">
        <v>148</v>
      </c>
      <c r="H1074" s="5" t="s">
        <v>137</v>
      </c>
      <c r="I1074" s="5" t="s">
        <v>5705</v>
      </c>
      <c r="J1074" s="5" t="s">
        <v>5708</v>
      </c>
    </row>
    <row r="1075" spans="1:10" ht="25.5" x14ac:dyDescent="0.2">
      <c r="A1075" s="5" t="s">
        <v>5707</v>
      </c>
      <c r="B1075" s="5" t="s">
        <v>83</v>
      </c>
      <c r="C1075" s="5"/>
      <c r="D1075" s="5" t="s">
        <v>5706</v>
      </c>
      <c r="E1075" s="5"/>
      <c r="F1075" s="5" t="s">
        <v>424</v>
      </c>
      <c r="G1075" s="5" t="s">
        <v>170</v>
      </c>
      <c r="H1075" s="5" t="s">
        <v>137</v>
      </c>
      <c r="I1075" s="5" t="s">
        <v>5705</v>
      </c>
      <c r="J1075" s="5" t="s">
        <v>5704</v>
      </c>
    </row>
    <row r="1076" spans="1:10" ht="25.5" x14ac:dyDescent="0.2">
      <c r="A1076" s="5" t="s">
        <v>5703</v>
      </c>
      <c r="B1076" s="5" t="s">
        <v>83</v>
      </c>
      <c r="C1076" s="5"/>
      <c r="D1076" s="5" t="s">
        <v>5702</v>
      </c>
      <c r="E1076" s="5"/>
      <c r="F1076" s="5" t="s">
        <v>5688</v>
      </c>
      <c r="G1076" s="5" t="s">
        <v>382</v>
      </c>
      <c r="H1076" s="5" t="s">
        <v>3</v>
      </c>
      <c r="I1076" s="5"/>
      <c r="J1076" s="5" t="s">
        <v>5701</v>
      </c>
    </row>
    <row r="1077" spans="1:10" ht="25.5" x14ac:dyDescent="0.2">
      <c r="A1077" s="5" t="s">
        <v>5700</v>
      </c>
      <c r="B1077" s="5" t="s">
        <v>83</v>
      </c>
      <c r="C1077" s="5"/>
      <c r="D1077" s="5" t="s">
        <v>5699</v>
      </c>
      <c r="E1077" s="5"/>
      <c r="F1077" s="5" t="s">
        <v>5688</v>
      </c>
      <c r="G1077" s="5" t="s">
        <v>382</v>
      </c>
      <c r="H1077" s="5" t="s">
        <v>137</v>
      </c>
      <c r="I1077" s="5" t="s">
        <v>5695</v>
      </c>
      <c r="J1077" s="5" t="s">
        <v>5698</v>
      </c>
    </row>
    <row r="1078" spans="1:10" ht="25.5" x14ac:dyDescent="0.2">
      <c r="A1078" s="5" t="s">
        <v>5697</v>
      </c>
      <c r="B1078" s="5" t="s">
        <v>83</v>
      </c>
      <c r="C1078" s="5"/>
      <c r="D1078" s="5" t="s">
        <v>5696</v>
      </c>
      <c r="E1078" s="5" t="s">
        <v>150</v>
      </c>
      <c r="F1078" s="5" t="s">
        <v>5688</v>
      </c>
      <c r="G1078" s="5" t="s">
        <v>148</v>
      </c>
      <c r="H1078" s="5" t="s">
        <v>137</v>
      </c>
      <c r="I1078" s="5" t="s">
        <v>5695</v>
      </c>
      <c r="J1078" s="5" t="s">
        <v>5694</v>
      </c>
    </row>
    <row r="1079" spans="1:10" x14ac:dyDescent="0.2">
      <c r="A1079" s="5" t="s">
        <v>5693</v>
      </c>
      <c r="B1079" s="5" t="s">
        <v>83</v>
      </c>
      <c r="C1079" s="5"/>
      <c r="D1079" s="5" t="s">
        <v>5692</v>
      </c>
      <c r="E1079" s="5" t="s">
        <v>150</v>
      </c>
      <c r="F1079" s="5" t="s">
        <v>5688</v>
      </c>
      <c r="G1079" s="5" t="s">
        <v>148</v>
      </c>
      <c r="H1079" s="5" t="s">
        <v>3</v>
      </c>
      <c r="I1079" s="5"/>
      <c r="J1079" s="5" t="s">
        <v>5691</v>
      </c>
    </row>
    <row r="1080" spans="1:10" x14ac:dyDescent="0.2">
      <c r="A1080" s="5" t="s">
        <v>5690</v>
      </c>
      <c r="B1080" s="5" t="s">
        <v>83</v>
      </c>
      <c r="C1080" s="5"/>
      <c r="D1080" s="5" t="s">
        <v>5689</v>
      </c>
      <c r="E1080" s="5" t="s">
        <v>150</v>
      </c>
      <c r="F1080" s="5" t="s">
        <v>5688</v>
      </c>
      <c r="G1080" s="5" t="s">
        <v>148</v>
      </c>
      <c r="H1080" s="5" t="s">
        <v>3</v>
      </c>
      <c r="I1080" s="5"/>
      <c r="J1080" s="5" t="s">
        <v>5687</v>
      </c>
    </row>
    <row r="1081" spans="1:10" ht="25.5" x14ac:dyDescent="0.2">
      <c r="A1081" s="5" t="s">
        <v>5686</v>
      </c>
      <c r="B1081" s="5" t="s">
        <v>83</v>
      </c>
      <c r="C1081" s="5"/>
      <c r="D1081" s="5" t="s">
        <v>5685</v>
      </c>
      <c r="E1081" s="5" t="s">
        <v>150</v>
      </c>
      <c r="F1081" s="5" t="s">
        <v>424</v>
      </c>
      <c r="G1081" s="5" t="s">
        <v>148</v>
      </c>
      <c r="H1081" s="5" t="s">
        <v>137</v>
      </c>
      <c r="I1081" s="5" t="s">
        <v>5681</v>
      </c>
      <c r="J1081" s="5" t="s">
        <v>5684</v>
      </c>
    </row>
    <row r="1082" spans="1:10" ht="25.5" x14ac:dyDescent="0.2">
      <c r="A1082" s="5" t="s">
        <v>5683</v>
      </c>
      <c r="B1082" s="5" t="s">
        <v>83</v>
      </c>
      <c r="C1082" s="5"/>
      <c r="D1082" s="5" t="s">
        <v>5682</v>
      </c>
      <c r="E1082" s="5"/>
      <c r="F1082" s="5" t="s">
        <v>424</v>
      </c>
      <c r="G1082" s="5" t="s">
        <v>170</v>
      </c>
      <c r="H1082" s="5" t="s">
        <v>137</v>
      </c>
      <c r="I1082" s="5" t="s">
        <v>5681</v>
      </c>
      <c r="J1082" s="5" t="s">
        <v>5680</v>
      </c>
    </row>
    <row r="1083" spans="1:10" ht="25.5" x14ac:dyDescent="0.2">
      <c r="A1083" s="5" t="s">
        <v>5679</v>
      </c>
      <c r="B1083" s="5" t="s">
        <v>83</v>
      </c>
      <c r="C1083" s="5"/>
      <c r="D1083" s="5" t="s">
        <v>5678</v>
      </c>
      <c r="E1083" s="5"/>
      <c r="F1083" s="5" t="s">
        <v>424</v>
      </c>
      <c r="G1083" s="5" t="s">
        <v>170</v>
      </c>
      <c r="H1083" s="5" t="s">
        <v>137</v>
      </c>
      <c r="I1083" s="5" t="s">
        <v>5677</v>
      </c>
      <c r="J1083" s="5" t="s">
        <v>5676</v>
      </c>
    </row>
    <row r="1084" spans="1:10" ht="25.5" x14ac:dyDescent="0.2">
      <c r="A1084" s="5" t="s">
        <v>5675</v>
      </c>
      <c r="B1084" s="5" t="s">
        <v>83</v>
      </c>
      <c r="C1084" s="5"/>
      <c r="D1084" s="5" t="s">
        <v>5674</v>
      </c>
      <c r="E1084" s="5"/>
      <c r="F1084" s="5" t="s">
        <v>5660</v>
      </c>
      <c r="G1084" s="5" t="s">
        <v>382</v>
      </c>
      <c r="H1084" s="5" t="s">
        <v>3</v>
      </c>
      <c r="I1084" s="5"/>
      <c r="J1084" s="5" t="s">
        <v>5673</v>
      </c>
    </row>
    <row r="1085" spans="1:10" ht="25.5" x14ac:dyDescent="0.2">
      <c r="A1085" s="5" t="s">
        <v>5672</v>
      </c>
      <c r="B1085" s="5" t="s">
        <v>83</v>
      </c>
      <c r="C1085" s="5"/>
      <c r="D1085" s="5" t="s">
        <v>5671</v>
      </c>
      <c r="E1085" s="5"/>
      <c r="F1085" s="5" t="s">
        <v>5660</v>
      </c>
      <c r="G1085" s="5" t="s">
        <v>382</v>
      </c>
      <c r="H1085" s="5" t="s">
        <v>137</v>
      </c>
      <c r="I1085" s="5" t="s">
        <v>5667</v>
      </c>
      <c r="J1085" s="5" t="s">
        <v>5670</v>
      </c>
    </row>
    <row r="1086" spans="1:10" ht="25.5" x14ac:dyDescent="0.2">
      <c r="A1086" s="5" t="s">
        <v>5669</v>
      </c>
      <c r="B1086" s="5" t="s">
        <v>83</v>
      </c>
      <c r="C1086" s="5"/>
      <c r="D1086" s="5" t="s">
        <v>5668</v>
      </c>
      <c r="E1086" s="5" t="s">
        <v>150</v>
      </c>
      <c r="F1086" s="5" t="s">
        <v>5660</v>
      </c>
      <c r="G1086" s="5" t="s">
        <v>148</v>
      </c>
      <c r="H1086" s="5" t="s">
        <v>137</v>
      </c>
      <c r="I1086" s="5" t="s">
        <v>5667</v>
      </c>
      <c r="J1086" s="5" t="s">
        <v>5666</v>
      </c>
    </row>
    <row r="1087" spans="1:10" x14ac:dyDescent="0.2">
      <c r="A1087" s="5" t="s">
        <v>5665</v>
      </c>
      <c r="B1087" s="5" t="s">
        <v>83</v>
      </c>
      <c r="C1087" s="5"/>
      <c r="D1087" s="5" t="s">
        <v>5664</v>
      </c>
      <c r="E1087" s="5" t="s">
        <v>150</v>
      </c>
      <c r="F1087" s="5" t="s">
        <v>5660</v>
      </c>
      <c r="G1087" s="5" t="s">
        <v>148</v>
      </c>
      <c r="H1087" s="5" t="s">
        <v>3</v>
      </c>
      <c r="I1087" s="5"/>
      <c r="J1087" s="5" t="s">
        <v>5663</v>
      </c>
    </row>
    <row r="1088" spans="1:10" x14ac:dyDescent="0.2">
      <c r="A1088" s="5" t="s">
        <v>5662</v>
      </c>
      <c r="B1088" s="5" t="s">
        <v>83</v>
      </c>
      <c r="C1088" s="5"/>
      <c r="D1088" s="5" t="s">
        <v>5661</v>
      </c>
      <c r="E1088" s="5" t="s">
        <v>150</v>
      </c>
      <c r="F1088" s="5" t="s">
        <v>5660</v>
      </c>
      <c r="G1088" s="5" t="s">
        <v>148</v>
      </c>
      <c r="H1088" s="5" t="s">
        <v>3</v>
      </c>
      <c r="I1088" s="5"/>
      <c r="J1088" s="5" t="s">
        <v>5659</v>
      </c>
    </row>
    <row r="1089" spans="1:10" ht="25.5" x14ac:dyDescent="0.2">
      <c r="A1089" s="5" t="s">
        <v>5658</v>
      </c>
      <c r="B1089" s="5" t="s">
        <v>83</v>
      </c>
      <c r="C1089" s="5"/>
      <c r="D1089" s="5" t="s">
        <v>5657</v>
      </c>
      <c r="E1089" s="5" t="s">
        <v>150</v>
      </c>
      <c r="F1089" s="5" t="s">
        <v>424</v>
      </c>
      <c r="G1089" s="5" t="s">
        <v>148</v>
      </c>
      <c r="H1089" s="5" t="s">
        <v>137</v>
      </c>
      <c r="I1089" s="5" t="s">
        <v>5653</v>
      </c>
      <c r="J1089" s="5" t="s">
        <v>5656</v>
      </c>
    </row>
    <row r="1090" spans="1:10" ht="25.5" x14ac:dyDescent="0.2">
      <c r="A1090" s="5" t="s">
        <v>5655</v>
      </c>
      <c r="B1090" s="5" t="s">
        <v>83</v>
      </c>
      <c r="C1090" s="5"/>
      <c r="D1090" s="5" t="s">
        <v>5654</v>
      </c>
      <c r="E1090" s="5"/>
      <c r="F1090" s="5" t="s">
        <v>424</v>
      </c>
      <c r="G1090" s="5" t="s">
        <v>170</v>
      </c>
      <c r="H1090" s="5" t="s">
        <v>137</v>
      </c>
      <c r="I1090" s="5" t="s">
        <v>5653</v>
      </c>
      <c r="J1090" s="5" t="s">
        <v>5652</v>
      </c>
    </row>
    <row r="1091" spans="1:10" ht="25.5" x14ac:dyDescent="0.2">
      <c r="A1091" s="5" t="s">
        <v>5651</v>
      </c>
      <c r="B1091" s="5" t="s">
        <v>83</v>
      </c>
      <c r="C1091" s="5"/>
      <c r="D1091" s="5" t="s">
        <v>5650</v>
      </c>
      <c r="E1091" s="5"/>
      <c r="F1091" s="5" t="s">
        <v>5636</v>
      </c>
      <c r="G1091" s="5" t="s">
        <v>382</v>
      </c>
      <c r="H1091" s="5" t="s">
        <v>3</v>
      </c>
      <c r="I1091" s="5"/>
      <c r="J1091" s="5" t="s">
        <v>5649</v>
      </c>
    </row>
    <row r="1092" spans="1:10" ht="25.5" x14ac:dyDescent="0.2">
      <c r="A1092" s="5" t="s">
        <v>5648</v>
      </c>
      <c r="B1092" s="5" t="s">
        <v>83</v>
      </c>
      <c r="C1092" s="5"/>
      <c r="D1092" s="5" t="s">
        <v>5647</v>
      </c>
      <c r="E1092" s="5"/>
      <c r="F1092" s="5" t="s">
        <v>5636</v>
      </c>
      <c r="G1092" s="5" t="s">
        <v>382</v>
      </c>
      <c r="H1092" s="5" t="s">
        <v>137</v>
      </c>
      <c r="I1092" s="5" t="s">
        <v>5643</v>
      </c>
      <c r="J1092" s="5" t="s">
        <v>5646</v>
      </c>
    </row>
    <row r="1093" spans="1:10" ht="25.5" x14ac:dyDescent="0.2">
      <c r="A1093" s="5" t="s">
        <v>5645</v>
      </c>
      <c r="B1093" s="5" t="s">
        <v>83</v>
      </c>
      <c r="C1093" s="5"/>
      <c r="D1093" s="5" t="s">
        <v>5644</v>
      </c>
      <c r="E1093" s="5" t="s">
        <v>150</v>
      </c>
      <c r="F1093" s="5" t="s">
        <v>5636</v>
      </c>
      <c r="G1093" s="5" t="s">
        <v>148</v>
      </c>
      <c r="H1093" s="5" t="s">
        <v>137</v>
      </c>
      <c r="I1093" s="5" t="s">
        <v>5643</v>
      </c>
      <c r="J1093" s="5" t="s">
        <v>5642</v>
      </c>
    </row>
    <row r="1094" spans="1:10" x14ac:dyDescent="0.2">
      <c r="A1094" s="5" t="s">
        <v>5641</v>
      </c>
      <c r="B1094" s="5" t="s">
        <v>83</v>
      </c>
      <c r="C1094" s="5"/>
      <c r="D1094" s="5" t="s">
        <v>5640</v>
      </c>
      <c r="E1094" s="5" t="s">
        <v>150</v>
      </c>
      <c r="F1094" s="5" t="s">
        <v>5636</v>
      </c>
      <c r="G1094" s="5" t="s">
        <v>148</v>
      </c>
      <c r="H1094" s="5" t="s">
        <v>3</v>
      </c>
      <c r="I1094" s="5"/>
      <c r="J1094" s="5" t="s">
        <v>5639</v>
      </c>
    </row>
    <row r="1095" spans="1:10" x14ac:dyDescent="0.2">
      <c r="A1095" s="5" t="s">
        <v>5638</v>
      </c>
      <c r="B1095" s="5" t="s">
        <v>83</v>
      </c>
      <c r="C1095" s="5"/>
      <c r="D1095" s="5" t="s">
        <v>5637</v>
      </c>
      <c r="E1095" s="5" t="s">
        <v>150</v>
      </c>
      <c r="F1095" s="5" t="s">
        <v>5636</v>
      </c>
      <c r="G1095" s="5" t="s">
        <v>148</v>
      </c>
      <c r="H1095" s="5" t="s">
        <v>3</v>
      </c>
      <c r="I1095" s="5"/>
      <c r="J1095" s="5" t="s">
        <v>5635</v>
      </c>
    </row>
    <row r="1096" spans="1:10" ht="25.5" x14ac:dyDescent="0.2">
      <c r="A1096" s="5" t="s">
        <v>5634</v>
      </c>
      <c r="B1096" s="5" t="s">
        <v>83</v>
      </c>
      <c r="C1096" s="5"/>
      <c r="D1096" s="5" t="s">
        <v>5633</v>
      </c>
      <c r="E1096" s="5" t="s">
        <v>150</v>
      </c>
      <c r="F1096" s="5" t="s">
        <v>424</v>
      </c>
      <c r="G1096" s="5" t="s">
        <v>148</v>
      </c>
      <c r="H1096" s="5" t="s">
        <v>137</v>
      </c>
      <c r="I1096" s="5" t="s">
        <v>5629</v>
      </c>
      <c r="J1096" s="5" t="s">
        <v>5632</v>
      </c>
    </row>
    <row r="1097" spans="1:10" ht="25.5" x14ac:dyDescent="0.2">
      <c r="A1097" s="5" t="s">
        <v>5631</v>
      </c>
      <c r="B1097" s="5" t="s">
        <v>83</v>
      </c>
      <c r="C1097" s="5"/>
      <c r="D1097" s="5" t="s">
        <v>5630</v>
      </c>
      <c r="E1097" s="5"/>
      <c r="F1097" s="5" t="s">
        <v>424</v>
      </c>
      <c r="G1097" s="5" t="s">
        <v>170</v>
      </c>
      <c r="H1097" s="5" t="s">
        <v>137</v>
      </c>
      <c r="I1097" s="5" t="s">
        <v>5629</v>
      </c>
      <c r="J1097" s="5" t="s">
        <v>5628</v>
      </c>
    </row>
    <row r="1098" spans="1:10" ht="25.5" x14ac:dyDescent="0.2">
      <c r="A1098" s="5" t="s">
        <v>5627</v>
      </c>
      <c r="B1098" s="5" t="s">
        <v>83</v>
      </c>
      <c r="C1098" s="5"/>
      <c r="D1098" s="5" t="s">
        <v>5626</v>
      </c>
      <c r="E1098" s="5"/>
      <c r="F1098" s="5" t="s">
        <v>5604</v>
      </c>
      <c r="G1098" s="5" t="s">
        <v>382</v>
      </c>
      <c r="H1098" s="5" t="s">
        <v>3</v>
      </c>
      <c r="I1098" s="5"/>
      <c r="J1098" s="5" t="s">
        <v>5625</v>
      </c>
    </row>
    <row r="1099" spans="1:10" x14ac:dyDescent="0.2">
      <c r="A1099" s="5" t="s">
        <v>5624</v>
      </c>
      <c r="B1099" s="5" t="s">
        <v>83</v>
      </c>
      <c r="C1099" s="5"/>
      <c r="D1099" s="5" t="s">
        <v>5623</v>
      </c>
      <c r="E1099" s="5" t="s">
        <v>150</v>
      </c>
      <c r="F1099" s="5" t="s">
        <v>5615</v>
      </c>
      <c r="G1099" s="5" t="s">
        <v>148</v>
      </c>
      <c r="H1099" s="5" t="s">
        <v>137</v>
      </c>
      <c r="I1099" s="5" t="s">
        <v>5622</v>
      </c>
      <c r="J1099" s="5" t="s">
        <v>5621</v>
      </c>
    </row>
    <row r="1100" spans="1:10" x14ac:dyDescent="0.2">
      <c r="A1100" s="5" t="s">
        <v>5620</v>
      </c>
      <c r="B1100" s="5" t="s">
        <v>83</v>
      </c>
      <c r="C1100" s="5"/>
      <c r="D1100" s="5" t="s">
        <v>5619</v>
      </c>
      <c r="E1100" s="5" t="s">
        <v>150</v>
      </c>
      <c r="F1100" s="5" t="s">
        <v>5615</v>
      </c>
      <c r="G1100" s="5" t="s">
        <v>148</v>
      </c>
      <c r="H1100" s="5" t="s">
        <v>3</v>
      </c>
      <c r="I1100" s="5"/>
      <c r="J1100" s="5" t="s">
        <v>5618</v>
      </c>
    </row>
    <row r="1101" spans="1:10" x14ac:dyDescent="0.2">
      <c r="A1101" s="5" t="s">
        <v>5617</v>
      </c>
      <c r="B1101" s="5" t="s">
        <v>83</v>
      </c>
      <c r="C1101" s="5"/>
      <c r="D1101" s="5" t="s">
        <v>5616</v>
      </c>
      <c r="E1101" s="5" t="s">
        <v>150</v>
      </c>
      <c r="F1101" s="5" t="s">
        <v>5615</v>
      </c>
      <c r="G1101" s="5" t="s">
        <v>148</v>
      </c>
      <c r="H1101" s="5" t="s">
        <v>3</v>
      </c>
      <c r="I1101" s="5"/>
      <c r="J1101" s="5" t="s">
        <v>5614</v>
      </c>
    </row>
    <row r="1102" spans="1:10" ht="25.5" x14ac:dyDescent="0.2">
      <c r="A1102" s="5" t="s">
        <v>5613</v>
      </c>
      <c r="B1102" s="5" t="s">
        <v>83</v>
      </c>
      <c r="C1102" s="5"/>
      <c r="D1102" s="5" t="s">
        <v>5612</v>
      </c>
      <c r="E1102" s="5" t="s">
        <v>150</v>
      </c>
      <c r="F1102" s="5" t="s">
        <v>5604</v>
      </c>
      <c r="G1102" s="5" t="s">
        <v>148</v>
      </c>
      <c r="H1102" s="5" t="s">
        <v>137</v>
      </c>
      <c r="I1102" s="5" t="s">
        <v>5611</v>
      </c>
      <c r="J1102" s="5" t="s">
        <v>5610</v>
      </c>
    </row>
    <row r="1103" spans="1:10" x14ac:dyDescent="0.2">
      <c r="A1103" s="5" t="s">
        <v>5609</v>
      </c>
      <c r="B1103" s="5" t="s">
        <v>83</v>
      </c>
      <c r="C1103" s="5"/>
      <c r="D1103" s="5" t="s">
        <v>5608</v>
      </c>
      <c r="E1103" s="5" t="s">
        <v>150</v>
      </c>
      <c r="F1103" s="5" t="s">
        <v>5604</v>
      </c>
      <c r="G1103" s="5" t="s">
        <v>148</v>
      </c>
      <c r="H1103" s="5" t="s">
        <v>3</v>
      </c>
      <c r="I1103" s="5"/>
      <c r="J1103" s="5" t="s">
        <v>5607</v>
      </c>
    </row>
    <row r="1104" spans="1:10" x14ac:dyDescent="0.2">
      <c r="A1104" s="5" t="s">
        <v>5606</v>
      </c>
      <c r="B1104" s="5" t="s">
        <v>83</v>
      </c>
      <c r="C1104" s="5"/>
      <c r="D1104" s="5" t="s">
        <v>5605</v>
      </c>
      <c r="E1104" s="5" t="s">
        <v>150</v>
      </c>
      <c r="F1104" s="5" t="s">
        <v>5604</v>
      </c>
      <c r="G1104" s="5" t="s">
        <v>148</v>
      </c>
      <c r="H1104" s="5" t="s">
        <v>3</v>
      </c>
      <c r="I1104" s="5"/>
      <c r="J1104" s="5" t="s">
        <v>5603</v>
      </c>
    </row>
    <row r="1105" spans="1:10" ht="25.5" x14ac:dyDescent="0.2">
      <c r="A1105" s="5" t="s">
        <v>5602</v>
      </c>
      <c r="B1105" s="5" t="s">
        <v>83</v>
      </c>
      <c r="C1105" s="5"/>
      <c r="D1105" s="5" t="s">
        <v>5601</v>
      </c>
      <c r="E1105" s="5" t="s">
        <v>150</v>
      </c>
      <c r="F1105" s="5" t="s">
        <v>424</v>
      </c>
      <c r="G1105" s="5" t="s">
        <v>148</v>
      </c>
      <c r="H1105" s="5" t="s">
        <v>137</v>
      </c>
      <c r="I1105" s="5" t="s">
        <v>5600</v>
      </c>
      <c r="J1105" s="5" t="s">
        <v>5599</v>
      </c>
    </row>
    <row r="1106" spans="1:10" ht="25.5" x14ac:dyDescent="0.2">
      <c r="A1106" s="5" t="s">
        <v>5598</v>
      </c>
      <c r="B1106" s="5" t="s">
        <v>83</v>
      </c>
      <c r="C1106" s="5"/>
      <c r="D1106" s="5" t="s">
        <v>5597</v>
      </c>
      <c r="E1106" s="5" t="s">
        <v>150</v>
      </c>
      <c r="F1106" s="5" t="s">
        <v>424</v>
      </c>
      <c r="G1106" s="5" t="s">
        <v>148</v>
      </c>
      <c r="H1106" s="5" t="s">
        <v>137</v>
      </c>
      <c r="I1106" s="5" t="s">
        <v>5593</v>
      </c>
      <c r="J1106" s="5" t="s">
        <v>5596</v>
      </c>
    </row>
    <row r="1107" spans="1:10" ht="25.5" x14ac:dyDescent="0.2">
      <c r="A1107" s="5" t="s">
        <v>5595</v>
      </c>
      <c r="B1107" s="5" t="s">
        <v>83</v>
      </c>
      <c r="C1107" s="5"/>
      <c r="D1107" s="5" t="s">
        <v>5594</v>
      </c>
      <c r="E1107" s="5"/>
      <c r="F1107" s="5" t="s">
        <v>424</v>
      </c>
      <c r="G1107" s="5" t="s">
        <v>170</v>
      </c>
      <c r="H1107" s="5" t="s">
        <v>137</v>
      </c>
      <c r="I1107" s="5" t="s">
        <v>5593</v>
      </c>
      <c r="J1107" s="5" t="s">
        <v>5592</v>
      </c>
    </row>
    <row r="1108" spans="1:10" ht="25.5" x14ac:dyDescent="0.2">
      <c r="A1108" s="5" t="s">
        <v>5591</v>
      </c>
      <c r="B1108" s="5" t="s">
        <v>83</v>
      </c>
      <c r="C1108" s="5"/>
      <c r="D1108" s="5" t="s">
        <v>5590</v>
      </c>
      <c r="E1108" s="5"/>
      <c r="F1108" s="5" t="s">
        <v>5576</v>
      </c>
      <c r="G1108" s="5" t="s">
        <v>382</v>
      </c>
      <c r="H1108" s="5" t="s">
        <v>3</v>
      </c>
      <c r="I1108" s="5"/>
      <c r="J1108" s="5" t="s">
        <v>5589</v>
      </c>
    </row>
    <row r="1109" spans="1:10" ht="25.5" x14ac:dyDescent="0.2">
      <c r="A1109" s="5" t="s">
        <v>5588</v>
      </c>
      <c r="B1109" s="5" t="s">
        <v>83</v>
      </c>
      <c r="C1109" s="5"/>
      <c r="D1109" s="5" t="s">
        <v>5587</v>
      </c>
      <c r="E1109" s="5"/>
      <c r="F1109" s="5" t="s">
        <v>5576</v>
      </c>
      <c r="G1109" s="5" t="s">
        <v>382</v>
      </c>
      <c r="H1109" s="5" t="s">
        <v>137</v>
      </c>
      <c r="I1109" s="5" t="s">
        <v>5583</v>
      </c>
      <c r="J1109" s="5" t="s">
        <v>5586</v>
      </c>
    </row>
    <row r="1110" spans="1:10" ht="25.5" x14ac:dyDescent="0.2">
      <c r="A1110" s="5" t="s">
        <v>5585</v>
      </c>
      <c r="B1110" s="5" t="s">
        <v>83</v>
      </c>
      <c r="C1110" s="5"/>
      <c r="D1110" s="5" t="s">
        <v>5584</v>
      </c>
      <c r="E1110" s="5" t="s">
        <v>150</v>
      </c>
      <c r="F1110" s="5" t="s">
        <v>5576</v>
      </c>
      <c r="G1110" s="5" t="s">
        <v>148</v>
      </c>
      <c r="H1110" s="5" t="s">
        <v>137</v>
      </c>
      <c r="I1110" s="5" t="s">
        <v>5583</v>
      </c>
      <c r="J1110" s="5" t="s">
        <v>5582</v>
      </c>
    </row>
    <row r="1111" spans="1:10" x14ac:dyDescent="0.2">
      <c r="A1111" s="5" t="s">
        <v>5581</v>
      </c>
      <c r="B1111" s="5" t="s">
        <v>83</v>
      </c>
      <c r="C1111" s="5"/>
      <c r="D1111" s="5" t="s">
        <v>5580</v>
      </c>
      <c r="E1111" s="5" t="s">
        <v>150</v>
      </c>
      <c r="F1111" s="5" t="s">
        <v>5576</v>
      </c>
      <c r="G1111" s="5" t="s">
        <v>148</v>
      </c>
      <c r="H1111" s="5" t="s">
        <v>3</v>
      </c>
      <c r="I1111" s="5"/>
      <c r="J1111" s="5" t="s">
        <v>5579</v>
      </c>
    </row>
    <row r="1112" spans="1:10" x14ac:dyDescent="0.2">
      <c r="A1112" s="5" t="s">
        <v>5578</v>
      </c>
      <c r="B1112" s="5" t="s">
        <v>83</v>
      </c>
      <c r="C1112" s="5"/>
      <c r="D1112" s="5" t="s">
        <v>5577</v>
      </c>
      <c r="E1112" s="5" t="s">
        <v>150</v>
      </c>
      <c r="F1112" s="5" t="s">
        <v>5576</v>
      </c>
      <c r="G1112" s="5" t="s">
        <v>148</v>
      </c>
      <c r="H1112" s="5" t="s">
        <v>3</v>
      </c>
      <c r="I1112" s="5"/>
      <c r="J1112" s="5" t="s">
        <v>5575</v>
      </c>
    </row>
    <row r="1113" spans="1:10" ht="25.5" x14ac:dyDescent="0.2">
      <c r="A1113" s="5" t="s">
        <v>5574</v>
      </c>
      <c r="B1113" s="5" t="s">
        <v>83</v>
      </c>
      <c r="C1113" s="5"/>
      <c r="D1113" s="5" t="s">
        <v>5573</v>
      </c>
      <c r="E1113" s="5" t="s">
        <v>150</v>
      </c>
      <c r="F1113" s="5" t="s">
        <v>424</v>
      </c>
      <c r="G1113" s="5" t="s">
        <v>148</v>
      </c>
      <c r="H1113" s="5" t="s">
        <v>137</v>
      </c>
      <c r="I1113" s="5" t="s">
        <v>5569</v>
      </c>
      <c r="J1113" s="5" t="s">
        <v>5572</v>
      </c>
    </row>
    <row r="1114" spans="1:10" ht="25.5" x14ac:dyDescent="0.2">
      <c r="A1114" s="5" t="s">
        <v>5571</v>
      </c>
      <c r="B1114" s="5" t="s">
        <v>83</v>
      </c>
      <c r="C1114" s="5"/>
      <c r="D1114" s="5" t="s">
        <v>5570</v>
      </c>
      <c r="E1114" s="5"/>
      <c r="F1114" s="5" t="s">
        <v>424</v>
      </c>
      <c r="G1114" s="5" t="s">
        <v>170</v>
      </c>
      <c r="H1114" s="5" t="s">
        <v>137</v>
      </c>
      <c r="I1114" s="5" t="s">
        <v>5569</v>
      </c>
      <c r="J1114" s="5" t="s">
        <v>5568</v>
      </c>
    </row>
    <row r="1115" spans="1:10" ht="25.5" x14ac:dyDescent="0.2">
      <c r="A1115" s="5" t="s">
        <v>5567</v>
      </c>
      <c r="B1115" s="5" t="s">
        <v>83</v>
      </c>
      <c r="C1115" s="5"/>
      <c r="D1115" s="5" t="s">
        <v>5566</v>
      </c>
      <c r="E1115" s="5"/>
      <c r="F1115" s="5" t="s">
        <v>5552</v>
      </c>
      <c r="G1115" s="5" t="s">
        <v>382</v>
      </c>
      <c r="H1115" s="5" t="s">
        <v>3</v>
      </c>
      <c r="I1115" s="5"/>
      <c r="J1115" s="5" t="s">
        <v>5565</v>
      </c>
    </row>
    <row r="1116" spans="1:10" ht="25.5" x14ac:dyDescent="0.2">
      <c r="A1116" s="5" t="s">
        <v>5564</v>
      </c>
      <c r="B1116" s="5" t="s">
        <v>83</v>
      </c>
      <c r="C1116" s="5"/>
      <c r="D1116" s="5" t="s">
        <v>5563</v>
      </c>
      <c r="E1116" s="5"/>
      <c r="F1116" s="5" t="s">
        <v>5552</v>
      </c>
      <c r="G1116" s="5" t="s">
        <v>382</v>
      </c>
      <c r="H1116" s="5" t="s">
        <v>137</v>
      </c>
      <c r="I1116" s="5" t="s">
        <v>5559</v>
      </c>
      <c r="J1116" s="5" t="s">
        <v>5562</v>
      </c>
    </row>
    <row r="1117" spans="1:10" ht="25.5" x14ac:dyDescent="0.2">
      <c r="A1117" s="5" t="s">
        <v>5561</v>
      </c>
      <c r="B1117" s="5" t="s">
        <v>83</v>
      </c>
      <c r="C1117" s="5"/>
      <c r="D1117" s="5" t="s">
        <v>5560</v>
      </c>
      <c r="E1117" s="5" t="s">
        <v>150</v>
      </c>
      <c r="F1117" s="5" t="s">
        <v>5552</v>
      </c>
      <c r="G1117" s="5" t="s">
        <v>148</v>
      </c>
      <c r="H1117" s="5" t="s">
        <v>137</v>
      </c>
      <c r="I1117" s="5" t="s">
        <v>5559</v>
      </c>
      <c r="J1117" s="5" t="s">
        <v>5558</v>
      </c>
    </row>
    <row r="1118" spans="1:10" x14ac:dyDescent="0.2">
      <c r="A1118" s="5" t="s">
        <v>5557</v>
      </c>
      <c r="B1118" s="5" t="s">
        <v>83</v>
      </c>
      <c r="C1118" s="5"/>
      <c r="D1118" s="5" t="s">
        <v>5556</v>
      </c>
      <c r="E1118" s="5" t="s">
        <v>150</v>
      </c>
      <c r="F1118" s="5" t="s">
        <v>5552</v>
      </c>
      <c r="G1118" s="5" t="s">
        <v>148</v>
      </c>
      <c r="H1118" s="5" t="s">
        <v>3</v>
      </c>
      <c r="I1118" s="5"/>
      <c r="J1118" s="5" t="s">
        <v>5555</v>
      </c>
    </row>
    <row r="1119" spans="1:10" x14ac:dyDescent="0.2">
      <c r="A1119" s="5" t="s">
        <v>5554</v>
      </c>
      <c r="B1119" s="5" t="s">
        <v>83</v>
      </c>
      <c r="C1119" s="5"/>
      <c r="D1119" s="5" t="s">
        <v>5553</v>
      </c>
      <c r="E1119" s="5" t="s">
        <v>150</v>
      </c>
      <c r="F1119" s="5" t="s">
        <v>5552</v>
      </c>
      <c r="G1119" s="5" t="s">
        <v>148</v>
      </c>
      <c r="H1119" s="5" t="s">
        <v>3</v>
      </c>
      <c r="I1119" s="5"/>
      <c r="J1119" s="5" t="s">
        <v>5551</v>
      </c>
    </row>
    <row r="1120" spans="1:10" ht="25.5" x14ac:dyDescent="0.2">
      <c r="A1120" s="5" t="s">
        <v>5550</v>
      </c>
      <c r="B1120" s="5" t="s">
        <v>83</v>
      </c>
      <c r="C1120" s="5"/>
      <c r="D1120" s="5" t="s">
        <v>5549</v>
      </c>
      <c r="E1120" s="5" t="s">
        <v>150</v>
      </c>
      <c r="F1120" s="5" t="s">
        <v>424</v>
      </c>
      <c r="G1120" s="5" t="s">
        <v>148</v>
      </c>
      <c r="H1120" s="5" t="s">
        <v>137</v>
      </c>
      <c r="I1120" s="5" t="s">
        <v>5545</v>
      </c>
      <c r="J1120" s="5" t="s">
        <v>5548</v>
      </c>
    </row>
    <row r="1121" spans="1:10" ht="25.5" x14ac:dyDescent="0.2">
      <c r="A1121" s="5" t="s">
        <v>5547</v>
      </c>
      <c r="B1121" s="5" t="s">
        <v>83</v>
      </c>
      <c r="C1121" s="5"/>
      <c r="D1121" s="5" t="s">
        <v>5546</v>
      </c>
      <c r="E1121" s="5"/>
      <c r="F1121" s="5" t="s">
        <v>424</v>
      </c>
      <c r="G1121" s="5" t="s">
        <v>170</v>
      </c>
      <c r="H1121" s="5" t="s">
        <v>137</v>
      </c>
      <c r="I1121" s="5" t="s">
        <v>5545</v>
      </c>
      <c r="J1121" s="5" t="s">
        <v>5544</v>
      </c>
    </row>
    <row r="1122" spans="1:10" ht="25.5" x14ac:dyDescent="0.2">
      <c r="A1122" s="5" t="s">
        <v>5543</v>
      </c>
      <c r="B1122" s="5" t="s">
        <v>83</v>
      </c>
      <c r="C1122" s="5"/>
      <c r="D1122" s="5" t="s">
        <v>5542</v>
      </c>
      <c r="E1122" s="5"/>
      <c r="F1122" s="5" t="s">
        <v>106</v>
      </c>
      <c r="G1122" s="5" t="s">
        <v>114</v>
      </c>
      <c r="H1122" s="5" t="s">
        <v>3</v>
      </c>
      <c r="I1122" s="5"/>
      <c r="J1122" s="5" t="s">
        <v>5541</v>
      </c>
    </row>
    <row r="1123" spans="1:10" ht="25.5" x14ac:dyDescent="0.2">
      <c r="A1123" s="5" t="s">
        <v>5540</v>
      </c>
      <c r="B1123" s="5" t="s">
        <v>83</v>
      </c>
      <c r="C1123" s="5"/>
      <c r="D1123" s="5" t="s">
        <v>2309</v>
      </c>
      <c r="E1123" s="5"/>
      <c r="F1123" s="5" t="s">
        <v>106</v>
      </c>
      <c r="G1123" s="5" t="s">
        <v>2308</v>
      </c>
      <c r="H1123" s="5"/>
      <c r="I1123" s="5"/>
      <c r="J1123" s="5" t="s">
        <v>2307</v>
      </c>
    </row>
    <row r="1124" spans="1:10" ht="25.5" x14ac:dyDescent="0.2">
      <c r="A1124" s="5" t="s">
        <v>5539</v>
      </c>
      <c r="B1124" s="5" t="s">
        <v>83</v>
      </c>
      <c r="C1124" s="5"/>
      <c r="D1124" s="5" t="s">
        <v>5538</v>
      </c>
      <c r="E1124" s="5"/>
      <c r="F1124" s="5" t="s">
        <v>5537</v>
      </c>
      <c r="G1124" s="5" t="s">
        <v>91</v>
      </c>
      <c r="H1124" s="5" t="s">
        <v>137</v>
      </c>
      <c r="I1124" s="5" t="s">
        <v>1532</v>
      </c>
      <c r="J1124" s="5" t="s">
        <v>5536</v>
      </c>
    </row>
    <row r="1125" spans="1:10" x14ac:dyDescent="0.2">
      <c r="A1125" s="5" t="s">
        <v>5535</v>
      </c>
      <c r="B1125" s="5" t="s">
        <v>83</v>
      </c>
      <c r="C1125" s="5"/>
      <c r="D1125" s="5" t="s">
        <v>5533</v>
      </c>
      <c r="E1125" s="5"/>
      <c r="F1125" s="5" t="s">
        <v>4053</v>
      </c>
      <c r="G1125" s="5" t="s">
        <v>502</v>
      </c>
      <c r="H1125" s="5" t="s">
        <v>3</v>
      </c>
      <c r="I1125" s="5"/>
      <c r="J1125" s="5"/>
    </row>
    <row r="1126" spans="1:10" x14ac:dyDescent="0.2">
      <c r="A1126" s="5" t="s">
        <v>5534</v>
      </c>
      <c r="B1126" s="5" t="s">
        <v>83</v>
      </c>
      <c r="C1126" s="5"/>
      <c r="D1126" s="5" t="s">
        <v>5533</v>
      </c>
      <c r="E1126" s="5"/>
      <c r="F1126" s="5" t="s">
        <v>106</v>
      </c>
      <c r="G1126" s="5" t="s">
        <v>882</v>
      </c>
      <c r="H1126" s="5" t="s">
        <v>3</v>
      </c>
      <c r="I1126" s="5"/>
      <c r="J1126" s="5"/>
    </row>
    <row r="1127" spans="1:10" ht="25.5" x14ac:dyDescent="0.2">
      <c r="A1127" s="5" t="s">
        <v>5532</v>
      </c>
      <c r="B1127" s="5" t="s">
        <v>83</v>
      </c>
      <c r="C1127" s="5"/>
      <c r="D1127" s="5" t="s">
        <v>5531</v>
      </c>
      <c r="E1127" s="5" t="s">
        <v>368</v>
      </c>
      <c r="F1127" s="5" t="s">
        <v>106</v>
      </c>
      <c r="G1127" s="5" t="s">
        <v>315</v>
      </c>
      <c r="H1127" s="5" t="s">
        <v>3</v>
      </c>
      <c r="I1127" s="5"/>
      <c r="J1127" s="5" t="s">
        <v>5530</v>
      </c>
    </row>
    <row r="1128" spans="1:10" ht="25.5" x14ac:dyDescent="0.2">
      <c r="A1128" s="5" t="s">
        <v>5529</v>
      </c>
      <c r="B1128" s="5" t="s">
        <v>83</v>
      </c>
      <c r="C1128" s="5"/>
      <c r="D1128" s="5" t="s">
        <v>5526</v>
      </c>
      <c r="E1128" s="5" t="s">
        <v>150</v>
      </c>
      <c r="F1128" s="5" t="s">
        <v>106</v>
      </c>
      <c r="G1128" s="5" t="s">
        <v>148</v>
      </c>
      <c r="H1128" s="5"/>
      <c r="I1128" s="5"/>
      <c r="J1128" s="5" t="s">
        <v>5528</v>
      </c>
    </row>
    <row r="1129" spans="1:10" ht="25.5" x14ac:dyDescent="0.2">
      <c r="A1129" s="5" t="s">
        <v>5527</v>
      </c>
      <c r="B1129" s="5" t="s">
        <v>83</v>
      </c>
      <c r="C1129" s="5"/>
      <c r="D1129" s="5" t="s">
        <v>5526</v>
      </c>
      <c r="E1129" s="5" t="s">
        <v>5520</v>
      </c>
      <c r="F1129" s="5" t="s">
        <v>106</v>
      </c>
      <c r="G1129" s="5" t="s">
        <v>207</v>
      </c>
      <c r="H1129" s="5"/>
      <c r="I1129" s="5"/>
      <c r="J1129" s="5" t="s">
        <v>5525</v>
      </c>
    </row>
    <row r="1130" spans="1:10" ht="25.5" x14ac:dyDescent="0.2">
      <c r="A1130" s="5" t="s">
        <v>5524</v>
      </c>
      <c r="B1130" s="5" t="s">
        <v>83</v>
      </c>
      <c r="C1130" s="5"/>
      <c r="D1130" s="5" t="s">
        <v>5521</v>
      </c>
      <c r="E1130" s="5" t="s">
        <v>150</v>
      </c>
      <c r="F1130" s="5" t="s">
        <v>106</v>
      </c>
      <c r="G1130" s="5" t="s">
        <v>148</v>
      </c>
      <c r="H1130" s="5"/>
      <c r="I1130" s="5"/>
      <c r="J1130" s="5" t="s">
        <v>5523</v>
      </c>
    </row>
    <row r="1131" spans="1:10" ht="25.5" x14ac:dyDescent="0.2">
      <c r="A1131" s="5" t="s">
        <v>5522</v>
      </c>
      <c r="B1131" s="5" t="s">
        <v>83</v>
      </c>
      <c r="C1131" s="5"/>
      <c r="D1131" s="5" t="s">
        <v>5521</v>
      </c>
      <c r="E1131" s="5" t="s">
        <v>5520</v>
      </c>
      <c r="F1131" s="5" t="s">
        <v>106</v>
      </c>
      <c r="G1131" s="5" t="s">
        <v>207</v>
      </c>
      <c r="H1131" s="5"/>
      <c r="I1131" s="5"/>
      <c r="J1131" s="5" t="s">
        <v>5519</v>
      </c>
    </row>
    <row r="1132" spans="1:10" ht="25.5" x14ac:dyDescent="0.2">
      <c r="A1132" s="5" t="s">
        <v>5518</v>
      </c>
      <c r="B1132" s="5" t="s">
        <v>83</v>
      </c>
      <c r="C1132" s="5"/>
      <c r="D1132" s="5" t="s">
        <v>5517</v>
      </c>
      <c r="E1132" s="5"/>
      <c r="F1132" s="5" t="s">
        <v>5514</v>
      </c>
      <c r="G1132" s="5" t="s">
        <v>224</v>
      </c>
      <c r="H1132" s="5" t="s">
        <v>3</v>
      </c>
      <c r="I1132" s="5"/>
      <c r="J1132" s="5" t="s">
        <v>5514</v>
      </c>
    </row>
    <row r="1133" spans="1:10" ht="25.5" x14ac:dyDescent="0.2">
      <c r="A1133" s="5" t="s">
        <v>5516</v>
      </c>
      <c r="B1133" s="5" t="s">
        <v>83</v>
      </c>
      <c r="C1133" s="5"/>
      <c r="D1133" s="5" t="s">
        <v>5515</v>
      </c>
      <c r="E1133" s="5"/>
      <c r="F1133" s="5" t="s">
        <v>5514</v>
      </c>
      <c r="G1133" s="5" t="s">
        <v>224</v>
      </c>
      <c r="H1133" s="5" t="s">
        <v>137</v>
      </c>
      <c r="I1133" s="5" t="s">
        <v>1532</v>
      </c>
      <c r="J1133" s="5" t="s">
        <v>5513</v>
      </c>
    </row>
    <row r="1134" spans="1:10" ht="25.5" x14ac:dyDescent="0.2">
      <c r="A1134" s="5" t="s">
        <v>5512</v>
      </c>
      <c r="B1134" s="5" t="s">
        <v>83</v>
      </c>
      <c r="C1134" s="5"/>
      <c r="D1134" s="5" t="s">
        <v>5511</v>
      </c>
      <c r="E1134" s="5" t="s">
        <v>368</v>
      </c>
      <c r="F1134" s="5" t="s">
        <v>106</v>
      </c>
      <c r="G1134" s="5" t="s">
        <v>148</v>
      </c>
      <c r="H1134" s="5" t="s">
        <v>3</v>
      </c>
      <c r="I1134" s="5"/>
      <c r="J1134" s="5" t="s">
        <v>5510</v>
      </c>
    </row>
    <row r="1135" spans="1:10" x14ac:dyDescent="0.2">
      <c r="A1135" s="5" t="s">
        <v>5509</v>
      </c>
      <c r="B1135" s="5" t="s">
        <v>83</v>
      </c>
      <c r="C1135" s="5"/>
      <c r="D1135" s="5" t="s">
        <v>5508</v>
      </c>
      <c r="E1135" s="5"/>
      <c r="F1135" s="5" t="s">
        <v>5507</v>
      </c>
      <c r="G1135" s="5" t="s">
        <v>3059</v>
      </c>
      <c r="H1135" s="5" t="s">
        <v>137</v>
      </c>
      <c r="I1135" s="5"/>
      <c r="J1135" s="5"/>
    </row>
    <row r="1136" spans="1:10" x14ac:dyDescent="0.2">
      <c r="A1136" s="5" t="s">
        <v>5506</v>
      </c>
      <c r="B1136" s="5" t="s">
        <v>83</v>
      </c>
      <c r="C1136" s="5"/>
      <c r="D1136" s="5" t="s">
        <v>5505</v>
      </c>
      <c r="E1136" s="5"/>
      <c r="F1136" s="5" t="s">
        <v>106</v>
      </c>
      <c r="G1136" s="5" t="s">
        <v>382</v>
      </c>
      <c r="H1136" s="5" t="s">
        <v>3</v>
      </c>
      <c r="I1136" s="5"/>
      <c r="J1136" s="5"/>
    </row>
    <row r="1137" spans="1:10" x14ac:dyDescent="0.2">
      <c r="A1137" s="5" t="s">
        <v>5504</v>
      </c>
      <c r="B1137" s="5" t="s">
        <v>83</v>
      </c>
      <c r="C1137" s="5"/>
      <c r="D1137" s="5" t="s">
        <v>5503</v>
      </c>
      <c r="E1137" s="5"/>
      <c r="F1137" s="5"/>
      <c r="G1137" s="5" t="s">
        <v>91</v>
      </c>
      <c r="H1137" s="5" t="s">
        <v>3</v>
      </c>
      <c r="I1137" s="5"/>
      <c r="J1137" s="5"/>
    </row>
    <row r="1138" spans="1:10" x14ac:dyDescent="0.2">
      <c r="A1138" s="5" t="s">
        <v>5502</v>
      </c>
      <c r="B1138" s="5" t="s">
        <v>83</v>
      </c>
      <c r="C1138" s="5"/>
      <c r="D1138" s="5" t="s">
        <v>5501</v>
      </c>
      <c r="E1138" s="5"/>
      <c r="F1138" s="5" t="s">
        <v>106</v>
      </c>
      <c r="G1138" s="5" t="s">
        <v>315</v>
      </c>
      <c r="H1138" s="5" t="s">
        <v>3</v>
      </c>
      <c r="I1138" s="5"/>
      <c r="J1138" s="5"/>
    </row>
    <row r="1139" spans="1:10" ht="25.5" x14ac:dyDescent="0.2">
      <c r="A1139" s="5" t="s">
        <v>5500</v>
      </c>
      <c r="B1139" s="5" t="s">
        <v>83</v>
      </c>
      <c r="C1139" s="5"/>
      <c r="D1139" s="5" t="s">
        <v>5499</v>
      </c>
      <c r="E1139" s="5"/>
      <c r="F1139" s="5" t="s">
        <v>106</v>
      </c>
      <c r="G1139" s="5" t="s">
        <v>80</v>
      </c>
      <c r="H1139" s="5" t="s">
        <v>3</v>
      </c>
      <c r="I1139" s="5"/>
      <c r="J1139" s="5" t="s">
        <v>5498</v>
      </c>
    </row>
    <row r="1140" spans="1:10" ht="25.5" x14ac:dyDescent="0.2">
      <c r="A1140" s="5" t="s">
        <v>5496</v>
      </c>
      <c r="B1140" s="5" t="s">
        <v>83</v>
      </c>
      <c r="C1140" s="5"/>
      <c r="D1140" s="5" t="s">
        <v>5497</v>
      </c>
      <c r="E1140" s="5"/>
      <c r="F1140" s="5" t="s">
        <v>5496</v>
      </c>
      <c r="G1140" s="5" t="s">
        <v>5495</v>
      </c>
      <c r="H1140" s="5" t="s">
        <v>3</v>
      </c>
      <c r="I1140" s="5"/>
      <c r="J1140" s="5" t="s">
        <v>5494</v>
      </c>
    </row>
    <row r="1141" spans="1:10" ht="25.5" x14ac:dyDescent="0.2">
      <c r="A1141" s="5" t="s">
        <v>5493</v>
      </c>
      <c r="B1141" s="5" t="s">
        <v>83</v>
      </c>
      <c r="C1141" s="5"/>
      <c r="D1141" s="5" t="s">
        <v>5492</v>
      </c>
      <c r="E1141" s="5"/>
      <c r="F1141" s="5" t="s">
        <v>5489</v>
      </c>
      <c r="G1141" s="5" t="s">
        <v>224</v>
      </c>
      <c r="H1141" s="5" t="s">
        <v>3</v>
      </c>
      <c r="I1141" s="5"/>
      <c r="J1141" s="5" t="s">
        <v>5489</v>
      </c>
    </row>
    <row r="1142" spans="1:10" ht="25.5" x14ac:dyDescent="0.2">
      <c r="A1142" s="5" t="s">
        <v>5491</v>
      </c>
      <c r="B1142" s="5" t="s">
        <v>83</v>
      </c>
      <c r="C1142" s="5"/>
      <c r="D1142" s="5" t="s">
        <v>5490</v>
      </c>
      <c r="E1142" s="5"/>
      <c r="F1142" s="5" t="s">
        <v>5489</v>
      </c>
      <c r="G1142" s="5" t="s">
        <v>224</v>
      </c>
      <c r="H1142" s="5" t="s">
        <v>137</v>
      </c>
      <c r="I1142" s="5" t="s">
        <v>1532</v>
      </c>
      <c r="J1142" s="5" t="s">
        <v>5488</v>
      </c>
    </row>
    <row r="1143" spans="1:10" ht="25.5" x14ac:dyDescent="0.2">
      <c r="A1143" s="5" t="s">
        <v>5487</v>
      </c>
      <c r="B1143" s="5" t="s">
        <v>83</v>
      </c>
      <c r="C1143" s="5"/>
      <c r="D1143" s="5" t="s">
        <v>5485</v>
      </c>
      <c r="E1143" s="5"/>
      <c r="F1143" s="5" t="s">
        <v>5484</v>
      </c>
      <c r="G1143" s="5" t="s">
        <v>224</v>
      </c>
      <c r="H1143" s="5" t="s">
        <v>3</v>
      </c>
      <c r="I1143" s="5"/>
      <c r="J1143" s="5" t="s">
        <v>5484</v>
      </c>
    </row>
    <row r="1144" spans="1:10" ht="25.5" x14ac:dyDescent="0.2">
      <c r="A1144" s="5" t="s">
        <v>5486</v>
      </c>
      <c r="B1144" s="5" t="s">
        <v>83</v>
      </c>
      <c r="C1144" s="5"/>
      <c r="D1144" s="5" t="s">
        <v>5485</v>
      </c>
      <c r="E1144" s="5"/>
      <c r="F1144" s="5" t="s">
        <v>5484</v>
      </c>
      <c r="G1144" s="5" t="s">
        <v>224</v>
      </c>
      <c r="H1144" s="5" t="s">
        <v>137</v>
      </c>
      <c r="I1144" s="5" t="s">
        <v>1532</v>
      </c>
      <c r="J1144" s="5" t="s">
        <v>5483</v>
      </c>
    </row>
    <row r="1145" spans="1:10" x14ac:dyDescent="0.2">
      <c r="A1145" s="5" t="s">
        <v>5482</v>
      </c>
      <c r="B1145" s="5" t="s">
        <v>83</v>
      </c>
      <c r="C1145" s="5"/>
      <c r="D1145" s="5" t="s">
        <v>5481</v>
      </c>
      <c r="E1145" s="5"/>
      <c r="F1145" s="5" t="s">
        <v>106</v>
      </c>
      <c r="G1145" s="5" t="s">
        <v>315</v>
      </c>
      <c r="H1145" s="5" t="s">
        <v>3</v>
      </c>
      <c r="I1145" s="5"/>
      <c r="J1145" s="5" t="s">
        <v>5480</v>
      </c>
    </row>
    <row r="1146" spans="1:10" x14ac:dyDescent="0.2">
      <c r="A1146" s="5" t="s">
        <v>5479</v>
      </c>
      <c r="B1146" s="5" t="s">
        <v>83</v>
      </c>
      <c r="C1146" s="5"/>
      <c r="D1146" s="5" t="s">
        <v>5478</v>
      </c>
      <c r="E1146" s="5"/>
      <c r="F1146" s="5" t="s">
        <v>5475</v>
      </c>
      <c r="G1146" s="5" t="s">
        <v>4028</v>
      </c>
      <c r="H1146" s="5" t="s">
        <v>3</v>
      </c>
      <c r="I1146" s="5"/>
      <c r="J1146" s="5"/>
    </row>
    <row r="1147" spans="1:10" x14ac:dyDescent="0.2">
      <c r="A1147" s="5" t="s">
        <v>5477</v>
      </c>
      <c r="B1147" s="5" t="s">
        <v>83</v>
      </c>
      <c r="C1147" s="5"/>
      <c r="D1147" s="5" t="s">
        <v>5476</v>
      </c>
      <c r="E1147" s="5"/>
      <c r="F1147" s="5" t="s">
        <v>5475</v>
      </c>
      <c r="G1147" s="5" t="s">
        <v>702</v>
      </c>
      <c r="H1147" s="5" t="s">
        <v>3</v>
      </c>
      <c r="I1147" s="5"/>
      <c r="J1147" s="5"/>
    </row>
    <row r="1148" spans="1:10" ht="25.5" x14ac:dyDescent="0.2">
      <c r="A1148" s="5" t="s">
        <v>5474</v>
      </c>
      <c r="B1148" s="5" t="s">
        <v>83</v>
      </c>
      <c r="C1148" s="5"/>
      <c r="D1148" s="5" t="s">
        <v>5473</v>
      </c>
      <c r="E1148" s="5"/>
      <c r="F1148" s="5" t="s">
        <v>5459</v>
      </c>
      <c r="G1148" s="5" t="s">
        <v>382</v>
      </c>
      <c r="H1148" s="5" t="s">
        <v>3</v>
      </c>
      <c r="I1148" s="5"/>
      <c r="J1148" s="5" t="s">
        <v>5472</v>
      </c>
    </row>
    <row r="1149" spans="1:10" ht="25.5" x14ac:dyDescent="0.2">
      <c r="A1149" s="5" t="s">
        <v>5471</v>
      </c>
      <c r="B1149" s="5" t="s">
        <v>83</v>
      </c>
      <c r="C1149" s="5"/>
      <c r="D1149" s="5" t="s">
        <v>5470</v>
      </c>
      <c r="E1149" s="5"/>
      <c r="F1149" s="5" t="s">
        <v>5459</v>
      </c>
      <c r="G1149" s="5" t="s">
        <v>382</v>
      </c>
      <c r="H1149" s="5" t="s">
        <v>137</v>
      </c>
      <c r="I1149" s="5" t="s">
        <v>5466</v>
      </c>
      <c r="J1149" s="5" t="s">
        <v>5469</v>
      </c>
    </row>
    <row r="1150" spans="1:10" ht="25.5" x14ac:dyDescent="0.2">
      <c r="A1150" s="5" t="s">
        <v>5468</v>
      </c>
      <c r="B1150" s="5" t="s">
        <v>83</v>
      </c>
      <c r="C1150" s="5"/>
      <c r="D1150" s="5" t="s">
        <v>5467</v>
      </c>
      <c r="E1150" s="5" t="s">
        <v>150</v>
      </c>
      <c r="F1150" s="5" t="s">
        <v>5459</v>
      </c>
      <c r="G1150" s="5" t="s">
        <v>148</v>
      </c>
      <c r="H1150" s="5" t="s">
        <v>137</v>
      </c>
      <c r="I1150" s="5" t="s">
        <v>5466</v>
      </c>
      <c r="J1150" s="5" t="s">
        <v>5465</v>
      </c>
    </row>
    <row r="1151" spans="1:10" x14ac:dyDescent="0.2">
      <c r="A1151" s="5" t="s">
        <v>5464</v>
      </c>
      <c r="B1151" s="5" t="s">
        <v>83</v>
      </c>
      <c r="C1151" s="5"/>
      <c r="D1151" s="5" t="s">
        <v>5463</v>
      </c>
      <c r="E1151" s="5" t="s">
        <v>150</v>
      </c>
      <c r="F1151" s="5" t="s">
        <v>5459</v>
      </c>
      <c r="G1151" s="5" t="s">
        <v>148</v>
      </c>
      <c r="H1151" s="5" t="s">
        <v>3</v>
      </c>
      <c r="I1151" s="5"/>
      <c r="J1151" s="5" t="s">
        <v>5462</v>
      </c>
    </row>
    <row r="1152" spans="1:10" x14ac:dyDescent="0.2">
      <c r="A1152" s="5" t="s">
        <v>5461</v>
      </c>
      <c r="B1152" s="5" t="s">
        <v>83</v>
      </c>
      <c r="C1152" s="5"/>
      <c r="D1152" s="5" t="s">
        <v>5460</v>
      </c>
      <c r="E1152" s="5" t="s">
        <v>150</v>
      </c>
      <c r="F1152" s="5" t="s">
        <v>5459</v>
      </c>
      <c r="G1152" s="5" t="s">
        <v>148</v>
      </c>
      <c r="H1152" s="5" t="s">
        <v>3</v>
      </c>
      <c r="I1152" s="5"/>
      <c r="J1152" s="5" t="s">
        <v>5458</v>
      </c>
    </row>
    <row r="1153" spans="1:10" ht="38.25" x14ac:dyDescent="0.2">
      <c r="A1153" s="5" t="s">
        <v>5457</v>
      </c>
      <c r="B1153" s="5" t="s">
        <v>83</v>
      </c>
      <c r="C1153" s="5"/>
      <c r="D1153" s="5" t="s">
        <v>5456</v>
      </c>
      <c r="E1153" s="5" t="s">
        <v>150</v>
      </c>
      <c r="F1153" s="5" t="s">
        <v>424</v>
      </c>
      <c r="G1153" s="5" t="s">
        <v>148</v>
      </c>
      <c r="H1153" s="5" t="s">
        <v>137</v>
      </c>
      <c r="I1153" s="5" t="s">
        <v>5452</v>
      </c>
      <c r="J1153" s="5" t="s">
        <v>5455</v>
      </c>
    </row>
    <row r="1154" spans="1:10" ht="38.25" x14ac:dyDescent="0.2">
      <c r="A1154" s="5" t="s">
        <v>5454</v>
      </c>
      <c r="B1154" s="5" t="s">
        <v>83</v>
      </c>
      <c r="C1154" s="5"/>
      <c r="D1154" s="5" t="s">
        <v>5453</v>
      </c>
      <c r="E1154" s="5"/>
      <c r="F1154" s="5" t="s">
        <v>424</v>
      </c>
      <c r="G1154" s="5" t="s">
        <v>170</v>
      </c>
      <c r="H1154" s="5" t="s">
        <v>137</v>
      </c>
      <c r="I1154" s="5" t="s">
        <v>5452</v>
      </c>
      <c r="J1154" s="5" t="s">
        <v>5451</v>
      </c>
    </row>
    <row r="1155" spans="1:10" ht="25.5" x14ac:dyDescent="0.2">
      <c r="A1155" s="5" t="s">
        <v>5450</v>
      </c>
      <c r="B1155" s="5" t="s">
        <v>83</v>
      </c>
      <c r="C1155" s="5"/>
      <c r="D1155" s="5" t="s">
        <v>5449</v>
      </c>
      <c r="E1155" s="5"/>
      <c r="F1155" s="5" t="s">
        <v>5435</v>
      </c>
      <c r="G1155" s="5" t="s">
        <v>382</v>
      </c>
      <c r="H1155" s="5" t="s">
        <v>3</v>
      </c>
      <c r="I1155" s="5"/>
      <c r="J1155" s="5" t="s">
        <v>5448</v>
      </c>
    </row>
    <row r="1156" spans="1:10" x14ac:dyDescent="0.2">
      <c r="A1156" s="5" t="s">
        <v>5447</v>
      </c>
      <c r="B1156" s="5" t="s">
        <v>83</v>
      </c>
      <c r="C1156" s="5"/>
      <c r="D1156" s="5" t="s">
        <v>5446</v>
      </c>
      <c r="E1156" s="5"/>
      <c r="F1156" s="5" t="s">
        <v>5435</v>
      </c>
      <c r="G1156" s="5" t="s">
        <v>382</v>
      </c>
      <c r="H1156" s="5" t="s">
        <v>137</v>
      </c>
      <c r="I1156" s="5" t="s">
        <v>5442</v>
      </c>
      <c r="J1156" s="5" t="s">
        <v>5445</v>
      </c>
    </row>
    <row r="1157" spans="1:10" x14ac:dyDescent="0.2">
      <c r="A1157" s="5" t="s">
        <v>5444</v>
      </c>
      <c r="B1157" s="5" t="s">
        <v>83</v>
      </c>
      <c r="C1157" s="5"/>
      <c r="D1157" s="5" t="s">
        <v>5443</v>
      </c>
      <c r="E1157" s="5" t="s">
        <v>150</v>
      </c>
      <c r="F1157" s="5" t="s">
        <v>5435</v>
      </c>
      <c r="G1157" s="5" t="s">
        <v>148</v>
      </c>
      <c r="H1157" s="5" t="s">
        <v>137</v>
      </c>
      <c r="I1157" s="5" t="s">
        <v>5442</v>
      </c>
      <c r="J1157" s="5" t="s">
        <v>5441</v>
      </c>
    </row>
    <row r="1158" spans="1:10" x14ac:dyDescent="0.2">
      <c r="A1158" s="5" t="s">
        <v>5440</v>
      </c>
      <c r="B1158" s="5" t="s">
        <v>83</v>
      </c>
      <c r="C1158" s="5"/>
      <c r="D1158" s="5" t="s">
        <v>5439</v>
      </c>
      <c r="E1158" s="5" t="s">
        <v>150</v>
      </c>
      <c r="F1158" s="5" t="s">
        <v>5435</v>
      </c>
      <c r="G1158" s="5" t="s">
        <v>148</v>
      </c>
      <c r="H1158" s="5" t="s">
        <v>3</v>
      </c>
      <c r="I1158" s="5"/>
      <c r="J1158" s="5" t="s">
        <v>5438</v>
      </c>
    </row>
    <row r="1159" spans="1:10" x14ac:dyDescent="0.2">
      <c r="A1159" s="5" t="s">
        <v>5437</v>
      </c>
      <c r="B1159" s="5" t="s">
        <v>83</v>
      </c>
      <c r="C1159" s="5"/>
      <c r="D1159" s="5" t="s">
        <v>5436</v>
      </c>
      <c r="E1159" s="5" t="s">
        <v>150</v>
      </c>
      <c r="F1159" s="5" t="s">
        <v>5435</v>
      </c>
      <c r="G1159" s="5" t="s">
        <v>148</v>
      </c>
      <c r="H1159" s="5" t="s">
        <v>3</v>
      </c>
      <c r="I1159" s="5"/>
      <c r="J1159" s="5" t="s">
        <v>5434</v>
      </c>
    </row>
    <row r="1160" spans="1:10" ht="25.5" x14ac:dyDescent="0.2">
      <c r="A1160" s="5" t="s">
        <v>5433</v>
      </c>
      <c r="B1160" s="5" t="s">
        <v>83</v>
      </c>
      <c r="C1160" s="5"/>
      <c r="D1160" s="5" t="s">
        <v>5432</v>
      </c>
      <c r="E1160" s="5" t="s">
        <v>150</v>
      </c>
      <c r="F1160" s="5" t="s">
        <v>424</v>
      </c>
      <c r="G1160" s="5" t="s">
        <v>148</v>
      </c>
      <c r="H1160" s="5" t="s">
        <v>137</v>
      </c>
      <c r="I1160" s="5" t="s">
        <v>5428</v>
      </c>
      <c r="J1160" s="5" t="s">
        <v>5431</v>
      </c>
    </row>
    <row r="1161" spans="1:10" ht="25.5" x14ac:dyDescent="0.2">
      <c r="A1161" s="5" t="s">
        <v>5430</v>
      </c>
      <c r="B1161" s="5" t="s">
        <v>83</v>
      </c>
      <c r="C1161" s="5"/>
      <c r="D1161" s="5" t="s">
        <v>5429</v>
      </c>
      <c r="E1161" s="5"/>
      <c r="F1161" s="5" t="s">
        <v>424</v>
      </c>
      <c r="G1161" s="5" t="s">
        <v>170</v>
      </c>
      <c r="H1161" s="5" t="s">
        <v>137</v>
      </c>
      <c r="I1161" s="5" t="s">
        <v>5428</v>
      </c>
      <c r="J1161" s="5" t="s">
        <v>5427</v>
      </c>
    </row>
    <row r="1162" spans="1:10" x14ac:dyDescent="0.2">
      <c r="A1162" s="5" t="s">
        <v>5426</v>
      </c>
      <c r="B1162" s="5" t="s">
        <v>83</v>
      </c>
      <c r="C1162" s="5"/>
      <c r="D1162" s="5" t="s">
        <v>1555</v>
      </c>
      <c r="E1162" s="5"/>
      <c r="F1162" s="5" t="s">
        <v>1554</v>
      </c>
      <c r="G1162" s="5" t="s">
        <v>118</v>
      </c>
      <c r="H1162" s="5" t="s">
        <v>3</v>
      </c>
      <c r="I1162" s="5"/>
      <c r="J1162" s="5" t="s">
        <v>5423</v>
      </c>
    </row>
    <row r="1163" spans="1:10" x14ac:dyDescent="0.2">
      <c r="A1163" s="5" t="s">
        <v>5425</v>
      </c>
      <c r="B1163" s="5" t="s">
        <v>83</v>
      </c>
      <c r="C1163" s="5"/>
      <c r="D1163" s="5" t="s">
        <v>5424</v>
      </c>
      <c r="E1163" s="5"/>
      <c r="F1163" s="5" t="s">
        <v>2219</v>
      </c>
      <c r="G1163" s="5" t="s">
        <v>328</v>
      </c>
      <c r="H1163" s="5" t="s">
        <v>3</v>
      </c>
      <c r="I1163" s="5"/>
      <c r="J1163" s="5" t="s">
        <v>5423</v>
      </c>
    </row>
    <row r="1164" spans="1:10" ht="25.5" x14ac:dyDescent="0.2">
      <c r="A1164" s="5" t="s">
        <v>5422</v>
      </c>
      <c r="B1164" s="5" t="s">
        <v>83</v>
      </c>
      <c r="C1164" s="5"/>
      <c r="D1164" s="5" t="s">
        <v>5421</v>
      </c>
      <c r="E1164" s="5"/>
      <c r="F1164" s="5" t="s">
        <v>5407</v>
      </c>
      <c r="G1164" s="5" t="s">
        <v>382</v>
      </c>
      <c r="H1164" s="5" t="s">
        <v>3</v>
      </c>
      <c r="I1164" s="5"/>
      <c r="J1164" s="5" t="s">
        <v>5420</v>
      </c>
    </row>
    <row r="1165" spans="1:10" ht="25.5" x14ac:dyDescent="0.2">
      <c r="A1165" s="5" t="s">
        <v>5419</v>
      </c>
      <c r="B1165" s="5" t="s">
        <v>83</v>
      </c>
      <c r="C1165" s="5"/>
      <c r="D1165" s="5" t="s">
        <v>5418</v>
      </c>
      <c r="E1165" s="5"/>
      <c r="F1165" s="5" t="s">
        <v>5407</v>
      </c>
      <c r="G1165" s="5" t="s">
        <v>382</v>
      </c>
      <c r="H1165" s="5" t="s">
        <v>137</v>
      </c>
      <c r="I1165" s="5" t="s">
        <v>5414</v>
      </c>
      <c r="J1165" s="5" t="s">
        <v>5417</v>
      </c>
    </row>
    <row r="1166" spans="1:10" ht="25.5" x14ac:dyDescent="0.2">
      <c r="A1166" s="5" t="s">
        <v>5416</v>
      </c>
      <c r="B1166" s="5" t="s">
        <v>83</v>
      </c>
      <c r="C1166" s="5"/>
      <c r="D1166" s="5" t="s">
        <v>5415</v>
      </c>
      <c r="E1166" s="5" t="s">
        <v>150</v>
      </c>
      <c r="F1166" s="5" t="s">
        <v>5407</v>
      </c>
      <c r="G1166" s="5" t="s">
        <v>148</v>
      </c>
      <c r="H1166" s="5" t="s">
        <v>137</v>
      </c>
      <c r="I1166" s="5" t="s">
        <v>5414</v>
      </c>
      <c r="J1166" s="5" t="s">
        <v>5413</v>
      </c>
    </row>
    <row r="1167" spans="1:10" x14ac:dyDescent="0.2">
      <c r="A1167" s="5" t="s">
        <v>5412</v>
      </c>
      <c r="B1167" s="5" t="s">
        <v>83</v>
      </c>
      <c r="C1167" s="5"/>
      <c r="D1167" s="5" t="s">
        <v>5411</v>
      </c>
      <c r="E1167" s="5" t="s">
        <v>150</v>
      </c>
      <c r="F1167" s="5" t="s">
        <v>5407</v>
      </c>
      <c r="G1167" s="5" t="s">
        <v>148</v>
      </c>
      <c r="H1167" s="5" t="s">
        <v>3</v>
      </c>
      <c r="I1167" s="5"/>
      <c r="J1167" s="5" t="s">
        <v>5410</v>
      </c>
    </row>
    <row r="1168" spans="1:10" x14ac:dyDescent="0.2">
      <c r="A1168" s="5" t="s">
        <v>5409</v>
      </c>
      <c r="B1168" s="5" t="s">
        <v>83</v>
      </c>
      <c r="C1168" s="5"/>
      <c r="D1168" s="5" t="s">
        <v>5408</v>
      </c>
      <c r="E1168" s="5" t="s">
        <v>150</v>
      </c>
      <c r="F1168" s="5" t="s">
        <v>5407</v>
      </c>
      <c r="G1168" s="5" t="s">
        <v>148</v>
      </c>
      <c r="H1168" s="5" t="s">
        <v>3</v>
      </c>
      <c r="I1168" s="5"/>
      <c r="J1168" s="5" t="s">
        <v>5406</v>
      </c>
    </row>
    <row r="1169" spans="1:10" ht="25.5" x14ac:dyDescent="0.2">
      <c r="A1169" s="5" t="s">
        <v>5405</v>
      </c>
      <c r="B1169" s="5" t="s">
        <v>83</v>
      </c>
      <c r="C1169" s="5"/>
      <c r="D1169" s="5" t="s">
        <v>5404</v>
      </c>
      <c r="E1169" s="5" t="s">
        <v>150</v>
      </c>
      <c r="F1169" s="5" t="s">
        <v>424</v>
      </c>
      <c r="G1169" s="5" t="s">
        <v>148</v>
      </c>
      <c r="H1169" s="5" t="s">
        <v>137</v>
      </c>
      <c r="I1169" s="5" t="s">
        <v>5400</v>
      </c>
      <c r="J1169" s="5" t="s">
        <v>5403</v>
      </c>
    </row>
    <row r="1170" spans="1:10" ht="25.5" x14ac:dyDescent="0.2">
      <c r="A1170" s="5" t="s">
        <v>5402</v>
      </c>
      <c r="B1170" s="5" t="s">
        <v>83</v>
      </c>
      <c r="C1170" s="5"/>
      <c r="D1170" s="5" t="s">
        <v>5401</v>
      </c>
      <c r="E1170" s="5"/>
      <c r="F1170" s="5" t="s">
        <v>424</v>
      </c>
      <c r="G1170" s="5" t="s">
        <v>170</v>
      </c>
      <c r="H1170" s="5" t="s">
        <v>137</v>
      </c>
      <c r="I1170" s="5" t="s">
        <v>5400</v>
      </c>
      <c r="J1170" s="5" t="s">
        <v>5399</v>
      </c>
    </row>
    <row r="1171" spans="1:10" ht="25.5" x14ac:dyDescent="0.2">
      <c r="A1171" s="5" t="s">
        <v>5398</v>
      </c>
      <c r="B1171" s="5" t="s">
        <v>83</v>
      </c>
      <c r="C1171" s="5"/>
      <c r="D1171" s="5" t="s">
        <v>5397</v>
      </c>
      <c r="E1171" s="5"/>
      <c r="F1171" s="5" t="s">
        <v>5396</v>
      </c>
      <c r="G1171" s="5" t="s">
        <v>105</v>
      </c>
      <c r="H1171" s="5" t="s">
        <v>137</v>
      </c>
      <c r="I1171" s="5" t="s">
        <v>24</v>
      </c>
      <c r="J1171" s="5" t="s">
        <v>5395</v>
      </c>
    </row>
    <row r="1172" spans="1:10" ht="25.5" x14ac:dyDescent="0.2">
      <c r="A1172" s="5" t="s">
        <v>5394</v>
      </c>
      <c r="B1172" s="5" t="s">
        <v>83</v>
      </c>
      <c r="C1172" s="5"/>
      <c r="D1172" s="5" t="s">
        <v>5393</v>
      </c>
      <c r="E1172" s="5" t="s">
        <v>138</v>
      </c>
      <c r="F1172" s="5" t="s">
        <v>5364</v>
      </c>
      <c r="G1172" s="5" t="s">
        <v>91</v>
      </c>
      <c r="H1172" s="5" t="s">
        <v>137</v>
      </c>
      <c r="I1172" s="5" t="s">
        <v>24</v>
      </c>
      <c r="J1172" s="5" t="s">
        <v>5392</v>
      </c>
    </row>
    <row r="1173" spans="1:10" ht="25.5" x14ac:dyDescent="0.2">
      <c r="A1173" s="5" t="s">
        <v>5391</v>
      </c>
      <c r="B1173" s="5" t="s">
        <v>83</v>
      </c>
      <c r="C1173" s="5"/>
      <c r="D1173" s="5" t="s">
        <v>5390</v>
      </c>
      <c r="E1173" s="5"/>
      <c r="F1173" s="5" t="s">
        <v>4581</v>
      </c>
      <c r="G1173" s="5" t="s">
        <v>114</v>
      </c>
      <c r="H1173" s="5" t="s">
        <v>137</v>
      </c>
      <c r="I1173" s="5"/>
      <c r="J1173" s="5" t="s">
        <v>4580</v>
      </c>
    </row>
    <row r="1174" spans="1:10" ht="25.5" x14ac:dyDescent="0.2">
      <c r="A1174" s="5" t="s">
        <v>5389</v>
      </c>
      <c r="B1174" s="5" t="s">
        <v>83</v>
      </c>
      <c r="C1174" s="5"/>
      <c r="D1174" s="5" t="s">
        <v>5388</v>
      </c>
      <c r="E1174" s="5" t="s">
        <v>150</v>
      </c>
      <c r="F1174" s="5" t="s">
        <v>5364</v>
      </c>
      <c r="G1174" s="5" t="s">
        <v>148</v>
      </c>
      <c r="H1174" s="5" t="s">
        <v>137</v>
      </c>
      <c r="I1174" s="5" t="s">
        <v>24</v>
      </c>
      <c r="J1174" s="5" t="s">
        <v>5387</v>
      </c>
    </row>
    <row r="1175" spans="1:10" ht="25.5" x14ac:dyDescent="0.2">
      <c r="A1175" s="5" t="s">
        <v>5386</v>
      </c>
      <c r="B1175" s="5" t="s">
        <v>83</v>
      </c>
      <c r="C1175" s="5"/>
      <c r="D1175" s="5" t="s">
        <v>5385</v>
      </c>
      <c r="E1175" s="5" t="s">
        <v>665</v>
      </c>
      <c r="F1175" s="5" t="s">
        <v>5364</v>
      </c>
      <c r="G1175" s="5" t="s">
        <v>148</v>
      </c>
      <c r="H1175" s="5" t="s">
        <v>137</v>
      </c>
      <c r="I1175" s="5" t="s">
        <v>24</v>
      </c>
      <c r="J1175" s="5" t="s">
        <v>5384</v>
      </c>
    </row>
    <row r="1176" spans="1:10" ht="25.5" x14ac:dyDescent="0.2">
      <c r="A1176" s="5" t="s">
        <v>5383</v>
      </c>
      <c r="B1176" s="5" t="s">
        <v>83</v>
      </c>
      <c r="C1176" s="5"/>
      <c r="D1176" s="5" t="s">
        <v>5382</v>
      </c>
      <c r="E1176" s="5" t="s">
        <v>138</v>
      </c>
      <c r="F1176" s="5" t="s">
        <v>5364</v>
      </c>
      <c r="G1176" s="5" t="s">
        <v>91</v>
      </c>
      <c r="H1176" s="5" t="s">
        <v>137</v>
      </c>
      <c r="I1176" s="5" t="s">
        <v>24</v>
      </c>
      <c r="J1176" s="5" t="s">
        <v>5381</v>
      </c>
    </row>
    <row r="1177" spans="1:10" x14ac:dyDescent="0.2">
      <c r="A1177" s="5" t="s">
        <v>5380</v>
      </c>
      <c r="B1177" s="5" t="s">
        <v>83</v>
      </c>
      <c r="C1177" s="5"/>
      <c r="D1177" s="5" t="s">
        <v>5379</v>
      </c>
      <c r="E1177" s="5"/>
      <c r="F1177" s="5" t="s">
        <v>4581</v>
      </c>
      <c r="G1177" s="5" t="s">
        <v>114</v>
      </c>
      <c r="H1177" s="5" t="s">
        <v>137</v>
      </c>
      <c r="I1177" s="5" t="s">
        <v>24</v>
      </c>
      <c r="J1177" s="5" t="s">
        <v>5378</v>
      </c>
    </row>
    <row r="1178" spans="1:10" ht="25.5" x14ac:dyDescent="0.2">
      <c r="A1178" s="5" t="s">
        <v>5377</v>
      </c>
      <c r="B1178" s="5" t="s">
        <v>83</v>
      </c>
      <c r="C1178" s="5"/>
      <c r="D1178" s="5" t="s">
        <v>5376</v>
      </c>
      <c r="E1178" s="5"/>
      <c r="F1178" s="5" t="s">
        <v>5375</v>
      </c>
      <c r="G1178" s="5" t="s">
        <v>114</v>
      </c>
      <c r="H1178" s="5" t="s">
        <v>137</v>
      </c>
      <c r="I1178" s="5"/>
      <c r="J1178" s="5" t="s">
        <v>4580</v>
      </c>
    </row>
    <row r="1179" spans="1:10" ht="25.5" x14ac:dyDescent="0.2">
      <c r="A1179" s="5" t="s">
        <v>5374</v>
      </c>
      <c r="B1179" s="5" t="s">
        <v>83</v>
      </c>
      <c r="C1179" s="5"/>
      <c r="D1179" s="5" t="s">
        <v>5373</v>
      </c>
      <c r="E1179" s="5"/>
      <c r="F1179" s="5" t="s">
        <v>5372</v>
      </c>
      <c r="G1179" s="5" t="s">
        <v>122</v>
      </c>
      <c r="H1179" s="5" t="s">
        <v>137</v>
      </c>
      <c r="I1179" s="5" t="s">
        <v>5368</v>
      </c>
      <c r="J1179" s="5" t="s">
        <v>5371</v>
      </c>
    </row>
    <row r="1180" spans="1:10" ht="25.5" x14ac:dyDescent="0.2">
      <c r="A1180" s="5" t="s">
        <v>5370</v>
      </c>
      <c r="B1180" s="5" t="s">
        <v>83</v>
      </c>
      <c r="C1180" s="5"/>
      <c r="D1180" s="5" t="s">
        <v>5369</v>
      </c>
      <c r="E1180" s="5"/>
      <c r="F1180" s="5" t="s">
        <v>4581</v>
      </c>
      <c r="G1180" s="5" t="s">
        <v>114</v>
      </c>
      <c r="H1180" s="5" t="s">
        <v>137</v>
      </c>
      <c r="I1180" s="5" t="s">
        <v>5368</v>
      </c>
      <c r="J1180" s="5" t="s">
        <v>5367</v>
      </c>
    </row>
    <row r="1181" spans="1:10" x14ac:dyDescent="0.2">
      <c r="A1181" s="5" t="s">
        <v>5366</v>
      </c>
      <c r="B1181" s="5" t="s">
        <v>83</v>
      </c>
      <c r="C1181" s="5"/>
      <c r="D1181" s="5" t="s">
        <v>5365</v>
      </c>
      <c r="E1181" s="5"/>
      <c r="F1181" s="5" t="s">
        <v>5364</v>
      </c>
      <c r="G1181" s="5" t="s">
        <v>114</v>
      </c>
      <c r="H1181" s="5" t="s">
        <v>137</v>
      </c>
      <c r="I1181" s="5" t="s">
        <v>24</v>
      </c>
      <c r="J1181" s="5" t="s">
        <v>5363</v>
      </c>
    </row>
    <row r="1182" spans="1:10" ht="25.5" x14ac:dyDescent="0.2">
      <c r="A1182" s="5" t="s">
        <v>5362</v>
      </c>
      <c r="B1182" s="5" t="s">
        <v>83</v>
      </c>
      <c r="C1182" s="5"/>
      <c r="D1182" s="5" t="s">
        <v>5361</v>
      </c>
      <c r="E1182" s="5"/>
      <c r="F1182" s="5" t="s">
        <v>5347</v>
      </c>
      <c r="G1182" s="5" t="s">
        <v>382</v>
      </c>
      <c r="H1182" s="5" t="s">
        <v>3</v>
      </c>
      <c r="I1182" s="5"/>
      <c r="J1182" s="5" t="s">
        <v>5360</v>
      </c>
    </row>
    <row r="1183" spans="1:10" ht="25.5" x14ac:dyDescent="0.2">
      <c r="A1183" s="5" t="s">
        <v>5359</v>
      </c>
      <c r="B1183" s="5" t="s">
        <v>83</v>
      </c>
      <c r="C1183" s="5"/>
      <c r="D1183" s="5" t="s">
        <v>5358</v>
      </c>
      <c r="E1183" s="5"/>
      <c r="F1183" s="5" t="s">
        <v>5347</v>
      </c>
      <c r="G1183" s="5" t="s">
        <v>382</v>
      </c>
      <c r="H1183" s="5" t="s">
        <v>137</v>
      </c>
      <c r="I1183" s="5" t="s">
        <v>5354</v>
      </c>
      <c r="J1183" s="5" t="s">
        <v>5357</v>
      </c>
    </row>
    <row r="1184" spans="1:10" ht="25.5" x14ac:dyDescent="0.2">
      <c r="A1184" s="5" t="s">
        <v>5356</v>
      </c>
      <c r="B1184" s="5" t="s">
        <v>83</v>
      </c>
      <c r="C1184" s="5"/>
      <c r="D1184" s="5" t="s">
        <v>5355</v>
      </c>
      <c r="E1184" s="5" t="s">
        <v>150</v>
      </c>
      <c r="F1184" s="5" t="s">
        <v>5347</v>
      </c>
      <c r="G1184" s="5" t="s">
        <v>148</v>
      </c>
      <c r="H1184" s="5" t="s">
        <v>137</v>
      </c>
      <c r="I1184" s="5" t="s">
        <v>5354</v>
      </c>
      <c r="J1184" s="5" t="s">
        <v>5353</v>
      </c>
    </row>
    <row r="1185" spans="1:10" x14ac:dyDescent="0.2">
      <c r="A1185" s="5" t="s">
        <v>5352</v>
      </c>
      <c r="B1185" s="5" t="s">
        <v>83</v>
      </c>
      <c r="C1185" s="5"/>
      <c r="D1185" s="5" t="s">
        <v>5351</v>
      </c>
      <c r="E1185" s="5" t="s">
        <v>150</v>
      </c>
      <c r="F1185" s="5" t="s">
        <v>5347</v>
      </c>
      <c r="G1185" s="5" t="s">
        <v>148</v>
      </c>
      <c r="H1185" s="5" t="s">
        <v>3</v>
      </c>
      <c r="I1185" s="5"/>
      <c r="J1185" s="5" t="s">
        <v>5350</v>
      </c>
    </row>
    <row r="1186" spans="1:10" x14ac:dyDescent="0.2">
      <c r="A1186" s="5" t="s">
        <v>5349</v>
      </c>
      <c r="B1186" s="5" t="s">
        <v>83</v>
      </c>
      <c r="C1186" s="5"/>
      <c r="D1186" s="5" t="s">
        <v>5348</v>
      </c>
      <c r="E1186" s="5" t="s">
        <v>150</v>
      </c>
      <c r="F1186" s="5" t="s">
        <v>5347</v>
      </c>
      <c r="G1186" s="5" t="s">
        <v>148</v>
      </c>
      <c r="H1186" s="5" t="s">
        <v>3</v>
      </c>
      <c r="I1186" s="5"/>
      <c r="J1186" s="5" t="s">
        <v>5346</v>
      </c>
    </row>
    <row r="1187" spans="1:10" ht="25.5" x14ac:dyDescent="0.2">
      <c r="A1187" s="5" t="s">
        <v>5345</v>
      </c>
      <c r="B1187" s="5" t="s">
        <v>83</v>
      </c>
      <c r="C1187" s="5"/>
      <c r="D1187" s="5" t="s">
        <v>5344</v>
      </c>
      <c r="E1187" s="5" t="s">
        <v>150</v>
      </c>
      <c r="F1187" s="5" t="s">
        <v>424</v>
      </c>
      <c r="G1187" s="5" t="s">
        <v>148</v>
      </c>
      <c r="H1187" s="5" t="s">
        <v>137</v>
      </c>
      <c r="I1187" s="5" t="s">
        <v>5340</v>
      </c>
      <c r="J1187" s="5" t="s">
        <v>5343</v>
      </c>
    </row>
    <row r="1188" spans="1:10" ht="25.5" x14ac:dyDescent="0.2">
      <c r="A1188" s="5" t="s">
        <v>5342</v>
      </c>
      <c r="B1188" s="5" t="s">
        <v>83</v>
      </c>
      <c r="C1188" s="5"/>
      <c r="D1188" s="5" t="s">
        <v>5341</v>
      </c>
      <c r="E1188" s="5"/>
      <c r="F1188" s="5" t="s">
        <v>424</v>
      </c>
      <c r="G1188" s="5" t="s">
        <v>170</v>
      </c>
      <c r="H1188" s="5" t="s">
        <v>137</v>
      </c>
      <c r="I1188" s="5" t="s">
        <v>5340</v>
      </c>
      <c r="J1188" s="5" t="s">
        <v>5339</v>
      </c>
    </row>
    <row r="1189" spans="1:10" ht="25.5" x14ac:dyDescent="0.2">
      <c r="A1189" s="5" t="s">
        <v>5338</v>
      </c>
      <c r="B1189" s="5" t="s">
        <v>83</v>
      </c>
      <c r="C1189" s="5"/>
      <c r="D1189" s="5" t="s">
        <v>5337</v>
      </c>
      <c r="E1189" s="5"/>
      <c r="F1189" s="5" t="s">
        <v>5336</v>
      </c>
      <c r="G1189" s="5" t="s">
        <v>80</v>
      </c>
      <c r="H1189" s="5" t="s">
        <v>3</v>
      </c>
      <c r="I1189" s="5"/>
      <c r="J1189" s="5" t="s">
        <v>5335</v>
      </c>
    </row>
    <row r="1190" spans="1:10" ht="25.5" x14ac:dyDescent="0.2">
      <c r="A1190" s="5" t="s">
        <v>5334</v>
      </c>
      <c r="B1190" s="5" t="s">
        <v>83</v>
      </c>
      <c r="C1190" s="5"/>
      <c r="D1190" s="5" t="s">
        <v>5333</v>
      </c>
      <c r="E1190" s="5"/>
      <c r="F1190" s="5" t="s">
        <v>5332</v>
      </c>
      <c r="G1190" s="5" t="s">
        <v>224</v>
      </c>
      <c r="H1190" s="5" t="s">
        <v>3</v>
      </c>
      <c r="I1190" s="5"/>
      <c r="J1190" s="5" t="s">
        <v>5331</v>
      </c>
    </row>
    <row r="1191" spans="1:10" x14ac:dyDescent="0.2">
      <c r="A1191" s="5" t="s">
        <v>1192</v>
      </c>
      <c r="B1191" s="5" t="s">
        <v>83</v>
      </c>
      <c r="C1191" s="5"/>
      <c r="D1191" s="5" t="s">
        <v>5330</v>
      </c>
      <c r="E1191" s="5"/>
      <c r="F1191" s="5" t="s">
        <v>5269</v>
      </c>
      <c r="G1191" s="5" t="s">
        <v>382</v>
      </c>
      <c r="H1191" s="5" t="s">
        <v>3</v>
      </c>
      <c r="I1191" s="5"/>
      <c r="J1191" s="5" t="s">
        <v>5329</v>
      </c>
    </row>
    <row r="1192" spans="1:10" x14ac:dyDescent="0.2">
      <c r="A1192" s="5" t="s">
        <v>1199</v>
      </c>
      <c r="B1192" s="5" t="s">
        <v>83</v>
      </c>
      <c r="C1192" s="5"/>
      <c r="D1192" s="5" t="s">
        <v>5328</v>
      </c>
      <c r="E1192" s="5"/>
      <c r="F1192" s="5" t="s">
        <v>5269</v>
      </c>
      <c r="G1192" s="5" t="s">
        <v>382</v>
      </c>
      <c r="H1192" s="5" t="s">
        <v>137</v>
      </c>
      <c r="I1192" s="5" t="s">
        <v>5276</v>
      </c>
      <c r="J1192" s="5" t="s">
        <v>5327</v>
      </c>
    </row>
    <row r="1193" spans="1:10" ht="25.5" x14ac:dyDescent="0.2">
      <c r="A1193" s="5" t="s">
        <v>5326</v>
      </c>
      <c r="B1193" s="5" t="s">
        <v>83</v>
      </c>
      <c r="C1193" s="5"/>
      <c r="D1193" s="5" t="s">
        <v>5325</v>
      </c>
      <c r="E1193" s="5"/>
      <c r="F1193" s="5" t="s">
        <v>5311</v>
      </c>
      <c r="G1193" s="5" t="s">
        <v>382</v>
      </c>
      <c r="H1193" s="5" t="s">
        <v>3</v>
      </c>
      <c r="I1193" s="5"/>
      <c r="J1193" s="5" t="s">
        <v>5324</v>
      </c>
    </row>
    <row r="1194" spans="1:10" ht="25.5" x14ac:dyDescent="0.2">
      <c r="A1194" s="5" t="s">
        <v>5323</v>
      </c>
      <c r="B1194" s="5" t="s">
        <v>83</v>
      </c>
      <c r="C1194" s="5"/>
      <c r="D1194" s="5" t="s">
        <v>5322</v>
      </c>
      <c r="E1194" s="5"/>
      <c r="F1194" s="5" t="s">
        <v>5311</v>
      </c>
      <c r="G1194" s="5" t="s">
        <v>382</v>
      </c>
      <c r="H1194" s="5" t="s">
        <v>137</v>
      </c>
      <c r="I1194" s="5" t="s">
        <v>5318</v>
      </c>
      <c r="J1194" s="5" t="s">
        <v>5321</v>
      </c>
    </row>
    <row r="1195" spans="1:10" ht="25.5" x14ac:dyDescent="0.2">
      <c r="A1195" s="5" t="s">
        <v>5320</v>
      </c>
      <c r="B1195" s="5" t="s">
        <v>83</v>
      </c>
      <c r="C1195" s="5"/>
      <c r="D1195" s="5" t="s">
        <v>5319</v>
      </c>
      <c r="E1195" s="5" t="s">
        <v>150</v>
      </c>
      <c r="F1195" s="5" t="s">
        <v>5311</v>
      </c>
      <c r="G1195" s="5" t="s">
        <v>148</v>
      </c>
      <c r="H1195" s="5" t="s">
        <v>137</v>
      </c>
      <c r="I1195" s="5" t="s">
        <v>5318</v>
      </c>
      <c r="J1195" s="5" t="s">
        <v>5317</v>
      </c>
    </row>
    <row r="1196" spans="1:10" x14ac:dyDescent="0.2">
      <c r="A1196" s="5" t="s">
        <v>5316</v>
      </c>
      <c r="B1196" s="5" t="s">
        <v>83</v>
      </c>
      <c r="C1196" s="5"/>
      <c r="D1196" s="5" t="s">
        <v>5315</v>
      </c>
      <c r="E1196" s="5" t="s">
        <v>150</v>
      </c>
      <c r="F1196" s="5" t="s">
        <v>5311</v>
      </c>
      <c r="G1196" s="5" t="s">
        <v>148</v>
      </c>
      <c r="H1196" s="5" t="s">
        <v>3</v>
      </c>
      <c r="I1196" s="5"/>
      <c r="J1196" s="5" t="s">
        <v>5314</v>
      </c>
    </row>
    <row r="1197" spans="1:10" x14ac:dyDescent="0.2">
      <c r="A1197" s="5" t="s">
        <v>5313</v>
      </c>
      <c r="B1197" s="5" t="s">
        <v>83</v>
      </c>
      <c r="C1197" s="5"/>
      <c r="D1197" s="5" t="s">
        <v>5312</v>
      </c>
      <c r="E1197" s="5" t="s">
        <v>150</v>
      </c>
      <c r="F1197" s="5" t="s">
        <v>5311</v>
      </c>
      <c r="G1197" s="5" t="s">
        <v>148</v>
      </c>
      <c r="H1197" s="5" t="s">
        <v>3</v>
      </c>
      <c r="I1197" s="5"/>
      <c r="J1197" s="5" t="s">
        <v>5310</v>
      </c>
    </row>
    <row r="1198" spans="1:10" ht="25.5" x14ac:dyDescent="0.2">
      <c r="A1198" s="5" t="s">
        <v>5309</v>
      </c>
      <c r="B1198" s="5" t="s">
        <v>83</v>
      </c>
      <c r="C1198" s="5"/>
      <c r="D1198" s="5" t="s">
        <v>5308</v>
      </c>
      <c r="E1198" s="5" t="s">
        <v>150</v>
      </c>
      <c r="F1198" s="5" t="s">
        <v>424</v>
      </c>
      <c r="G1198" s="5" t="s">
        <v>148</v>
      </c>
      <c r="H1198" s="5" t="s">
        <v>137</v>
      </c>
      <c r="I1198" s="5" t="s">
        <v>5304</v>
      </c>
      <c r="J1198" s="5" t="s">
        <v>5307</v>
      </c>
    </row>
    <row r="1199" spans="1:10" ht="25.5" x14ac:dyDescent="0.2">
      <c r="A1199" s="5" t="s">
        <v>5306</v>
      </c>
      <c r="B1199" s="5" t="s">
        <v>83</v>
      </c>
      <c r="C1199" s="5"/>
      <c r="D1199" s="5" t="s">
        <v>5305</v>
      </c>
      <c r="E1199" s="5"/>
      <c r="F1199" s="5" t="s">
        <v>424</v>
      </c>
      <c r="G1199" s="5" t="s">
        <v>170</v>
      </c>
      <c r="H1199" s="5" t="s">
        <v>137</v>
      </c>
      <c r="I1199" s="5" t="s">
        <v>5304</v>
      </c>
      <c r="J1199" s="5" t="s">
        <v>5303</v>
      </c>
    </row>
    <row r="1200" spans="1:10" ht="25.5" x14ac:dyDescent="0.2">
      <c r="A1200" s="5" t="s">
        <v>5302</v>
      </c>
      <c r="B1200" s="5" t="s">
        <v>83</v>
      </c>
      <c r="C1200" s="5"/>
      <c r="D1200" s="5" t="s">
        <v>5301</v>
      </c>
      <c r="E1200" s="5"/>
      <c r="F1200" s="5" t="s">
        <v>5287</v>
      </c>
      <c r="G1200" s="5" t="s">
        <v>382</v>
      </c>
      <c r="H1200" s="5" t="s">
        <v>3</v>
      </c>
      <c r="I1200" s="5"/>
      <c r="J1200" s="5" t="s">
        <v>5300</v>
      </c>
    </row>
    <row r="1201" spans="1:10" ht="25.5" x14ac:dyDescent="0.2">
      <c r="A1201" s="5" t="s">
        <v>5299</v>
      </c>
      <c r="B1201" s="5" t="s">
        <v>83</v>
      </c>
      <c r="C1201" s="5"/>
      <c r="D1201" s="5" t="s">
        <v>5298</v>
      </c>
      <c r="E1201" s="5"/>
      <c r="F1201" s="5" t="s">
        <v>5287</v>
      </c>
      <c r="G1201" s="5" t="s">
        <v>382</v>
      </c>
      <c r="H1201" s="5" t="s">
        <v>137</v>
      </c>
      <c r="I1201" s="5" t="s">
        <v>5294</v>
      </c>
      <c r="J1201" s="5" t="s">
        <v>5297</v>
      </c>
    </row>
    <row r="1202" spans="1:10" ht="25.5" x14ac:dyDescent="0.2">
      <c r="A1202" s="5" t="s">
        <v>5296</v>
      </c>
      <c r="B1202" s="5" t="s">
        <v>83</v>
      </c>
      <c r="C1202" s="5"/>
      <c r="D1202" s="5" t="s">
        <v>5295</v>
      </c>
      <c r="E1202" s="5" t="s">
        <v>150</v>
      </c>
      <c r="F1202" s="5" t="s">
        <v>5287</v>
      </c>
      <c r="G1202" s="5" t="s">
        <v>148</v>
      </c>
      <c r="H1202" s="5" t="s">
        <v>137</v>
      </c>
      <c r="I1202" s="5" t="s">
        <v>5294</v>
      </c>
      <c r="J1202" s="5" t="s">
        <v>5293</v>
      </c>
    </row>
    <row r="1203" spans="1:10" x14ac:dyDescent="0.2">
      <c r="A1203" s="5" t="s">
        <v>5292</v>
      </c>
      <c r="B1203" s="5" t="s">
        <v>83</v>
      </c>
      <c r="C1203" s="5"/>
      <c r="D1203" s="5" t="s">
        <v>5291</v>
      </c>
      <c r="E1203" s="5" t="s">
        <v>150</v>
      </c>
      <c r="F1203" s="5" t="s">
        <v>5287</v>
      </c>
      <c r="G1203" s="5" t="s">
        <v>148</v>
      </c>
      <c r="H1203" s="5" t="s">
        <v>3</v>
      </c>
      <c r="I1203" s="5"/>
      <c r="J1203" s="5" t="s">
        <v>5290</v>
      </c>
    </row>
    <row r="1204" spans="1:10" x14ac:dyDescent="0.2">
      <c r="A1204" s="5" t="s">
        <v>5289</v>
      </c>
      <c r="B1204" s="5" t="s">
        <v>83</v>
      </c>
      <c r="C1204" s="5"/>
      <c r="D1204" s="5" t="s">
        <v>5288</v>
      </c>
      <c r="E1204" s="5" t="s">
        <v>150</v>
      </c>
      <c r="F1204" s="5" t="s">
        <v>5287</v>
      </c>
      <c r="G1204" s="5" t="s">
        <v>148</v>
      </c>
      <c r="H1204" s="5" t="s">
        <v>3</v>
      </c>
      <c r="I1204" s="5"/>
      <c r="J1204" s="5" t="s">
        <v>5286</v>
      </c>
    </row>
    <row r="1205" spans="1:10" ht="25.5" x14ac:dyDescent="0.2">
      <c r="A1205" s="5" t="s">
        <v>5285</v>
      </c>
      <c r="B1205" s="5" t="s">
        <v>83</v>
      </c>
      <c r="C1205" s="5"/>
      <c r="D1205" s="5" t="s">
        <v>5284</v>
      </c>
      <c r="E1205" s="5" t="s">
        <v>150</v>
      </c>
      <c r="F1205" s="5" t="s">
        <v>424</v>
      </c>
      <c r="G1205" s="5" t="s">
        <v>148</v>
      </c>
      <c r="H1205" s="5" t="s">
        <v>137</v>
      </c>
      <c r="I1205" s="5" t="s">
        <v>5280</v>
      </c>
      <c r="J1205" s="5" t="s">
        <v>5283</v>
      </c>
    </row>
    <row r="1206" spans="1:10" ht="25.5" x14ac:dyDescent="0.2">
      <c r="A1206" s="5" t="s">
        <v>5282</v>
      </c>
      <c r="B1206" s="5" t="s">
        <v>83</v>
      </c>
      <c r="C1206" s="5"/>
      <c r="D1206" s="5" t="s">
        <v>5281</v>
      </c>
      <c r="E1206" s="5"/>
      <c r="F1206" s="5" t="s">
        <v>424</v>
      </c>
      <c r="G1206" s="5" t="s">
        <v>170</v>
      </c>
      <c r="H1206" s="5" t="s">
        <v>137</v>
      </c>
      <c r="I1206" s="5" t="s">
        <v>5280</v>
      </c>
      <c r="J1206" s="5" t="s">
        <v>5279</v>
      </c>
    </row>
    <row r="1207" spans="1:10" x14ac:dyDescent="0.2">
      <c r="A1207" s="5" t="s">
        <v>5278</v>
      </c>
      <c r="B1207" s="5" t="s">
        <v>83</v>
      </c>
      <c r="C1207" s="5"/>
      <c r="D1207" s="5" t="s">
        <v>5277</v>
      </c>
      <c r="E1207" s="5" t="s">
        <v>150</v>
      </c>
      <c r="F1207" s="5" t="s">
        <v>5269</v>
      </c>
      <c r="G1207" s="5" t="s">
        <v>148</v>
      </c>
      <c r="H1207" s="5" t="s">
        <v>137</v>
      </c>
      <c r="I1207" s="5" t="s">
        <v>5276</v>
      </c>
      <c r="J1207" s="5" t="s">
        <v>5275</v>
      </c>
    </row>
    <row r="1208" spans="1:10" x14ac:dyDescent="0.2">
      <c r="A1208" s="5" t="s">
        <v>5274</v>
      </c>
      <c r="B1208" s="5" t="s">
        <v>83</v>
      </c>
      <c r="C1208" s="5"/>
      <c r="D1208" s="5" t="s">
        <v>5273</v>
      </c>
      <c r="E1208" s="5" t="s">
        <v>150</v>
      </c>
      <c r="F1208" s="5" t="s">
        <v>5269</v>
      </c>
      <c r="G1208" s="5" t="s">
        <v>148</v>
      </c>
      <c r="H1208" s="5" t="s">
        <v>3</v>
      </c>
      <c r="I1208" s="5"/>
      <c r="J1208" s="5" t="s">
        <v>5272</v>
      </c>
    </row>
    <row r="1209" spans="1:10" x14ac:dyDescent="0.2">
      <c r="A1209" s="5" t="s">
        <v>5271</v>
      </c>
      <c r="B1209" s="5" t="s">
        <v>83</v>
      </c>
      <c r="C1209" s="5"/>
      <c r="D1209" s="5" t="s">
        <v>5270</v>
      </c>
      <c r="E1209" s="5" t="s">
        <v>150</v>
      </c>
      <c r="F1209" s="5" t="s">
        <v>5269</v>
      </c>
      <c r="G1209" s="5" t="s">
        <v>148</v>
      </c>
      <c r="H1209" s="5" t="s">
        <v>3</v>
      </c>
      <c r="I1209" s="5"/>
      <c r="J1209" s="5" t="s">
        <v>5268</v>
      </c>
    </row>
    <row r="1210" spans="1:10" ht="25.5" x14ac:dyDescent="0.2">
      <c r="A1210" s="5" t="s">
        <v>5267</v>
      </c>
      <c r="B1210" s="5" t="s">
        <v>83</v>
      </c>
      <c r="C1210" s="5"/>
      <c r="D1210" s="5" t="s">
        <v>5266</v>
      </c>
      <c r="E1210" s="5" t="s">
        <v>150</v>
      </c>
      <c r="F1210" s="5" t="s">
        <v>424</v>
      </c>
      <c r="G1210" s="5" t="s">
        <v>148</v>
      </c>
      <c r="H1210" s="5" t="s">
        <v>137</v>
      </c>
      <c r="I1210" s="5" t="s">
        <v>5263</v>
      </c>
      <c r="J1210" s="5" t="s">
        <v>5265</v>
      </c>
    </row>
    <row r="1211" spans="1:10" ht="25.5" x14ac:dyDescent="0.2">
      <c r="A1211" s="5" t="s">
        <v>1185</v>
      </c>
      <c r="B1211" s="5" t="s">
        <v>83</v>
      </c>
      <c r="C1211" s="5"/>
      <c r="D1211" s="5" t="s">
        <v>5264</v>
      </c>
      <c r="E1211" s="5"/>
      <c r="F1211" s="5" t="s">
        <v>424</v>
      </c>
      <c r="G1211" s="5" t="s">
        <v>170</v>
      </c>
      <c r="H1211" s="5" t="s">
        <v>137</v>
      </c>
      <c r="I1211" s="5" t="s">
        <v>5263</v>
      </c>
      <c r="J1211" s="5" t="s">
        <v>5262</v>
      </c>
    </row>
    <row r="1212" spans="1:10" ht="25.5" x14ac:dyDescent="0.2">
      <c r="A1212" s="5" t="s">
        <v>5261</v>
      </c>
      <c r="B1212" s="5" t="s">
        <v>83</v>
      </c>
      <c r="C1212" s="5"/>
      <c r="D1212" s="5" t="s">
        <v>5260</v>
      </c>
      <c r="E1212" s="5"/>
      <c r="F1212" s="5" t="s">
        <v>5246</v>
      </c>
      <c r="G1212" s="5" t="s">
        <v>382</v>
      </c>
      <c r="H1212" s="5" t="s">
        <v>3</v>
      </c>
      <c r="I1212" s="5"/>
      <c r="J1212" s="5" t="s">
        <v>5259</v>
      </c>
    </row>
    <row r="1213" spans="1:10" ht="25.5" x14ac:dyDescent="0.2">
      <c r="A1213" s="5" t="s">
        <v>5258</v>
      </c>
      <c r="B1213" s="5" t="s">
        <v>83</v>
      </c>
      <c r="C1213" s="5"/>
      <c r="D1213" s="5" t="s">
        <v>5257</v>
      </c>
      <c r="E1213" s="5"/>
      <c r="F1213" s="5" t="s">
        <v>5246</v>
      </c>
      <c r="G1213" s="5" t="s">
        <v>382</v>
      </c>
      <c r="H1213" s="5" t="s">
        <v>137</v>
      </c>
      <c r="I1213" s="5" t="s">
        <v>5253</v>
      </c>
      <c r="J1213" s="5" t="s">
        <v>5256</v>
      </c>
    </row>
    <row r="1214" spans="1:10" ht="25.5" x14ac:dyDescent="0.2">
      <c r="A1214" s="5" t="s">
        <v>5255</v>
      </c>
      <c r="B1214" s="5" t="s">
        <v>83</v>
      </c>
      <c r="C1214" s="5"/>
      <c r="D1214" s="5" t="s">
        <v>5254</v>
      </c>
      <c r="E1214" s="5" t="s">
        <v>150</v>
      </c>
      <c r="F1214" s="5" t="s">
        <v>5246</v>
      </c>
      <c r="G1214" s="5" t="s">
        <v>148</v>
      </c>
      <c r="H1214" s="5" t="s">
        <v>137</v>
      </c>
      <c r="I1214" s="5" t="s">
        <v>5253</v>
      </c>
      <c r="J1214" s="5" t="s">
        <v>5252</v>
      </c>
    </row>
    <row r="1215" spans="1:10" x14ac:dyDescent="0.2">
      <c r="A1215" s="5" t="s">
        <v>5251</v>
      </c>
      <c r="B1215" s="5" t="s">
        <v>83</v>
      </c>
      <c r="C1215" s="5"/>
      <c r="D1215" s="5" t="s">
        <v>5250</v>
      </c>
      <c r="E1215" s="5" t="s">
        <v>150</v>
      </c>
      <c r="F1215" s="5" t="s">
        <v>5246</v>
      </c>
      <c r="G1215" s="5" t="s">
        <v>148</v>
      </c>
      <c r="H1215" s="5" t="s">
        <v>3</v>
      </c>
      <c r="I1215" s="5"/>
      <c r="J1215" s="5" t="s">
        <v>5249</v>
      </c>
    </row>
    <row r="1216" spans="1:10" x14ac:dyDescent="0.2">
      <c r="A1216" s="5" t="s">
        <v>5248</v>
      </c>
      <c r="B1216" s="5" t="s">
        <v>83</v>
      </c>
      <c r="C1216" s="5"/>
      <c r="D1216" s="5" t="s">
        <v>5247</v>
      </c>
      <c r="E1216" s="5" t="s">
        <v>150</v>
      </c>
      <c r="F1216" s="5" t="s">
        <v>5246</v>
      </c>
      <c r="G1216" s="5" t="s">
        <v>148</v>
      </c>
      <c r="H1216" s="5" t="s">
        <v>3</v>
      </c>
      <c r="I1216" s="5"/>
      <c r="J1216" s="5" t="s">
        <v>5245</v>
      </c>
    </row>
    <row r="1217" spans="1:10" ht="25.5" x14ac:dyDescent="0.2">
      <c r="A1217" s="5" t="s">
        <v>5244</v>
      </c>
      <c r="B1217" s="5" t="s">
        <v>83</v>
      </c>
      <c r="C1217" s="5"/>
      <c r="D1217" s="5" t="s">
        <v>5243</v>
      </c>
      <c r="E1217" s="5" t="s">
        <v>150</v>
      </c>
      <c r="F1217" s="5" t="s">
        <v>424</v>
      </c>
      <c r="G1217" s="5" t="s">
        <v>148</v>
      </c>
      <c r="H1217" s="5" t="s">
        <v>137</v>
      </c>
      <c r="I1217" s="5" t="s">
        <v>5239</v>
      </c>
      <c r="J1217" s="5" t="s">
        <v>5242</v>
      </c>
    </row>
    <row r="1218" spans="1:10" ht="25.5" x14ac:dyDescent="0.2">
      <c r="A1218" s="5" t="s">
        <v>5241</v>
      </c>
      <c r="B1218" s="5" t="s">
        <v>83</v>
      </c>
      <c r="C1218" s="5"/>
      <c r="D1218" s="5" t="s">
        <v>5240</v>
      </c>
      <c r="E1218" s="5"/>
      <c r="F1218" s="5" t="s">
        <v>424</v>
      </c>
      <c r="G1218" s="5" t="s">
        <v>170</v>
      </c>
      <c r="H1218" s="5" t="s">
        <v>137</v>
      </c>
      <c r="I1218" s="5" t="s">
        <v>5239</v>
      </c>
      <c r="J1218" s="5" t="s">
        <v>5238</v>
      </c>
    </row>
    <row r="1219" spans="1:10" ht="25.5" x14ac:dyDescent="0.2">
      <c r="A1219" s="5" t="s">
        <v>5237</v>
      </c>
      <c r="B1219" s="5" t="s">
        <v>83</v>
      </c>
      <c r="C1219" s="5"/>
      <c r="D1219" s="5" t="s">
        <v>5236</v>
      </c>
      <c r="E1219" s="5"/>
      <c r="F1219" s="5" t="s">
        <v>5235</v>
      </c>
      <c r="G1219" s="5" t="s">
        <v>224</v>
      </c>
      <c r="H1219" s="5" t="s">
        <v>137</v>
      </c>
      <c r="I1219" s="5" t="s">
        <v>1532</v>
      </c>
      <c r="J1219" s="5" t="s">
        <v>5170</v>
      </c>
    </row>
    <row r="1220" spans="1:10" x14ac:dyDescent="0.2">
      <c r="A1220" s="5" t="s">
        <v>5234</v>
      </c>
      <c r="B1220" s="5" t="s">
        <v>83</v>
      </c>
      <c r="C1220" s="5"/>
      <c r="D1220" s="5" t="s">
        <v>5233</v>
      </c>
      <c r="E1220" s="5"/>
      <c r="F1220" s="5" t="s">
        <v>5213</v>
      </c>
      <c r="G1220" s="5" t="s">
        <v>382</v>
      </c>
      <c r="H1220" s="5" t="s">
        <v>3</v>
      </c>
      <c r="I1220" s="5"/>
      <c r="J1220" s="5" t="s">
        <v>5232</v>
      </c>
    </row>
    <row r="1221" spans="1:10" ht="25.5" x14ac:dyDescent="0.2">
      <c r="A1221" s="5" t="s">
        <v>5231</v>
      </c>
      <c r="B1221" s="5" t="s">
        <v>83</v>
      </c>
      <c r="C1221" s="5"/>
      <c r="D1221" s="5" t="s">
        <v>5230</v>
      </c>
      <c r="E1221" s="5" t="s">
        <v>368</v>
      </c>
      <c r="F1221" s="5" t="s">
        <v>5229</v>
      </c>
      <c r="G1221" s="5" t="s">
        <v>207</v>
      </c>
      <c r="H1221" s="5" t="s">
        <v>3</v>
      </c>
      <c r="I1221" s="5"/>
      <c r="J1221" s="5" t="s">
        <v>5228</v>
      </c>
    </row>
    <row r="1222" spans="1:10" x14ac:dyDescent="0.2">
      <c r="A1222" s="5" t="s">
        <v>5227</v>
      </c>
      <c r="B1222" s="5" t="s">
        <v>83</v>
      </c>
      <c r="C1222" s="5"/>
      <c r="D1222" s="5" t="s">
        <v>5226</v>
      </c>
      <c r="E1222" s="5"/>
      <c r="F1222" s="5" t="s">
        <v>5213</v>
      </c>
      <c r="G1222" s="5" t="s">
        <v>382</v>
      </c>
      <c r="H1222" s="5" t="s">
        <v>137</v>
      </c>
      <c r="I1222" s="5" t="s">
        <v>1127</v>
      </c>
      <c r="J1222" s="5" t="s">
        <v>5225</v>
      </c>
    </row>
    <row r="1223" spans="1:10" x14ac:dyDescent="0.2">
      <c r="A1223" s="5" t="s">
        <v>5224</v>
      </c>
      <c r="B1223" s="5" t="s">
        <v>83</v>
      </c>
      <c r="C1223" s="5"/>
      <c r="D1223" s="5" t="s">
        <v>5223</v>
      </c>
      <c r="E1223" s="5" t="s">
        <v>665</v>
      </c>
      <c r="F1223" s="5" t="s">
        <v>5213</v>
      </c>
      <c r="G1223" s="5" t="s">
        <v>148</v>
      </c>
      <c r="H1223" s="5" t="s">
        <v>137</v>
      </c>
      <c r="I1223" s="5" t="s">
        <v>1127</v>
      </c>
      <c r="J1223" s="5" t="s">
        <v>5222</v>
      </c>
    </row>
    <row r="1224" spans="1:10" x14ac:dyDescent="0.2">
      <c r="A1224" s="5" t="s">
        <v>5221</v>
      </c>
      <c r="B1224" s="5" t="s">
        <v>83</v>
      </c>
      <c r="C1224" s="5"/>
      <c r="D1224" s="5" t="s">
        <v>5220</v>
      </c>
      <c r="E1224" s="5" t="s">
        <v>150</v>
      </c>
      <c r="F1224" s="5" t="s">
        <v>5213</v>
      </c>
      <c r="G1224" s="5" t="s">
        <v>148</v>
      </c>
      <c r="H1224" s="5" t="s">
        <v>137</v>
      </c>
      <c r="I1224" s="5" t="s">
        <v>1127</v>
      </c>
      <c r="J1224" s="5" t="s">
        <v>5219</v>
      </c>
    </row>
    <row r="1225" spans="1:10" x14ac:dyDescent="0.2">
      <c r="A1225" s="5" t="s">
        <v>5218</v>
      </c>
      <c r="B1225" s="5" t="s">
        <v>83</v>
      </c>
      <c r="C1225" s="5"/>
      <c r="D1225" s="5" t="s">
        <v>5217</v>
      </c>
      <c r="E1225" s="5" t="s">
        <v>150</v>
      </c>
      <c r="F1225" s="5" t="s">
        <v>5213</v>
      </c>
      <c r="G1225" s="5" t="s">
        <v>148</v>
      </c>
      <c r="H1225" s="5" t="s">
        <v>3</v>
      </c>
      <c r="I1225" s="5"/>
      <c r="J1225" s="5" t="s">
        <v>5216</v>
      </c>
    </row>
    <row r="1226" spans="1:10" x14ac:dyDescent="0.2">
      <c r="A1226" s="5" t="s">
        <v>5215</v>
      </c>
      <c r="B1226" s="5" t="s">
        <v>83</v>
      </c>
      <c r="C1226" s="5"/>
      <c r="D1226" s="5" t="s">
        <v>5214</v>
      </c>
      <c r="E1226" s="5" t="s">
        <v>150</v>
      </c>
      <c r="F1226" s="5" t="s">
        <v>5213</v>
      </c>
      <c r="G1226" s="5" t="s">
        <v>148</v>
      </c>
      <c r="H1226" s="5" t="s">
        <v>3</v>
      </c>
      <c r="I1226" s="5"/>
      <c r="J1226" s="5" t="s">
        <v>5212</v>
      </c>
    </row>
    <row r="1227" spans="1:10" ht="25.5" x14ac:dyDescent="0.2">
      <c r="A1227" s="5" t="s">
        <v>5211</v>
      </c>
      <c r="B1227" s="5" t="s">
        <v>83</v>
      </c>
      <c r="C1227" s="5"/>
      <c r="D1227" s="5" t="s">
        <v>5210</v>
      </c>
      <c r="E1227" s="5" t="s">
        <v>150</v>
      </c>
      <c r="F1227" s="5" t="s">
        <v>424</v>
      </c>
      <c r="G1227" s="5" t="s">
        <v>148</v>
      </c>
      <c r="H1227" s="5" t="s">
        <v>137</v>
      </c>
      <c r="I1227" s="5" t="s">
        <v>1122</v>
      </c>
      <c r="J1227" s="5" t="s">
        <v>5209</v>
      </c>
    </row>
    <row r="1228" spans="1:10" ht="25.5" x14ac:dyDescent="0.2">
      <c r="A1228" s="5" t="s">
        <v>5208</v>
      </c>
      <c r="B1228" s="5" t="s">
        <v>83</v>
      </c>
      <c r="C1228" s="5"/>
      <c r="D1228" s="5" t="s">
        <v>5207</v>
      </c>
      <c r="E1228" s="5"/>
      <c r="F1228" s="5" t="s">
        <v>424</v>
      </c>
      <c r="G1228" s="5" t="s">
        <v>170</v>
      </c>
      <c r="H1228" s="5" t="s">
        <v>137</v>
      </c>
      <c r="I1228" s="5" t="s">
        <v>1122</v>
      </c>
      <c r="J1228" s="5" t="s">
        <v>5206</v>
      </c>
    </row>
    <row r="1229" spans="1:10" ht="25.5" x14ac:dyDescent="0.2">
      <c r="A1229" s="5" t="s">
        <v>5205</v>
      </c>
      <c r="B1229" s="5" t="s">
        <v>83</v>
      </c>
      <c r="C1229" s="5"/>
      <c r="D1229" s="5" t="s">
        <v>5204</v>
      </c>
      <c r="E1229" s="5"/>
      <c r="F1229" s="5" t="s">
        <v>5190</v>
      </c>
      <c r="G1229" s="5" t="s">
        <v>382</v>
      </c>
      <c r="H1229" s="5" t="s">
        <v>3</v>
      </c>
      <c r="I1229" s="5"/>
      <c r="J1229" s="5" t="s">
        <v>5203</v>
      </c>
    </row>
    <row r="1230" spans="1:10" ht="25.5" x14ac:dyDescent="0.2">
      <c r="A1230" s="5" t="s">
        <v>5202</v>
      </c>
      <c r="B1230" s="5" t="s">
        <v>83</v>
      </c>
      <c r="C1230" s="5"/>
      <c r="D1230" s="5" t="s">
        <v>5201</v>
      </c>
      <c r="E1230" s="5"/>
      <c r="F1230" s="5" t="s">
        <v>5190</v>
      </c>
      <c r="G1230" s="5" t="s">
        <v>382</v>
      </c>
      <c r="H1230" s="5" t="s">
        <v>137</v>
      </c>
      <c r="I1230" s="5" t="s">
        <v>5197</v>
      </c>
      <c r="J1230" s="5" t="s">
        <v>5200</v>
      </c>
    </row>
    <row r="1231" spans="1:10" ht="25.5" x14ac:dyDescent="0.2">
      <c r="A1231" s="5" t="s">
        <v>5199</v>
      </c>
      <c r="B1231" s="5" t="s">
        <v>83</v>
      </c>
      <c r="C1231" s="5"/>
      <c r="D1231" s="5" t="s">
        <v>5198</v>
      </c>
      <c r="E1231" s="5" t="s">
        <v>150</v>
      </c>
      <c r="F1231" s="5" t="s">
        <v>5190</v>
      </c>
      <c r="G1231" s="5" t="s">
        <v>148</v>
      </c>
      <c r="H1231" s="5" t="s">
        <v>137</v>
      </c>
      <c r="I1231" s="5" t="s">
        <v>5197</v>
      </c>
      <c r="J1231" s="5" t="s">
        <v>5196</v>
      </c>
    </row>
    <row r="1232" spans="1:10" x14ac:dyDescent="0.2">
      <c r="A1232" s="5" t="s">
        <v>5195</v>
      </c>
      <c r="B1232" s="5" t="s">
        <v>83</v>
      </c>
      <c r="C1232" s="5"/>
      <c r="D1232" s="5" t="s">
        <v>5194</v>
      </c>
      <c r="E1232" s="5" t="s">
        <v>150</v>
      </c>
      <c r="F1232" s="5" t="s">
        <v>5190</v>
      </c>
      <c r="G1232" s="5" t="s">
        <v>148</v>
      </c>
      <c r="H1232" s="5" t="s">
        <v>3</v>
      </c>
      <c r="I1232" s="5"/>
      <c r="J1232" s="5" t="s">
        <v>5193</v>
      </c>
    </row>
    <row r="1233" spans="1:10" x14ac:dyDescent="0.2">
      <c r="A1233" s="5" t="s">
        <v>5192</v>
      </c>
      <c r="B1233" s="5" t="s">
        <v>83</v>
      </c>
      <c r="C1233" s="5"/>
      <c r="D1233" s="5" t="s">
        <v>5191</v>
      </c>
      <c r="E1233" s="5" t="s">
        <v>150</v>
      </c>
      <c r="F1233" s="5" t="s">
        <v>5190</v>
      </c>
      <c r="G1233" s="5" t="s">
        <v>148</v>
      </c>
      <c r="H1233" s="5" t="s">
        <v>3</v>
      </c>
      <c r="I1233" s="5"/>
      <c r="J1233" s="5" t="s">
        <v>5189</v>
      </c>
    </row>
    <row r="1234" spans="1:10" ht="25.5" x14ac:dyDescent="0.2">
      <c r="A1234" s="5" t="s">
        <v>5188</v>
      </c>
      <c r="B1234" s="5" t="s">
        <v>83</v>
      </c>
      <c r="C1234" s="5"/>
      <c r="D1234" s="5" t="s">
        <v>5187</v>
      </c>
      <c r="E1234" s="5" t="s">
        <v>150</v>
      </c>
      <c r="F1234" s="5" t="s">
        <v>424</v>
      </c>
      <c r="G1234" s="5" t="s">
        <v>148</v>
      </c>
      <c r="H1234" s="5" t="s">
        <v>137</v>
      </c>
      <c r="I1234" s="5" t="s">
        <v>5183</v>
      </c>
      <c r="J1234" s="5" t="s">
        <v>5186</v>
      </c>
    </row>
    <row r="1235" spans="1:10" ht="25.5" x14ac:dyDescent="0.2">
      <c r="A1235" s="5" t="s">
        <v>5185</v>
      </c>
      <c r="B1235" s="5" t="s">
        <v>83</v>
      </c>
      <c r="C1235" s="5"/>
      <c r="D1235" s="5" t="s">
        <v>5184</v>
      </c>
      <c r="E1235" s="5"/>
      <c r="F1235" s="5" t="s">
        <v>424</v>
      </c>
      <c r="G1235" s="5" t="s">
        <v>170</v>
      </c>
      <c r="H1235" s="5" t="s">
        <v>137</v>
      </c>
      <c r="I1235" s="5" t="s">
        <v>5183</v>
      </c>
      <c r="J1235" s="5" t="s">
        <v>5182</v>
      </c>
    </row>
    <row r="1236" spans="1:10" ht="25.5" x14ac:dyDescent="0.2">
      <c r="A1236" s="5" t="s">
        <v>5181</v>
      </c>
      <c r="B1236" s="5" t="s">
        <v>83</v>
      </c>
      <c r="C1236" s="5"/>
      <c r="D1236" s="5" t="s">
        <v>5179</v>
      </c>
      <c r="E1236" s="5"/>
      <c r="F1236" s="5" t="s">
        <v>5178</v>
      </c>
      <c r="G1236" s="5" t="s">
        <v>173</v>
      </c>
      <c r="H1236" s="5" t="s">
        <v>3</v>
      </c>
      <c r="I1236" s="5"/>
      <c r="J1236" s="5" t="s">
        <v>5177</v>
      </c>
    </row>
    <row r="1237" spans="1:10" ht="25.5" x14ac:dyDescent="0.2">
      <c r="A1237" s="5" t="s">
        <v>5180</v>
      </c>
      <c r="B1237" s="5" t="s">
        <v>83</v>
      </c>
      <c r="C1237" s="5"/>
      <c r="D1237" s="5" t="s">
        <v>5179</v>
      </c>
      <c r="E1237" s="5"/>
      <c r="F1237" s="5" t="s">
        <v>5178</v>
      </c>
      <c r="G1237" s="5" t="s">
        <v>382</v>
      </c>
      <c r="H1237" s="5" t="s">
        <v>3</v>
      </c>
      <c r="I1237" s="5"/>
      <c r="J1237" s="5" t="s">
        <v>5177</v>
      </c>
    </row>
    <row r="1238" spans="1:10" x14ac:dyDescent="0.2">
      <c r="A1238" s="5" t="s">
        <v>5176</v>
      </c>
      <c r="B1238" s="5" t="s">
        <v>83</v>
      </c>
      <c r="C1238" s="5"/>
      <c r="D1238" s="5" t="s">
        <v>5175</v>
      </c>
      <c r="E1238" s="5"/>
      <c r="F1238" s="5" t="s">
        <v>5174</v>
      </c>
      <c r="G1238" s="5" t="s">
        <v>80</v>
      </c>
      <c r="H1238" s="5" t="s">
        <v>3</v>
      </c>
      <c r="I1238" s="5"/>
      <c r="J1238" s="5" t="s">
        <v>5173</v>
      </c>
    </row>
    <row r="1239" spans="1:10" ht="25.5" x14ac:dyDescent="0.2">
      <c r="A1239" s="5" t="s">
        <v>5172</v>
      </c>
      <c r="B1239" s="5" t="s">
        <v>83</v>
      </c>
      <c r="C1239" s="5"/>
      <c r="D1239" s="5" t="s">
        <v>5171</v>
      </c>
      <c r="E1239" s="5"/>
      <c r="F1239" s="5" t="s">
        <v>1554</v>
      </c>
      <c r="G1239" s="5" t="s">
        <v>3059</v>
      </c>
      <c r="H1239" s="5" t="s">
        <v>137</v>
      </c>
      <c r="I1239" s="5" t="s">
        <v>1532</v>
      </c>
      <c r="J1239" s="5" t="s">
        <v>5170</v>
      </c>
    </row>
    <row r="1240" spans="1:10" ht="25.5" x14ac:dyDescent="0.2">
      <c r="A1240" s="5" t="s">
        <v>5169</v>
      </c>
      <c r="B1240" s="5" t="s">
        <v>83</v>
      </c>
      <c r="C1240" s="5"/>
      <c r="D1240" s="5" t="s">
        <v>5168</v>
      </c>
      <c r="E1240" s="5"/>
      <c r="F1240" s="5" t="s">
        <v>5130</v>
      </c>
      <c r="G1240" s="5" t="s">
        <v>382</v>
      </c>
      <c r="H1240" s="5" t="s">
        <v>3</v>
      </c>
      <c r="I1240" s="5"/>
      <c r="J1240" s="5" t="s">
        <v>5167</v>
      </c>
    </row>
    <row r="1241" spans="1:10" ht="25.5" x14ac:dyDescent="0.2">
      <c r="A1241" s="5" t="s">
        <v>5166</v>
      </c>
      <c r="B1241" s="5" t="s">
        <v>83</v>
      </c>
      <c r="C1241" s="5"/>
      <c r="D1241" s="5" t="s">
        <v>5165</v>
      </c>
      <c r="E1241" s="5"/>
      <c r="F1241" s="5" t="s">
        <v>5151</v>
      </c>
      <c r="G1241" s="5" t="s">
        <v>382</v>
      </c>
      <c r="H1241" s="5" t="s">
        <v>3</v>
      </c>
      <c r="I1241" s="5"/>
      <c r="J1241" s="5" t="s">
        <v>5164</v>
      </c>
    </row>
    <row r="1242" spans="1:10" ht="25.5" x14ac:dyDescent="0.2">
      <c r="A1242" s="5" t="s">
        <v>5163</v>
      </c>
      <c r="B1242" s="5" t="s">
        <v>83</v>
      </c>
      <c r="C1242" s="5"/>
      <c r="D1242" s="5" t="s">
        <v>5162</v>
      </c>
      <c r="E1242" s="5"/>
      <c r="F1242" s="5" t="s">
        <v>5151</v>
      </c>
      <c r="G1242" s="5" t="s">
        <v>382</v>
      </c>
      <c r="H1242" s="5" t="s">
        <v>137</v>
      </c>
      <c r="I1242" s="5" t="s">
        <v>5158</v>
      </c>
      <c r="J1242" s="5" t="s">
        <v>5161</v>
      </c>
    </row>
    <row r="1243" spans="1:10" ht="25.5" x14ac:dyDescent="0.2">
      <c r="A1243" s="5" t="s">
        <v>5160</v>
      </c>
      <c r="B1243" s="5" t="s">
        <v>83</v>
      </c>
      <c r="C1243" s="5"/>
      <c r="D1243" s="5" t="s">
        <v>5159</v>
      </c>
      <c r="E1243" s="5" t="s">
        <v>150</v>
      </c>
      <c r="F1243" s="5" t="s">
        <v>5151</v>
      </c>
      <c r="G1243" s="5" t="s">
        <v>148</v>
      </c>
      <c r="H1243" s="5" t="s">
        <v>137</v>
      </c>
      <c r="I1243" s="5" t="s">
        <v>5158</v>
      </c>
      <c r="J1243" s="5" t="s">
        <v>5157</v>
      </c>
    </row>
    <row r="1244" spans="1:10" x14ac:dyDescent="0.2">
      <c r="A1244" s="5" t="s">
        <v>5156</v>
      </c>
      <c r="B1244" s="5" t="s">
        <v>83</v>
      </c>
      <c r="C1244" s="5"/>
      <c r="D1244" s="5" t="s">
        <v>5155</v>
      </c>
      <c r="E1244" s="5" t="s">
        <v>150</v>
      </c>
      <c r="F1244" s="5" t="s">
        <v>5151</v>
      </c>
      <c r="G1244" s="5" t="s">
        <v>148</v>
      </c>
      <c r="H1244" s="5" t="s">
        <v>3</v>
      </c>
      <c r="I1244" s="5"/>
      <c r="J1244" s="5" t="s">
        <v>5154</v>
      </c>
    </row>
    <row r="1245" spans="1:10" x14ac:dyDescent="0.2">
      <c r="A1245" s="5" t="s">
        <v>5153</v>
      </c>
      <c r="B1245" s="5" t="s">
        <v>83</v>
      </c>
      <c r="C1245" s="5"/>
      <c r="D1245" s="5" t="s">
        <v>5152</v>
      </c>
      <c r="E1245" s="5" t="s">
        <v>150</v>
      </c>
      <c r="F1245" s="5" t="s">
        <v>5151</v>
      </c>
      <c r="G1245" s="5" t="s">
        <v>148</v>
      </c>
      <c r="H1245" s="5" t="s">
        <v>3</v>
      </c>
      <c r="I1245" s="5"/>
      <c r="J1245" s="5" t="s">
        <v>5150</v>
      </c>
    </row>
    <row r="1246" spans="1:10" ht="25.5" x14ac:dyDescent="0.2">
      <c r="A1246" s="5" t="s">
        <v>5149</v>
      </c>
      <c r="B1246" s="5" t="s">
        <v>83</v>
      </c>
      <c r="C1246" s="5"/>
      <c r="D1246" s="5" t="s">
        <v>5148</v>
      </c>
      <c r="E1246" s="5" t="s">
        <v>150</v>
      </c>
      <c r="F1246" s="5" t="s">
        <v>424</v>
      </c>
      <c r="G1246" s="5" t="s">
        <v>148</v>
      </c>
      <c r="H1246" s="5" t="s">
        <v>137</v>
      </c>
      <c r="I1246" s="5" t="s">
        <v>5144</v>
      </c>
      <c r="J1246" s="5" t="s">
        <v>5147</v>
      </c>
    </row>
    <row r="1247" spans="1:10" ht="25.5" x14ac:dyDescent="0.2">
      <c r="A1247" s="5" t="s">
        <v>5146</v>
      </c>
      <c r="B1247" s="5" t="s">
        <v>83</v>
      </c>
      <c r="C1247" s="5"/>
      <c r="D1247" s="5" t="s">
        <v>5145</v>
      </c>
      <c r="E1247" s="5"/>
      <c r="F1247" s="5" t="s">
        <v>424</v>
      </c>
      <c r="G1247" s="5" t="s">
        <v>170</v>
      </c>
      <c r="H1247" s="5" t="s">
        <v>137</v>
      </c>
      <c r="I1247" s="5" t="s">
        <v>5144</v>
      </c>
      <c r="J1247" s="5" t="s">
        <v>5143</v>
      </c>
    </row>
    <row r="1248" spans="1:10" ht="25.5" x14ac:dyDescent="0.2">
      <c r="A1248" s="5" t="s">
        <v>5142</v>
      </c>
      <c r="B1248" s="5" t="s">
        <v>83</v>
      </c>
      <c r="C1248" s="5"/>
      <c r="D1248" s="5" t="s">
        <v>5141</v>
      </c>
      <c r="E1248" s="5"/>
      <c r="F1248" s="5" t="s">
        <v>5130</v>
      </c>
      <c r="G1248" s="5" t="s">
        <v>382</v>
      </c>
      <c r="H1248" s="5" t="s">
        <v>137</v>
      </c>
      <c r="I1248" s="5" t="s">
        <v>5137</v>
      </c>
      <c r="J1248" s="5" t="s">
        <v>5140</v>
      </c>
    </row>
    <row r="1249" spans="1:10" ht="25.5" x14ac:dyDescent="0.2">
      <c r="A1249" s="5" t="s">
        <v>5139</v>
      </c>
      <c r="B1249" s="5" t="s">
        <v>83</v>
      </c>
      <c r="C1249" s="5"/>
      <c r="D1249" s="5" t="s">
        <v>5138</v>
      </c>
      <c r="E1249" s="5" t="s">
        <v>150</v>
      </c>
      <c r="F1249" s="5" t="s">
        <v>5130</v>
      </c>
      <c r="G1249" s="5" t="s">
        <v>148</v>
      </c>
      <c r="H1249" s="5" t="s">
        <v>137</v>
      </c>
      <c r="I1249" s="5" t="s">
        <v>5137</v>
      </c>
      <c r="J1249" s="5" t="s">
        <v>5136</v>
      </c>
    </row>
    <row r="1250" spans="1:10" x14ac:dyDescent="0.2">
      <c r="A1250" s="5" t="s">
        <v>5135</v>
      </c>
      <c r="B1250" s="5" t="s">
        <v>83</v>
      </c>
      <c r="C1250" s="5"/>
      <c r="D1250" s="5" t="s">
        <v>5134</v>
      </c>
      <c r="E1250" s="5" t="s">
        <v>150</v>
      </c>
      <c r="F1250" s="5" t="s">
        <v>5130</v>
      </c>
      <c r="G1250" s="5" t="s">
        <v>148</v>
      </c>
      <c r="H1250" s="5" t="s">
        <v>3</v>
      </c>
      <c r="I1250" s="5"/>
      <c r="J1250" s="5" t="s">
        <v>5133</v>
      </c>
    </row>
    <row r="1251" spans="1:10" x14ac:dyDescent="0.2">
      <c r="A1251" s="5" t="s">
        <v>5132</v>
      </c>
      <c r="B1251" s="5" t="s">
        <v>83</v>
      </c>
      <c r="C1251" s="5"/>
      <c r="D1251" s="5" t="s">
        <v>5131</v>
      </c>
      <c r="E1251" s="5" t="s">
        <v>150</v>
      </c>
      <c r="F1251" s="5" t="s">
        <v>5130</v>
      </c>
      <c r="G1251" s="5" t="s">
        <v>148</v>
      </c>
      <c r="H1251" s="5" t="s">
        <v>3</v>
      </c>
      <c r="I1251" s="5"/>
      <c r="J1251" s="5" t="s">
        <v>5129</v>
      </c>
    </row>
    <row r="1252" spans="1:10" ht="38.25" x14ac:dyDescent="0.2">
      <c r="A1252" s="5" t="s">
        <v>5128</v>
      </c>
      <c r="B1252" s="5" t="s">
        <v>83</v>
      </c>
      <c r="C1252" s="5"/>
      <c r="D1252" s="5" t="s">
        <v>5127</v>
      </c>
      <c r="E1252" s="5" t="s">
        <v>150</v>
      </c>
      <c r="F1252" s="5" t="s">
        <v>424</v>
      </c>
      <c r="G1252" s="5" t="s">
        <v>148</v>
      </c>
      <c r="H1252" s="5" t="s">
        <v>137</v>
      </c>
      <c r="I1252" s="5" t="s">
        <v>5123</v>
      </c>
      <c r="J1252" s="5" t="s">
        <v>5126</v>
      </c>
    </row>
    <row r="1253" spans="1:10" ht="38.25" x14ac:dyDescent="0.2">
      <c r="A1253" s="5" t="s">
        <v>5125</v>
      </c>
      <c r="B1253" s="5" t="s">
        <v>83</v>
      </c>
      <c r="C1253" s="5"/>
      <c r="D1253" s="5" t="s">
        <v>5124</v>
      </c>
      <c r="E1253" s="5"/>
      <c r="F1253" s="5" t="s">
        <v>424</v>
      </c>
      <c r="G1253" s="5" t="s">
        <v>170</v>
      </c>
      <c r="H1253" s="5" t="s">
        <v>137</v>
      </c>
      <c r="I1253" s="5" t="s">
        <v>5123</v>
      </c>
      <c r="J1253" s="5" t="s">
        <v>5122</v>
      </c>
    </row>
    <row r="1254" spans="1:10" ht="25.5" x14ac:dyDescent="0.2">
      <c r="A1254" s="5" t="s">
        <v>5121</v>
      </c>
      <c r="B1254" s="5" t="s">
        <v>83</v>
      </c>
      <c r="C1254" s="5"/>
      <c r="D1254" s="5" t="s">
        <v>5120</v>
      </c>
      <c r="E1254" s="5"/>
      <c r="F1254" s="5" t="s">
        <v>5106</v>
      </c>
      <c r="G1254" s="5" t="s">
        <v>382</v>
      </c>
      <c r="H1254" s="5" t="s">
        <v>3</v>
      </c>
      <c r="I1254" s="5"/>
      <c r="J1254" s="5" t="s">
        <v>5119</v>
      </c>
    </row>
    <row r="1255" spans="1:10" ht="25.5" x14ac:dyDescent="0.2">
      <c r="A1255" s="5" t="s">
        <v>5118</v>
      </c>
      <c r="B1255" s="5" t="s">
        <v>83</v>
      </c>
      <c r="C1255" s="5"/>
      <c r="D1255" s="5" t="s">
        <v>5117</v>
      </c>
      <c r="E1255" s="5"/>
      <c r="F1255" s="5" t="s">
        <v>5106</v>
      </c>
      <c r="G1255" s="5" t="s">
        <v>382</v>
      </c>
      <c r="H1255" s="5" t="s">
        <v>137</v>
      </c>
      <c r="I1255" s="5" t="s">
        <v>5113</v>
      </c>
      <c r="J1255" s="5" t="s">
        <v>5116</v>
      </c>
    </row>
    <row r="1256" spans="1:10" ht="25.5" x14ac:dyDescent="0.2">
      <c r="A1256" s="5" t="s">
        <v>5115</v>
      </c>
      <c r="B1256" s="5" t="s">
        <v>83</v>
      </c>
      <c r="C1256" s="5"/>
      <c r="D1256" s="5" t="s">
        <v>5114</v>
      </c>
      <c r="E1256" s="5" t="s">
        <v>150</v>
      </c>
      <c r="F1256" s="5" t="s">
        <v>5106</v>
      </c>
      <c r="G1256" s="5" t="s">
        <v>148</v>
      </c>
      <c r="H1256" s="5" t="s">
        <v>137</v>
      </c>
      <c r="I1256" s="5" t="s">
        <v>5113</v>
      </c>
      <c r="J1256" s="5" t="s">
        <v>5112</v>
      </c>
    </row>
    <row r="1257" spans="1:10" x14ac:dyDescent="0.2">
      <c r="A1257" s="5" t="s">
        <v>5111</v>
      </c>
      <c r="B1257" s="5" t="s">
        <v>83</v>
      </c>
      <c r="C1257" s="5"/>
      <c r="D1257" s="5" t="s">
        <v>5110</v>
      </c>
      <c r="E1257" s="5" t="s">
        <v>150</v>
      </c>
      <c r="F1257" s="5" t="s">
        <v>5106</v>
      </c>
      <c r="G1257" s="5" t="s">
        <v>148</v>
      </c>
      <c r="H1257" s="5" t="s">
        <v>3</v>
      </c>
      <c r="I1257" s="5"/>
      <c r="J1257" s="5" t="s">
        <v>5109</v>
      </c>
    </row>
    <row r="1258" spans="1:10" x14ac:dyDescent="0.2">
      <c r="A1258" s="5" t="s">
        <v>5108</v>
      </c>
      <c r="B1258" s="5" t="s">
        <v>83</v>
      </c>
      <c r="C1258" s="5"/>
      <c r="D1258" s="5" t="s">
        <v>5107</v>
      </c>
      <c r="E1258" s="5" t="s">
        <v>150</v>
      </c>
      <c r="F1258" s="5" t="s">
        <v>5106</v>
      </c>
      <c r="G1258" s="5" t="s">
        <v>148</v>
      </c>
      <c r="H1258" s="5" t="s">
        <v>3</v>
      </c>
      <c r="I1258" s="5"/>
      <c r="J1258" s="5" t="s">
        <v>5105</v>
      </c>
    </row>
    <row r="1259" spans="1:10" ht="25.5" x14ac:dyDescent="0.2">
      <c r="A1259" s="5" t="s">
        <v>5104</v>
      </c>
      <c r="B1259" s="5" t="s">
        <v>83</v>
      </c>
      <c r="C1259" s="5"/>
      <c r="D1259" s="5" t="s">
        <v>5103</v>
      </c>
      <c r="E1259" s="5" t="s">
        <v>150</v>
      </c>
      <c r="F1259" s="5" t="s">
        <v>424</v>
      </c>
      <c r="G1259" s="5" t="s">
        <v>148</v>
      </c>
      <c r="H1259" s="5" t="s">
        <v>137</v>
      </c>
      <c r="I1259" s="5" t="s">
        <v>5099</v>
      </c>
      <c r="J1259" s="5" t="s">
        <v>5102</v>
      </c>
    </row>
    <row r="1260" spans="1:10" ht="25.5" x14ac:dyDescent="0.2">
      <c r="A1260" s="5" t="s">
        <v>5101</v>
      </c>
      <c r="B1260" s="5" t="s">
        <v>83</v>
      </c>
      <c r="C1260" s="5"/>
      <c r="D1260" s="5" t="s">
        <v>5100</v>
      </c>
      <c r="E1260" s="5"/>
      <c r="F1260" s="5" t="s">
        <v>424</v>
      </c>
      <c r="G1260" s="5" t="s">
        <v>170</v>
      </c>
      <c r="H1260" s="5" t="s">
        <v>137</v>
      </c>
      <c r="I1260" s="5" t="s">
        <v>5099</v>
      </c>
      <c r="J1260" s="5" t="s">
        <v>5098</v>
      </c>
    </row>
    <row r="1261" spans="1:10" ht="25.5" x14ac:dyDescent="0.2">
      <c r="A1261" s="5" t="s">
        <v>5097</v>
      </c>
      <c r="B1261" s="5" t="s">
        <v>83</v>
      </c>
      <c r="C1261" s="5"/>
      <c r="D1261" s="5" t="s">
        <v>5096</v>
      </c>
      <c r="E1261" s="5"/>
      <c r="F1261" s="5" t="s">
        <v>5082</v>
      </c>
      <c r="G1261" s="5" t="s">
        <v>382</v>
      </c>
      <c r="H1261" s="5" t="s">
        <v>3</v>
      </c>
      <c r="I1261" s="5"/>
      <c r="J1261" s="5" t="s">
        <v>5095</v>
      </c>
    </row>
    <row r="1262" spans="1:10" ht="25.5" x14ac:dyDescent="0.2">
      <c r="A1262" s="5" t="s">
        <v>5094</v>
      </c>
      <c r="B1262" s="5" t="s">
        <v>83</v>
      </c>
      <c r="C1262" s="5"/>
      <c r="D1262" s="5" t="s">
        <v>5093</v>
      </c>
      <c r="E1262" s="5"/>
      <c r="F1262" s="5" t="s">
        <v>5082</v>
      </c>
      <c r="G1262" s="5" t="s">
        <v>382</v>
      </c>
      <c r="H1262" s="5" t="s">
        <v>137</v>
      </c>
      <c r="I1262" s="5" t="s">
        <v>5089</v>
      </c>
      <c r="J1262" s="5" t="s">
        <v>5092</v>
      </c>
    </row>
    <row r="1263" spans="1:10" ht="25.5" x14ac:dyDescent="0.2">
      <c r="A1263" s="5" t="s">
        <v>5091</v>
      </c>
      <c r="B1263" s="5" t="s">
        <v>83</v>
      </c>
      <c r="C1263" s="5"/>
      <c r="D1263" s="5" t="s">
        <v>5090</v>
      </c>
      <c r="E1263" s="5" t="s">
        <v>150</v>
      </c>
      <c r="F1263" s="5" t="s">
        <v>5082</v>
      </c>
      <c r="G1263" s="5" t="s">
        <v>148</v>
      </c>
      <c r="H1263" s="5" t="s">
        <v>137</v>
      </c>
      <c r="I1263" s="5" t="s">
        <v>5089</v>
      </c>
      <c r="J1263" s="5" t="s">
        <v>5088</v>
      </c>
    </row>
    <row r="1264" spans="1:10" x14ac:dyDescent="0.2">
      <c r="A1264" s="5" t="s">
        <v>5087</v>
      </c>
      <c r="B1264" s="5" t="s">
        <v>83</v>
      </c>
      <c r="C1264" s="5"/>
      <c r="D1264" s="5" t="s">
        <v>5086</v>
      </c>
      <c r="E1264" s="5" t="s">
        <v>150</v>
      </c>
      <c r="F1264" s="5" t="s">
        <v>5082</v>
      </c>
      <c r="G1264" s="5" t="s">
        <v>148</v>
      </c>
      <c r="H1264" s="5" t="s">
        <v>3</v>
      </c>
      <c r="I1264" s="5"/>
      <c r="J1264" s="5" t="s">
        <v>5085</v>
      </c>
    </row>
    <row r="1265" spans="1:10" x14ac:dyDescent="0.2">
      <c r="A1265" s="5" t="s">
        <v>5084</v>
      </c>
      <c r="B1265" s="5" t="s">
        <v>83</v>
      </c>
      <c r="C1265" s="5"/>
      <c r="D1265" s="5" t="s">
        <v>5083</v>
      </c>
      <c r="E1265" s="5" t="s">
        <v>150</v>
      </c>
      <c r="F1265" s="5" t="s">
        <v>5082</v>
      </c>
      <c r="G1265" s="5" t="s">
        <v>148</v>
      </c>
      <c r="H1265" s="5" t="s">
        <v>3</v>
      </c>
      <c r="I1265" s="5"/>
      <c r="J1265" s="5" t="s">
        <v>5081</v>
      </c>
    </row>
    <row r="1266" spans="1:10" ht="25.5" x14ac:dyDescent="0.2">
      <c r="A1266" s="5" t="s">
        <v>5080</v>
      </c>
      <c r="B1266" s="5" t="s">
        <v>83</v>
      </c>
      <c r="C1266" s="5"/>
      <c r="D1266" s="5" t="s">
        <v>5079</v>
      </c>
      <c r="E1266" s="5" t="s">
        <v>150</v>
      </c>
      <c r="F1266" s="5" t="s">
        <v>424</v>
      </c>
      <c r="G1266" s="5" t="s">
        <v>148</v>
      </c>
      <c r="H1266" s="5" t="s">
        <v>137</v>
      </c>
      <c r="I1266" s="5" t="s">
        <v>5075</v>
      </c>
      <c r="J1266" s="5" t="s">
        <v>5078</v>
      </c>
    </row>
    <row r="1267" spans="1:10" ht="25.5" x14ac:dyDescent="0.2">
      <c r="A1267" s="5" t="s">
        <v>5077</v>
      </c>
      <c r="B1267" s="5" t="s">
        <v>83</v>
      </c>
      <c r="C1267" s="5"/>
      <c r="D1267" s="5" t="s">
        <v>5076</v>
      </c>
      <c r="E1267" s="5"/>
      <c r="F1267" s="5" t="s">
        <v>424</v>
      </c>
      <c r="G1267" s="5" t="s">
        <v>170</v>
      </c>
      <c r="H1267" s="5" t="s">
        <v>137</v>
      </c>
      <c r="I1267" s="5" t="s">
        <v>5075</v>
      </c>
      <c r="J1267" s="5" t="s">
        <v>5074</v>
      </c>
    </row>
    <row r="1268" spans="1:10" x14ac:dyDescent="0.2">
      <c r="A1268" s="5" t="s">
        <v>5073</v>
      </c>
      <c r="B1268" s="5" t="s">
        <v>83</v>
      </c>
      <c r="C1268" s="5"/>
      <c r="D1268" s="5" t="s">
        <v>5072</v>
      </c>
      <c r="E1268" s="5"/>
      <c r="F1268" s="5" t="s">
        <v>5071</v>
      </c>
      <c r="G1268" s="5" t="s">
        <v>224</v>
      </c>
      <c r="H1268" s="5" t="s">
        <v>3</v>
      </c>
      <c r="I1268" s="5"/>
      <c r="J1268" s="5" t="s">
        <v>5070</v>
      </c>
    </row>
    <row r="1269" spans="1:10" x14ac:dyDescent="0.2">
      <c r="A1269" s="5" t="s">
        <v>1168</v>
      </c>
      <c r="B1269" s="5" t="s">
        <v>83</v>
      </c>
      <c r="C1269" s="5"/>
      <c r="D1269" s="5" t="s">
        <v>5069</v>
      </c>
      <c r="E1269" s="5"/>
      <c r="F1269" s="5" t="s">
        <v>5056</v>
      </c>
      <c r="G1269" s="5" t="s">
        <v>382</v>
      </c>
      <c r="H1269" s="5" t="s">
        <v>3</v>
      </c>
      <c r="I1269" s="5"/>
      <c r="J1269" s="5" t="s">
        <v>5068</v>
      </c>
    </row>
    <row r="1270" spans="1:10" x14ac:dyDescent="0.2">
      <c r="A1270" s="5" t="s">
        <v>1175</v>
      </c>
      <c r="B1270" s="5" t="s">
        <v>83</v>
      </c>
      <c r="C1270" s="5"/>
      <c r="D1270" s="5" t="s">
        <v>5067</v>
      </c>
      <c r="E1270" s="5"/>
      <c r="F1270" s="5" t="s">
        <v>5056</v>
      </c>
      <c r="G1270" s="5" t="s">
        <v>382</v>
      </c>
      <c r="H1270" s="5" t="s">
        <v>137</v>
      </c>
      <c r="I1270" s="5" t="s">
        <v>5063</v>
      </c>
      <c r="J1270" s="5" t="s">
        <v>5066</v>
      </c>
    </row>
    <row r="1271" spans="1:10" x14ac:dyDescent="0.2">
      <c r="A1271" s="5" t="s">
        <v>5065</v>
      </c>
      <c r="B1271" s="5" t="s">
        <v>83</v>
      </c>
      <c r="C1271" s="5"/>
      <c r="D1271" s="5" t="s">
        <v>5064</v>
      </c>
      <c r="E1271" s="5" t="s">
        <v>150</v>
      </c>
      <c r="F1271" s="5" t="s">
        <v>5056</v>
      </c>
      <c r="G1271" s="5" t="s">
        <v>148</v>
      </c>
      <c r="H1271" s="5" t="s">
        <v>137</v>
      </c>
      <c r="I1271" s="5" t="s">
        <v>5063</v>
      </c>
      <c r="J1271" s="5" t="s">
        <v>5062</v>
      </c>
    </row>
    <row r="1272" spans="1:10" x14ac:dyDescent="0.2">
      <c r="A1272" s="5" t="s">
        <v>5061</v>
      </c>
      <c r="B1272" s="5" t="s">
        <v>83</v>
      </c>
      <c r="C1272" s="5"/>
      <c r="D1272" s="5" t="s">
        <v>5060</v>
      </c>
      <c r="E1272" s="5" t="s">
        <v>150</v>
      </c>
      <c r="F1272" s="5" t="s">
        <v>5056</v>
      </c>
      <c r="G1272" s="5" t="s">
        <v>148</v>
      </c>
      <c r="H1272" s="5" t="s">
        <v>3</v>
      </c>
      <c r="I1272" s="5"/>
      <c r="J1272" s="5" t="s">
        <v>5059</v>
      </c>
    </row>
    <row r="1273" spans="1:10" x14ac:dyDescent="0.2">
      <c r="A1273" s="5" t="s">
        <v>5058</v>
      </c>
      <c r="B1273" s="5" t="s">
        <v>83</v>
      </c>
      <c r="C1273" s="5"/>
      <c r="D1273" s="5" t="s">
        <v>5057</v>
      </c>
      <c r="E1273" s="5" t="s">
        <v>150</v>
      </c>
      <c r="F1273" s="5" t="s">
        <v>5056</v>
      </c>
      <c r="G1273" s="5" t="s">
        <v>148</v>
      </c>
      <c r="H1273" s="5" t="s">
        <v>3</v>
      </c>
      <c r="I1273" s="5"/>
      <c r="J1273" s="5" t="s">
        <v>5055</v>
      </c>
    </row>
    <row r="1274" spans="1:10" ht="25.5" x14ac:dyDescent="0.2">
      <c r="A1274" s="5" t="s">
        <v>5054</v>
      </c>
      <c r="B1274" s="5" t="s">
        <v>83</v>
      </c>
      <c r="C1274" s="5"/>
      <c r="D1274" s="5" t="s">
        <v>5053</v>
      </c>
      <c r="E1274" s="5" t="s">
        <v>150</v>
      </c>
      <c r="F1274" s="5" t="s">
        <v>424</v>
      </c>
      <c r="G1274" s="5" t="s">
        <v>148</v>
      </c>
      <c r="H1274" s="5" t="s">
        <v>137</v>
      </c>
      <c r="I1274" s="5" t="s">
        <v>5026</v>
      </c>
      <c r="J1274" s="5" t="s">
        <v>5052</v>
      </c>
    </row>
    <row r="1275" spans="1:10" ht="25.5" x14ac:dyDescent="0.2">
      <c r="A1275" s="5" t="s">
        <v>5051</v>
      </c>
      <c r="B1275" s="5" t="s">
        <v>83</v>
      </c>
      <c r="C1275" s="5"/>
      <c r="D1275" s="5" t="s">
        <v>5050</v>
      </c>
      <c r="E1275" s="5"/>
      <c r="F1275" s="5" t="s">
        <v>5036</v>
      </c>
      <c r="G1275" s="5" t="s">
        <v>382</v>
      </c>
      <c r="H1275" s="5" t="s">
        <v>3</v>
      </c>
      <c r="I1275" s="5"/>
      <c r="J1275" s="5" t="s">
        <v>5049</v>
      </c>
    </row>
    <row r="1276" spans="1:10" ht="25.5" x14ac:dyDescent="0.2">
      <c r="A1276" s="5" t="s">
        <v>5048</v>
      </c>
      <c r="B1276" s="5" t="s">
        <v>83</v>
      </c>
      <c r="C1276" s="5"/>
      <c r="D1276" s="5" t="s">
        <v>5047</v>
      </c>
      <c r="E1276" s="5"/>
      <c r="F1276" s="5" t="s">
        <v>5036</v>
      </c>
      <c r="G1276" s="5" t="s">
        <v>382</v>
      </c>
      <c r="H1276" s="5" t="s">
        <v>137</v>
      </c>
      <c r="I1276" s="5" t="s">
        <v>5043</v>
      </c>
      <c r="J1276" s="5" t="s">
        <v>5046</v>
      </c>
    </row>
    <row r="1277" spans="1:10" ht="25.5" x14ac:dyDescent="0.2">
      <c r="A1277" s="5" t="s">
        <v>5045</v>
      </c>
      <c r="B1277" s="5" t="s">
        <v>83</v>
      </c>
      <c r="C1277" s="5"/>
      <c r="D1277" s="5" t="s">
        <v>5044</v>
      </c>
      <c r="E1277" s="5" t="s">
        <v>150</v>
      </c>
      <c r="F1277" s="5" t="s">
        <v>5036</v>
      </c>
      <c r="G1277" s="5" t="s">
        <v>148</v>
      </c>
      <c r="H1277" s="5" t="s">
        <v>137</v>
      </c>
      <c r="I1277" s="5" t="s">
        <v>5043</v>
      </c>
      <c r="J1277" s="5" t="s">
        <v>5042</v>
      </c>
    </row>
    <row r="1278" spans="1:10" x14ac:dyDescent="0.2">
      <c r="A1278" s="5" t="s">
        <v>5041</v>
      </c>
      <c r="B1278" s="5" t="s">
        <v>83</v>
      </c>
      <c r="C1278" s="5"/>
      <c r="D1278" s="5" t="s">
        <v>5040</v>
      </c>
      <c r="E1278" s="5" t="s">
        <v>150</v>
      </c>
      <c r="F1278" s="5" t="s">
        <v>5036</v>
      </c>
      <c r="G1278" s="5" t="s">
        <v>148</v>
      </c>
      <c r="H1278" s="5" t="s">
        <v>3</v>
      </c>
      <c r="I1278" s="5"/>
      <c r="J1278" s="5" t="s">
        <v>5039</v>
      </c>
    </row>
    <row r="1279" spans="1:10" x14ac:dyDescent="0.2">
      <c r="A1279" s="5" t="s">
        <v>5038</v>
      </c>
      <c r="B1279" s="5" t="s">
        <v>83</v>
      </c>
      <c r="C1279" s="5"/>
      <c r="D1279" s="5" t="s">
        <v>5037</v>
      </c>
      <c r="E1279" s="5" t="s">
        <v>150</v>
      </c>
      <c r="F1279" s="5" t="s">
        <v>5036</v>
      </c>
      <c r="G1279" s="5" t="s">
        <v>148</v>
      </c>
      <c r="H1279" s="5" t="s">
        <v>3</v>
      </c>
      <c r="I1279" s="5"/>
      <c r="J1279" s="5" t="s">
        <v>5035</v>
      </c>
    </row>
    <row r="1280" spans="1:10" ht="25.5" x14ac:dyDescent="0.2">
      <c r="A1280" s="5" t="s">
        <v>5034</v>
      </c>
      <c r="B1280" s="5" t="s">
        <v>83</v>
      </c>
      <c r="C1280" s="5"/>
      <c r="D1280" s="5" t="s">
        <v>5033</v>
      </c>
      <c r="E1280" s="5" t="s">
        <v>150</v>
      </c>
      <c r="F1280" s="5" t="s">
        <v>424</v>
      </c>
      <c r="G1280" s="5" t="s">
        <v>148</v>
      </c>
      <c r="H1280" s="5" t="s">
        <v>137</v>
      </c>
      <c r="I1280" s="5" t="s">
        <v>5029</v>
      </c>
      <c r="J1280" s="5" t="s">
        <v>5032</v>
      </c>
    </row>
    <row r="1281" spans="1:10" ht="25.5" x14ac:dyDescent="0.2">
      <c r="A1281" s="5" t="s">
        <v>5031</v>
      </c>
      <c r="B1281" s="5" t="s">
        <v>83</v>
      </c>
      <c r="C1281" s="5"/>
      <c r="D1281" s="5" t="s">
        <v>5030</v>
      </c>
      <c r="E1281" s="5"/>
      <c r="F1281" s="5" t="s">
        <v>424</v>
      </c>
      <c r="G1281" s="5" t="s">
        <v>170</v>
      </c>
      <c r="H1281" s="5" t="s">
        <v>137</v>
      </c>
      <c r="I1281" s="5" t="s">
        <v>5029</v>
      </c>
      <c r="J1281" s="5" t="s">
        <v>5028</v>
      </c>
    </row>
    <row r="1282" spans="1:10" ht="25.5" x14ac:dyDescent="0.2">
      <c r="A1282" s="5" t="s">
        <v>1161</v>
      </c>
      <c r="B1282" s="5" t="s">
        <v>83</v>
      </c>
      <c r="C1282" s="5"/>
      <c r="D1282" s="5" t="s">
        <v>5027</v>
      </c>
      <c r="E1282" s="5"/>
      <c r="F1282" s="5" t="s">
        <v>424</v>
      </c>
      <c r="G1282" s="5" t="s">
        <v>170</v>
      </c>
      <c r="H1282" s="5" t="s">
        <v>137</v>
      </c>
      <c r="I1282" s="5" t="s">
        <v>5026</v>
      </c>
      <c r="J1282" s="5" t="s">
        <v>5025</v>
      </c>
    </row>
    <row r="1283" spans="1:10" ht="25.5" x14ac:dyDescent="0.2">
      <c r="A1283" s="5" t="s">
        <v>5024</v>
      </c>
      <c r="B1283" s="5" t="s">
        <v>83</v>
      </c>
      <c r="C1283" s="5"/>
      <c r="D1283" s="5" t="s">
        <v>5023</v>
      </c>
      <c r="E1283" s="5" t="s">
        <v>93</v>
      </c>
      <c r="F1283" s="5" t="s">
        <v>5022</v>
      </c>
      <c r="G1283" s="5" t="s">
        <v>148</v>
      </c>
      <c r="H1283" s="5" t="s">
        <v>3</v>
      </c>
      <c r="I1283" s="5"/>
      <c r="J1283" s="5" t="s">
        <v>5021</v>
      </c>
    </row>
    <row r="1284" spans="1:10" ht="25.5" x14ac:dyDescent="0.2">
      <c r="A1284" s="5" t="s">
        <v>5020</v>
      </c>
      <c r="B1284" s="5" t="s">
        <v>83</v>
      </c>
      <c r="C1284" s="5"/>
      <c r="D1284" s="5" t="s">
        <v>5019</v>
      </c>
      <c r="E1284" s="5"/>
      <c r="F1284" s="5" t="s">
        <v>5005</v>
      </c>
      <c r="G1284" s="5" t="s">
        <v>382</v>
      </c>
      <c r="H1284" s="5" t="s">
        <v>3</v>
      </c>
      <c r="I1284" s="5"/>
      <c r="J1284" s="5" t="s">
        <v>5018</v>
      </c>
    </row>
    <row r="1285" spans="1:10" ht="25.5" x14ac:dyDescent="0.2">
      <c r="A1285" s="5" t="s">
        <v>5017</v>
      </c>
      <c r="B1285" s="5" t="s">
        <v>83</v>
      </c>
      <c r="C1285" s="5"/>
      <c r="D1285" s="5" t="s">
        <v>5016</v>
      </c>
      <c r="E1285" s="5"/>
      <c r="F1285" s="5" t="s">
        <v>5005</v>
      </c>
      <c r="G1285" s="5" t="s">
        <v>382</v>
      </c>
      <c r="H1285" s="5" t="s">
        <v>137</v>
      </c>
      <c r="I1285" s="5" t="s">
        <v>5012</v>
      </c>
      <c r="J1285" s="5" t="s">
        <v>5015</v>
      </c>
    </row>
    <row r="1286" spans="1:10" ht="25.5" x14ac:dyDescent="0.2">
      <c r="A1286" s="5" t="s">
        <v>5014</v>
      </c>
      <c r="B1286" s="5" t="s">
        <v>83</v>
      </c>
      <c r="C1286" s="5"/>
      <c r="D1286" s="5" t="s">
        <v>5013</v>
      </c>
      <c r="E1286" s="5" t="s">
        <v>150</v>
      </c>
      <c r="F1286" s="5" t="s">
        <v>5005</v>
      </c>
      <c r="G1286" s="5" t="s">
        <v>148</v>
      </c>
      <c r="H1286" s="5" t="s">
        <v>137</v>
      </c>
      <c r="I1286" s="5" t="s">
        <v>5012</v>
      </c>
      <c r="J1286" s="5" t="s">
        <v>5011</v>
      </c>
    </row>
    <row r="1287" spans="1:10" x14ac:dyDescent="0.2">
      <c r="A1287" s="5" t="s">
        <v>5010</v>
      </c>
      <c r="B1287" s="5" t="s">
        <v>83</v>
      </c>
      <c r="C1287" s="5"/>
      <c r="D1287" s="5" t="s">
        <v>5009</v>
      </c>
      <c r="E1287" s="5" t="s">
        <v>150</v>
      </c>
      <c r="F1287" s="5" t="s">
        <v>5005</v>
      </c>
      <c r="G1287" s="5" t="s">
        <v>148</v>
      </c>
      <c r="H1287" s="5" t="s">
        <v>3</v>
      </c>
      <c r="I1287" s="5"/>
      <c r="J1287" s="5" t="s">
        <v>5008</v>
      </c>
    </row>
    <row r="1288" spans="1:10" x14ac:dyDescent="0.2">
      <c r="A1288" s="5" t="s">
        <v>5007</v>
      </c>
      <c r="B1288" s="5" t="s">
        <v>83</v>
      </c>
      <c r="C1288" s="5"/>
      <c r="D1288" s="5" t="s">
        <v>5006</v>
      </c>
      <c r="E1288" s="5" t="s">
        <v>150</v>
      </c>
      <c r="F1288" s="5" t="s">
        <v>5005</v>
      </c>
      <c r="G1288" s="5" t="s">
        <v>148</v>
      </c>
      <c r="H1288" s="5" t="s">
        <v>3</v>
      </c>
      <c r="I1288" s="5"/>
      <c r="J1288" s="5" t="s">
        <v>5004</v>
      </c>
    </row>
    <row r="1289" spans="1:10" ht="25.5" x14ac:dyDescent="0.2">
      <c r="A1289" s="5" t="s">
        <v>5003</v>
      </c>
      <c r="B1289" s="5" t="s">
        <v>83</v>
      </c>
      <c r="C1289" s="5"/>
      <c r="D1289" s="5" t="s">
        <v>5002</v>
      </c>
      <c r="E1289" s="5" t="s">
        <v>150</v>
      </c>
      <c r="F1289" s="5" t="s">
        <v>424</v>
      </c>
      <c r="G1289" s="5" t="s">
        <v>148</v>
      </c>
      <c r="H1289" s="5" t="s">
        <v>137</v>
      </c>
      <c r="I1289" s="5" t="s">
        <v>4998</v>
      </c>
      <c r="J1289" s="5" t="s">
        <v>5001</v>
      </c>
    </row>
    <row r="1290" spans="1:10" ht="25.5" x14ac:dyDescent="0.2">
      <c r="A1290" s="5" t="s">
        <v>5000</v>
      </c>
      <c r="B1290" s="5" t="s">
        <v>83</v>
      </c>
      <c r="C1290" s="5"/>
      <c r="D1290" s="5" t="s">
        <v>4999</v>
      </c>
      <c r="E1290" s="5"/>
      <c r="F1290" s="5" t="s">
        <v>424</v>
      </c>
      <c r="G1290" s="5" t="s">
        <v>170</v>
      </c>
      <c r="H1290" s="5" t="s">
        <v>137</v>
      </c>
      <c r="I1290" s="5" t="s">
        <v>4998</v>
      </c>
      <c r="J1290" s="5" t="s">
        <v>4997</v>
      </c>
    </row>
    <row r="1291" spans="1:10" ht="25.5" x14ac:dyDescent="0.2">
      <c r="A1291" s="5" t="s">
        <v>4996</v>
      </c>
      <c r="B1291" s="5" t="s">
        <v>83</v>
      </c>
      <c r="C1291" s="5"/>
      <c r="D1291" s="5" t="s">
        <v>4995</v>
      </c>
      <c r="E1291" s="5"/>
      <c r="F1291" s="5" t="s">
        <v>4981</v>
      </c>
      <c r="G1291" s="5" t="s">
        <v>382</v>
      </c>
      <c r="H1291" s="5" t="s">
        <v>3</v>
      </c>
      <c r="I1291" s="5"/>
      <c r="J1291" s="5" t="s">
        <v>4994</v>
      </c>
    </row>
    <row r="1292" spans="1:10" ht="25.5" x14ac:dyDescent="0.2">
      <c r="A1292" s="5" t="s">
        <v>4993</v>
      </c>
      <c r="B1292" s="5" t="s">
        <v>83</v>
      </c>
      <c r="C1292" s="5"/>
      <c r="D1292" s="5" t="s">
        <v>4992</v>
      </c>
      <c r="E1292" s="5"/>
      <c r="F1292" s="5" t="s">
        <v>4981</v>
      </c>
      <c r="G1292" s="5" t="s">
        <v>382</v>
      </c>
      <c r="H1292" s="5" t="s">
        <v>137</v>
      </c>
      <c r="I1292" s="5" t="s">
        <v>4988</v>
      </c>
      <c r="J1292" s="5" t="s">
        <v>4991</v>
      </c>
    </row>
    <row r="1293" spans="1:10" ht="25.5" x14ac:dyDescent="0.2">
      <c r="A1293" s="5" t="s">
        <v>4990</v>
      </c>
      <c r="B1293" s="5" t="s">
        <v>83</v>
      </c>
      <c r="C1293" s="5"/>
      <c r="D1293" s="5" t="s">
        <v>4989</v>
      </c>
      <c r="E1293" s="5" t="s">
        <v>150</v>
      </c>
      <c r="F1293" s="5" t="s">
        <v>4981</v>
      </c>
      <c r="G1293" s="5" t="s">
        <v>148</v>
      </c>
      <c r="H1293" s="5" t="s">
        <v>137</v>
      </c>
      <c r="I1293" s="5" t="s">
        <v>4988</v>
      </c>
      <c r="J1293" s="5" t="s">
        <v>4987</v>
      </c>
    </row>
    <row r="1294" spans="1:10" x14ac:dyDescent="0.2">
      <c r="A1294" s="5" t="s">
        <v>4986</v>
      </c>
      <c r="B1294" s="5" t="s">
        <v>83</v>
      </c>
      <c r="C1294" s="5"/>
      <c r="D1294" s="5" t="s">
        <v>4985</v>
      </c>
      <c r="E1294" s="5" t="s">
        <v>150</v>
      </c>
      <c r="F1294" s="5" t="s">
        <v>4981</v>
      </c>
      <c r="G1294" s="5" t="s">
        <v>148</v>
      </c>
      <c r="H1294" s="5" t="s">
        <v>3</v>
      </c>
      <c r="I1294" s="5"/>
      <c r="J1294" s="5" t="s">
        <v>4984</v>
      </c>
    </row>
    <row r="1295" spans="1:10" x14ac:dyDescent="0.2">
      <c r="A1295" s="5" t="s">
        <v>4983</v>
      </c>
      <c r="B1295" s="5" t="s">
        <v>83</v>
      </c>
      <c r="C1295" s="5"/>
      <c r="D1295" s="5" t="s">
        <v>4982</v>
      </c>
      <c r="E1295" s="5" t="s">
        <v>150</v>
      </c>
      <c r="F1295" s="5" t="s">
        <v>4981</v>
      </c>
      <c r="G1295" s="5" t="s">
        <v>148</v>
      </c>
      <c r="H1295" s="5" t="s">
        <v>3</v>
      </c>
      <c r="I1295" s="5"/>
      <c r="J1295" s="5" t="s">
        <v>4980</v>
      </c>
    </row>
    <row r="1296" spans="1:10" ht="38.25" x14ac:dyDescent="0.2">
      <c r="A1296" s="5" t="s">
        <v>4979</v>
      </c>
      <c r="B1296" s="5" t="s">
        <v>83</v>
      </c>
      <c r="C1296" s="5"/>
      <c r="D1296" s="5" t="s">
        <v>4978</v>
      </c>
      <c r="E1296" s="5" t="s">
        <v>150</v>
      </c>
      <c r="F1296" s="5" t="s">
        <v>424</v>
      </c>
      <c r="G1296" s="5" t="s">
        <v>148</v>
      </c>
      <c r="H1296" s="5" t="s">
        <v>137</v>
      </c>
      <c r="I1296" s="5" t="s">
        <v>4974</v>
      </c>
      <c r="J1296" s="5" t="s">
        <v>4977</v>
      </c>
    </row>
    <row r="1297" spans="1:10" ht="38.25" x14ac:dyDescent="0.2">
      <c r="A1297" s="5" t="s">
        <v>4976</v>
      </c>
      <c r="B1297" s="5" t="s">
        <v>83</v>
      </c>
      <c r="C1297" s="5"/>
      <c r="D1297" s="5" t="s">
        <v>4975</v>
      </c>
      <c r="E1297" s="5"/>
      <c r="F1297" s="5" t="s">
        <v>424</v>
      </c>
      <c r="G1297" s="5" t="s">
        <v>170</v>
      </c>
      <c r="H1297" s="5" t="s">
        <v>137</v>
      </c>
      <c r="I1297" s="5" t="s">
        <v>4974</v>
      </c>
      <c r="J1297" s="5" t="s">
        <v>4973</v>
      </c>
    </row>
    <row r="1298" spans="1:10" ht="25.5" x14ac:dyDescent="0.2">
      <c r="A1298" s="5" t="s">
        <v>4972</v>
      </c>
      <c r="B1298" s="5" t="s">
        <v>83</v>
      </c>
      <c r="C1298" s="5"/>
      <c r="D1298" s="5" t="s">
        <v>4971</v>
      </c>
      <c r="E1298" s="5"/>
      <c r="F1298" s="5" t="s">
        <v>4957</v>
      </c>
      <c r="G1298" s="5" t="s">
        <v>382</v>
      </c>
      <c r="H1298" s="5" t="s">
        <v>3</v>
      </c>
      <c r="I1298" s="5"/>
      <c r="J1298" s="5" t="s">
        <v>4970</v>
      </c>
    </row>
    <row r="1299" spans="1:10" ht="25.5" x14ac:dyDescent="0.2">
      <c r="A1299" s="5" t="s">
        <v>4969</v>
      </c>
      <c r="B1299" s="5" t="s">
        <v>83</v>
      </c>
      <c r="C1299" s="5"/>
      <c r="D1299" s="5" t="s">
        <v>4968</v>
      </c>
      <c r="E1299" s="5"/>
      <c r="F1299" s="5" t="s">
        <v>4957</v>
      </c>
      <c r="G1299" s="5" t="s">
        <v>382</v>
      </c>
      <c r="H1299" s="5" t="s">
        <v>137</v>
      </c>
      <c r="I1299" s="5" t="s">
        <v>4964</v>
      </c>
      <c r="J1299" s="5" t="s">
        <v>4967</v>
      </c>
    </row>
    <row r="1300" spans="1:10" ht="25.5" x14ac:dyDescent="0.2">
      <c r="A1300" s="5" t="s">
        <v>4966</v>
      </c>
      <c r="B1300" s="5" t="s">
        <v>83</v>
      </c>
      <c r="C1300" s="5"/>
      <c r="D1300" s="5" t="s">
        <v>4965</v>
      </c>
      <c r="E1300" s="5" t="s">
        <v>150</v>
      </c>
      <c r="F1300" s="5" t="s">
        <v>4957</v>
      </c>
      <c r="G1300" s="5" t="s">
        <v>148</v>
      </c>
      <c r="H1300" s="5" t="s">
        <v>137</v>
      </c>
      <c r="I1300" s="5" t="s">
        <v>4964</v>
      </c>
      <c r="J1300" s="5" t="s">
        <v>4963</v>
      </c>
    </row>
    <row r="1301" spans="1:10" x14ac:dyDescent="0.2">
      <c r="A1301" s="5" t="s">
        <v>4962</v>
      </c>
      <c r="B1301" s="5" t="s">
        <v>83</v>
      </c>
      <c r="C1301" s="5"/>
      <c r="D1301" s="5" t="s">
        <v>4961</v>
      </c>
      <c r="E1301" s="5" t="s">
        <v>150</v>
      </c>
      <c r="F1301" s="5" t="s">
        <v>4957</v>
      </c>
      <c r="G1301" s="5" t="s">
        <v>148</v>
      </c>
      <c r="H1301" s="5" t="s">
        <v>3</v>
      </c>
      <c r="I1301" s="5"/>
      <c r="J1301" s="5" t="s">
        <v>4960</v>
      </c>
    </row>
    <row r="1302" spans="1:10" x14ac:dyDescent="0.2">
      <c r="A1302" s="5" t="s">
        <v>4959</v>
      </c>
      <c r="B1302" s="5" t="s">
        <v>83</v>
      </c>
      <c r="C1302" s="5"/>
      <c r="D1302" s="5" t="s">
        <v>4958</v>
      </c>
      <c r="E1302" s="5" t="s">
        <v>150</v>
      </c>
      <c r="F1302" s="5" t="s">
        <v>4957</v>
      </c>
      <c r="G1302" s="5" t="s">
        <v>148</v>
      </c>
      <c r="H1302" s="5" t="s">
        <v>3</v>
      </c>
      <c r="I1302" s="5"/>
      <c r="J1302" s="5" t="s">
        <v>4956</v>
      </c>
    </row>
    <row r="1303" spans="1:10" ht="38.25" x14ac:dyDescent="0.2">
      <c r="A1303" s="5" t="s">
        <v>4955</v>
      </c>
      <c r="B1303" s="5" t="s">
        <v>83</v>
      </c>
      <c r="C1303" s="5"/>
      <c r="D1303" s="5" t="s">
        <v>4954</v>
      </c>
      <c r="E1303" s="5" t="s">
        <v>150</v>
      </c>
      <c r="F1303" s="5" t="s">
        <v>424</v>
      </c>
      <c r="G1303" s="5" t="s">
        <v>148</v>
      </c>
      <c r="H1303" s="5" t="s">
        <v>137</v>
      </c>
      <c r="I1303" s="5" t="s">
        <v>4950</v>
      </c>
      <c r="J1303" s="5" t="s">
        <v>4953</v>
      </c>
    </row>
    <row r="1304" spans="1:10" ht="38.25" x14ac:dyDescent="0.2">
      <c r="A1304" s="5" t="s">
        <v>4952</v>
      </c>
      <c r="B1304" s="5" t="s">
        <v>83</v>
      </c>
      <c r="C1304" s="5"/>
      <c r="D1304" s="5" t="s">
        <v>4951</v>
      </c>
      <c r="E1304" s="5"/>
      <c r="F1304" s="5" t="s">
        <v>424</v>
      </c>
      <c r="G1304" s="5" t="s">
        <v>170</v>
      </c>
      <c r="H1304" s="5" t="s">
        <v>137</v>
      </c>
      <c r="I1304" s="5" t="s">
        <v>4950</v>
      </c>
      <c r="J1304" s="5" t="s">
        <v>4949</v>
      </c>
    </row>
    <row r="1305" spans="1:10" ht="25.5" x14ac:dyDescent="0.2">
      <c r="A1305" s="5" t="s">
        <v>4948</v>
      </c>
      <c r="B1305" s="5" t="s">
        <v>83</v>
      </c>
      <c r="C1305" s="5"/>
      <c r="D1305" s="5" t="s">
        <v>4947</v>
      </c>
      <c r="E1305" s="5"/>
      <c r="F1305" s="5" t="s">
        <v>4933</v>
      </c>
      <c r="G1305" s="5" t="s">
        <v>382</v>
      </c>
      <c r="H1305" s="5" t="s">
        <v>3</v>
      </c>
      <c r="I1305" s="5"/>
      <c r="J1305" s="5" t="s">
        <v>4946</v>
      </c>
    </row>
    <row r="1306" spans="1:10" ht="25.5" x14ac:dyDescent="0.2">
      <c r="A1306" s="5" t="s">
        <v>4945</v>
      </c>
      <c r="B1306" s="5" t="s">
        <v>83</v>
      </c>
      <c r="C1306" s="5"/>
      <c r="D1306" s="5" t="s">
        <v>4944</v>
      </c>
      <c r="E1306" s="5"/>
      <c r="F1306" s="5" t="s">
        <v>4933</v>
      </c>
      <c r="G1306" s="5" t="s">
        <v>382</v>
      </c>
      <c r="H1306" s="5" t="s">
        <v>137</v>
      </c>
      <c r="I1306" s="5" t="s">
        <v>4940</v>
      </c>
      <c r="J1306" s="5" t="s">
        <v>4943</v>
      </c>
    </row>
    <row r="1307" spans="1:10" ht="25.5" x14ac:dyDescent="0.2">
      <c r="A1307" s="5" t="s">
        <v>4942</v>
      </c>
      <c r="B1307" s="5" t="s">
        <v>83</v>
      </c>
      <c r="C1307" s="5"/>
      <c r="D1307" s="5" t="s">
        <v>4941</v>
      </c>
      <c r="E1307" s="5" t="s">
        <v>150</v>
      </c>
      <c r="F1307" s="5" t="s">
        <v>4933</v>
      </c>
      <c r="G1307" s="5" t="s">
        <v>148</v>
      </c>
      <c r="H1307" s="5" t="s">
        <v>137</v>
      </c>
      <c r="I1307" s="5" t="s">
        <v>4940</v>
      </c>
      <c r="J1307" s="5" t="s">
        <v>4939</v>
      </c>
    </row>
    <row r="1308" spans="1:10" x14ac:dyDescent="0.2">
      <c r="A1308" s="5" t="s">
        <v>4938</v>
      </c>
      <c r="B1308" s="5" t="s">
        <v>83</v>
      </c>
      <c r="C1308" s="5"/>
      <c r="D1308" s="5" t="s">
        <v>4937</v>
      </c>
      <c r="E1308" s="5" t="s">
        <v>150</v>
      </c>
      <c r="F1308" s="5" t="s">
        <v>4933</v>
      </c>
      <c r="G1308" s="5" t="s">
        <v>148</v>
      </c>
      <c r="H1308" s="5" t="s">
        <v>3</v>
      </c>
      <c r="I1308" s="5"/>
      <c r="J1308" s="5" t="s">
        <v>4936</v>
      </c>
    </row>
    <row r="1309" spans="1:10" x14ac:dyDescent="0.2">
      <c r="A1309" s="5" t="s">
        <v>4935</v>
      </c>
      <c r="B1309" s="5" t="s">
        <v>83</v>
      </c>
      <c r="C1309" s="5"/>
      <c r="D1309" s="5" t="s">
        <v>4934</v>
      </c>
      <c r="E1309" s="5" t="s">
        <v>150</v>
      </c>
      <c r="F1309" s="5" t="s">
        <v>4933</v>
      </c>
      <c r="G1309" s="5" t="s">
        <v>148</v>
      </c>
      <c r="H1309" s="5" t="s">
        <v>3</v>
      </c>
      <c r="I1309" s="5"/>
      <c r="J1309" s="5" t="s">
        <v>4932</v>
      </c>
    </row>
    <row r="1310" spans="1:10" ht="25.5" x14ac:dyDescent="0.2">
      <c r="A1310" s="5" t="s">
        <v>4931</v>
      </c>
      <c r="B1310" s="5" t="s">
        <v>83</v>
      </c>
      <c r="C1310" s="5"/>
      <c r="D1310" s="5" t="s">
        <v>4930</v>
      </c>
      <c r="E1310" s="5" t="s">
        <v>150</v>
      </c>
      <c r="F1310" s="5" t="s">
        <v>424</v>
      </c>
      <c r="G1310" s="5" t="s">
        <v>148</v>
      </c>
      <c r="H1310" s="5" t="s">
        <v>137</v>
      </c>
      <c r="I1310" s="5" t="s">
        <v>4926</v>
      </c>
      <c r="J1310" s="5" t="s">
        <v>4929</v>
      </c>
    </row>
    <row r="1311" spans="1:10" ht="25.5" x14ac:dyDescent="0.2">
      <c r="A1311" s="5" t="s">
        <v>4928</v>
      </c>
      <c r="B1311" s="5" t="s">
        <v>83</v>
      </c>
      <c r="C1311" s="5"/>
      <c r="D1311" s="5" t="s">
        <v>4927</v>
      </c>
      <c r="E1311" s="5"/>
      <c r="F1311" s="5" t="s">
        <v>424</v>
      </c>
      <c r="G1311" s="5" t="s">
        <v>170</v>
      </c>
      <c r="H1311" s="5" t="s">
        <v>137</v>
      </c>
      <c r="I1311" s="5" t="s">
        <v>4926</v>
      </c>
      <c r="J1311" s="5" t="s">
        <v>4925</v>
      </c>
    </row>
    <row r="1312" spans="1:10" ht="25.5" x14ac:dyDescent="0.2">
      <c r="A1312" s="5" t="s">
        <v>4924</v>
      </c>
      <c r="B1312" s="5" t="s">
        <v>83</v>
      </c>
      <c r="C1312" s="5"/>
      <c r="D1312" s="5" t="s">
        <v>4923</v>
      </c>
      <c r="E1312" s="5"/>
      <c r="F1312" s="5" t="s">
        <v>4909</v>
      </c>
      <c r="G1312" s="5" t="s">
        <v>382</v>
      </c>
      <c r="H1312" s="5" t="s">
        <v>3</v>
      </c>
      <c r="I1312" s="5"/>
      <c r="J1312" s="5" t="s">
        <v>4922</v>
      </c>
    </row>
    <row r="1313" spans="1:10" ht="25.5" x14ac:dyDescent="0.2">
      <c r="A1313" s="5" t="s">
        <v>4921</v>
      </c>
      <c r="B1313" s="5" t="s">
        <v>83</v>
      </c>
      <c r="C1313" s="5"/>
      <c r="D1313" s="5" t="s">
        <v>4920</v>
      </c>
      <c r="E1313" s="5"/>
      <c r="F1313" s="5" t="s">
        <v>4909</v>
      </c>
      <c r="G1313" s="5" t="s">
        <v>382</v>
      </c>
      <c r="H1313" s="5" t="s">
        <v>137</v>
      </c>
      <c r="I1313" s="5" t="s">
        <v>4916</v>
      </c>
      <c r="J1313" s="5" t="s">
        <v>4919</v>
      </c>
    </row>
    <row r="1314" spans="1:10" ht="25.5" x14ac:dyDescent="0.2">
      <c r="A1314" s="5" t="s">
        <v>4918</v>
      </c>
      <c r="B1314" s="5" t="s">
        <v>83</v>
      </c>
      <c r="C1314" s="5"/>
      <c r="D1314" s="5" t="s">
        <v>4917</v>
      </c>
      <c r="E1314" s="5" t="s">
        <v>150</v>
      </c>
      <c r="F1314" s="5" t="s">
        <v>4909</v>
      </c>
      <c r="G1314" s="5" t="s">
        <v>148</v>
      </c>
      <c r="H1314" s="5" t="s">
        <v>137</v>
      </c>
      <c r="I1314" s="5" t="s">
        <v>4916</v>
      </c>
      <c r="J1314" s="5" t="s">
        <v>4915</v>
      </c>
    </row>
    <row r="1315" spans="1:10" x14ac:dyDescent="0.2">
      <c r="A1315" s="5" t="s">
        <v>4914</v>
      </c>
      <c r="B1315" s="5" t="s">
        <v>83</v>
      </c>
      <c r="C1315" s="5"/>
      <c r="D1315" s="5" t="s">
        <v>4913</v>
      </c>
      <c r="E1315" s="5" t="s">
        <v>150</v>
      </c>
      <c r="F1315" s="5" t="s">
        <v>4909</v>
      </c>
      <c r="G1315" s="5" t="s">
        <v>148</v>
      </c>
      <c r="H1315" s="5" t="s">
        <v>3</v>
      </c>
      <c r="I1315" s="5"/>
      <c r="J1315" s="5" t="s">
        <v>4912</v>
      </c>
    </row>
    <row r="1316" spans="1:10" x14ac:dyDescent="0.2">
      <c r="A1316" s="5" t="s">
        <v>4911</v>
      </c>
      <c r="B1316" s="5" t="s">
        <v>83</v>
      </c>
      <c r="C1316" s="5"/>
      <c r="D1316" s="5" t="s">
        <v>4910</v>
      </c>
      <c r="E1316" s="5" t="s">
        <v>150</v>
      </c>
      <c r="F1316" s="5" t="s">
        <v>4909</v>
      </c>
      <c r="G1316" s="5" t="s">
        <v>148</v>
      </c>
      <c r="H1316" s="5" t="s">
        <v>3</v>
      </c>
      <c r="I1316" s="5"/>
      <c r="J1316" s="5" t="s">
        <v>4908</v>
      </c>
    </row>
    <row r="1317" spans="1:10" ht="38.25" x14ac:dyDescent="0.2">
      <c r="A1317" s="5" t="s">
        <v>4907</v>
      </c>
      <c r="B1317" s="5" t="s">
        <v>83</v>
      </c>
      <c r="C1317" s="5"/>
      <c r="D1317" s="5" t="s">
        <v>4906</v>
      </c>
      <c r="E1317" s="5" t="s">
        <v>150</v>
      </c>
      <c r="F1317" s="5" t="s">
        <v>424</v>
      </c>
      <c r="G1317" s="5" t="s">
        <v>148</v>
      </c>
      <c r="H1317" s="5" t="s">
        <v>137</v>
      </c>
      <c r="I1317" s="5" t="s">
        <v>4902</v>
      </c>
      <c r="J1317" s="5" t="s">
        <v>4905</v>
      </c>
    </row>
    <row r="1318" spans="1:10" ht="38.25" x14ac:dyDescent="0.2">
      <c r="A1318" s="5" t="s">
        <v>4904</v>
      </c>
      <c r="B1318" s="5" t="s">
        <v>83</v>
      </c>
      <c r="C1318" s="5"/>
      <c r="D1318" s="5" t="s">
        <v>4903</v>
      </c>
      <c r="E1318" s="5"/>
      <c r="F1318" s="5" t="s">
        <v>424</v>
      </c>
      <c r="G1318" s="5" t="s">
        <v>170</v>
      </c>
      <c r="H1318" s="5" t="s">
        <v>137</v>
      </c>
      <c r="I1318" s="5" t="s">
        <v>4902</v>
      </c>
      <c r="J1318" s="5" t="s">
        <v>4901</v>
      </c>
    </row>
    <row r="1319" spans="1:10" ht="25.5" x14ac:dyDescent="0.2">
      <c r="A1319" s="5" t="s">
        <v>4900</v>
      </c>
      <c r="B1319" s="5" t="s">
        <v>83</v>
      </c>
      <c r="C1319" s="5"/>
      <c r="D1319" s="5" t="s">
        <v>4899</v>
      </c>
      <c r="E1319" s="5"/>
      <c r="F1319" s="5" t="s">
        <v>4861</v>
      </c>
      <c r="G1319" s="5" t="s">
        <v>382</v>
      </c>
      <c r="H1319" s="5" t="s">
        <v>3</v>
      </c>
      <c r="I1319" s="5"/>
      <c r="J1319" s="5" t="s">
        <v>4898</v>
      </c>
    </row>
    <row r="1320" spans="1:10" ht="25.5" x14ac:dyDescent="0.2">
      <c r="A1320" s="5" t="s">
        <v>4897</v>
      </c>
      <c r="B1320" s="5" t="s">
        <v>83</v>
      </c>
      <c r="C1320" s="5"/>
      <c r="D1320" s="5" t="s">
        <v>4896</v>
      </c>
      <c r="E1320" s="5"/>
      <c r="F1320" s="5" t="s">
        <v>4882</v>
      </c>
      <c r="G1320" s="5" t="s">
        <v>382</v>
      </c>
      <c r="H1320" s="5" t="s">
        <v>3</v>
      </c>
      <c r="I1320" s="5"/>
      <c r="J1320" s="5" t="s">
        <v>4895</v>
      </c>
    </row>
    <row r="1321" spans="1:10" ht="25.5" x14ac:dyDescent="0.2">
      <c r="A1321" s="5" t="s">
        <v>4894</v>
      </c>
      <c r="B1321" s="5" t="s">
        <v>83</v>
      </c>
      <c r="C1321" s="5"/>
      <c r="D1321" s="5" t="s">
        <v>4893</v>
      </c>
      <c r="E1321" s="5"/>
      <c r="F1321" s="5" t="s">
        <v>4882</v>
      </c>
      <c r="G1321" s="5" t="s">
        <v>382</v>
      </c>
      <c r="H1321" s="5" t="s">
        <v>137</v>
      </c>
      <c r="I1321" s="5" t="s">
        <v>4889</v>
      </c>
      <c r="J1321" s="5" t="s">
        <v>4892</v>
      </c>
    </row>
    <row r="1322" spans="1:10" ht="25.5" x14ac:dyDescent="0.2">
      <c r="A1322" s="5" t="s">
        <v>4891</v>
      </c>
      <c r="B1322" s="5" t="s">
        <v>83</v>
      </c>
      <c r="C1322" s="5"/>
      <c r="D1322" s="5" t="s">
        <v>4890</v>
      </c>
      <c r="E1322" s="5" t="s">
        <v>150</v>
      </c>
      <c r="F1322" s="5" t="s">
        <v>4882</v>
      </c>
      <c r="G1322" s="5" t="s">
        <v>148</v>
      </c>
      <c r="H1322" s="5" t="s">
        <v>137</v>
      </c>
      <c r="I1322" s="5" t="s">
        <v>4889</v>
      </c>
      <c r="J1322" s="5" t="s">
        <v>4888</v>
      </c>
    </row>
    <row r="1323" spans="1:10" x14ac:dyDescent="0.2">
      <c r="A1323" s="5" t="s">
        <v>4887</v>
      </c>
      <c r="B1323" s="5" t="s">
        <v>83</v>
      </c>
      <c r="C1323" s="5"/>
      <c r="D1323" s="5" t="s">
        <v>4886</v>
      </c>
      <c r="E1323" s="5" t="s">
        <v>150</v>
      </c>
      <c r="F1323" s="5" t="s">
        <v>4882</v>
      </c>
      <c r="G1323" s="5" t="s">
        <v>148</v>
      </c>
      <c r="H1323" s="5" t="s">
        <v>3</v>
      </c>
      <c r="I1323" s="5"/>
      <c r="J1323" s="5" t="s">
        <v>4885</v>
      </c>
    </row>
    <row r="1324" spans="1:10" x14ac:dyDescent="0.2">
      <c r="A1324" s="5" t="s">
        <v>4884</v>
      </c>
      <c r="B1324" s="5" t="s">
        <v>83</v>
      </c>
      <c r="C1324" s="5"/>
      <c r="D1324" s="5" t="s">
        <v>4883</v>
      </c>
      <c r="E1324" s="5" t="s">
        <v>150</v>
      </c>
      <c r="F1324" s="5" t="s">
        <v>4882</v>
      </c>
      <c r="G1324" s="5" t="s">
        <v>148</v>
      </c>
      <c r="H1324" s="5" t="s">
        <v>3</v>
      </c>
      <c r="I1324" s="5"/>
      <c r="J1324" s="5" t="s">
        <v>4881</v>
      </c>
    </row>
    <row r="1325" spans="1:10" ht="25.5" x14ac:dyDescent="0.2">
      <c r="A1325" s="5" t="s">
        <v>4880</v>
      </c>
      <c r="B1325" s="5" t="s">
        <v>83</v>
      </c>
      <c r="C1325" s="5"/>
      <c r="D1325" s="5" t="s">
        <v>4879</v>
      </c>
      <c r="E1325" s="5" t="s">
        <v>150</v>
      </c>
      <c r="F1325" s="5" t="s">
        <v>424</v>
      </c>
      <c r="G1325" s="5" t="s">
        <v>148</v>
      </c>
      <c r="H1325" s="5" t="s">
        <v>137</v>
      </c>
      <c r="I1325" s="5" t="s">
        <v>4872</v>
      </c>
      <c r="J1325" s="5" t="s">
        <v>4878</v>
      </c>
    </row>
    <row r="1326" spans="1:10" ht="25.5" x14ac:dyDescent="0.2">
      <c r="A1326" s="5" t="s">
        <v>4877</v>
      </c>
      <c r="B1326" s="5" t="s">
        <v>83</v>
      </c>
      <c r="C1326" s="5"/>
      <c r="D1326" s="5" t="s">
        <v>4876</v>
      </c>
      <c r="E1326" s="5"/>
      <c r="F1326" s="5" t="s">
        <v>4861</v>
      </c>
      <c r="G1326" s="5" t="s">
        <v>382</v>
      </c>
      <c r="H1326" s="5" t="s">
        <v>137</v>
      </c>
      <c r="I1326" s="5" t="s">
        <v>4868</v>
      </c>
      <c r="J1326" s="5" t="s">
        <v>4875</v>
      </c>
    </row>
    <row r="1327" spans="1:10" ht="25.5" x14ac:dyDescent="0.2">
      <c r="A1327" s="5" t="s">
        <v>4874</v>
      </c>
      <c r="B1327" s="5" t="s">
        <v>83</v>
      </c>
      <c r="C1327" s="5"/>
      <c r="D1327" s="5" t="s">
        <v>4873</v>
      </c>
      <c r="E1327" s="5"/>
      <c r="F1327" s="5" t="s">
        <v>424</v>
      </c>
      <c r="G1327" s="5" t="s">
        <v>170</v>
      </c>
      <c r="H1327" s="5" t="s">
        <v>137</v>
      </c>
      <c r="I1327" s="5" t="s">
        <v>4872</v>
      </c>
      <c r="J1327" s="5" t="s">
        <v>4871</v>
      </c>
    </row>
    <row r="1328" spans="1:10" ht="25.5" x14ac:dyDescent="0.2">
      <c r="A1328" s="5" t="s">
        <v>4870</v>
      </c>
      <c r="B1328" s="5" t="s">
        <v>83</v>
      </c>
      <c r="C1328" s="5"/>
      <c r="D1328" s="5" t="s">
        <v>4869</v>
      </c>
      <c r="E1328" s="5" t="s">
        <v>150</v>
      </c>
      <c r="F1328" s="5" t="s">
        <v>4861</v>
      </c>
      <c r="G1328" s="5" t="s">
        <v>148</v>
      </c>
      <c r="H1328" s="5" t="s">
        <v>137</v>
      </c>
      <c r="I1328" s="5" t="s">
        <v>4868</v>
      </c>
      <c r="J1328" s="5" t="s">
        <v>4867</v>
      </c>
    </row>
    <row r="1329" spans="1:10" x14ac:dyDescent="0.2">
      <c r="A1329" s="5" t="s">
        <v>4866</v>
      </c>
      <c r="B1329" s="5" t="s">
        <v>83</v>
      </c>
      <c r="C1329" s="5"/>
      <c r="D1329" s="5" t="s">
        <v>4865</v>
      </c>
      <c r="E1329" s="5" t="s">
        <v>150</v>
      </c>
      <c r="F1329" s="5" t="s">
        <v>4861</v>
      </c>
      <c r="G1329" s="5" t="s">
        <v>148</v>
      </c>
      <c r="H1329" s="5" t="s">
        <v>3</v>
      </c>
      <c r="I1329" s="5"/>
      <c r="J1329" s="5" t="s">
        <v>4864</v>
      </c>
    </row>
    <row r="1330" spans="1:10" x14ac:dyDescent="0.2">
      <c r="A1330" s="5" t="s">
        <v>4863</v>
      </c>
      <c r="B1330" s="5" t="s">
        <v>83</v>
      </c>
      <c r="C1330" s="5"/>
      <c r="D1330" s="5" t="s">
        <v>4862</v>
      </c>
      <c r="E1330" s="5" t="s">
        <v>150</v>
      </c>
      <c r="F1330" s="5" t="s">
        <v>4861</v>
      </c>
      <c r="G1330" s="5" t="s">
        <v>148</v>
      </c>
      <c r="H1330" s="5" t="s">
        <v>3</v>
      </c>
      <c r="I1330" s="5"/>
      <c r="J1330" s="5" t="s">
        <v>4860</v>
      </c>
    </row>
    <row r="1331" spans="1:10" ht="25.5" x14ac:dyDescent="0.2">
      <c r="A1331" s="5" t="s">
        <v>4859</v>
      </c>
      <c r="B1331" s="5" t="s">
        <v>83</v>
      </c>
      <c r="C1331" s="5"/>
      <c r="D1331" s="5" t="s">
        <v>4858</v>
      </c>
      <c r="E1331" s="5" t="s">
        <v>150</v>
      </c>
      <c r="F1331" s="5" t="s">
        <v>424</v>
      </c>
      <c r="G1331" s="5" t="s">
        <v>148</v>
      </c>
      <c r="H1331" s="5" t="s">
        <v>137</v>
      </c>
      <c r="I1331" s="5" t="s">
        <v>4854</v>
      </c>
      <c r="J1331" s="5" t="s">
        <v>4857</v>
      </c>
    </row>
    <row r="1332" spans="1:10" ht="25.5" x14ac:dyDescent="0.2">
      <c r="A1332" s="5" t="s">
        <v>4856</v>
      </c>
      <c r="B1332" s="5" t="s">
        <v>83</v>
      </c>
      <c r="C1332" s="5"/>
      <c r="D1332" s="5" t="s">
        <v>4855</v>
      </c>
      <c r="E1332" s="5"/>
      <c r="F1332" s="5" t="s">
        <v>424</v>
      </c>
      <c r="G1332" s="5" t="s">
        <v>170</v>
      </c>
      <c r="H1332" s="5" t="s">
        <v>137</v>
      </c>
      <c r="I1332" s="5" t="s">
        <v>4854</v>
      </c>
      <c r="J1332" s="5" t="s">
        <v>4853</v>
      </c>
    </row>
    <row r="1333" spans="1:10" x14ac:dyDescent="0.2">
      <c r="A1333" s="5" t="s">
        <v>4852</v>
      </c>
      <c r="B1333" s="5" t="s">
        <v>83</v>
      </c>
      <c r="C1333" s="5"/>
      <c r="D1333" s="5" t="s">
        <v>4821</v>
      </c>
      <c r="E1333" s="5" t="s">
        <v>150</v>
      </c>
      <c r="F1333" s="5" t="s">
        <v>4849</v>
      </c>
      <c r="G1333" s="5" t="s">
        <v>148</v>
      </c>
      <c r="H1333" s="5" t="s">
        <v>137</v>
      </c>
      <c r="I1333" s="5" t="s">
        <v>50</v>
      </c>
      <c r="J1333" s="5" t="s">
        <v>4847</v>
      </c>
    </row>
    <row r="1334" spans="1:10" x14ac:dyDescent="0.2">
      <c r="A1334" s="5" t="s">
        <v>4851</v>
      </c>
      <c r="B1334" s="5" t="s">
        <v>83</v>
      </c>
      <c r="C1334" s="5"/>
      <c r="D1334" s="5" t="s">
        <v>4850</v>
      </c>
      <c r="E1334" s="5"/>
      <c r="F1334" s="5" t="s">
        <v>4849</v>
      </c>
      <c r="G1334" s="5" t="s">
        <v>4848</v>
      </c>
      <c r="H1334" s="5" t="s">
        <v>137</v>
      </c>
      <c r="I1334" s="5" t="s">
        <v>50</v>
      </c>
      <c r="J1334" s="5" t="s">
        <v>4847</v>
      </c>
    </row>
    <row r="1335" spans="1:10" ht="25.5" x14ac:dyDescent="0.2">
      <c r="A1335" s="5" t="s">
        <v>4846</v>
      </c>
      <c r="B1335" s="5" t="s">
        <v>83</v>
      </c>
      <c r="C1335" s="5"/>
      <c r="D1335" s="5" t="s">
        <v>4845</v>
      </c>
      <c r="E1335" s="5"/>
      <c r="F1335" s="5" t="s">
        <v>4831</v>
      </c>
      <c r="G1335" s="5" t="s">
        <v>382</v>
      </c>
      <c r="H1335" s="5" t="s">
        <v>3</v>
      </c>
      <c r="I1335" s="5"/>
      <c r="J1335" s="5" t="s">
        <v>4844</v>
      </c>
    </row>
    <row r="1336" spans="1:10" ht="25.5" x14ac:dyDescent="0.2">
      <c r="A1336" s="5" t="s">
        <v>4843</v>
      </c>
      <c r="B1336" s="5" t="s">
        <v>83</v>
      </c>
      <c r="C1336" s="5"/>
      <c r="D1336" s="5" t="s">
        <v>4842</v>
      </c>
      <c r="E1336" s="5"/>
      <c r="F1336" s="5" t="s">
        <v>4831</v>
      </c>
      <c r="G1336" s="5" t="s">
        <v>382</v>
      </c>
      <c r="H1336" s="5" t="s">
        <v>137</v>
      </c>
      <c r="I1336" s="5" t="s">
        <v>4838</v>
      </c>
      <c r="J1336" s="5" t="s">
        <v>4841</v>
      </c>
    </row>
    <row r="1337" spans="1:10" ht="25.5" x14ac:dyDescent="0.2">
      <c r="A1337" s="5" t="s">
        <v>4840</v>
      </c>
      <c r="B1337" s="5" t="s">
        <v>83</v>
      </c>
      <c r="C1337" s="5"/>
      <c r="D1337" s="5" t="s">
        <v>4839</v>
      </c>
      <c r="E1337" s="5" t="s">
        <v>150</v>
      </c>
      <c r="F1337" s="5" t="s">
        <v>4831</v>
      </c>
      <c r="G1337" s="5" t="s">
        <v>148</v>
      </c>
      <c r="H1337" s="5" t="s">
        <v>137</v>
      </c>
      <c r="I1337" s="5" t="s">
        <v>4838</v>
      </c>
      <c r="J1337" s="5" t="s">
        <v>4837</v>
      </c>
    </row>
    <row r="1338" spans="1:10" x14ac:dyDescent="0.2">
      <c r="A1338" s="5" t="s">
        <v>4836</v>
      </c>
      <c r="B1338" s="5" t="s">
        <v>83</v>
      </c>
      <c r="C1338" s="5"/>
      <c r="D1338" s="5" t="s">
        <v>4835</v>
      </c>
      <c r="E1338" s="5" t="s">
        <v>150</v>
      </c>
      <c r="F1338" s="5" t="s">
        <v>4831</v>
      </c>
      <c r="G1338" s="5" t="s">
        <v>148</v>
      </c>
      <c r="H1338" s="5" t="s">
        <v>3</v>
      </c>
      <c r="I1338" s="5"/>
      <c r="J1338" s="5" t="s">
        <v>4834</v>
      </c>
    </row>
    <row r="1339" spans="1:10" x14ac:dyDescent="0.2">
      <c r="A1339" s="5" t="s">
        <v>4833</v>
      </c>
      <c r="B1339" s="5" t="s">
        <v>83</v>
      </c>
      <c r="C1339" s="5"/>
      <c r="D1339" s="5" t="s">
        <v>4832</v>
      </c>
      <c r="E1339" s="5" t="s">
        <v>150</v>
      </c>
      <c r="F1339" s="5" t="s">
        <v>4831</v>
      </c>
      <c r="G1339" s="5" t="s">
        <v>148</v>
      </c>
      <c r="H1339" s="5" t="s">
        <v>3</v>
      </c>
      <c r="I1339" s="5"/>
      <c r="J1339" s="5" t="s">
        <v>4830</v>
      </c>
    </row>
    <row r="1340" spans="1:10" ht="25.5" x14ac:dyDescent="0.2">
      <c r="A1340" s="5" t="s">
        <v>4829</v>
      </c>
      <c r="B1340" s="5" t="s">
        <v>83</v>
      </c>
      <c r="C1340" s="5"/>
      <c r="D1340" s="5" t="s">
        <v>4828</v>
      </c>
      <c r="E1340" s="5" t="s">
        <v>150</v>
      </c>
      <c r="F1340" s="5" t="s">
        <v>424</v>
      </c>
      <c r="G1340" s="5" t="s">
        <v>148</v>
      </c>
      <c r="H1340" s="5" t="s">
        <v>137</v>
      </c>
      <c r="I1340" s="5" t="s">
        <v>4824</v>
      </c>
      <c r="J1340" s="5" t="s">
        <v>4827</v>
      </c>
    </row>
    <row r="1341" spans="1:10" ht="25.5" x14ac:dyDescent="0.2">
      <c r="A1341" s="5" t="s">
        <v>4826</v>
      </c>
      <c r="B1341" s="5" t="s">
        <v>83</v>
      </c>
      <c r="C1341" s="5"/>
      <c r="D1341" s="5" t="s">
        <v>4825</v>
      </c>
      <c r="E1341" s="5"/>
      <c r="F1341" s="5" t="s">
        <v>424</v>
      </c>
      <c r="G1341" s="5" t="s">
        <v>170</v>
      </c>
      <c r="H1341" s="5" t="s">
        <v>137</v>
      </c>
      <c r="I1341" s="5" t="s">
        <v>4824</v>
      </c>
      <c r="J1341" s="5" t="s">
        <v>4823</v>
      </c>
    </row>
    <row r="1342" spans="1:10" x14ac:dyDescent="0.2">
      <c r="A1342" s="5" t="s">
        <v>4822</v>
      </c>
      <c r="B1342" s="5" t="s">
        <v>83</v>
      </c>
      <c r="C1342" s="5"/>
      <c r="D1342" s="5" t="s">
        <v>4821</v>
      </c>
      <c r="E1342" s="5" t="s">
        <v>288</v>
      </c>
      <c r="F1342" s="5" t="s">
        <v>311</v>
      </c>
      <c r="G1342" s="5" t="s">
        <v>91</v>
      </c>
      <c r="H1342" s="5" t="s">
        <v>3</v>
      </c>
      <c r="I1342" s="5"/>
      <c r="J1342" s="5" t="s">
        <v>4820</v>
      </c>
    </row>
    <row r="1343" spans="1:10" x14ac:dyDescent="0.2">
      <c r="A1343" s="5" t="s">
        <v>4819</v>
      </c>
      <c r="B1343" s="5" t="s">
        <v>83</v>
      </c>
      <c r="C1343" s="5"/>
      <c r="D1343" s="5" t="s">
        <v>4818</v>
      </c>
      <c r="E1343" s="5" t="s">
        <v>665</v>
      </c>
      <c r="F1343" s="5" t="s">
        <v>311</v>
      </c>
      <c r="G1343" s="5" t="s">
        <v>91</v>
      </c>
      <c r="H1343" s="5" t="s">
        <v>3</v>
      </c>
      <c r="I1343" s="5"/>
      <c r="J1343" s="5" t="s">
        <v>4817</v>
      </c>
    </row>
    <row r="1344" spans="1:10" ht="25.5" x14ac:dyDescent="0.2">
      <c r="A1344" s="5" t="s">
        <v>4816</v>
      </c>
      <c r="B1344" s="5" t="s">
        <v>83</v>
      </c>
      <c r="C1344" s="5"/>
      <c r="D1344" s="5" t="s">
        <v>4815</v>
      </c>
      <c r="E1344" s="5"/>
      <c r="F1344" s="5" t="s">
        <v>4801</v>
      </c>
      <c r="G1344" s="5" t="s">
        <v>382</v>
      </c>
      <c r="H1344" s="5" t="s">
        <v>3</v>
      </c>
      <c r="I1344" s="5"/>
      <c r="J1344" s="5" t="s">
        <v>4814</v>
      </c>
    </row>
    <row r="1345" spans="1:10" ht="25.5" x14ac:dyDescent="0.2">
      <c r="A1345" s="5" t="s">
        <v>4813</v>
      </c>
      <c r="B1345" s="5" t="s">
        <v>83</v>
      </c>
      <c r="C1345" s="5"/>
      <c r="D1345" s="5" t="s">
        <v>4812</v>
      </c>
      <c r="E1345" s="5"/>
      <c r="F1345" s="5" t="s">
        <v>4801</v>
      </c>
      <c r="G1345" s="5" t="s">
        <v>382</v>
      </c>
      <c r="H1345" s="5" t="s">
        <v>137</v>
      </c>
      <c r="I1345" s="5" t="s">
        <v>4808</v>
      </c>
      <c r="J1345" s="5" t="s">
        <v>4811</v>
      </c>
    </row>
    <row r="1346" spans="1:10" ht="25.5" x14ac:dyDescent="0.2">
      <c r="A1346" s="5" t="s">
        <v>4810</v>
      </c>
      <c r="B1346" s="5" t="s">
        <v>83</v>
      </c>
      <c r="C1346" s="5"/>
      <c r="D1346" s="5" t="s">
        <v>4809</v>
      </c>
      <c r="E1346" s="5" t="s">
        <v>150</v>
      </c>
      <c r="F1346" s="5" t="s">
        <v>4801</v>
      </c>
      <c r="G1346" s="5" t="s">
        <v>148</v>
      </c>
      <c r="H1346" s="5" t="s">
        <v>137</v>
      </c>
      <c r="I1346" s="5" t="s">
        <v>4808</v>
      </c>
      <c r="J1346" s="5" t="s">
        <v>4807</v>
      </c>
    </row>
    <row r="1347" spans="1:10" x14ac:dyDescent="0.2">
      <c r="A1347" s="5" t="s">
        <v>4806</v>
      </c>
      <c r="B1347" s="5" t="s">
        <v>83</v>
      </c>
      <c r="C1347" s="5"/>
      <c r="D1347" s="5" t="s">
        <v>4805</v>
      </c>
      <c r="E1347" s="5" t="s">
        <v>150</v>
      </c>
      <c r="F1347" s="5" t="s">
        <v>4801</v>
      </c>
      <c r="G1347" s="5" t="s">
        <v>148</v>
      </c>
      <c r="H1347" s="5" t="s">
        <v>3</v>
      </c>
      <c r="I1347" s="5"/>
      <c r="J1347" s="5" t="s">
        <v>4804</v>
      </c>
    </row>
    <row r="1348" spans="1:10" x14ac:dyDescent="0.2">
      <c r="A1348" s="5" t="s">
        <v>4803</v>
      </c>
      <c r="B1348" s="5" t="s">
        <v>83</v>
      </c>
      <c r="C1348" s="5"/>
      <c r="D1348" s="5" t="s">
        <v>4802</v>
      </c>
      <c r="E1348" s="5" t="s">
        <v>150</v>
      </c>
      <c r="F1348" s="5" t="s">
        <v>4801</v>
      </c>
      <c r="G1348" s="5" t="s">
        <v>148</v>
      </c>
      <c r="H1348" s="5" t="s">
        <v>3</v>
      </c>
      <c r="I1348" s="5"/>
      <c r="J1348" s="5" t="s">
        <v>4800</v>
      </c>
    </row>
    <row r="1349" spans="1:10" ht="25.5" x14ac:dyDescent="0.2">
      <c r="A1349" s="5" t="s">
        <v>4799</v>
      </c>
      <c r="B1349" s="5" t="s">
        <v>83</v>
      </c>
      <c r="C1349" s="5"/>
      <c r="D1349" s="5" t="s">
        <v>4798</v>
      </c>
      <c r="E1349" s="5" t="s">
        <v>150</v>
      </c>
      <c r="F1349" s="5" t="s">
        <v>424</v>
      </c>
      <c r="G1349" s="5" t="s">
        <v>148</v>
      </c>
      <c r="H1349" s="5" t="s">
        <v>137</v>
      </c>
      <c r="I1349" s="5" t="s">
        <v>4794</v>
      </c>
      <c r="J1349" s="5" t="s">
        <v>4797</v>
      </c>
    </row>
    <row r="1350" spans="1:10" ht="25.5" x14ac:dyDescent="0.2">
      <c r="A1350" s="5" t="s">
        <v>4796</v>
      </c>
      <c r="B1350" s="5" t="s">
        <v>83</v>
      </c>
      <c r="C1350" s="5"/>
      <c r="D1350" s="5" t="s">
        <v>4795</v>
      </c>
      <c r="E1350" s="5"/>
      <c r="F1350" s="5" t="s">
        <v>424</v>
      </c>
      <c r="G1350" s="5" t="s">
        <v>170</v>
      </c>
      <c r="H1350" s="5" t="s">
        <v>137</v>
      </c>
      <c r="I1350" s="5" t="s">
        <v>4794</v>
      </c>
      <c r="J1350" s="5" t="s">
        <v>4793</v>
      </c>
    </row>
    <row r="1351" spans="1:10" ht="25.5" x14ac:dyDescent="0.2">
      <c r="A1351" s="5" t="s">
        <v>4792</v>
      </c>
      <c r="B1351" s="5" t="s">
        <v>83</v>
      </c>
      <c r="C1351" s="5"/>
      <c r="D1351" s="5" t="s">
        <v>4791</v>
      </c>
      <c r="E1351" s="5"/>
      <c r="F1351" s="5" t="s">
        <v>4777</v>
      </c>
      <c r="G1351" s="5" t="s">
        <v>382</v>
      </c>
      <c r="H1351" s="5" t="s">
        <v>3</v>
      </c>
      <c r="I1351" s="5"/>
      <c r="J1351" s="5" t="s">
        <v>4790</v>
      </c>
    </row>
    <row r="1352" spans="1:10" ht="25.5" x14ac:dyDescent="0.2">
      <c r="A1352" s="5" t="s">
        <v>4789</v>
      </c>
      <c r="B1352" s="5" t="s">
        <v>83</v>
      </c>
      <c r="C1352" s="5"/>
      <c r="D1352" s="5" t="s">
        <v>4788</v>
      </c>
      <c r="E1352" s="5"/>
      <c r="F1352" s="5" t="s">
        <v>4777</v>
      </c>
      <c r="G1352" s="5" t="s">
        <v>382</v>
      </c>
      <c r="H1352" s="5" t="s">
        <v>137</v>
      </c>
      <c r="I1352" s="5" t="s">
        <v>4784</v>
      </c>
      <c r="J1352" s="5" t="s">
        <v>4787</v>
      </c>
    </row>
    <row r="1353" spans="1:10" ht="25.5" x14ac:dyDescent="0.2">
      <c r="A1353" s="5" t="s">
        <v>4786</v>
      </c>
      <c r="B1353" s="5" t="s">
        <v>83</v>
      </c>
      <c r="C1353" s="5"/>
      <c r="D1353" s="5" t="s">
        <v>4785</v>
      </c>
      <c r="E1353" s="5" t="s">
        <v>150</v>
      </c>
      <c r="F1353" s="5" t="s">
        <v>4777</v>
      </c>
      <c r="G1353" s="5" t="s">
        <v>148</v>
      </c>
      <c r="H1353" s="5" t="s">
        <v>137</v>
      </c>
      <c r="I1353" s="5" t="s">
        <v>4784</v>
      </c>
      <c r="J1353" s="5" t="s">
        <v>4783</v>
      </c>
    </row>
    <row r="1354" spans="1:10" x14ac:dyDescent="0.2">
      <c r="A1354" s="5" t="s">
        <v>4782</v>
      </c>
      <c r="B1354" s="5" t="s">
        <v>83</v>
      </c>
      <c r="C1354" s="5"/>
      <c r="D1354" s="5" t="s">
        <v>4781</v>
      </c>
      <c r="E1354" s="5" t="s">
        <v>150</v>
      </c>
      <c r="F1354" s="5" t="s">
        <v>4777</v>
      </c>
      <c r="G1354" s="5" t="s">
        <v>148</v>
      </c>
      <c r="H1354" s="5" t="s">
        <v>3</v>
      </c>
      <c r="I1354" s="5"/>
      <c r="J1354" s="5" t="s">
        <v>4780</v>
      </c>
    </row>
    <row r="1355" spans="1:10" x14ac:dyDescent="0.2">
      <c r="A1355" s="5" t="s">
        <v>4779</v>
      </c>
      <c r="B1355" s="5" t="s">
        <v>83</v>
      </c>
      <c r="C1355" s="5"/>
      <c r="D1355" s="5" t="s">
        <v>4778</v>
      </c>
      <c r="E1355" s="5" t="s">
        <v>150</v>
      </c>
      <c r="F1355" s="5" t="s">
        <v>4777</v>
      </c>
      <c r="G1355" s="5" t="s">
        <v>148</v>
      </c>
      <c r="H1355" s="5" t="s">
        <v>3</v>
      </c>
      <c r="I1355" s="5"/>
      <c r="J1355" s="5" t="s">
        <v>4776</v>
      </c>
    </row>
    <row r="1356" spans="1:10" ht="25.5" x14ac:dyDescent="0.2">
      <c r="A1356" s="5" t="s">
        <v>4775</v>
      </c>
      <c r="B1356" s="5" t="s">
        <v>83</v>
      </c>
      <c r="C1356" s="5"/>
      <c r="D1356" s="5" t="s">
        <v>4774</v>
      </c>
      <c r="E1356" s="5" t="s">
        <v>150</v>
      </c>
      <c r="F1356" s="5" t="s">
        <v>424</v>
      </c>
      <c r="G1356" s="5" t="s">
        <v>148</v>
      </c>
      <c r="H1356" s="5" t="s">
        <v>137</v>
      </c>
      <c r="I1356" s="5" t="s">
        <v>4770</v>
      </c>
      <c r="J1356" s="5" t="s">
        <v>4773</v>
      </c>
    </row>
    <row r="1357" spans="1:10" ht="25.5" x14ac:dyDescent="0.2">
      <c r="A1357" s="5" t="s">
        <v>4772</v>
      </c>
      <c r="B1357" s="5" t="s">
        <v>83</v>
      </c>
      <c r="C1357" s="5"/>
      <c r="D1357" s="5" t="s">
        <v>4771</v>
      </c>
      <c r="E1357" s="5"/>
      <c r="F1357" s="5" t="s">
        <v>424</v>
      </c>
      <c r="G1357" s="5" t="s">
        <v>170</v>
      </c>
      <c r="H1357" s="5" t="s">
        <v>137</v>
      </c>
      <c r="I1357" s="5" t="s">
        <v>4770</v>
      </c>
      <c r="J1357" s="5" t="s">
        <v>4769</v>
      </c>
    </row>
    <row r="1358" spans="1:10" x14ac:dyDescent="0.2">
      <c r="A1358" s="5" t="s">
        <v>4768</v>
      </c>
      <c r="B1358" s="5" t="s">
        <v>83</v>
      </c>
      <c r="C1358" s="5"/>
      <c r="D1358" s="5" t="s">
        <v>4767</v>
      </c>
      <c r="E1358" s="5"/>
      <c r="F1358" s="5"/>
      <c r="G1358" s="5" t="s">
        <v>91</v>
      </c>
      <c r="H1358" s="5" t="s">
        <v>137</v>
      </c>
      <c r="I1358" s="5"/>
      <c r="J1358" s="5"/>
    </row>
    <row r="1359" spans="1:10" ht="25.5" x14ac:dyDescent="0.2">
      <c r="A1359" s="5" t="s">
        <v>4766</v>
      </c>
      <c r="B1359" s="5" t="s">
        <v>83</v>
      </c>
      <c r="C1359" s="5"/>
      <c r="D1359" s="5" t="s">
        <v>4765</v>
      </c>
      <c r="E1359" s="5"/>
      <c r="F1359" s="5" t="s">
        <v>4751</v>
      </c>
      <c r="G1359" s="5" t="s">
        <v>382</v>
      </c>
      <c r="H1359" s="5" t="s">
        <v>3</v>
      </c>
      <c r="I1359" s="5"/>
      <c r="J1359" s="5" t="s">
        <v>4764</v>
      </c>
    </row>
    <row r="1360" spans="1:10" ht="25.5" x14ac:dyDescent="0.2">
      <c r="A1360" s="5" t="s">
        <v>4763</v>
      </c>
      <c r="B1360" s="5" t="s">
        <v>83</v>
      </c>
      <c r="C1360" s="5"/>
      <c r="D1360" s="5" t="s">
        <v>4762</v>
      </c>
      <c r="E1360" s="5"/>
      <c r="F1360" s="5" t="s">
        <v>4751</v>
      </c>
      <c r="G1360" s="5" t="s">
        <v>382</v>
      </c>
      <c r="H1360" s="5" t="s">
        <v>137</v>
      </c>
      <c r="I1360" s="5" t="s">
        <v>4758</v>
      </c>
      <c r="J1360" s="5" t="s">
        <v>4761</v>
      </c>
    </row>
    <row r="1361" spans="1:10" ht="25.5" x14ac:dyDescent="0.2">
      <c r="A1361" s="5" t="s">
        <v>4760</v>
      </c>
      <c r="B1361" s="5" t="s">
        <v>83</v>
      </c>
      <c r="C1361" s="5"/>
      <c r="D1361" s="5" t="s">
        <v>4759</v>
      </c>
      <c r="E1361" s="5" t="s">
        <v>150</v>
      </c>
      <c r="F1361" s="5" t="s">
        <v>4751</v>
      </c>
      <c r="G1361" s="5" t="s">
        <v>148</v>
      </c>
      <c r="H1361" s="5" t="s">
        <v>137</v>
      </c>
      <c r="I1361" s="5" t="s">
        <v>4758</v>
      </c>
      <c r="J1361" s="5" t="s">
        <v>4757</v>
      </c>
    </row>
    <row r="1362" spans="1:10" x14ac:dyDescent="0.2">
      <c r="A1362" s="5" t="s">
        <v>4756</v>
      </c>
      <c r="B1362" s="5" t="s">
        <v>83</v>
      </c>
      <c r="C1362" s="5"/>
      <c r="D1362" s="5" t="s">
        <v>4755</v>
      </c>
      <c r="E1362" s="5" t="s">
        <v>150</v>
      </c>
      <c r="F1362" s="5" t="s">
        <v>4751</v>
      </c>
      <c r="G1362" s="5" t="s">
        <v>148</v>
      </c>
      <c r="H1362" s="5" t="s">
        <v>3</v>
      </c>
      <c r="I1362" s="5"/>
      <c r="J1362" s="5" t="s">
        <v>4754</v>
      </c>
    </row>
    <row r="1363" spans="1:10" x14ac:dyDescent="0.2">
      <c r="A1363" s="5" t="s">
        <v>4753</v>
      </c>
      <c r="B1363" s="5" t="s">
        <v>83</v>
      </c>
      <c r="C1363" s="5"/>
      <c r="D1363" s="5" t="s">
        <v>4752</v>
      </c>
      <c r="E1363" s="5" t="s">
        <v>150</v>
      </c>
      <c r="F1363" s="5" t="s">
        <v>4751</v>
      </c>
      <c r="G1363" s="5" t="s">
        <v>148</v>
      </c>
      <c r="H1363" s="5" t="s">
        <v>3</v>
      </c>
      <c r="I1363" s="5"/>
      <c r="J1363" s="5" t="s">
        <v>4750</v>
      </c>
    </row>
    <row r="1364" spans="1:10" ht="38.25" x14ac:dyDescent="0.2">
      <c r="A1364" s="5" t="s">
        <v>4749</v>
      </c>
      <c r="B1364" s="5" t="s">
        <v>83</v>
      </c>
      <c r="C1364" s="5"/>
      <c r="D1364" s="5" t="s">
        <v>4748</v>
      </c>
      <c r="E1364" s="5" t="s">
        <v>150</v>
      </c>
      <c r="F1364" s="5" t="s">
        <v>424</v>
      </c>
      <c r="G1364" s="5" t="s">
        <v>148</v>
      </c>
      <c r="H1364" s="5" t="s">
        <v>137</v>
      </c>
      <c r="I1364" s="5" t="s">
        <v>4744</v>
      </c>
      <c r="J1364" s="5" t="s">
        <v>4747</v>
      </c>
    </row>
    <row r="1365" spans="1:10" ht="38.25" x14ac:dyDescent="0.2">
      <c r="A1365" s="5" t="s">
        <v>4746</v>
      </c>
      <c r="B1365" s="5" t="s">
        <v>83</v>
      </c>
      <c r="C1365" s="5"/>
      <c r="D1365" s="5" t="s">
        <v>4745</v>
      </c>
      <c r="E1365" s="5"/>
      <c r="F1365" s="5" t="s">
        <v>424</v>
      </c>
      <c r="G1365" s="5" t="s">
        <v>170</v>
      </c>
      <c r="H1365" s="5" t="s">
        <v>137</v>
      </c>
      <c r="I1365" s="5" t="s">
        <v>4744</v>
      </c>
      <c r="J1365" s="5" t="s">
        <v>4743</v>
      </c>
    </row>
    <row r="1366" spans="1:10" ht="25.5" x14ac:dyDescent="0.2">
      <c r="A1366" s="5" t="s">
        <v>4742</v>
      </c>
      <c r="B1366" s="5" t="s">
        <v>83</v>
      </c>
      <c r="C1366" s="5"/>
      <c r="D1366" s="5" t="s">
        <v>4741</v>
      </c>
      <c r="E1366" s="5"/>
      <c r="F1366" s="5" t="s">
        <v>4727</v>
      </c>
      <c r="G1366" s="5" t="s">
        <v>382</v>
      </c>
      <c r="H1366" s="5" t="s">
        <v>3</v>
      </c>
      <c r="I1366" s="5"/>
      <c r="J1366" s="5" t="s">
        <v>4740</v>
      </c>
    </row>
    <row r="1367" spans="1:10" ht="25.5" x14ac:dyDescent="0.2">
      <c r="A1367" s="5" t="s">
        <v>4739</v>
      </c>
      <c r="B1367" s="5" t="s">
        <v>83</v>
      </c>
      <c r="C1367" s="5"/>
      <c r="D1367" s="5" t="s">
        <v>4738</v>
      </c>
      <c r="E1367" s="5"/>
      <c r="F1367" s="5" t="s">
        <v>4727</v>
      </c>
      <c r="G1367" s="5" t="s">
        <v>382</v>
      </c>
      <c r="H1367" s="5" t="s">
        <v>137</v>
      </c>
      <c r="I1367" s="5" t="s">
        <v>4734</v>
      </c>
      <c r="J1367" s="5" t="s">
        <v>4737</v>
      </c>
    </row>
    <row r="1368" spans="1:10" ht="25.5" x14ac:dyDescent="0.2">
      <c r="A1368" s="5" t="s">
        <v>4736</v>
      </c>
      <c r="B1368" s="5" t="s">
        <v>83</v>
      </c>
      <c r="C1368" s="5"/>
      <c r="D1368" s="5" t="s">
        <v>4735</v>
      </c>
      <c r="E1368" s="5" t="s">
        <v>150</v>
      </c>
      <c r="F1368" s="5" t="s">
        <v>4727</v>
      </c>
      <c r="G1368" s="5" t="s">
        <v>148</v>
      </c>
      <c r="H1368" s="5" t="s">
        <v>137</v>
      </c>
      <c r="I1368" s="5" t="s">
        <v>4734</v>
      </c>
      <c r="J1368" s="5" t="s">
        <v>4733</v>
      </c>
    </row>
    <row r="1369" spans="1:10" x14ac:dyDescent="0.2">
      <c r="A1369" s="5" t="s">
        <v>4732</v>
      </c>
      <c r="B1369" s="5" t="s">
        <v>83</v>
      </c>
      <c r="C1369" s="5"/>
      <c r="D1369" s="5" t="s">
        <v>4731</v>
      </c>
      <c r="E1369" s="5" t="s">
        <v>150</v>
      </c>
      <c r="F1369" s="5" t="s">
        <v>4727</v>
      </c>
      <c r="G1369" s="5" t="s">
        <v>148</v>
      </c>
      <c r="H1369" s="5" t="s">
        <v>3</v>
      </c>
      <c r="I1369" s="5"/>
      <c r="J1369" s="5" t="s">
        <v>4730</v>
      </c>
    </row>
    <row r="1370" spans="1:10" x14ac:dyDescent="0.2">
      <c r="A1370" s="5" t="s">
        <v>4729</v>
      </c>
      <c r="B1370" s="5" t="s">
        <v>83</v>
      </c>
      <c r="C1370" s="5"/>
      <c r="D1370" s="5" t="s">
        <v>4728</v>
      </c>
      <c r="E1370" s="5" t="s">
        <v>150</v>
      </c>
      <c r="F1370" s="5" t="s">
        <v>4727</v>
      </c>
      <c r="G1370" s="5" t="s">
        <v>148</v>
      </c>
      <c r="H1370" s="5" t="s">
        <v>3</v>
      </c>
      <c r="I1370" s="5"/>
      <c r="J1370" s="5" t="s">
        <v>4726</v>
      </c>
    </row>
    <row r="1371" spans="1:10" ht="25.5" x14ac:dyDescent="0.2">
      <c r="A1371" s="5" t="s">
        <v>4725</v>
      </c>
      <c r="B1371" s="5" t="s">
        <v>83</v>
      </c>
      <c r="C1371" s="5"/>
      <c r="D1371" s="5" t="s">
        <v>4724</v>
      </c>
      <c r="E1371" s="5" t="s">
        <v>150</v>
      </c>
      <c r="F1371" s="5" t="s">
        <v>424</v>
      </c>
      <c r="G1371" s="5" t="s">
        <v>148</v>
      </c>
      <c r="H1371" s="5" t="s">
        <v>137</v>
      </c>
      <c r="I1371" s="5" t="s">
        <v>4720</v>
      </c>
      <c r="J1371" s="5" t="s">
        <v>4723</v>
      </c>
    </row>
    <row r="1372" spans="1:10" ht="25.5" x14ac:dyDescent="0.2">
      <c r="A1372" s="5" t="s">
        <v>4722</v>
      </c>
      <c r="B1372" s="5" t="s">
        <v>83</v>
      </c>
      <c r="C1372" s="5"/>
      <c r="D1372" s="5" t="s">
        <v>4721</v>
      </c>
      <c r="E1372" s="5"/>
      <c r="F1372" s="5" t="s">
        <v>424</v>
      </c>
      <c r="G1372" s="5" t="s">
        <v>170</v>
      </c>
      <c r="H1372" s="5" t="s">
        <v>137</v>
      </c>
      <c r="I1372" s="5" t="s">
        <v>4720</v>
      </c>
      <c r="J1372" s="5" t="s">
        <v>4719</v>
      </c>
    </row>
    <row r="1373" spans="1:10" x14ac:dyDescent="0.2">
      <c r="A1373" s="5" t="s">
        <v>4718</v>
      </c>
      <c r="B1373" s="5" t="s">
        <v>83</v>
      </c>
      <c r="C1373" s="5"/>
      <c r="D1373" s="5" t="s">
        <v>4717</v>
      </c>
      <c r="E1373" s="5"/>
      <c r="F1373" s="5" t="s">
        <v>4703</v>
      </c>
      <c r="G1373" s="5" t="s">
        <v>382</v>
      </c>
      <c r="H1373" s="5" t="s">
        <v>3</v>
      </c>
      <c r="I1373" s="5"/>
      <c r="J1373" s="5" t="s">
        <v>4716</v>
      </c>
    </row>
    <row r="1374" spans="1:10" x14ac:dyDescent="0.2">
      <c r="A1374" s="5" t="s">
        <v>4715</v>
      </c>
      <c r="B1374" s="5" t="s">
        <v>83</v>
      </c>
      <c r="C1374" s="5"/>
      <c r="D1374" s="5" t="s">
        <v>4714</v>
      </c>
      <c r="E1374" s="5"/>
      <c r="F1374" s="5" t="s">
        <v>4703</v>
      </c>
      <c r="G1374" s="5" t="s">
        <v>382</v>
      </c>
      <c r="H1374" s="5" t="s">
        <v>137</v>
      </c>
      <c r="I1374" s="5" t="s">
        <v>4710</v>
      </c>
      <c r="J1374" s="5" t="s">
        <v>4713</v>
      </c>
    </row>
    <row r="1375" spans="1:10" x14ac:dyDescent="0.2">
      <c r="A1375" s="5" t="s">
        <v>4712</v>
      </c>
      <c r="B1375" s="5" t="s">
        <v>83</v>
      </c>
      <c r="C1375" s="5"/>
      <c r="D1375" s="5" t="s">
        <v>4711</v>
      </c>
      <c r="E1375" s="5" t="s">
        <v>150</v>
      </c>
      <c r="F1375" s="5" t="s">
        <v>4703</v>
      </c>
      <c r="G1375" s="5" t="s">
        <v>148</v>
      </c>
      <c r="H1375" s="5" t="s">
        <v>137</v>
      </c>
      <c r="I1375" s="5" t="s">
        <v>4710</v>
      </c>
      <c r="J1375" s="5" t="s">
        <v>4709</v>
      </c>
    </row>
    <row r="1376" spans="1:10" x14ac:dyDescent="0.2">
      <c r="A1376" s="5" t="s">
        <v>4708</v>
      </c>
      <c r="B1376" s="5" t="s">
        <v>83</v>
      </c>
      <c r="C1376" s="5"/>
      <c r="D1376" s="5" t="s">
        <v>4707</v>
      </c>
      <c r="E1376" s="5" t="s">
        <v>150</v>
      </c>
      <c r="F1376" s="5" t="s">
        <v>4703</v>
      </c>
      <c r="G1376" s="5" t="s">
        <v>148</v>
      </c>
      <c r="H1376" s="5" t="s">
        <v>3</v>
      </c>
      <c r="I1376" s="5"/>
      <c r="J1376" s="5" t="s">
        <v>4706</v>
      </c>
    </row>
    <row r="1377" spans="1:10" x14ac:dyDescent="0.2">
      <c r="A1377" s="5" t="s">
        <v>4705</v>
      </c>
      <c r="B1377" s="5" t="s">
        <v>83</v>
      </c>
      <c r="C1377" s="5"/>
      <c r="D1377" s="5" t="s">
        <v>4704</v>
      </c>
      <c r="E1377" s="5" t="s">
        <v>150</v>
      </c>
      <c r="F1377" s="5" t="s">
        <v>4703</v>
      </c>
      <c r="G1377" s="5" t="s">
        <v>148</v>
      </c>
      <c r="H1377" s="5" t="s">
        <v>3</v>
      </c>
      <c r="I1377" s="5"/>
      <c r="J1377" s="5" t="s">
        <v>4702</v>
      </c>
    </row>
    <row r="1378" spans="1:10" ht="25.5" x14ac:dyDescent="0.2">
      <c r="A1378" s="5" t="s">
        <v>4701</v>
      </c>
      <c r="B1378" s="5" t="s">
        <v>83</v>
      </c>
      <c r="C1378" s="5"/>
      <c r="D1378" s="5" t="s">
        <v>4700</v>
      </c>
      <c r="E1378" s="5" t="s">
        <v>150</v>
      </c>
      <c r="F1378" s="5" t="s">
        <v>424</v>
      </c>
      <c r="G1378" s="5" t="s">
        <v>148</v>
      </c>
      <c r="H1378" s="5" t="s">
        <v>137</v>
      </c>
      <c r="I1378" s="5" t="s">
        <v>4672</v>
      </c>
      <c r="J1378" s="5" t="s">
        <v>4699</v>
      </c>
    </row>
    <row r="1379" spans="1:10" ht="25.5" x14ac:dyDescent="0.2">
      <c r="A1379" s="5" t="s">
        <v>4698</v>
      </c>
      <c r="B1379" s="5" t="s">
        <v>83</v>
      </c>
      <c r="C1379" s="5"/>
      <c r="D1379" s="5" t="s">
        <v>4697</v>
      </c>
      <c r="E1379" s="5"/>
      <c r="F1379" s="5" t="s">
        <v>4683</v>
      </c>
      <c r="G1379" s="5" t="s">
        <v>382</v>
      </c>
      <c r="H1379" s="5" t="s">
        <v>3</v>
      </c>
      <c r="I1379" s="5"/>
      <c r="J1379" s="5" t="s">
        <v>4696</v>
      </c>
    </row>
    <row r="1380" spans="1:10" ht="25.5" x14ac:dyDescent="0.2">
      <c r="A1380" s="5" t="s">
        <v>4695</v>
      </c>
      <c r="B1380" s="5" t="s">
        <v>83</v>
      </c>
      <c r="C1380" s="5"/>
      <c r="D1380" s="5" t="s">
        <v>4694</v>
      </c>
      <c r="E1380" s="5"/>
      <c r="F1380" s="5" t="s">
        <v>4683</v>
      </c>
      <c r="G1380" s="5" t="s">
        <v>382</v>
      </c>
      <c r="H1380" s="5" t="s">
        <v>137</v>
      </c>
      <c r="I1380" s="5" t="s">
        <v>4690</v>
      </c>
      <c r="J1380" s="5" t="s">
        <v>4693</v>
      </c>
    </row>
    <row r="1381" spans="1:10" ht="25.5" x14ac:dyDescent="0.2">
      <c r="A1381" s="5" t="s">
        <v>4692</v>
      </c>
      <c r="B1381" s="5" t="s">
        <v>83</v>
      </c>
      <c r="C1381" s="5"/>
      <c r="D1381" s="5" t="s">
        <v>4691</v>
      </c>
      <c r="E1381" s="5" t="s">
        <v>150</v>
      </c>
      <c r="F1381" s="5" t="s">
        <v>4683</v>
      </c>
      <c r="G1381" s="5" t="s">
        <v>148</v>
      </c>
      <c r="H1381" s="5" t="s">
        <v>137</v>
      </c>
      <c r="I1381" s="5" t="s">
        <v>4690</v>
      </c>
      <c r="J1381" s="5" t="s">
        <v>4689</v>
      </c>
    </row>
    <row r="1382" spans="1:10" x14ac:dyDescent="0.2">
      <c r="A1382" s="5" t="s">
        <v>4688</v>
      </c>
      <c r="B1382" s="5" t="s">
        <v>83</v>
      </c>
      <c r="C1382" s="5"/>
      <c r="D1382" s="5" t="s">
        <v>4687</v>
      </c>
      <c r="E1382" s="5" t="s">
        <v>150</v>
      </c>
      <c r="F1382" s="5" t="s">
        <v>4683</v>
      </c>
      <c r="G1382" s="5" t="s">
        <v>148</v>
      </c>
      <c r="H1382" s="5" t="s">
        <v>3</v>
      </c>
      <c r="I1382" s="5"/>
      <c r="J1382" s="5" t="s">
        <v>4686</v>
      </c>
    </row>
    <row r="1383" spans="1:10" x14ac:dyDescent="0.2">
      <c r="A1383" s="5" t="s">
        <v>4685</v>
      </c>
      <c r="B1383" s="5" t="s">
        <v>83</v>
      </c>
      <c r="C1383" s="5"/>
      <c r="D1383" s="5" t="s">
        <v>4684</v>
      </c>
      <c r="E1383" s="5" t="s">
        <v>150</v>
      </c>
      <c r="F1383" s="5" t="s">
        <v>4683</v>
      </c>
      <c r="G1383" s="5" t="s">
        <v>148</v>
      </c>
      <c r="H1383" s="5" t="s">
        <v>3</v>
      </c>
      <c r="I1383" s="5"/>
      <c r="J1383" s="5" t="s">
        <v>4682</v>
      </c>
    </row>
    <row r="1384" spans="1:10" ht="25.5" x14ac:dyDescent="0.2">
      <c r="A1384" s="5" t="s">
        <v>4681</v>
      </c>
      <c r="B1384" s="5" t="s">
        <v>83</v>
      </c>
      <c r="C1384" s="5"/>
      <c r="D1384" s="5" t="s">
        <v>4680</v>
      </c>
      <c r="E1384" s="5" t="s">
        <v>150</v>
      </c>
      <c r="F1384" s="5" t="s">
        <v>424</v>
      </c>
      <c r="G1384" s="5" t="s">
        <v>148</v>
      </c>
      <c r="H1384" s="5" t="s">
        <v>137</v>
      </c>
      <c r="I1384" s="5" t="s">
        <v>4676</v>
      </c>
      <c r="J1384" s="5" t="s">
        <v>4679</v>
      </c>
    </row>
    <row r="1385" spans="1:10" ht="25.5" x14ac:dyDescent="0.2">
      <c r="A1385" s="5" t="s">
        <v>4678</v>
      </c>
      <c r="B1385" s="5" t="s">
        <v>83</v>
      </c>
      <c r="C1385" s="5"/>
      <c r="D1385" s="5" t="s">
        <v>4677</v>
      </c>
      <c r="E1385" s="5"/>
      <c r="F1385" s="5" t="s">
        <v>424</v>
      </c>
      <c r="G1385" s="5" t="s">
        <v>170</v>
      </c>
      <c r="H1385" s="5" t="s">
        <v>137</v>
      </c>
      <c r="I1385" s="5" t="s">
        <v>4676</v>
      </c>
      <c r="J1385" s="5" t="s">
        <v>4675</v>
      </c>
    </row>
    <row r="1386" spans="1:10" ht="25.5" x14ac:dyDescent="0.2">
      <c r="A1386" s="5" t="s">
        <v>4674</v>
      </c>
      <c r="B1386" s="5" t="s">
        <v>83</v>
      </c>
      <c r="C1386" s="5"/>
      <c r="D1386" s="5" t="s">
        <v>4673</v>
      </c>
      <c r="E1386" s="5"/>
      <c r="F1386" s="5" t="s">
        <v>424</v>
      </c>
      <c r="G1386" s="5" t="s">
        <v>170</v>
      </c>
      <c r="H1386" s="5" t="s">
        <v>137</v>
      </c>
      <c r="I1386" s="5" t="s">
        <v>4672</v>
      </c>
      <c r="J1386" s="5" t="s">
        <v>4671</v>
      </c>
    </row>
    <row r="1387" spans="1:10" ht="25.5" x14ac:dyDescent="0.2">
      <c r="A1387" s="5" t="s">
        <v>4670</v>
      </c>
      <c r="B1387" s="5" t="s">
        <v>83</v>
      </c>
      <c r="C1387" s="5"/>
      <c r="D1387" s="5" t="s">
        <v>4669</v>
      </c>
      <c r="E1387" s="5"/>
      <c r="F1387" s="5" t="s">
        <v>4655</v>
      </c>
      <c r="G1387" s="5" t="s">
        <v>382</v>
      </c>
      <c r="H1387" s="5" t="s">
        <v>3</v>
      </c>
      <c r="I1387" s="5"/>
      <c r="J1387" s="5" t="s">
        <v>4668</v>
      </c>
    </row>
    <row r="1388" spans="1:10" ht="25.5" x14ac:dyDescent="0.2">
      <c r="A1388" s="5" t="s">
        <v>4667</v>
      </c>
      <c r="B1388" s="5" t="s">
        <v>83</v>
      </c>
      <c r="C1388" s="5"/>
      <c r="D1388" s="5" t="s">
        <v>4666</v>
      </c>
      <c r="E1388" s="5"/>
      <c r="F1388" s="5" t="s">
        <v>4655</v>
      </c>
      <c r="G1388" s="5" t="s">
        <v>382</v>
      </c>
      <c r="H1388" s="5" t="s">
        <v>137</v>
      </c>
      <c r="I1388" s="5" t="s">
        <v>4662</v>
      </c>
      <c r="J1388" s="5" t="s">
        <v>4665</v>
      </c>
    </row>
    <row r="1389" spans="1:10" ht="25.5" x14ac:dyDescent="0.2">
      <c r="A1389" s="5" t="s">
        <v>4664</v>
      </c>
      <c r="B1389" s="5" t="s">
        <v>83</v>
      </c>
      <c r="C1389" s="5"/>
      <c r="D1389" s="5" t="s">
        <v>4663</v>
      </c>
      <c r="E1389" s="5" t="s">
        <v>150</v>
      </c>
      <c r="F1389" s="5" t="s">
        <v>4655</v>
      </c>
      <c r="G1389" s="5" t="s">
        <v>148</v>
      </c>
      <c r="H1389" s="5" t="s">
        <v>137</v>
      </c>
      <c r="I1389" s="5" t="s">
        <v>4662</v>
      </c>
      <c r="J1389" s="5" t="s">
        <v>4661</v>
      </c>
    </row>
    <row r="1390" spans="1:10" x14ac:dyDescent="0.2">
      <c r="A1390" s="5" t="s">
        <v>4660</v>
      </c>
      <c r="B1390" s="5" t="s">
        <v>83</v>
      </c>
      <c r="C1390" s="5"/>
      <c r="D1390" s="5" t="s">
        <v>4659</v>
      </c>
      <c r="E1390" s="5" t="s">
        <v>150</v>
      </c>
      <c r="F1390" s="5" t="s">
        <v>4655</v>
      </c>
      <c r="G1390" s="5" t="s">
        <v>148</v>
      </c>
      <c r="H1390" s="5" t="s">
        <v>3</v>
      </c>
      <c r="I1390" s="5"/>
      <c r="J1390" s="5" t="s">
        <v>4658</v>
      </c>
    </row>
    <row r="1391" spans="1:10" x14ac:dyDescent="0.2">
      <c r="A1391" s="5" t="s">
        <v>4657</v>
      </c>
      <c r="B1391" s="5" t="s">
        <v>83</v>
      </c>
      <c r="C1391" s="5"/>
      <c r="D1391" s="5" t="s">
        <v>4656</v>
      </c>
      <c r="E1391" s="5" t="s">
        <v>150</v>
      </c>
      <c r="F1391" s="5" t="s">
        <v>4655</v>
      </c>
      <c r="G1391" s="5" t="s">
        <v>148</v>
      </c>
      <c r="H1391" s="5" t="s">
        <v>3</v>
      </c>
      <c r="I1391" s="5"/>
      <c r="J1391" s="5" t="s">
        <v>4654</v>
      </c>
    </row>
    <row r="1392" spans="1:10" ht="25.5" x14ac:dyDescent="0.2">
      <c r="A1392" s="5" t="s">
        <v>4653</v>
      </c>
      <c r="B1392" s="5" t="s">
        <v>83</v>
      </c>
      <c r="C1392" s="5"/>
      <c r="D1392" s="5" t="s">
        <v>4652</v>
      </c>
      <c r="E1392" s="5" t="s">
        <v>150</v>
      </c>
      <c r="F1392" s="5" t="s">
        <v>424</v>
      </c>
      <c r="G1392" s="5" t="s">
        <v>148</v>
      </c>
      <c r="H1392" s="5" t="s">
        <v>137</v>
      </c>
      <c r="I1392" s="5" t="s">
        <v>4648</v>
      </c>
      <c r="J1392" s="5" t="s">
        <v>4651</v>
      </c>
    </row>
    <row r="1393" spans="1:10" ht="25.5" x14ac:dyDescent="0.2">
      <c r="A1393" s="5" t="s">
        <v>4650</v>
      </c>
      <c r="B1393" s="5" t="s">
        <v>83</v>
      </c>
      <c r="C1393" s="5"/>
      <c r="D1393" s="5" t="s">
        <v>4649</v>
      </c>
      <c r="E1393" s="5"/>
      <c r="F1393" s="5" t="s">
        <v>424</v>
      </c>
      <c r="G1393" s="5" t="s">
        <v>170</v>
      </c>
      <c r="H1393" s="5" t="s">
        <v>137</v>
      </c>
      <c r="I1393" s="5" t="s">
        <v>4648</v>
      </c>
      <c r="J1393" s="5" t="s">
        <v>4647</v>
      </c>
    </row>
    <row r="1394" spans="1:10" x14ac:dyDescent="0.2">
      <c r="A1394" s="5" t="s">
        <v>4646</v>
      </c>
      <c r="B1394" s="5" t="s">
        <v>83</v>
      </c>
      <c r="C1394" s="5"/>
      <c r="D1394" s="5" t="s">
        <v>4645</v>
      </c>
      <c r="E1394" s="5"/>
      <c r="F1394" s="5" t="s">
        <v>4631</v>
      </c>
      <c r="G1394" s="5" t="s">
        <v>382</v>
      </c>
      <c r="H1394" s="5" t="s">
        <v>3</v>
      </c>
      <c r="I1394" s="5"/>
      <c r="J1394" s="5" t="s">
        <v>4644</v>
      </c>
    </row>
    <row r="1395" spans="1:10" x14ac:dyDescent="0.2">
      <c r="A1395" s="5" t="s">
        <v>4643</v>
      </c>
      <c r="B1395" s="5" t="s">
        <v>83</v>
      </c>
      <c r="C1395" s="5"/>
      <c r="D1395" s="5" t="s">
        <v>4642</v>
      </c>
      <c r="E1395" s="5"/>
      <c r="F1395" s="5" t="s">
        <v>4631</v>
      </c>
      <c r="G1395" s="5" t="s">
        <v>382</v>
      </c>
      <c r="H1395" s="5" t="s">
        <v>137</v>
      </c>
      <c r="I1395" s="5" t="s">
        <v>4638</v>
      </c>
      <c r="J1395" s="5" t="s">
        <v>4641</v>
      </c>
    </row>
    <row r="1396" spans="1:10" x14ac:dyDescent="0.2">
      <c r="A1396" s="5" t="s">
        <v>4640</v>
      </c>
      <c r="B1396" s="5" t="s">
        <v>83</v>
      </c>
      <c r="C1396" s="5"/>
      <c r="D1396" s="5" t="s">
        <v>4639</v>
      </c>
      <c r="E1396" s="5" t="s">
        <v>150</v>
      </c>
      <c r="F1396" s="5" t="s">
        <v>4631</v>
      </c>
      <c r="G1396" s="5" t="s">
        <v>148</v>
      </c>
      <c r="H1396" s="5" t="s">
        <v>137</v>
      </c>
      <c r="I1396" s="5" t="s">
        <v>4638</v>
      </c>
      <c r="J1396" s="5" t="s">
        <v>4637</v>
      </c>
    </row>
    <row r="1397" spans="1:10" x14ac:dyDescent="0.2">
      <c r="A1397" s="5" t="s">
        <v>4636</v>
      </c>
      <c r="B1397" s="5" t="s">
        <v>83</v>
      </c>
      <c r="C1397" s="5"/>
      <c r="D1397" s="5" t="s">
        <v>4635</v>
      </c>
      <c r="E1397" s="5" t="s">
        <v>150</v>
      </c>
      <c r="F1397" s="5" t="s">
        <v>4631</v>
      </c>
      <c r="G1397" s="5" t="s">
        <v>148</v>
      </c>
      <c r="H1397" s="5" t="s">
        <v>3</v>
      </c>
      <c r="I1397" s="5"/>
      <c r="J1397" s="5" t="s">
        <v>4634</v>
      </c>
    </row>
    <row r="1398" spans="1:10" x14ac:dyDescent="0.2">
      <c r="A1398" s="5" t="s">
        <v>4633</v>
      </c>
      <c r="B1398" s="5" t="s">
        <v>83</v>
      </c>
      <c r="C1398" s="5"/>
      <c r="D1398" s="5" t="s">
        <v>4632</v>
      </c>
      <c r="E1398" s="5" t="s">
        <v>150</v>
      </c>
      <c r="F1398" s="5" t="s">
        <v>4631</v>
      </c>
      <c r="G1398" s="5" t="s">
        <v>148</v>
      </c>
      <c r="H1398" s="5" t="s">
        <v>3</v>
      </c>
      <c r="I1398" s="5"/>
      <c r="J1398" s="5" t="s">
        <v>4630</v>
      </c>
    </row>
    <row r="1399" spans="1:10" ht="25.5" x14ac:dyDescent="0.2">
      <c r="A1399" s="5" t="s">
        <v>4629</v>
      </c>
      <c r="B1399" s="5" t="s">
        <v>83</v>
      </c>
      <c r="C1399" s="5"/>
      <c r="D1399" s="5" t="s">
        <v>4628</v>
      </c>
      <c r="E1399" s="5" t="s">
        <v>150</v>
      </c>
      <c r="F1399" s="5" t="s">
        <v>424</v>
      </c>
      <c r="G1399" s="5" t="s">
        <v>148</v>
      </c>
      <c r="H1399" s="5" t="s">
        <v>137</v>
      </c>
      <c r="I1399" s="5" t="s">
        <v>4624</v>
      </c>
      <c r="J1399" s="5" t="s">
        <v>4627</v>
      </c>
    </row>
    <row r="1400" spans="1:10" ht="25.5" x14ac:dyDescent="0.2">
      <c r="A1400" s="5" t="s">
        <v>4626</v>
      </c>
      <c r="B1400" s="5" t="s">
        <v>83</v>
      </c>
      <c r="C1400" s="5"/>
      <c r="D1400" s="5" t="s">
        <v>4625</v>
      </c>
      <c r="E1400" s="5"/>
      <c r="F1400" s="5" t="s">
        <v>424</v>
      </c>
      <c r="G1400" s="5" t="s">
        <v>170</v>
      </c>
      <c r="H1400" s="5" t="s">
        <v>137</v>
      </c>
      <c r="I1400" s="5" t="s">
        <v>4624</v>
      </c>
      <c r="J1400" s="5" t="s">
        <v>4623</v>
      </c>
    </row>
    <row r="1401" spans="1:10" ht="38.25" x14ac:dyDescent="0.2">
      <c r="A1401" s="5" t="s">
        <v>4622</v>
      </c>
      <c r="B1401" s="5" t="s">
        <v>83</v>
      </c>
      <c r="C1401" s="5"/>
      <c r="D1401" s="5" t="s">
        <v>4621</v>
      </c>
      <c r="E1401" s="5"/>
      <c r="F1401" s="5" t="s">
        <v>4585</v>
      </c>
      <c r="G1401" s="5" t="s">
        <v>896</v>
      </c>
      <c r="H1401" s="5" t="s">
        <v>137</v>
      </c>
      <c r="I1401" s="5" t="s">
        <v>408</v>
      </c>
      <c r="J1401" s="5" t="s">
        <v>4620</v>
      </c>
    </row>
    <row r="1402" spans="1:10" ht="25.5" x14ac:dyDescent="0.2">
      <c r="A1402" s="5" t="s">
        <v>4619</v>
      </c>
      <c r="B1402" s="5" t="s">
        <v>83</v>
      </c>
      <c r="C1402" s="5"/>
      <c r="D1402" s="5" t="s">
        <v>4618</v>
      </c>
      <c r="E1402" s="5"/>
      <c r="F1402" s="5" t="s">
        <v>4585</v>
      </c>
      <c r="G1402" s="5" t="s">
        <v>114</v>
      </c>
      <c r="H1402" s="5" t="s">
        <v>137</v>
      </c>
      <c r="I1402" s="5" t="s">
        <v>408</v>
      </c>
      <c r="J1402" s="5" t="s">
        <v>4617</v>
      </c>
    </row>
    <row r="1403" spans="1:10" ht="25.5" x14ac:dyDescent="0.2">
      <c r="A1403" s="5" t="s">
        <v>4616</v>
      </c>
      <c r="B1403" s="5" t="s">
        <v>83</v>
      </c>
      <c r="C1403" s="5"/>
      <c r="D1403" s="5" t="s">
        <v>4615</v>
      </c>
      <c r="E1403" s="5"/>
      <c r="F1403" s="5" t="s">
        <v>4585</v>
      </c>
      <c r="G1403" s="5" t="s">
        <v>224</v>
      </c>
      <c r="H1403" s="5" t="s">
        <v>137</v>
      </c>
      <c r="I1403" s="5" t="s">
        <v>408</v>
      </c>
      <c r="J1403" s="5" t="s">
        <v>4614</v>
      </c>
    </row>
    <row r="1404" spans="1:10" ht="38.25" x14ac:dyDescent="0.2">
      <c r="A1404" s="5" t="s">
        <v>4613</v>
      </c>
      <c r="B1404" s="5" t="s">
        <v>83</v>
      </c>
      <c r="C1404" s="5"/>
      <c r="D1404" s="5" t="s">
        <v>4612</v>
      </c>
      <c r="E1404" s="5"/>
      <c r="F1404" s="5" t="s">
        <v>4585</v>
      </c>
      <c r="G1404" s="5" t="s">
        <v>2308</v>
      </c>
      <c r="H1404" s="5" t="s">
        <v>137</v>
      </c>
      <c r="I1404" s="5" t="s">
        <v>408</v>
      </c>
      <c r="J1404" s="5" t="s">
        <v>4611</v>
      </c>
    </row>
    <row r="1405" spans="1:10" ht="25.5" x14ac:dyDescent="0.2">
      <c r="A1405" s="5" t="s">
        <v>4610</v>
      </c>
      <c r="B1405" s="5" t="s">
        <v>83</v>
      </c>
      <c r="C1405" s="5"/>
      <c r="D1405" s="5" t="s">
        <v>4609</v>
      </c>
      <c r="E1405" s="5" t="s">
        <v>3057</v>
      </c>
      <c r="F1405" s="5" t="s">
        <v>4585</v>
      </c>
      <c r="G1405" s="5" t="s">
        <v>91</v>
      </c>
      <c r="H1405" s="5" t="s">
        <v>137</v>
      </c>
      <c r="I1405" s="5" t="s">
        <v>408</v>
      </c>
      <c r="J1405" s="5" t="s">
        <v>4608</v>
      </c>
    </row>
    <row r="1406" spans="1:10" ht="25.5" x14ac:dyDescent="0.2">
      <c r="A1406" s="5" t="s">
        <v>4607</v>
      </c>
      <c r="B1406" s="5" t="s">
        <v>83</v>
      </c>
      <c r="C1406" s="5"/>
      <c r="D1406" s="5" t="s">
        <v>4606</v>
      </c>
      <c r="E1406" s="5"/>
      <c r="F1406" s="5" t="s">
        <v>4585</v>
      </c>
      <c r="G1406" s="5" t="s">
        <v>181</v>
      </c>
      <c r="H1406" s="5" t="s">
        <v>137</v>
      </c>
      <c r="I1406" s="5" t="s">
        <v>408</v>
      </c>
      <c r="J1406" s="5" t="s">
        <v>4605</v>
      </c>
    </row>
    <row r="1407" spans="1:10" ht="38.25" x14ac:dyDescent="0.2">
      <c r="A1407" s="5" t="s">
        <v>4604</v>
      </c>
      <c r="B1407" s="5" t="s">
        <v>83</v>
      </c>
      <c r="C1407" s="5"/>
      <c r="D1407" s="5" t="s">
        <v>4603</v>
      </c>
      <c r="E1407" s="5"/>
      <c r="F1407" s="5" t="s">
        <v>4585</v>
      </c>
      <c r="G1407" s="5" t="s">
        <v>170</v>
      </c>
      <c r="H1407" s="5" t="s">
        <v>137</v>
      </c>
      <c r="I1407" s="5" t="s">
        <v>408</v>
      </c>
      <c r="J1407" s="5" t="s">
        <v>4602</v>
      </c>
    </row>
    <row r="1408" spans="1:10" ht="25.5" x14ac:dyDescent="0.2">
      <c r="A1408" s="5" t="s">
        <v>4601</v>
      </c>
      <c r="B1408" s="5" t="s">
        <v>83</v>
      </c>
      <c r="C1408" s="5"/>
      <c r="D1408" s="5" t="s">
        <v>4600</v>
      </c>
      <c r="E1408" s="5"/>
      <c r="F1408" s="5" t="s">
        <v>4585</v>
      </c>
      <c r="G1408" s="5" t="s">
        <v>80</v>
      </c>
      <c r="H1408" s="5" t="s">
        <v>137</v>
      </c>
      <c r="I1408" s="5" t="s">
        <v>408</v>
      </c>
      <c r="J1408" s="5" t="s">
        <v>4599</v>
      </c>
    </row>
    <row r="1409" spans="1:10" ht="25.5" x14ac:dyDescent="0.2">
      <c r="A1409" s="5" t="s">
        <v>4598</v>
      </c>
      <c r="B1409" s="5" t="s">
        <v>83</v>
      </c>
      <c r="C1409" s="5"/>
      <c r="D1409" s="5" t="s">
        <v>4597</v>
      </c>
      <c r="E1409" s="5"/>
      <c r="F1409" s="5" t="s">
        <v>4585</v>
      </c>
      <c r="G1409" s="5" t="s">
        <v>502</v>
      </c>
      <c r="H1409" s="5" t="s">
        <v>137</v>
      </c>
      <c r="I1409" s="5" t="s">
        <v>408</v>
      </c>
      <c r="J1409" s="5" t="s">
        <v>4596</v>
      </c>
    </row>
    <row r="1410" spans="1:10" ht="38.25" x14ac:dyDescent="0.2">
      <c r="A1410" s="5" t="s">
        <v>4595</v>
      </c>
      <c r="B1410" s="5" t="s">
        <v>83</v>
      </c>
      <c r="C1410" s="5"/>
      <c r="D1410" s="5" t="s">
        <v>4593</v>
      </c>
      <c r="E1410" s="5" t="s">
        <v>150</v>
      </c>
      <c r="F1410" s="5" t="s">
        <v>4589</v>
      </c>
      <c r="G1410" s="5" t="s">
        <v>148</v>
      </c>
      <c r="H1410" s="5" t="s">
        <v>3</v>
      </c>
      <c r="I1410" s="5"/>
      <c r="J1410" s="5" t="s">
        <v>4592</v>
      </c>
    </row>
    <row r="1411" spans="1:10" ht="38.25" x14ac:dyDescent="0.2">
      <c r="A1411" s="5" t="s">
        <v>4594</v>
      </c>
      <c r="B1411" s="5" t="s">
        <v>83</v>
      </c>
      <c r="C1411" s="5"/>
      <c r="D1411" s="5" t="s">
        <v>4593</v>
      </c>
      <c r="E1411" s="5"/>
      <c r="F1411" s="5" t="s">
        <v>4589</v>
      </c>
      <c r="G1411" s="5" t="s">
        <v>207</v>
      </c>
      <c r="H1411" s="5" t="s">
        <v>3</v>
      </c>
      <c r="I1411" s="5"/>
      <c r="J1411" s="5" t="s">
        <v>4592</v>
      </c>
    </row>
    <row r="1412" spans="1:10" ht="38.25" x14ac:dyDescent="0.2">
      <c r="A1412" s="5" t="s">
        <v>4591</v>
      </c>
      <c r="B1412" s="5" t="s">
        <v>83</v>
      </c>
      <c r="C1412" s="5"/>
      <c r="D1412" s="5" t="s">
        <v>4590</v>
      </c>
      <c r="E1412" s="5" t="s">
        <v>665</v>
      </c>
      <c r="F1412" s="5" t="s">
        <v>4589</v>
      </c>
      <c r="G1412" s="5" t="s">
        <v>148</v>
      </c>
      <c r="H1412" s="5" t="s">
        <v>3</v>
      </c>
      <c r="I1412" s="5"/>
      <c r="J1412" s="5" t="s">
        <v>4588</v>
      </c>
    </row>
    <row r="1413" spans="1:10" ht="25.5" x14ac:dyDescent="0.2">
      <c r="A1413" s="5" t="s">
        <v>4587</v>
      </c>
      <c r="B1413" s="5" t="s">
        <v>83</v>
      </c>
      <c r="C1413" s="5"/>
      <c r="D1413" s="5" t="s">
        <v>4586</v>
      </c>
      <c r="E1413" s="5" t="s">
        <v>150</v>
      </c>
      <c r="F1413" s="5" t="s">
        <v>4585</v>
      </c>
      <c r="G1413" s="5" t="s">
        <v>148</v>
      </c>
      <c r="H1413" s="5" t="s">
        <v>137</v>
      </c>
      <c r="I1413" s="5" t="s">
        <v>408</v>
      </c>
      <c r="J1413" s="5" t="s">
        <v>4584</v>
      </c>
    </row>
    <row r="1414" spans="1:10" ht="25.5" x14ac:dyDescent="0.2">
      <c r="A1414" s="5" t="s">
        <v>4583</v>
      </c>
      <c r="B1414" s="5" t="s">
        <v>83</v>
      </c>
      <c r="C1414" s="5"/>
      <c r="D1414" s="5" t="s">
        <v>4582</v>
      </c>
      <c r="E1414" s="5"/>
      <c r="F1414" s="5" t="s">
        <v>4581</v>
      </c>
      <c r="G1414" s="5" t="s">
        <v>114</v>
      </c>
      <c r="H1414" s="5" t="s">
        <v>137</v>
      </c>
      <c r="I1414" s="5"/>
      <c r="J1414" s="5" t="s">
        <v>4580</v>
      </c>
    </row>
    <row r="1415" spans="1:10" x14ac:dyDescent="0.2">
      <c r="A1415" s="5" t="s">
        <v>4579</v>
      </c>
      <c r="B1415" s="5" t="s">
        <v>83</v>
      </c>
      <c r="C1415" s="5"/>
      <c r="D1415" s="5" t="s">
        <v>4578</v>
      </c>
      <c r="E1415" s="5"/>
      <c r="F1415" s="5" t="s">
        <v>4575</v>
      </c>
      <c r="G1415" s="5" t="s">
        <v>118</v>
      </c>
      <c r="H1415" s="5" t="s">
        <v>3</v>
      </c>
      <c r="I1415" s="5"/>
      <c r="J1415" s="5"/>
    </row>
    <row r="1416" spans="1:10" x14ac:dyDescent="0.2">
      <c r="A1416" s="5" t="s">
        <v>4577</v>
      </c>
      <c r="B1416" s="5" t="s">
        <v>83</v>
      </c>
      <c r="C1416" s="5"/>
      <c r="D1416" s="5" t="s">
        <v>4576</v>
      </c>
      <c r="E1416" s="5"/>
      <c r="F1416" s="5" t="s">
        <v>4575</v>
      </c>
      <c r="G1416" s="5" t="s">
        <v>315</v>
      </c>
      <c r="H1416" s="5" t="s">
        <v>3</v>
      </c>
      <c r="I1416" s="5"/>
      <c r="J1416" s="5"/>
    </row>
    <row r="1417" spans="1:10" ht="25.5" x14ac:dyDescent="0.2">
      <c r="A1417" s="5" t="s">
        <v>4574</v>
      </c>
      <c r="B1417" s="5" t="s">
        <v>83</v>
      </c>
      <c r="C1417" s="5"/>
      <c r="D1417" s="5" t="s">
        <v>4573</v>
      </c>
      <c r="E1417" s="5"/>
      <c r="F1417" s="5" t="s">
        <v>4569</v>
      </c>
      <c r="G1417" s="5" t="s">
        <v>173</v>
      </c>
      <c r="H1417" s="5" t="s">
        <v>3</v>
      </c>
      <c r="I1417" s="5"/>
      <c r="J1417" s="5" t="s">
        <v>4572</v>
      </c>
    </row>
    <row r="1418" spans="1:10" x14ac:dyDescent="0.2">
      <c r="A1418" s="5" t="s">
        <v>4571</v>
      </c>
      <c r="B1418" s="5" t="s">
        <v>83</v>
      </c>
      <c r="C1418" s="5"/>
      <c r="D1418" s="5" t="s">
        <v>4570</v>
      </c>
      <c r="E1418" s="5" t="s">
        <v>150</v>
      </c>
      <c r="F1418" s="5" t="s">
        <v>4569</v>
      </c>
      <c r="G1418" s="5" t="s">
        <v>148</v>
      </c>
      <c r="H1418" s="5" t="s">
        <v>3</v>
      </c>
      <c r="I1418" s="5"/>
      <c r="J1418" s="5" t="s">
        <v>4568</v>
      </c>
    </row>
    <row r="1419" spans="1:10" ht="25.5" x14ac:dyDescent="0.2">
      <c r="A1419" s="5" t="s">
        <v>4567</v>
      </c>
      <c r="B1419" s="5" t="s">
        <v>83</v>
      </c>
      <c r="C1419" s="5"/>
      <c r="D1419" s="5" t="s">
        <v>4566</v>
      </c>
      <c r="E1419" s="5"/>
      <c r="F1419" s="5" t="s">
        <v>4552</v>
      </c>
      <c r="G1419" s="5" t="s">
        <v>382</v>
      </c>
      <c r="H1419" s="5" t="s">
        <v>3</v>
      </c>
      <c r="I1419" s="5"/>
      <c r="J1419" s="5" t="s">
        <v>4565</v>
      </c>
    </row>
    <row r="1420" spans="1:10" ht="25.5" x14ac:dyDescent="0.2">
      <c r="A1420" s="5" t="s">
        <v>4564</v>
      </c>
      <c r="B1420" s="5" t="s">
        <v>83</v>
      </c>
      <c r="C1420" s="5"/>
      <c r="D1420" s="5" t="s">
        <v>4563</v>
      </c>
      <c r="E1420" s="5"/>
      <c r="F1420" s="5" t="s">
        <v>4552</v>
      </c>
      <c r="G1420" s="5" t="s">
        <v>382</v>
      </c>
      <c r="H1420" s="5" t="s">
        <v>137</v>
      </c>
      <c r="I1420" s="5" t="s">
        <v>4559</v>
      </c>
      <c r="J1420" s="5" t="s">
        <v>4562</v>
      </c>
    </row>
    <row r="1421" spans="1:10" ht="25.5" x14ac:dyDescent="0.2">
      <c r="A1421" s="5" t="s">
        <v>4561</v>
      </c>
      <c r="B1421" s="5" t="s">
        <v>83</v>
      </c>
      <c r="C1421" s="5"/>
      <c r="D1421" s="5" t="s">
        <v>4560</v>
      </c>
      <c r="E1421" s="5" t="s">
        <v>150</v>
      </c>
      <c r="F1421" s="5" t="s">
        <v>4552</v>
      </c>
      <c r="G1421" s="5" t="s">
        <v>148</v>
      </c>
      <c r="H1421" s="5" t="s">
        <v>137</v>
      </c>
      <c r="I1421" s="5" t="s">
        <v>4559</v>
      </c>
      <c r="J1421" s="5" t="s">
        <v>4558</v>
      </c>
    </row>
    <row r="1422" spans="1:10" x14ac:dyDescent="0.2">
      <c r="A1422" s="5" t="s">
        <v>4557</v>
      </c>
      <c r="B1422" s="5" t="s">
        <v>83</v>
      </c>
      <c r="C1422" s="5"/>
      <c r="D1422" s="5" t="s">
        <v>4556</v>
      </c>
      <c r="E1422" s="5" t="s">
        <v>150</v>
      </c>
      <c r="F1422" s="5" t="s">
        <v>4552</v>
      </c>
      <c r="G1422" s="5" t="s">
        <v>148</v>
      </c>
      <c r="H1422" s="5" t="s">
        <v>3</v>
      </c>
      <c r="I1422" s="5"/>
      <c r="J1422" s="5" t="s">
        <v>4555</v>
      </c>
    </row>
    <row r="1423" spans="1:10" x14ac:dyDescent="0.2">
      <c r="A1423" s="5" t="s">
        <v>4554</v>
      </c>
      <c r="B1423" s="5" t="s">
        <v>83</v>
      </c>
      <c r="C1423" s="5"/>
      <c r="D1423" s="5" t="s">
        <v>4553</v>
      </c>
      <c r="E1423" s="5" t="s">
        <v>150</v>
      </c>
      <c r="F1423" s="5" t="s">
        <v>4552</v>
      </c>
      <c r="G1423" s="5" t="s">
        <v>148</v>
      </c>
      <c r="H1423" s="5" t="s">
        <v>3</v>
      </c>
      <c r="I1423" s="5"/>
      <c r="J1423" s="5" t="s">
        <v>4551</v>
      </c>
    </row>
    <row r="1424" spans="1:10" ht="25.5" x14ac:dyDescent="0.2">
      <c r="A1424" s="5" t="s">
        <v>4550</v>
      </c>
      <c r="B1424" s="5" t="s">
        <v>83</v>
      </c>
      <c r="C1424" s="5"/>
      <c r="D1424" s="5" t="s">
        <v>4549</v>
      </c>
      <c r="E1424" s="5" t="s">
        <v>150</v>
      </c>
      <c r="F1424" s="5" t="s">
        <v>424</v>
      </c>
      <c r="G1424" s="5" t="s">
        <v>148</v>
      </c>
      <c r="H1424" s="5" t="s">
        <v>137</v>
      </c>
      <c r="I1424" s="5" t="s">
        <v>4545</v>
      </c>
      <c r="J1424" s="5" t="s">
        <v>4548</v>
      </c>
    </row>
    <row r="1425" spans="1:10" ht="25.5" x14ac:dyDescent="0.2">
      <c r="A1425" s="5" t="s">
        <v>4547</v>
      </c>
      <c r="B1425" s="5" t="s">
        <v>83</v>
      </c>
      <c r="C1425" s="5"/>
      <c r="D1425" s="5" t="s">
        <v>4546</v>
      </c>
      <c r="E1425" s="5"/>
      <c r="F1425" s="5" t="s">
        <v>424</v>
      </c>
      <c r="G1425" s="5" t="s">
        <v>170</v>
      </c>
      <c r="H1425" s="5" t="s">
        <v>137</v>
      </c>
      <c r="I1425" s="5" t="s">
        <v>4545</v>
      </c>
      <c r="J1425" s="5" t="s">
        <v>4544</v>
      </c>
    </row>
    <row r="1426" spans="1:10" ht="25.5" x14ac:dyDescent="0.2">
      <c r="A1426" s="5" t="s">
        <v>4543</v>
      </c>
      <c r="B1426" s="5" t="s">
        <v>83</v>
      </c>
      <c r="C1426" s="5"/>
      <c r="D1426" s="5" t="s">
        <v>4542</v>
      </c>
      <c r="E1426" s="5"/>
      <c r="F1426" s="5" t="s">
        <v>4528</v>
      </c>
      <c r="G1426" s="5" t="s">
        <v>382</v>
      </c>
      <c r="H1426" s="5" t="s">
        <v>3</v>
      </c>
      <c r="I1426" s="5"/>
      <c r="J1426" s="5" t="s">
        <v>4541</v>
      </c>
    </row>
    <row r="1427" spans="1:10" ht="25.5" x14ac:dyDescent="0.2">
      <c r="A1427" s="5" t="s">
        <v>4540</v>
      </c>
      <c r="B1427" s="5" t="s">
        <v>83</v>
      </c>
      <c r="C1427" s="5"/>
      <c r="D1427" s="5" t="s">
        <v>4539</v>
      </c>
      <c r="E1427" s="5"/>
      <c r="F1427" s="5" t="s">
        <v>4528</v>
      </c>
      <c r="G1427" s="5" t="s">
        <v>382</v>
      </c>
      <c r="H1427" s="5" t="s">
        <v>137</v>
      </c>
      <c r="I1427" s="5" t="s">
        <v>4535</v>
      </c>
      <c r="J1427" s="5" t="s">
        <v>4538</v>
      </c>
    </row>
    <row r="1428" spans="1:10" ht="25.5" x14ac:dyDescent="0.2">
      <c r="A1428" s="5" t="s">
        <v>4537</v>
      </c>
      <c r="B1428" s="5" t="s">
        <v>83</v>
      </c>
      <c r="C1428" s="5"/>
      <c r="D1428" s="5" t="s">
        <v>4536</v>
      </c>
      <c r="E1428" s="5" t="s">
        <v>150</v>
      </c>
      <c r="F1428" s="5" t="s">
        <v>4528</v>
      </c>
      <c r="G1428" s="5" t="s">
        <v>148</v>
      </c>
      <c r="H1428" s="5" t="s">
        <v>137</v>
      </c>
      <c r="I1428" s="5" t="s">
        <v>4535</v>
      </c>
      <c r="J1428" s="5" t="s">
        <v>4534</v>
      </c>
    </row>
    <row r="1429" spans="1:10" x14ac:dyDescent="0.2">
      <c r="A1429" s="5" t="s">
        <v>4533</v>
      </c>
      <c r="B1429" s="5" t="s">
        <v>83</v>
      </c>
      <c r="C1429" s="5"/>
      <c r="D1429" s="5" t="s">
        <v>4532</v>
      </c>
      <c r="E1429" s="5" t="s">
        <v>150</v>
      </c>
      <c r="F1429" s="5" t="s">
        <v>4528</v>
      </c>
      <c r="G1429" s="5" t="s">
        <v>148</v>
      </c>
      <c r="H1429" s="5" t="s">
        <v>3</v>
      </c>
      <c r="I1429" s="5"/>
      <c r="J1429" s="5" t="s">
        <v>4531</v>
      </c>
    </row>
    <row r="1430" spans="1:10" x14ac:dyDescent="0.2">
      <c r="A1430" s="5" t="s">
        <v>4530</v>
      </c>
      <c r="B1430" s="5" t="s">
        <v>83</v>
      </c>
      <c r="C1430" s="5"/>
      <c r="D1430" s="5" t="s">
        <v>4529</v>
      </c>
      <c r="E1430" s="5" t="s">
        <v>150</v>
      </c>
      <c r="F1430" s="5" t="s">
        <v>4528</v>
      </c>
      <c r="G1430" s="5" t="s">
        <v>148</v>
      </c>
      <c r="H1430" s="5" t="s">
        <v>3</v>
      </c>
      <c r="I1430" s="5"/>
      <c r="J1430" s="5" t="s">
        <v>4527</v>
      </c>
    </row>
    <row r="1431" spans="1:10" ht="25.5" x14ac:dyDescent="0.2">
      <c r="A1431" s="5" t="s">
        <v>4526</v>
      </c>
      <c r="B1431" s="5" t="s">
        <v>83</v>
      </c>
      <c r="C1431" s="5"/>
      <c r="D1431" s="5" t="s">
        <v>4525</v>
      </c>
      <c r="E1431" s="5" t="s">
        <v>150</v>
      </c>
      <c r="F1431" s="5" t="s">
        <v>424</v>
      </c>
      <c r="G1431" s="5" t="s">
        <v>148</v>
      </c>
      <c r="H1431" s="5" t="s">
        <v>137</v>
      </c>
      <c r="I1431" s="5" t="s">
        <v>4521</v>
      </c>
      <c r="J1431" s="5" t="s">
        <v>4524</v>
      </c>
    </row>
    <row r="1432" spans="1:10" ht="25.5" x14ac:dyDescent="0.2">
      <c r="A1432" s="5" t="s">
        <v>4523</v>
      </c>
      <c r="B1432" s="5" t="s">
        <v>83</v>
      </c>
      <c r="C1432" s="5"/>
      <c r="D1432" s="5" t="s">
        <v>4522</v>
      </c>
      <c r="E1432" s="5"/>
      <c r="F1432" s="5" t="s">
        <v>424</v>
      </c>
      <c r="G1432" s="5" t="s">
        <v>170</v>
      </c>
      <c r="H1432" s="5" t="s">
        <v>137</v>
      </c>
      <c r="I1432" s="5" t="s">
        <v>4521</v>
      </c>
      <c r="J1432" s="5" t="s">
        <v>4520</v>
      </c>
    </row>
    <row r="1433" spans="1:10" ht="25.5" x14ac:dyDescent="0.2">
      <c r="A1433" s="5" t="s">
        <v>4519</v>
      </c>
      <c r="B1433" s="5" t="s">
        <v>83</v>
      </c>
      <c r="C1433" s="5"/>
      <c r="D1433" s="5" t="s">
        <v>4518</v>
      </c>
      <c r="E1433" s="5"/>
      <c r="F1433" s="5" t="s">
        <v>4504</v>
      </c>
      <c r="G1433" s="5" t="s">
        <v>382</v>
      </c>
      <c r="H1433" s="5" t="s">
        <v>3</v>
      </c>
      <c r="I1433" s="5"/>
      <c r="J1433" s="5" t="s">
        <v>4517</v>
      </c>
    </row>
    <row r="1434" spans="1:10" ht="25.5" x14ac:dyDescent="0.2">
      <c r="A1434" s="5" t="s">
        <v>4516</v>
      </c>
      <c r="B1434" s="5" t="s">
        <v>83</v>
      </c>
      <c r="C1434" s="5"/>
      <c r="D1434" s="5" t="s">
        <v>4515</v>
      </c>
      <c r="E1434" s="5"/>
      <c r="F1434" s="5" t="s">
        <v>4504</v>
      </c>
      <c r="G1434" s="5" t="s">
        <v>382</v>
      </c>
      <c r="H1434" s="5" t="s">
        <v>137</v>
      </c>
      <c r="I1434" s="5" t="s">
        <v>4511</v>
      </c>
      <c r="J1434" s="5" t="s">
        <v>4514</v>
      </c>
    </row>
    <row r="1435" spans="1:10" ht="25.5" x14ac:dyDescent="0.2">
      <c r="A1435" s="5" t="s">
        <v>4513</v>
      </c>
      <c r="B1435" s="5" t="s">
        <v>83</v>
      </c>
      <c r="C1435" s="5"/>
      <c r="D1435" s="5" t="s">
        <v>4512</v>
      </c>
      <c r="E1435" s="5" t="s">
        <v>150</v>
      </c>
      <c r="F1435" s="5" t="s">
        <v>4504</v>
      </c>
      <c r="G1435" s="5" t="s">
        <v>148</v>
      </c>
      <c r="H1435" s="5" t="s">
        <v>137</v>
      </c>
      <c r="I1435" s="5" t="s">
        <v>4511</v>
      </c>
      <c r="J1435" s="5" t="s">
        <v>4510</v>
      </c>
    </row>
    <row r="1436" spans="1:10" x14ac:dyDescent="0.2">
      <c r="A1436" s="5" t="s">
        <v>4509</v>
      </c>
      <c r="B1436" s="5" t="s">
        <v>83</v>
      </c>
      <c r="C1436" s="5"/>
      <c r="D1436" s="5" t="s">
        <v>4508</v>
      </c>
      <c r="E1436" s="5" t="s">
        <v>150</v>
      </c>
      <c r="F1436" s="5" t="s">
        <v>4504</v>
      </c>
      <c r="G1436" s="5" t="s">
        <v>148</v>
      </c>
      <c r="H1436" s="5" t="s">
        <v>3</v>
      </c>
      <c r="I1436" s="5"/>
      <c r="J1436" s="5" t="s">
        <v>4507</v>
      </c>
    </row>
    <row r="1437" spans="1:10" x14ac:dyDescent="0.2">
      <c r="A1437" s="5" t="s">
        <v>4506</v>
      </c>
      <c r="B1437" s="5" t="s">
        <v>83</v>
      </c>
      <c r="C1437" s="5"/>
      <c r="D1437" s="5" t="s">
        <v>4505</v>
      </c>
      <c r="E1437" s="5" t="s">
        <v>150</v>
      </c>
      <c r="F1437" s="5" t="s">
        <v>4504</v>
      </c>
      <c r="G1437" s="5" t="s">
        <v>148</v>
      </c>
      <c r="H1437" s="5" t="s">
        <v>3</v>
      </c>
      <c r="I1437" s="5"/>
      <c r="J1437" s="5" t="s">
        <v>4503</v>
      </c>
    </row>
    <row r="1438" spans="1:10" ht="25.5" x14ac:dyDescent="0.2">
      <c r="A1438" s="5" t="s">
        <v>4502</v>
      </c>
      <c r="B1438" s="5" t="s">
        <v>83</v>
      </c>
      <c r="C1438" s="5"/>
      <c r="D1438" s="5" t="s">
        <v>4501</v>
      </c>
      <c r="E1438" s="5" t="s">
        <v>150</v>
      </c>
      <c r="F1438" s="5" t="s">
        <v>424</v>
      </c>
      <c r="G1438" s="5" t="s">
        <v>148</v>
      </c>
      <c r="H1438" s="5" t="s">
        <v>137</v>
      </c>
      <c r="I1438" s="5" t="s">
        <v>4473</v>
      </c>
      <c r="J1438" s="5" t="s">
        <v>4500</v>
      </c>
    </row>
    <row r="1439" spans="1:10" ht="25.5" x14ac:dyDescent="0.2">
      <c r="A1439" s="5" t="s">
        <v>4499</v>
      </c>
      <c r="B1439" s="5" t="s">
        <v>83</v>
      </c>
      <c r="C1439" s="5"/>
      <c r="D1439" s="5" t="s">
        <v>4498</v>
      </c>
      <c r="E1439" s="5"/>
      <c r="F1439" s="5" t="s">
        <v>4484</v>
      </c>
      <c r="G1439" s="5" t="s">
        <v>382</v>
      </c>
      <c r="H1439" s="5" t="s">
        <v>3</v>
      </c>
      <c r="I1439" s="5"/>
      <c r="J1439" s="5" t="s">
        <v>4497</v>
      </c>
    </row>
    <row r="1440" spans="1:10" ht="25.5" x14ac:dyDescent="0.2">
      <c r="A1440" s="5" t="s">
        <v>4496</v>
      </c>
      <c r="B1440" s="5" t="s">
        <v>83</v>
      </c>
      <c r="C1440" s="5"/>
      <c r="D1440" s="5" t="s">
        <v>4495</v>
      </c>
      <c r="E1440" s="5"/>
      <c r="F1440" s="5" t="s">
        <v>4484</v>
      </c>
      <c r="G1440" s="5" t="s">
        <v>382</v>
      </c>
      <c r="H1440" s="5" t="s">
        <v>137</v>
      </c>
      <c r="I1440" s="5" t="s">
        <v>4491</v>
      </c>
      <c r="J1440" s="5" t="s">
        <v>4494</v>
      </c>
    </row>
    <row r="1441" spans="1:10" ht="25.5" x14ac:dyDescent="0.2">
      <c r="A1441" s="5" t="s">
        <v>4493</v>
      </c>
      <c r="B1441" s="5" t="s">
        <v>83</v>
      </c>
      <c r="C1441" s="5"/>
      <c r="D1441" s="5" t="s">
        <v>4492</v>
      </c>
      <c r="E1441" s="5" t="s">
        <v>150</v>
      </c>
      <c r="F1441" s="5" t="s">
        <v>4484</v>
      </c>
      <c r="G1441" s="5" t="s">
        <v>148</v>
      </c>
      <c r="H1441" s="5" t="s">
        <v>137</v>
      </c>
      <c r="I1441" s="5" t="s">
        <v>4491</v>
      </c>
      <c r="J1441" s="5" t="s">
        <v>4490</v>
      </c>
    </row>
    <row r="1442" spans="1:10" x14ac:dyDescent="0.2">
      <c r="A1442" s="5" t="s">
        <v>4489</v>
      </c>
      <c r="B1442" s="5" t="s">
        <v>83</v>
      </c>
      <c r="C1442" s="5"/>
      <c r="D1442" s="5" t="s">
        <v>4488</v>
      </c>
      <c r="E1442" s="5" t="s">
        <v>150</v>
      </c>
      <c r="F1442" s="5" t="s">
        <v>4484</v>
      </c>
      <c r="G1442" s="5" t="s">
        <v>148</v>
      </c>
      <c r="H1442" s="5" t="s">
        <v>3</v>
      </c>
      <c r="I1442" s="5"/>
      <c r="J1442" s="5" t="s">
        <v>4487</v>
      </c>
    </row>
    <row r="1443" spans="1:10" x14ac:dyDescent="0.2">
      <c r="A1443" s="5" t="s">
        <v>4486</v>
      </c>
      <c r="B1443" s="5" t="s">
        <v>83</v>
      </c>
      <c r="C1443" s="5"/>
      <c r="D1443" s="5" t="s">
        <v>4485</v>
      </c>
      <c r="E1443" s="5" t="s">
        <v>150</v>
      </c>
      <c r="F1443" s="5" t="s">
        <v>4484</v>
      </c>
      <c r="G1443" s="5" t="s">
        <v>148</v>
      </c>
      <c r="H1443" s="5" t="s">
        <v>3</v>
      </c>
      <c r="I1443" s="5"/>
      <c r="J1443" s="5" t="s">
        <v>4483</v>
      </c>
    </row>
    <row r="1444" spans="1:10" ht="38.25" x14ac:dyDescent="0.2">
      <c r="A1444" s="5" t="s">
        <v>4482</v>
      </c>
      <c r="B1444" s="5" t="s">
        <v>83</v>
      </c>
      <c r="C1444" s="5"/>
      <c r="D1444" s="5" t="s">
        <v>4481</v>
      </c>
      <c r="E1444" s="5" t="s">
        <v>150</v>
      </c>
      <c r="F1444" s="5" t="s">
        <v>424</v>
      </c>
      <c r="G1444" s="5" t="s">
        <v>148</v>
      </c>
      <c r="H1444" s="5" t="s">
        <v>137</v>
      </c>
      <c r="I1444" s="5" t="s">
        <v>4477</v>
      </c>
      <c r="J1444" s="5" t="s">
        <v>4480</v>
      </c>
    </row>
    <row r="1445" spans="1:10" ht="38.25" x14ac:dyDescent="0.2">
      <c r="A1445" s="5" t="s">
        <v>4479</v>
      </c>
      <c r="B1445" s="5" t="s">
        <v>83</v>
      </c>
      <c r="C1445" s="5"/>
      <c r="D1445" s="5" t="s">
        <v>4478</v>
      </c>
      <c r="E1445" s="5"/>
      <c r="F1445" s="5" t="s">
        <v>424</v>
      </c>
      <c r="G1445" s="5" t="s">
        <v>170</v>
      </c>
      <c r="H1445" s="5" t="s">
        <v>137</v>
      </c>
      <c r="I1445" s="5" t="s">
        <v>4477</v>
      </c>
      <c r="J1445" s="5" t="s">
        <v>4476</v>
      </c>
    </row>
    <row r="1446" spans="1:10" ht="25.5" x14ac:dyDescent="0.2">
      <c r="A1446" s="5" t="s">
        <v>4475</v>
      </c>
      <c r="B1446" s="5" t="s">
        <v>83</v>
      </c>
      <c r="C1446" s="5"/>
      <c r="D1446" s="5" t="s">
        <v>4474</v>
      </c>
      <c r="E1446" s="5"/>
      <c r="F1446" s="5" t="s">
        <v>424</v>
      </c>
      <c r="G1446" s="5" t="s">
        <v>170</v>
      </c>
      <c r="H1446" s="5" t="s">
        <v>137</v>
      </c>
      <c r="I1446" s="5" t="s">
        <v>4473</v>
      </c>
      <c r="J1446" s="5" t="s">
        <v>4472</v>
      </c>
    </row>
    <row r="1447" spans="1:10" ht="25.5" x14ac:dyDescent="0.2">
      <c r="A1447" s="5" t="s">
        <v>4471</v>
      </c>
      <c r="B1447" s="5" t="s">
        <v>83</v>
      </c>
      <c r="C1447" s="5"/>
      <c r="D1447" s="5" t="s">
        <v>4470</v>
      </c>
      <c r="E1447" s="5"/>
      <c r="F1447" s="5" t="s">
        <v>4456</v>
      </c>
      <c r="G1447" s="5" t="s">
        <v>382</v>
      </c>
      <c r="H1447" s="5" t="s">
        <v>3</v>
      </c>
      <c r="I1447" s="5"/>
      <c r="J1447" s="5" t="s">
        <v>4469</v>
      </c>
    </row>
    <row r="1448" spans="1:10" ht="25.5" x14ac:dyDescent="0.2">
      <c r="A1448" s="5" t="s">
        <v>4468</v>
      </c>
      <c r="B1448" s="5" t="s">
        <v>83</v>
      </c>
      <c r="C1448" s="5"/>
      <c r="D1448" s="5" t="s">
        <v>4467</v>
      </c>
      <c r="E1448" s="5"/>
      <c r="F1448" s="5" t="s">
        <v>4456</v>
      </c>
      <c r="G1448" s="5" t="s">
        <v>382</v>
      </c>
      <c r="H1448" s="5" t="s">
        <v>137</v>
      </c>
      <c r="I1448" s="5" t="s">
        <v>4463</v>
      </c>
      <c r="J1448" s="5" t="s">
        <v>4466</v>
      </c>
    </row>
    <row r="1449" spans="1:10" ht="25.5" x14ac:dyDescent="0.2">
      <c r="A1449" s="5" t="s">
        <v>4465</v>
      </c>
      <c r="B1449" s="5" t="s">
        <v>83</v>
      </c>
      <c r="C1449" s="5"/>
      <c r="D1449" s="5" t="s">
        <v>4464</v>
      </c>
      <c r="E1449" s="5" t="s">
        <v>150</v>
      </c>
      <c r="F1449" s="5" t="s">
        <v>4456</v>
      </c>
      <c r="G1449" s="5" t="s">
        <v>148</v>
      </c>
      <c r="H1449" s="5" t="s">
        <v>137</v>
      </c>
      <c r="I1449" s="5" t="s">
        <v>4463</v>
      </c>
      <c r="J1449" s="5" t="s">
        <v>4462</v>
      </c>
    </row>
    <row r="1450" spans="1:10" x14ac:dyDescent="0.2">
      <c r="A1450" s="5" t="s">
        <v>4461</v>
      </c>
      <c r="B1450" s="5" t="s">
        <v>83</v>
      </c>
      <c r="C1450" s="5"/>
      <c r="D1450" s="5" t="s">
        <v>4460</v>
      </c>
      <c r="E1450" s="5" t="s">
        <v>150</v>
      </c>
      <c r="F1450" s="5" t="s">
        <v>4456</v>
      </c>
      <c r="G1450" s="5" t="s">
        <v>148</v>
      </c>
      <c r="H1450" s="5" t="s">
        <v>3</v>
      </c>
      <c r="I1450" s="5"/>
      <c r="J1450" s="5" t="s">
        <v>4459</v>
      </c>
    </row>
    <row r="1451" spans="1:10" x14ac:dyDescent="0.2">
      <c r="A1451" s="5" t="s">
        <v>4458</v>
      </c>
      <c r="B1451" s="5" t="s">
        <v>83</v>
      </c>
      <c r="C1451" s="5"/>
      <c r="D1451" s="5" t="s">
        <v>4457</v>
      </c>
      <c r="E1451" s="5" t="s">
        <v>150</v>
      </c>
      <c r="F1451" s="5" t="s">
        <v>4456</v>
      </c>
      <c r="G1451" s="5" t="s">
        <v>148</v>
      </c>
      <c r="H1451" s="5" t="s">
        <v>3</v>
      </c>
      <c r="I1451" s="5"/>
      <c r="J1451" s="5" t="s">
        <v>4455</v>
      </c>
    </row>
    <row r="1452" spans="1:10" ht="25.5" x14ac:dyDescent="0.2">
      <c r="A1452" s="5" t="s">
        <v>4454</v>
      </c>
      <c r="B1452" s="5" t="s">
        <v>83</v>
      </c>
      <c r="C1452" s="5"/>
      <c r="D1452" s="5" t="s">
        <v>4453</v>
      </c>
      <c r="E1452" s="5" t="s">
        <v>150</v>
      </c>
      <c r="F1452" s="5" t="s">
        <v>424</v>
      </c>
      <c r="G1452" s="5" t="s">
        <v>148</v>
      </c>
      <c r="H1452" s="5" t="s">
        <v>137</v>
      </c>
      <c r="I1452" s="5" t="s">
        <v>4449</v>
      </c>
      <c r="J1452" s="5" t="s">
        <v>4452</v>
      </c>
    </row>
    <row r="1453" spans="1:10" ht="25.5" x14ac:dyDescent="0.2">
      <c r="A1453" s="5" t="s">
        <v>4451</v>
      </c>
      <c r="B1453" s="5" t="s">
        <v>83</v>
      </c>
      <c r="C1453" s="5"/>
      <c r="D1453" s="5" t="s">
        <v>4450</v>
      </c>
      <c r="E1453" s="5"/>
      <c r="F1453" s="5" t="s">
        <v>424</v>
      </c>
      <c r="G1453" s="5" t="s">
        <v>170</v>
      </c>
      <c r="H1453" s="5" t="s">
        <v>137</v>
      </c>
      <c r="I1453" s="5" t="s">
        <v>4449</v>
      </c>
      <c r="J1453" s="5" t="s">
        <v>4448</v>
      </c>
    </row>
    <row r="1454" spans="1:10" ht="25.5" x14ac:dyDescent="0.2">
      <c r="A1454" s="5" t="s">
        <v>4447</v>
      </c>
      <c r="B1454" s="5" t="s">
        <v>83</v>
      </c>
      <c r="C1454" s="5"/>
      <c r="D1454" s="5" t="s">
        <v>4446</v>
      </c>
      <c r="E1454" s="5"/>
      <c r="F1454" s="5" t="s">
        <v>4432</v>
      </c>
      <c r="G1454" s="5" t="s">
        <v>382</v>
      </c>
      <c r="H1454" s="5" t="s">
        <v>3</v>
      </c>
      <c r="I1454" s="5"/>
      <c r="J1454" s="5" t="s">
        <v>4445</v>
      </c>
    </row>
    <row r="1455" spans="1:10" ht="25.5" x14ac:dyDescent="0.2">
      <c r="A1455" s="5" t="s">
        <v>4444</v>
      </c>
      <c r="B1455" s="5" t="s">
        <v>83</v>
      </c>
      <c r="C1455" s="5"/>
      <c r="D1455" s="5" t="s">
        <v>4443</v>
      </c>
      <c r="E1455" s="5"/>
      <c r="F1455" s="5" t="s">
        <v>4432</v>
      </c>
      <c r="G1455" s="5" t="s">
        <v>382</v>
      </c>
      <c r="H1455" s="5" t="s">
        <v>137</v>
      </c>
      <c r="I1455" s="5" t="s">
        <v>4439</v>
      </c>
      <c r="J1455" s="5" t="s">
        <v>4442</v>
      </c>
    </row>
    <row r="1456" spans="1:10" ht="25.5" x14ac:dyDescent="0.2">
      <c r="A1456" s="5" t="s">
        <v>4441</v>
      </c>
      <c r="B1456" s="5" t="s">
        <v>83</v>
      </c>
      <c r="C1456" s="5"/>
      <c r="D1456" s="5" t="s">
        <v>4440</v>
      </c>
      <c r="E1456" s="5" t="s">
        <v>150</v>
      </c>
      <c r="F1456" s="5" t="s">
        <v>4432</v>
      </c>
      <c r="G1456" s="5" t="s">
        <v>148</v>
      </c>
      <c r="H1456" s="5" t="s">
        <v>137</v>
      </c>
      <c r="I1456" s="5" t="s">
        <v>4439</v>
      </c>
      <c r="J1456" s="5" t="s">
        <v>4438</v>
      </c>
    </row>
    <row r="1457" spans="1:10" x14ac:dyDescent="0.2">
      <c r="A1457" s="5" t="s">
        <v>4437</v>
      </c>
      <c r="B1457" s="5" t="s">
        <v>83</v>
      </c>
      <c r="C1457" s="5"/>
      <c r="D1457" s="5" t="s">
        <v>4436</v>
      </c>
      <c r="E1457" s="5" t="s">
        <v>150</v>
      </c>
      <c r="F1457" s="5" t="s">
        <v>4432</v>
      </c>
      <c r="G1457" s="5" t="s">
        <v>148</v>
      </c>
      <c r="H1457" s="5" t="s">
        <v>3</v>
      </c>
      <c r="I1457" s="5"/>
      <c r="J1457" s="5" t="s">
        <v>4435</v>
      </c>
    </row>
    <row r="1458" spans="1:10" x14ac:dyDescent="0.2">
      <c r="A1458" s="5" t="s">
        <v>4434</v>
      </c>
      <c r="B1458" s="5" t="s">
        <v>83</v>
      </c>
      <c r="C1458" s="5"/>
      <c r="D1458" s="5" t="s">
        <v>4433</v>
      </c>
      <c r="E1458" s="5" t="s">
        <v>150</v>
      </c>
      <c r="F1458" s="5" t="s">
        <v>4432</v>
      </c>
      <c r="G1458" s="5" t="s">
        <v>148</v>
      </c>
      <c r="H1458" s="5" t="s">
        <v>3</v>
      </c>
      <c r="I1458" s="5"/>
      <c r="J1458" s="5" t="s">
        <v>4431</v>
      </c>
    </row>
    <row r="1459" spans="1:10" ht="25.5" x14ac:dyDescent="0.2">
      <c r="A1459" s="5" t="s">
        <v>4430</v>
      </c>
      <c r="B1459" s="5" t="s">
        <v>83</v>
      </c>
      <c r="C1459" s="5"/>
      <c r="D1459" s="5" t="s">
        <v>4429</v>
      </c>
      <c r="E1459" s="5" t="s">
        <v>150</v>
      </c>
      <c r="F1459" s="5" t="s">
        <v>424</v>
      </c>
      <c r="G1459" s="5" t="s">
        <v>148</v>
      </c>
      <c r="H1459" s="5" t="s">
        <v>137</v>
      </c>
      <c r="I1459" s="5" t="s">
        <v>4425</v>
      </c>
      <c r="J1459" s="5" t="s">
        <v>4428</v>
      </c>
    </row>
    <row r="1460" spans="1:10" ht="25.5" x14ac:dyDescent="0.2">
      <c r="A1460" s="5" t="s">
        <v>4427</v>
      </c>
      <c r="B1460" s="5" t="s">
        <v>83</v>
      </c>
      <c r="C1460" s="5"/>
      <c r="D1460" s="5" t="s">
        <v>4426</v>
      </c>
      <c r="E1460" s="5"/>
      <c r="F1460" s="5" t="s">
        <v>424</v>
      </c>
      <c r="G1460" s="5" t="s">
        <v>170</v>
      </c>
      <c r="H1460" s="5" t="s">
        <v>137</v>
      </c>
      <c r="I1460" s="5" t="s">
        <v>4425</v>
      </c>
      <c r="J1460" s="5" t="s">
        <v>4424</v>
      </c>
    </row>
    <row r="1461" spans="1:10" ht="25.5" x14ac:dyDescent="0.2">
      <c r="A1461" s="5" t="s">
        <v>4423</v>
      </c>
      <c r="B1461" s="5" t="s">
        <v>83</v>
      </c>
      <c r="C1461" s="5"/>
      <c r="D1461" s="5" t="s">
        <v>4422</v>
      </c>
      <c r="E1461" s="5"/>
      <c r="F1461" s="5" t="s">
        <v>4408</v>
      </c>
      <c r="G1461" s="5" t="s">
        <v>382</v>
      </c>
      <c r="H1461" s="5" t="s">
        <v>3</v>
      </c>
      <c r="I1461" s="5"/>
      <c r="J1461" s="5" t="s">
        <v>4421</v>
      </c>
    </row>
    <row r="1462" spans="1:10" ht="25.5" x14ac:dyDescent="0.2">
      <c r="A1462" s="5" t="s">
        <v>4420</v>
      </c>
      <c r="B1462" s="5" t="s">
        <v>83</v>
      </c>
      <c r="C1462" s="5"/>
      <c r="D1462" s="5" t="s">
        <v>4419</v>
      </c>
      <c r="E1462" s="5"/>
      <c r="F1462" s="5" t="s">
        <v>4408</v>
      </c>
      <c r="G1462" s="5" t="s">
        <v>382</v>
      </c>
      <c r="H1462" s="5" t="s">
        <v>137</v>
      </c>
      <c r="I1462" s="5" t="s">
        <v>4415</v>
      </c>
      <c r="J1462" s="5" t="s">
        <v>4418</v>
      </c>
    </row>
    <row r="1463" spans="1:10" ht="25.5" x14ac:dyDescent="0.2">
      <c r="A1463" s="5" t="s">
        <v>4417</v>
      </c>
      <c r="B1463" s="5" t="s">
        <v>83</v>
      </c>
      <c r="C1463" s="5"/>
      <c r="D1463" s="5" t="s">
        <v>4416</v>
      </c>
      <c r="E1463" s="5" t="s">
        <v>150</v>
      </c>
      <c r="F1463" s="5" t="s">
        <v>4408</v>
      </c>
      <c r="G1463" s="5" t="s">
        <v>148</v>
      </c>
      <c r="H1463" s="5" t="s">
        <v>137</v>
      </c>
      <c r="I1463" s="5" t="s">
        <v>4415</v>
      </c>
      <c r="J1463" s="5" t="s">
        <v>4414</v>
      </c>
    </row>
    <row r="1464" spans="1:10" x14ac:dyDescent="0.2">
      <c r="A1464" s="5" t="s">
        <v>4413</v>
      </c>
      <c r="B1464" s="5" t="s">
        <v>83</v>
      </c>
      <c r="C1464" s="5"/>
      <c r="D1464" s="5" t="s">
        <v>4412</v>
      </c>
      <c r="E1464" s="5" t="s">
        <v>150</v>
      </c>
      <c r="F1464" s="5" t="s">
        <v>4408</v>
      </c>
      <c r="G1464" s="5" t="s">
        <v>148</v>
      </c>
      <c r="H1464" s="5" t="s">
        <v>3</v>
      </c>
      <c r="I1464" s="5"/>
      <c r="J1464" s="5" t="s">
        <v>4411</v>
      </c>
    </row>
    <row r="1465" spans="1:10" x14ac:dyDescent="0.2">
      <c r="A1465" s="5" t="s">
        <v>4410</v>
      </c>
      <c r="B1465" s="5" t="s">
        <v>83</v>
      </c>
      <c r="C1465" s="5"/>
      <c r="D1465" s="5" t="s">
        <v>4409</v>
      </c>
      <c r="E1465" s="5" t="s">
        <v>150</v>
      </c>
      <c r="F1465" s="5" t="s">
        <v>4408</v>
      </c>
      <c r="G1465" s="5" t="s">
        <v>148</v>
      </c>
      <c r="H1465" s="5" t="s">
        <v>3</v>
      </c>
      <c r="I1465" s="5"/>
      <c r="J1465" s="5" t="s">
        <v>4407</v>
      </c>
    </row>
    <row r="1466" spans="1:10" ht="38.25" x14ac:dyDescent="0.2">
      <c r="A1466" s="5" t="s">
        <v>4406</v>
      </c>
      <c r="B1466" s="5" t="s">
        <v>83</v>
      </c>
      <c r="C1466" s="5"/>
      <c r="D1466" s="5" t="s">
        <v>4405</v>
      </c>
      <c r="E1466" s="5" t="s">
        <v>150</v>
      </c>
      <c r="F1466" s="5" t="s">
        <v>424</v>
      </c>
      <c r="G1466" s="5" t="s">
        <v>148</v>
      </c>
      <c r="H1466" s="5" t="s">
        <v>137</v>
      </c>
      <c r="I1466" s="5" t="s">
        <v>4401</v>
      </c>
      <c r="J1466" s="5" t="s">
        <v>4404</v>
      </c>
    </row>
    <row r="1467" spans="1:10" ht="38.25" x14ac:dyDescent="0.2">
      <c r="A1467" s="5" t="s">
        <v>4403</v>
      </c>
      <c r="B1467" s="5" t="s">
        <v>83</v>
      </c>
      <c r="C1467" s="5"/>
      <c r="D1467" s="5" t="s">
        <v>4402</v>
      </c>
      <c r="E1467" s="5"/>
      <c r="F1467" s="5" t="s">
        <v>424</v>
      </c>
      <c r="G1467" s="5" t="s">
        <v>170</v>
      </c>
      <c r="H1467" s="5" t="s">
        <v>137</v>
      </c>
      <c r="I1467" s="5" t="s">
        <v>4401</v>
      </c>
      <c r="J1467" s="5" t="s">
        <v>4400</v>
      </c>
    </row>
    <row r="1468" spans="1:10" ht="25.5" x14ac:dyDescent="0.2">
      <c r="A1468" s="5" t="s">
        <v>4399</v>
      </c>
      <c r="B1468" s="5" t="s">
        <v>83</v>
      </c>
      <c r="C1468" s="5"/>
      <c r="D1468" s="5" t="s">
        <v>4341</v>
      </c>
      <c r="E1468" s="5"/>
      <c r="F1468" s="5" t="s">
        <v>4389</v>
      </c>
      <c r="G1468" s="5" t="s">
        <v>382</v>
      </c>
      <c r="H1468" s="5" t="s">
        <v>3</v>
      </c>
      <c r="I1468" s="5"/>
      <c r="J1468" s="5" t="s">
        <v>4398</v>
      </c>
    </row>
    <row r="1469" spans="1:10" ht="25.5" x14ac:dyDescent="0.2">
      <c r="A1469" s="5" t="s">
        <v>4397</v>
      </c>
      <c r="B1469" s="5" t="s">
        <v>83</v>
      </c>
      <c r="C1469" s="5"/>
      <c r="D1469" s="5" t="s">
        <v>4338</v>
      </c>
      <c r="E1469" s="5"/>
      <c r="F1469" s="5" t="s">
        <v>4389</v>
      </c>
      <c r="G1469" s="5" t="s">
        <v>382</v>
      </c>
      <c r="H1469" s="5" t="s">
        <v>137</v>
      </c>
      <c r="I1469" s="5" t="s">
        <v>4394</v>
      </c>
      <c r="J1469" s="5" t="s">
        <v>4396</v>
      </c>
    </row>
    <row r="1470" spans="1:10" ht="25.5" x14ac:dyDescent="0.2">
      <c r="A1470" s="5" t="s">
        <v>4395</v>
      </c>
      <c r="B1470" s="5" t="s">
        <v>83</v>
      </c>
      <c r="C1470" s="5"/>
      <c r="D1470" s="5" t="s">
        <v>4335</v>
      </c>
      <c r="E1470" s="5" t="s">
        <v>150</v>
      </c>
      <c r="F1470" s="5" t="s">
        <v>4389</v>
      </c>
      <c r="G1470" s="5" t="s">
        <v>148</v>
      </c>
      <c r="H1470" s="5" t="s">
        <v>137</v>
      </c>
      <c r="I1470" s="5" t="s">
        <v>4394</v>
      </c>
      <c r="J1470" s="5" t="s">
        <v>4393</v>
      </c>
    </row>
    <row r="1471" spans="1:10" x14ac:dyDescent="0.2">
      <c r="A1471" s="5" t="s">
        <v>4392</v>
      </c>
      <c r="B1471" s="5" t="s">
        <v>83</v>
      </c>
      <c r="C1471" s="5"/>
      <c r="D1471" s="5" t="s">
        <v>4331</v>
      </c>
      <c r="E1471" s="5" t="s">
        <v>150</v>
      </c>
      <c r="F1471" s="5" t="s">
        <v>4389</v>
      </c>
      <c r="G1471" s="5" t="s">
        <v>148</v>
      </c>
      <c r="H1471" s="5" t="s">
        <v>3</v>
      </c>
      <c r="I1471" s="5"/>
      <c r="J1471" s="5" t="s">
        <v>4391</v>
      </c>
    </row>
    <row r="1472" spans="1:10" x14ac:dyDescent="0.2">
      <c r="A1472" s="5" t="s">
        <v>4390</v>
      </c>
      <c r="B1472" s="5" t="s">
        <v>83</v>
      </c>
      <c r="C1472" s="5"/>
      <c r="D1472" s="5" t="s">
        <v>4328</v>
      </c>
      <c r="E1472" s="5" t="s">
        <v>150</v>
      </c>
      <c r="F1472" s="5" t="s">
        <v>4389</v>
      </c>
      <c r="G1472" s="5" t="s">
        <v>148</v>
      </c>
      <c r="H1472" s="5" t="s">
        <v>3</v>
      </c>
      <c r="I1472" s="5"/>
      <c r="J1472" s="5" t="s">
        <v>4388</v>
      </c>
    </row>
    <row r="1473" spans="1:10" ht="25.5" x14ac:dyDescent="0.2">
      <c r="A1473" s="5" t="s">
        <v>4387</v>
      </c>
      <c r="B1473" s="5" t="s">
        <v>83</v>
      </c>
      <c r="C1473" s="5"/>
      <c r="D1473" s="5" t="s">
        <v>4386</v>
      </c>
      <c r="E1473" s="5"/>
      <c r="F1473" s="5" t="s">
        <v>4374</v>
      </c>
      <c r="G1473" s="5" t="s">
        <v>382</v>
      </c>
      <c r="H1473" s="5" t="s">
        <v>3</v>
      </c>
      <c r="I1473" s="5"/>
      <c r="J1473" s="5" t="s">
        <v>4385</v>
      </c>
    </row>
    <row r="1474" spans="1:10" ht="38.25" x14ac:dyDescent="0.2">
      <c r="A1474" s="5" t="s">
        <v>4384</v>
      </c>
      <c r="B1474" s="5" t="s">
        <v>83</v>
      </c>
      <c r="C1474" s="5"/>
      <c r="D1474" s="5" t="s">
        <v>2008</v>
      </c>
      <c r="E1474" s="5"/>
      <c r="F1474" s="5" t="s">
        <v>4374</v>
      </c>
      <c r="G1474" s="5" t="s">
        <v>382</v>
      </c>
      <c r="H1474" s="5" t="s">
        <v>137</v>
      </c>
      <c r="I1474" s="5" t="s">
        <v>4381</v>
      </c>
      <c r="J1474" s="5" t="s">
        <v>4383</v>
      </c>
    </row>
    <row r="1475" spans="1:10" ht="38.25" x14ac:dyDescent="0.2">
      <c r="A1475" s="5" t="s">
        <v>4382</v>
      </c>
      <c r="B1475" s="5" t="s">
        <v>83</v>
      </c>
      <c r="C1475" s="5"/>
      <c r="D1475" s="5" t="s">
        <v>2005</v>
      </c>
      <c r="E1475" s="5" t="s">
        <v>150</v>
      </c>
      <c r="F1475" s="5" t="s">
        <v>4374</v>
      </c>
      <c r="G1475" s="5" t="s">
        <v>148</v>
      </c>
      <c r="H1475" s="5" t="s">
        <v>137</v>
      </c>
      <c r="I1475" s="5" t="s">
        <v>4381</v>
      </c>
      <c r="J1475" s="5" t="s">
        <v>4380</v>
      </c>
    </row>
    <row r="1476" spans="1:10" x14ac:dyDescent="0.2">
      <c r="A1476" s="5" t="s">
        <v>4379</v>
      </c>
      <c r="B1476" s="5" t="s">
        <v>83</v>
      </c>
      <c r="C1476" s="5"/>
      <c r="D1476" s="5" t="s">
        <v>4378</v>
      </c>
      <c r="E1476" s="5" t="s">
        <v>150</v>
      </c>
      <c r="F1476" s="5" t="s">
        <v>4374</v>
      </c>
      <c r="G1476" s="5" t="s">
        <v>148</v>
      </c>
      <c r="H1476" s="5" t="s">
        <v>3</v>
      </c>
      <c r="I1476" s="5"/>
      <c r="J1476" s="5" t="s">
        <v>4377</v>
      </c>
    </row>
    <row r="1477" spans="1:10" ht="25.5" x14ac:dyDescent="0.2">
      <c r="A1477" s="5" t="s">
        <v>4376</v>
      </c>
      <c r="B1477" s="5" t="s">
        <v>83</v>
      </c>
      <c r="C1477" s="5"/>
      <c r="D1477" s="5" t="s">
        <v>4375</v>
      </c>
      <c r="E1477" s="5" t="s">
        <v>150</v>
      </c>
      <c r="F1477" s="5" t="s">
        <v>4374</v>
      </c>
      <c r="G1477" s="5" t="s">
        <v>148</v>
      </c>
      <c r="H1477" s="5" t="s">
        <v>3</v>
      </c>
      <c r="I1477" s="5"/>
      <c r="J1477" s="5" t="s">
        <v>4373</v>
      </c>
    </row>
    <row r="1478" spans="1:10" ht="38.25" x14ac:dyDescent="0.2">
      <c r="A1478" s="5" t="s">
        <v>4372</v>
      </c>
      <c r="B1478" s="5" t="s">
        <v>83</v>
      </c>
      <c r="C1478" s="5"/>
      <c r="D1478" s="5" t="s">
        <v>1994</v>
      </c>
      <c r="E1478" s="5" t="s">
        <v>150</v>
      </c>
      <c r="F1478" s="5" t="s">
        <v>424</v>
      </c>
      <c r="G1478" s="5" t="s">
        <v>148</v>
      </c>
      <c r="H1478" s="5" t="s">
        <v>137</v>
      </c>
      <c r="I1478" s="5" t="s">
        <v>4369</v>
      </c>
      <c r="J1478" s="5" t="s">
        <v>4371</v>
      </c>
    </row>
    <row r="1479" spans="1:10" ht="38.25" x14ac:dyDescent="0.2">
      <c r="A1479" s="5" t="s">
        <v>4370</v>
      </c>
      <c r="B1479" s="5" t="s">
        <v>83</v>
      </c>
      <c r="C1479" s="5"/>
      <c r="D1479" s="5" t="s">
        <v>1991</v>
      </c>
      <c r="E1479" s="5"/>
      <c r="F1479" s="5" t="s">
        <v>424</v>
      </c>
      <c r="G1479" s="5" t="s">
        <v>170</v>
      </c>
      <c r="H1479" s="5" t="s">
        <v>137</v>
      </c>
      <c r="I1479" s="5" t="s">
        <v>4369</v>
      </c>
      <c r="J1479" s="5" t="s">
        <v>4368</v>
      </c>
    </row>
    <row r="1480" spans="1:10" ht="38.25" x14ac:dyDescent="0.2">
      <c r="A1480" s="5" t="s">
        <v>4367</v>
      </c>
      <c r="B1480" s="5" t="s">
        <v>83</v>
      </c>
      <c r="C1480" s="5"/>
      <c r="D1480" s="5" t="s">
        <v>4324</v>
      </c>
      <c r="E1480" s="5" t="s">
        <v>150</v>
      </c>
      <c r="F1480" s="5" t="s">
        <v>424</v>
      </c>
      <c r="G1480" s="5" t="s">
        <v>148</v>
      </c>
      <c r="H1480" s="5" t="s">
        <v>137</v>
      </c>
      <c r="I1480" s="5" t="s">
        <v>4344</v>
      </c>
      <c r="J1480" s="5" t="s">
        <v>4366</v>
      </c>
    </row>
    <row r="1481" spans="1:10" ht="25.5" x14ac:dyDescent="0.2">
      <c r="A1481" s="5" t="s">
        <v>4365</v>
      </c>
      <c r="B1481" s="5" t="s">
        <v>83</v>
      </c>
      <c r="C1481" s="5"/>
      <c r="D1481" s="5" t="s">
        <v>4364</v>
      </c>
      <c r="E1481" s="5"/>
      <c r="F1481" s="5" t="s">
        <v>4352</v>
      </c>
      <c r="G1481" s="5" t="s">
        <v>382</v>
      </c>
      <c r="H1481" s="5" t="s">
        <v>3</v>
      </c>
      <c r="I1481" s="5"/>
      <c r="J1481" s="5" t="s">
        <v>4363</v>
      </c>
    </row>
    <row r="1482" spans="1:10" ht="38.25" x14ac:dyDescent="0.2">
      <c r="A1482" s="5" t="s">
        <v>4362</v>
      </c>
      <c r="B1482" s="5" t="s">
        <v>83</v>
      </c>
      <c r="C1482" s="5"/>
      <c r="D1482" s="5" t="s">
        <v>1984</v>
      </c>
      <c r="E1482" s="5"/>
      <c r="F1482" s="5" t="s">
        <v>4352</v>
      </c>
      <c r="G1482" s="5" t="s">
        <v>382</v>
      </c>
      <c r="H1482" s="5" t="s">
        <v>137</v>
      </c>
      <c r="I1482" s="5" t="s">
        <v>4359</v>
      </c>
      <c r="J1482" s="5" t="s">
        <v>4361</v>
      </c>
    </row>
    <row r="1483" spans="1:10" ht="38.25" x14ac:dyDescent="0.2">
      <c r="A1483" s="5" t="s">
        <v>4360</v>
      </c>
      <c r="B1483" s="5" t="s">
        <v>83</v>
      </c>
      <c r="C1483" s="5"/>
      <c r="D1483" s="5" t="s">
        <v>1981</v>
      </c>
      <c r="E1483" s="5" t="s">
        <v>150</v>
      </c>
      <c r="F1483" s="5" t="s">
        <v>4352</v>
      </c>
      <c r="G1483" s="5" t="s">
        <v>148</v>
      </c>
      <c r="H1483" s="5" t="s">
        <v>137</v>
      </c>
      <c r="I1483" s="5" t="s">
        <v>4359</v>
      </c>
      <c r="J1483" s="5" t="s">
        <v>4358</v>
      </c>
    </row>
    <row r="1484" spans="1:10" x14ac:dyDescent="0.2">
      <c r="A1484" s="5" t="s">
        <v>4357</v>
      </c>
      <c r="B1484" s="5" t="s">
        <v>83</v>
      </c>
      <c r="C1484" s="5"/>
      <c r="D1484" s="5" t="s">
        <v>4356</v>
      </c>
      <c r="E1484" s="5" t="s">
        <v>150</v>
      </c>
      <c r="F1484" s="5" t="s">
        <v>4352</v>
      </c>
      <c r="G1484" s="5" t="s">
        <v>148</v>
      </c>
      <c r="H1484" s="5" t="s">
        <v>3</v>
      </c>
      <c r="I1484" s="5"/>
      <c r="J1484" s="5" t="s">
        <v>4355</v>
      </c>
    </row>
    <row r="1485" spans="1:10" x14ac:dyDescent="0.2">
      <c r="A1485" s="5" t="s">
        <v>4354</v>
      </c>
      <c r="B1485" s="5" t="s">
        <v>83</v>
      </c>
      <c r="C1485" s="5"/>
      <c r="D1485" s="5" t="s">
        <v>4353</v>
      </c>
      <c r="E1485" s="5" t="s">
        <v>150</v>
      </c>
      <c r="F1485" s="5" t="s">
        <v>4352</v>
      </c>
      <c r="G1485" s="5" t="s">
        <v>148</v>
      </c>
      <c r="H1485" s="5" t="s">
        <v>3</v>
      </c>
      <c r="I1485" s="5"/>
      <c r="J1485" s="5" t="s">
        <v>4351</v>
      </c>
    </row>
    <row r="1486" spans="1:10" ht="38.25" x14ac:dyDescent="0.2">
      <c r="A1486" s="5" t="s">
        <v>4350</v>
      </c>
      <c r="B1486" s="5" t="s">
        <v>83</v>
      </c>
      <c r="C1486" s="5"/>
      <c r="D1486" s="5" t="s">
        <v>1970</v>
      </c>
      <c r="E1486" s="5" t="s">
        <v>150</v>
      </c>
      <c r="F1486" s="5" t="s">
        <v>424</v>
      </c>
      <c r="G1486" s="5" t="s">
        <v>148</v>
      </c>
      <c r="H1486" s="5" t="s">
        <v>137</v>
      </c>
      <c r="I1486" s="5" t="s">
        <v>4347</v>
      </c>
      <c r="J1486" s="5" t="s">
        <v>4349</v>
      </c>
    </row>
    <row r="1487" spans="1:10" ht="38.25" x14ac:dyDescent="0.2">
      <c r="A1487" s="5" t="s">
        <v>4348</v>
      </c>
      <c r="B1487" s="5" t="s">
        <v>83</v>
      </c>
      <c r="C1487" s="5"/>
      <c r="D1487" s="5" t="s">
        <v>1967</v>
      </c>
      <c r="E1487" s="5"/>
      <c r="F1487" s="5" t="s">
        <v>424</v>
      </c>
      <c r="G1487" s="5" t="s">
        <v>170</v>
      </c>
      <c r="H1487" s="5" t="s">
        <v>137</v>
      </c>
      <c r="I1487" s="5" t="s">
        <v>4347</v>
      </c>
      <c r="J1487" s="5" t="s">
        <v>4346</v>
      </c>
    </row>
    <row r="1488" spans="1:10" ht="38.25" x14ac:dyDescent="0.2">
      <c r="A1488" s="5" t="s">
        <v>4345</v>
      </c>
      <c r="B1488" s="5" t="s">
        <v>83</v>
      </c>
      <c r="C1488" s="5"/>
      <c r="D1488" s="5" t="s">
        <v>4321</v>
      </c>
      <c r="E1488" s="5"/>
      <c r="F1488" s="5" t="s">
        <v>424</v>
      </c>
      <c r="G1488" s="5" t="s">
        <v>170</v>
      </c>
      <c r="H1488" s="5" t="s">
        <v>137</v>
      </c>
      <c r="I1488" s="5" t="s">
        <v>4344</v>
      </c>
      <c r="J1488" s="5" t="s">
        <v>4343</v>
      </c>
    </row>
    <row r="1489" spans="1:10" ht="25.5" x14ac:dyDescent="0.2">
      <c r="A1489" s="5" t="s">
        <v>4342</v>
      </c>
      <c r="B1489" s="5" t="s">
        <v>83</v>
      </c>
      <c r="C1489" s="5"/>
      <c r="D1489" s="5" t="s">
        <v>4341</v>
      </c>
      <c r="E1489" s="5"/>
      <c r="F1489" s="5" t="s">
        <v>4327</v>
      </c>
      <c r="G1489" s="5" t="s">
        <v>382</v>
      </c>
      <c r="H1489" s="5" t="s">
        <v>3</v>
      </c>
      <c r="I1489" s="5"/>
      <c r="J1489" s="5" t="s">
        <v>4340</v>
      </c>
    </row>
    <row r="1490" spans="1:10" ht="38.25" x14ac:dyDescent="0.2">
      <c r="A1490" s="5" t="s">
        <v>4339</v>
      </c>
      <c r="B1490" s="5" t="s">
        <v>83</v>
      </c>
      <c r="C1490" s="5"/>
      <c r="D1490" s="5" t="s">
        <v>4338</v>
      </c>
      <c r="E1490" s="5"/>
      <c r="F1490" s="5" t="s">
        <v>4327</v>
      </c>
      <c r="G1490" s="5" t="s">
        <v>382</v>
      </c>
      <c r="H1490" s="5" t="s">
        <v>137</v>
      </c>
      <c r="I1490" s="5" t="s">
        <v>4334</v>
      </c>
      <c r="J1490" s="5" t="s">
        <v>4337</v>
      </c>
    </row>
    <row r="1491" spans="1:10" ht="38.25" x14ac:dyDescent="0.2">
      <c r="A1491" s="5" t="s">
        <v>4336</v>
      </c>
      <c r="B1491" s="5" t="s">
        <v>83</v>
      </c>
      <c r="C1491" s="5"/>
      <c r="D1491" s="5" t="s">
        <v>4335</v>
      </c>
      <c r="E1491" s="5" t="s">
        <v>150</v>
      </c>
      <c r="F1491" s="5" t="s">
        <v>4327</v>
      </c>
      <c r="G1491" s="5" t="s">
        <v>148</v>
      </c>
      <c r="H1491" s="5" t="s">
        <v>137</v>
      </c>
      <c r="I1491" s="5" t="s">
        <v>4334</v>
      </c>
      <c r="J1491" s="5" t="s">
        <v>4333</v>
      </c>
    </row>
    <row r="1492" spans="1:10" x14ac:dyDescent="0.2">
      <c r="A1492" s="5" t="s">
        <v>4332</v>
      </c>
      <c r="B1492" s="5" t="s">
        <v>83</v>
      </c>
      <c r="C1492" s="5"/>
      <c r="D1492" s="5" t="s">
        <v>4331</v>
      </c>
      <c r="E1492" s="5" t="s">
        <v>150</v>
      </c>
      <c r="F1492" s="5" t="s">
        <v>4327</v>
      </c>
      <c r="G1492" s="5" t="s">
        <v>148</v>
      </c>
      <c r="H1492" s="5" t="s">
        <v>3</v>
      </c>
      <c r="I1492" s="5"/>
      <c r="J1492" s="5" t="s">
        <v>4330</v>
      </c>
    </row>
    <row r="1493" spans="1:10" ht="25.5" x14ac:dyDescent="0.2">
      <c r="A1493" s="5" t="s">
        <v>4329</v>
      </c>
      <c r="B1493" s="5" t="s">
        <v>83</v>
      </c>
      <c r="C1493" s="5"/>
      <c r="D1493" s="5" t="s">
        <v>4328</v>
      </c>
      <c r="E1493" s="5" t="s">
        <v>150</v>
      </c>
      <c r="F1493" s="5" t="s">
        <v>4327</v>
      </c>
      <c r="G1493" s="5" t="s">
        <v>148</v>
      </c>
      <c r="H1493" s="5" t="s">
        <v>3</v>
      </c>
      <c r="I1493" s="5"/>
      <c r="J1493" s="5" t="s">
        <v>4326</v>
      </c>
    </row>
    <row r="1494" spans="1:10" ht="38.25" x14ac:dyDescent="0.2">
      <c r="A1494" s="5" t="s">
        <v>4325</v>
      </c>
      <c r="B1494" s="5" t="s">
        <v>83</v>
      </c>
      <c r="C1494" s="5"/>
      <c r="D1494" s="5" t="s">
        <v>4324</v>
      </c>
      <c r="E1494" s="5" t="s">
        <v>150</v>
      </c>
      <c r="F1494" s="5" t="s">
        <v>424</v>
      </c>
      <c r="G1494" s="5" t="s">
        <v>148</v>
      </c>
      <c r="H1494" s="5" t="s">
        <v>137</v>
      </c>
      <c r="I1494" s="5" t="s">
        <v>4320</v>
      </c>
      <c r="J1494" s="5" t="s">
        <v>4323</v>
      </c>
    </row>
    <row r="1495" spans="1:10" ht="38.25" x14ac:dyDescent="0.2">
      <c r="A1495" s="5" t="s">
        <v>4322</v>
      </c>
      <c r="B1495" s="5" t="s">
        <v>83</v>
      </c>
      <c r="C1495" s="5"/>
      <c r="D1495" s="5" t="s">
        <v>4321</v>
      </c>
      <c r="E1495" s="5"/>
      <c r="F1495" s="5" t="s">
        <v>424</v>
      </c>
      <c r="G1495" s="5" t="s">
        <v>170</v>
      </c>
      <c r="H1495" s="5" t="s">
        <v>137</v>
      </c>
      <c r="I1495" s="5" t="s">
        <v>4320</v>
      </c>
      <c r="J1495" s="5" t="s">
        <v>4319</v>
      </c>
    </row>
    <row r="1496" spans="1:10" ht="25.5" x14ac:dyDescent="0.2">
      <c r="A1496" s="5" t="s">
        <v>4318</v>
      </c>
      <c r="B1496" s="5" t="s">
        <v>83</v>
      </c>
      <c r="C1496" s="5"/>
      <c r="D1496" s="5" t="s">
        <v>4317</v>
      </c>
      <c r="E1496" s="5"/>
      <c r="F1496" s="5" t="s">
        <v>4303</v>
      </c>
      <c r="G1496" s="5" t="s">
        <v>382</v>
      </c>
      <c r="H1496" s="5" t="s">
        <v>3</v>
      </c>
      <c r="I1496" s="5"/>
      <c r="J1496" s="5" t="s">
        <v>4316</v>
      </c>
    </row>
    <row r="1497" spans="1:10" ht="25.5" x14ac:dyDescent="0.2">
      <c r="A1497" s="5" t="s">
        <v>4315</v>
      </c>
      <c r="B1497" s="5" t="s">
        <v>83</v>
      </c>
      <c r="C1497" s="5"/>
      <c r="D1497" s="5" t="s">
        <v>4314</v>
      </c>
      <c r="E1497" s="5"/>
      <c r="F1497" s="5" t="s">
        <v>4303</v>
      </c>
      <c r="G1497" s="5" t="s">
        <v>382</v>
      </c>
      <c r="H1497" s="5" t="s">
        <v>137</v>
      </c>
      <c r="I1497" s="5" t="s">
        <v>4310</v>
      </c>
      <c r="J1497" s="5" t="s">
        <v>4313</v>
      </c>
    </row>
    <row r="1498" spans="1:10" ht="25.5" x14ac:dyDescent="0.2">
      <c r="A1498" s="5" t="s">
        <v>4312</v>
      </c>
      <c r="B1498" s="5" t="s">
        <v>83</v>
      </c>
      <c r="C1498" s="5"/>
      <c r="D1498" s="5" t="s">
        <v>4311</v>
      </c>
      <c r="E1498" s="5" t="s">
        <v>150</v>
      </c>
      <c r="F1498" s="5" t="s">
        <v>4303</v>
      </c>
      <c r="G1498" s="5" t="s">
        <v>148</v>
      </c>
      <c r="H1498" s="5" t="s">
        <v>137</v>
      </c>
      <c r="I1498" s="5" t="s">
        <v>4310</v>
      </c>
      <c r="J1498" s="5" t="s">
        <v>4309</v>
      </c>
    </row>
    <row r="1499" spans="1:10" x14ac:dyDescent="0.2">
      <c r="A1499" s="5" t="s">
        <v>4308</v>
      </c>
      <c r="B1499" s="5" t="s">
        <v>83</v>
      </c>
      <c r="C1499" s="5"/>
      <c r="D1499" s="5" t="s">
        <v>4307</v>
      </c>
      <c r="E1499" s="5" t="s">
        <v>150</v>
      </c>
      <c r="F1499" s="5" t="s">
        <v>4303</v>
      </c>
      <c r="G1499" s="5" t="s">
        <v>148</v>
      </c>
      <c r="H1499" s="5" t="s">
        <v>3</v>
      </c>
      <c r="I1499" s="5"/>
      <c r="J1499" s="5" t="s">
        <v>4306</v>
      </c>
    </row>
    <row r="1500" spans="1:10" x14ac:dyDescent="0.2">
      <c r="A1500" s="5" t="s">
        <v>4305</v>
      </c>
      <c r="B1500" s="5" t="s">
        <v>83</v>
      </c>
      <c r="C1500" s="5"/>
      <c r="D1500" s="5" t="s">
        <v>4304</v>
      </c>
      <c r="E1500" s="5" t="s">
        <v>150</v>
      </c>
      <c r="F1500" s="5" t="s">
        <v>4303</v>
      </c>
      <c r="G1500" s="5" t="s">
        <v>148</v>
      </c>
      <c r="H1500" s="5" t="s">
        <v>3</v>
      </c>
      <c r="I1500" s="5"/>
      <c r="J1500" s="5" t="s">
        <v>4302</v>
      </c>
    </row>
    <row r="1501" spans="1:10" ht="25.5" x14ac:dyDescent="0.2">
      <c r="A1501" s="5" t="s">
        <v>4301</v>
      </c>
      <c r="B1501" s="5" t="s">
        <v>83</v>
      </c>
      <c r="C1501" s="5"/>
      <c r="D1501" s="5" t="s">
        <v>4300</v>
      </c>
      <c r="E1501" s="5" t="s">
        <v>150</v>
      </c>
      <c r="F1501" s="5" t="s">
        <v>424</v>
      </c>
      <c r="G1501" s="5" t="s">
        <v>148</v>
      </c>
      <c r="H1501" s="5" t="s">
        <v>137</v>
      </c>
      <c r="I1501" s="5" t="s">
        <v>4296</v>
      </c>
      <c r="J1501" s="5" t="s">
        <v>4299</v>
      </c>
    </row>
    <row r="1502" spans="1:10" ht="25.5" x14ac:dyDescent="0.2">
      <c r="A1502" s="5" t="s">
        <v>4298</v>
      </c>
      <c r="B1502" s="5" t="s">
        <v>83</v>
      </c>
      <c r="C1502" s="5"/>
      <c r="D1502" s="5" t="s">
        <v>4297</v>
      </c>
      <c r="E1502" s="5"/>
      <c r="F1502" s="5" t="s">
        <v>424</v>
      </c>
      <c r="G1502" s="5" t="s">
        <v>170</v>
      </c>
      <c r="H1502" s="5" t="s">
        <v>137</v>
      </c>
      <c r="I1502" s="5" t="s">
        <v>4296</v>
      </c>
      <c r="J1502" s="5" t="s">
        <v>4295</v>
      </c>
    </row>
    <row r="1503" spans="1:10" ht="38.25" x14ac:dyDescent="0.2">
      <c r="A1503" s="5" t="s">
        <v>4294</v>
      </c>
      <c r="B1503" s="5" t="s">
        <v>83</v>
      </c>
      <c r="C1503" s="5"/>
      <c r="D1503" s="5" t="s">
        <v>4293</v>
      </c>
      <c r="E1503" s="5"/>
      <c r="F1503" s="5" t="s">
        <v>4272</v>
      </c>
      <c r="G1503" s="5" t="s">
        <v>382</v>
      </c>
      <c r="H1503" s="5" t="s">
        <v>137</v>
      </c>
      <c r="I1503" s="5" t="s">
        <v>4289</v>
      </c>
      <c r="J1503" s="5" t="s">
        <v>4292</v>
      </c>
    </row>
    <row r="1504" spans="1:10" ht="38.25" x14ac:dyDescent="0.2">
      <c r="A1504" s="5" t="s">
        <v>4291</v>
      </c>
      <c r="B1504" s="5" t="s">
        <v>83</v>
      </c>
      <c r="C1504" s="5"/>
      <c r="D1504" s="5" t="s">
        <v>4290</v>
      </c>
      <c r="E1504" s="5" t="s">
        <v>150</v>
      </c>
      <c r="F1504" s="5" t="s">
        <v>4272</v>
      </c>
      <c r="G1504" s="5" t="s">
        <v>148</v>
      </c>
      <c r="H1504" s="5" t="s">
        <v>137</v>
      </c>
      <c r="I1504" s="5" t="s">
        <v>4289</v>
      </c>
      <c r="J1504" s="5" t="s">
        <v>4288</v>
      </c>
    </row>
    <row r="1505" spans="1:10" x14ac:dyDescent="0.2">
      <c r="A1505" s="5" t="s">
        <v>4287</v>
      </c>
      <c r="B1505" s="5" t="s">
        <v>83</v>
      </c>
      <c r="C1505" s="5"/>
      <c r="D1505" s="5" t="s">
        <v>4286</v>
      </c>
      <c r="E1505" s="5" t="s">
        <v>150</v>
      </c>
      <c r="F1505" s="5" t="s">
        <v>4272</v>
      </c>
      <c r="G1505" s="5" t="s">
        <v>148</v>
      </c>
      <c r="H1505" s="5" t="s">
        <v>3</v>
      </c>
      <c r="I1505" s="5"/>
      <c r="J1505" s="5" t="s">
        <v>4285</v>
      </c>
    </row>
    <row r="1506" spans="1:10" x14ac:dyDescent="0.2">
      <c r="A1506" s="5" t="s">
        <v>4284</v>
      </c>
      <c r="B1506" s="5" t="s">
        <v>83</v>
      </c>
      <c r="C1506" s="5"/>
      <c r="D1506" s="5" t="s">
        <v>4283</v>
      </c>
      <c r="E1506" s="5" t="s">
        <v>150</v>
      </c>
      <c r="F1506" s="5" t="s">
        <v>4272</v>
      </c>
      <c r="G1506" s="5" t="s">
        <v>148</v>
      </c>
      <c r="H1506" s="5" t="s">
        <v>3</v>
      </c>
      <c r="I1506" s="5"/>
      <c r="J1506" s="5" t="s">
        <v>4282</v>
      </c>
    </row>
    <row r="1507" spans="1:10" ht="38.25" x14ac:dyDescent="0.2">
      <c r="A1507" s="5" t="s">
        <v>4281</v>
      </c>
      <c r="B1507" s="5" t="s">
        <v>83</v>
      </c>
      <c r="C1507" s="5"/>
      <c r="D1507" s="5" t="s">
        <v>4280</v>
      </c>
      <c r="E1507" s="5" t="s">
        <v>150</v>
      </c>
      <c r="F1507" s="5" t="s">
        <v>424</v>
      </c>
      <c r="G1507" s="5" t="s">
        <v>148</v>
      </c>
      <c r="H1507" s="5" t="s">
        <v>137</v>
      </c>
      <c r="I1507" s="5" t="s">
        <v>4276</v>
      </c>
      <c r="J1507" s="5" t="s">
        <v>4279</v>
      </c>
    </row>
    <row r="1508" spans="1:10" ht="38.25" x14ac:dyDescent="0.2">
      <c r="A1508" s="5" t="s">
        <v>4278</v>
      </c>
      <c r="B1508" s="5" t="s">
        <v>83</v>
      </c>
      <c r="C1508" s="5"/>
      <c r="D1508" s="5" t="s">
        <v>4277</v>
      </c>
      <c r="E1508" s="5"/>
      <c r="F1508" s="5" t="s">
        <v>424</v>
      </c>
      <c r="G1508" s="5" t="s">
        <v>170</v>
      </c>
      <c r="H1508" s="5" t="s">
        <v>137</v>
      </c>
      <c r="I1508" s="5" t="s">
        <v>4276</v>
      </c>
      <c r="J1508" s="5" t="s">
        <v>4275</v>
      </c>
    </row>
    <row r="1509" spans="1:10" ht="25.5" x14ac:dyDescent="0.2">
      <c r="A1509" s="5" t="s">
        <v>4274</v>
      </c>
      <c r="B1509" s="5" t="s">
        <v>83</v>
      </c>
      <c r="C1509" s="5"/>
      <c r="D1509" s="5" t="s">
        <v>4273</v>
      </c>
      <c r="E1509" s="5"/>
      <c r="F1509" s="5" t="s">
        <v>4272</v>
      </c>
      <c r="G1509" s="5" t="s">
        <v>382</v>
      </c>
      <c r="H1509" s="5" t="s">
        <v>3</v>
      </c>
      <c r="I1509" s="5"/>
      <c r="J1509" s="5" t="s">
        <v>4271</v>
      </c>
    </row>
    <row r="1510" spans="1:10" ht="25.5" x14ac:dyDescent="0.2">
      <c r="A1510" s="5" t="s">
        <v>4270</v>
      </c>
      <c r="B1510" s="5" t="s">
        <v>83</v>
      </c>
      <c r="C1510" s="5"/>
      <c r="D1510" s="5" t="s">
        <v>4269</v>
      </c>
      <c r="E1510" s="5"/>
      <c r="F1510" s="5" t="s">
        <v>4255</v>
      </c>
      <c r="G1510" s="5" t="s">
        <v>382</v>
      </c>
      <c r="H1510" s="5" t="s">
        <v>3</v>
      </c>
      <c r="I1510" s="5"/>
      <c r="J1510" s="5" t="s">
        <v>4268</v>
      </c>
    </row>
    <row r="1511" spans="1:10" ht="25.5" x14ac:dyDescent="0.2">
      <c r="A1511" s="5" t="s">
        <v>4267</v>
      </c>
      <c r="B1511" s="5" t="s">
        <v>83</v>
      </c>
      <c r="C1511" s="5"/>
      <c r="D1511" s="5" t="s">
        <v>4266</v>
      </c>
      <c r="E1511" s="5"/>
      <c r="F1511" s="5" t="s">
        <v>4255</v>
      </c>
      <c r="G1511" s="5" t="s">
        <v>382</v>
      </c>
      <c r="H1511" s="5" t="s">
        <v>137</v>
      </c>
      <c r="I1511" s="5" t="s">
        <v>4262</v>
      </c>
      <c r="J1511" s="5" t="s">
        <v>4265</v>
      </c>
    </row>
    <row r="1512" spans="1:10" ht="25.5" x14ac:dyDescent="0.2">
      <c r="A1512" s="5" t="s">
        <v>4264</v>
      </c>
      <c r="B1512" s="5" t="s">
        <v>83</v>
      </c>
      <c r="C1512" s="5"/>
      <c r="D1512" s="5" t="s">
        <v>4263</v>
      </c>
      <c r="E1512" s="5" t="s">
        <v>150</v>
      </c>
      <c r="F1512" s="5" t="s">
        <v>4255</v>
      </c>
      <c r="G1512" s="5" t="s">
        <v>148</v>
      </c>
      <c r="H1512" s="5" t="s">
        <v>137</v>
      </c>
      <c r="I1512" s="5" t="s">
        <v>4262</v>
      </c>
      <c r="J1512" s="5" t="s">
        <v>4261</v>
      </c>
    </row>
    <row r="1513" spans="1:10" x14ac:dyDescent="0.2">
      <c r="A1513" s="5" t="s">
        <v>4260</v>
      </c>
      <c r="B1513" s="5" t="s">
        <v>83</v>
      </c>
      <c r="C1513" s="5"/>
      <c r="D1513" s="5" t="s">
        <v>4259</v>
      </c>
      <c r="E1513" s="5" t="s">
        <v>150</v>
      </c>
      <c r="F1513" s="5" t="s">
        <v>4255</v>
      </c>
      <c r="G1513" s="5" t="s">
        <v>148</v>
      </c>
      <c r="H1513" s="5" t="s">
        <v>3</v>
      </c>
      <c r="I1513" s="5"/>
      <c r="J1513" s="5" t="s">
        <v>4258</v>
      </c>
    </row>
    <row r="1514" spans="1:10" x14ac:dyDescent="0.2">
      <c r="A1514" s="5" t="s">
        <v>4257</v>
      </c>
      <c r="B1514" s="5" t="s">
        <v>83</v>
      </c>
      <c r="C1514" s="5"/>
      <c r="D1514" s="5" t="s">
        <v>4256</v>
      </c>
      <c r="E1514" s="5" t="s">
        <v>150</v>
      </c>
      <c r="F1514" s="5" t="s">
        <v>4255</v>
      </c>
      <c r="G1514" s="5" t="s">
        <v>148</v>
      </c>
      <c r="H1514" s="5" t="s">
        <v>3</v>
      </c>
      <c r="I1514" s="5"/>
      <c r="J1514" s="5" t="s">
        <v>4254</v>
      </c>
    </row>
    <row r="1515" spans="1:10" ht="25.5" x14ac:dyDescent="0.2">
      <c r="A1515" s="5" t="s">
        <v>4253</v>
      </c>
      <c r="B1515" s="5" t="s">
        <v>83</v>
      </c>
      <c r="C1515" s="5"/>
      <c r="D1515" s="5" t="s">
        <v>4252</v>
      </c>
      <c r="E1515" s="5" t="s">
        <v>150</v>
      </c>
      <c r="F1515" s="5" t="s">
        <v>424</v>
      </c>
      <c r="G1515" s="5" t="s">
        <v>148</v>
      </c>
      <c r="H1515" s="5" t="s">
        <v>137</v>
      </c>
      <c r="I1515" s="5" t="s">
        <v>4248</v>
      </c>
      <c r="J1515" s="5" t="s">
        <v>4251</v>
      </c>
    </row>
    <row r="1516" spans="1:10" ht="25.5" x14ac:dyDescent="0.2">
      <c r="A1516" s="5" t="s">
        <v>4250</v>
      </c>
      <c r="B1516" s="5" t="s">
        <v>83</v>
      </c>
      <c r="C1516" s="5"/>
      <c r="D1516" s="5" t="s">
        <v>4249</v>
      </c>
      <c r="E1516" s="5"/>
      <c r="F1516" s="5" t="s">
        <v>424</v>
      </c>
      <c r="G1516" s="5" t="s">
        <v>170</v>
      </c>
      <c r="H1516" s="5" t="s">
        <v>137</v>
      </c>
      <c r="I1516" s="5" t="s">
        <v>4248</v>
      </c>
      <c r="J1516" s="5" t="s">
        <v>4247</v>
      </c>
    </row>
    <row r="1517" spans="1:10" ht="25.5" x14ac:dyDescent="0.2">
      <c r="A1517" s="5" t="s">
        <v>4246</v>
      </c>
      <c r="B1517" s="5" t="s">
        <v>83</v>
      </c>
      <c r="C1517" s="5"/>
      <c r="D1517" s="5" t="s">
        <v>4245</v>
      </c>
      <c r="E1517" s="5"/>
      <c r="F1517" s="5" t="s">
        <v>4231</v>
      </c>
      <c r="G1517" s="5" t="s">
        <v>382</v>
      </c>
      <c r="H1517" s="5" t="s">
        <v>3</v>
      </c>
      <c r="I1517" s="5"/>
      <c r="J1517" s="5" t="s">
        <v>4244</v>
      </c>
    </row>
    <row r="1518" spans="1:10" ht="25.5" x14ac:dyDescent="0.2">
      <c r="A1518" s="5" t="s">
        <v>4243</v>
      </c>
      <c r="B1518" s="5" t="s">
        <v>83</v>
      </c>
      <c r="C1518" s="5"/>
      <c r="D1518" s="5" t="s">
        <v>4242</v>
      </c>
      <c r="E1518" s="5"/>
      <c r="F1518" s="5" t="s">
        <v>4231</v>
      </c>
      <c r="G1518" s="5" t="s">
        <v>382</v>
      </c>
      <c r="H1518" s="5" t="s">
        <v>137</v>
      </c>
      <c r="I1518" s="5" t="s">
        <v>4238</v>
      </c>
      <c r="J1518" s="5" t="s">
        <v>4241</v>
      </c>
    </row>
    <row r="1519" spans="1:10" ht="25.5" x14ac:dyDescent="0.2">
      <c r="A1519" s="5" t="s">
        <v>4240</v>
      </c>
      <c r="B1519" s="5" t="s">
        <v>83</v>
      </c>
      <c r="C1519" s="5"/>
      <c r="D1519" s="5" t="s">
        <v>4239</v>
      </c>
      <c r="E1519" s="5" t="s">
        <v>150</v>
      </c>
      <c r="F1519" s="5" t="s">
        <v>4231</v>
      </c>
      <c r="G1519" s="5" t="s">
        <v>148</v>
      </c>
      <c r="H1519" s="5" t="s">
        <v>137</v>
      </c>
      <c r="I1519" s="5" t="s">
        <v>4238</v>
      </c>
      <c r="J1519" s="5" t="s">
        <v>4237</v>
      </c>
    </row>
    <row r="1520" spans="1:10" x14ac:dyDescent="0.2">
      <c r="A1520" s="5" t="s">
        <v>4236</v>
      </c>
      <c r="B1520" s="5" t="s">
        <v>83</v>
      </c>
      <c r="C1520" s="5"/>
      <c r="D1520" s="5" t="s">
        <v>4235</v>
      </c>
      <c r="E1520" s="5" t="s">
        <v>150</v>
      </c>
      <c r="F1520" s="5" t="s">
        <v>4231</v>
      </c>
      <c r="G1520" s="5" t="s">
        <v>148</v>
      </c>
      <c r="H1520" s="5" t="s">
        <v>3</v>
      </c>
      <c r="I1520" s="5"/>
      <c r="J1520" s="5" t="s">
        <v>4234</v>
      </c>
    </row>
    <row r="1521" spans="1:10" x14ac:dyDescent="0.2">
      <c r="A1521" s="5" t="s">
        <v>4233</v>
      </c>
      <c r="B1521" s="5" t="s">
        <v>83</v>
      </c>
      <c r="C1521" s="5"/>
      <c r="D1521" s="5" t="s">
        <v>4232</v>
      </c>
      <c r="E1521" s="5" t="s">
        <v>150</v>
      </c>
      <c r="F1521" s="5" t="s">
        <v>4231</v>
      </c>
      <c r="G1521" s="5" t="s">
        <v>148</v>
      </c>
      <c r="H1521" s="5" t="s">
        <v>3</v>
      </c>
      <c r="I1521" s="5"/>
      <c r="J1521" s="5" t="s">
        <v>4230</v>
      </c>
    </row>
    <row r="1522" spans="1:10" ht="25.5" x14ac:dyDescent="0.2">
      <c r="A1522" s="5" t="s">
        <v>4229</v>
      </c>
      <c r="B1522" s="5" t="s">
        <v>83</v>
      </c>
      <c r="C1522" s="5"/>
      <c r="D1522" s="5" t="s">
        <v>4228</v>
      </c>
      <c r="E1522" s="5" t="s">
        <v>150</v>
      </c>
      <c r="F1522" s="5" t="s">
        <v>424</v>
      </c>
      <c r="G1522" s="5" t="s">
        <v>148</v>
      </c>
      <c r="H1522" s="5" t="s">
        <v>137</v>
      </c>
      <c r="I1522" s="5" t="s">
        <v>4224</v>
      </c>
      <c r="J1522" s="5" t="s">
        <v>4227</v>
      </c>
    </row>
    <row r="1523" spans="1:10" ht="25.5" x14ac:dyDescent="0.2">
      <c r="A1523" s="5" t="s">
        <v>4226</v>
      </c>
      <c r="B1523" s="5" t="s">
        <v>83</v>
      </c>
      <c r="C1523" s="5"/>
      <c r="D1523" s="5" t="s">
        <v>4225</v>
      </c>
      <c r="E1523" s="5"/>
      <c r="F1523" s="5" t="s">
        <v>424</v>
      </c>
      <c r="G1523" s="5" t="s">
        <v>170</v>
      </c>
      <c r="H1523" s="5" t="s">
        <v>137</v>
      </c>
      <c r="I1523" s="5" t="s">
        <v>4224</v>
      </c>
      <c r="J1523" s="5" t="s">
        <v>4223</v>
      </c>
    </row>
    <row r="1524" spans="1:10" x14ac:dyDescent="0.2">
      <c r="A1524" s="5" t="s">
        <v>4222</v>
      </c>
      <c r="B1524" s="5" t="s">
        <v>83</v>
      </c>
      <c r="C1524" s="5"/>
      <c r="D1524" s="5" t="s">
        <v>4221</v>
      </c>
      <c r="E1524" s="5"/>
      <c r="F1524" s="5" t="s">
        <v>4220</v>
      </c>
      <c r="G1524" s="5" t="s">
        <v>382</v>
      </c>
      <c r="H1524" s="5" t="s">
        <v>3</v>
      </c>
      <c r="I1524" s="5"/>
      <c r="J1524" s="5"/>
    </row>
    <row r="1525" spans="1:10" x14ac:dyDescent="0.2">
      <c r="A1525" s="5" t="s">
        <v>4219</v>
      </c>
      <c r="B1525" s="5" t="s">
        <v>83</v>
      </c>
      <c r="C1525" s="5"/>
      <c r="D1525" s="5" t="s">
        <v>4218</v>
      </c>
      <c r="E1525" s="5"/>
      <c r="F1525" s="5" t="s">
        <v>4204</v>
      </c>
      <c r="G1525" s="5" t="s">
        <v>382</v>
      </c>
      <c r="H1525" s="5" t="s">
        <v>3</v>
      </c>
      <c r="I1525" s="5"/>
      <c r="J1525" s="5" t="s">
        <v>4217</v>
      </c>
    </row>
    <row r="1526" spans="1:10" x14ac:dyDescent="0.2">
      <c r="A1526" s="5" t="s">
        <v>4216</v>
      </c>
      <c r="B1526" s="5" t="s">
        <v>83</v>
      </c>
      <c r="C1526" s="5"/>
      <c r="D1526" s="5" t="s">
        <v>4215</v>
      </c>
      <c r="E1526" s="5"/>
      <c r="F1526" s="5" t="s">
        <v>4204</v>
      </c>
      <c r="G1526" s="5" t="s">
        <v>382</v>
      </c>
      <c r="H1526" s="5" t="s">
        <v>137</v>
      </c>
      <c r="I1526" s="5" t="s">
        <v>4211</v>
      </c>
      <c r="J1526" s="5" t="s">
        <v>4214</v>
      </c>
    </row>
    <row r="1527" spans="1:10" x14ac:dyDescent="0.2">
      <c r="A1527" s="5" t="s">
        <v>4213</v>
      </c>
      <c r="B1527" s="5" t="s">
        <v>83</v>
      </c>
      <c r="C1527" s="5"/>
      <c r="D1527" s="5" t="s">
        <v>4212</v>
      </c>
      <c r="E1527" s="5" t="s">
        <v>150</v>
      </c>
      <c r="F1527" s="5" t="s">
        <v>4204</v>
      </c>
      <c r="G1527" s="5" t="s">
        <v>148</v>
      </c>
      <c r="H1527" s="5" t="s">
        <v>137</v>
      </c>
      <c r="I1527" s="5" t="s">
        <v>4211</v>
      </c>
      <c r="J1527" s="5" t="s">
        <v>4210</v>
      </c>
    </row>
    <row r="1528" spans="1:10" x14ac:dyDescent="0.2">
      <c r="A1528" s="5" t="s">
        <v>4209</v>
      </c>
      <c r="B1528" s="5" t="s">
        <v>83</v>
      </c>
      <c r="C1528" s="5"/>
      <c r="D1528" s="5" t="s">
        <v>4208</v>
      </c>
      <c r="E1528" s="5" t="s">
        <v>150</v>
      </c>
      <c r="F1528" s="5" t="s">
        <v>4204</v>
      </c>
      <c r="G1528" s="5" t="s">
        <v>148</v>
      </c>
      <c r="H1528" s="5" t="s">
        <v>3</v>
      </c>
      <c r="I1528" s="5"/>
      <c r="J1528" s="5" t="s">
        <v>4207</v>
      </c>
    </row>
    <row r="1529" spans="1:10" x14ac:dyDescent="0.2">
      <c r="A1529" s="5" t="s">
        <v>4206</v>
      </c>
      <c r="B1529" s="5" t="s">
        <v>83</v>
      </c>
      <c r="C1529" s="5"/>
      <c r="D1529" s="5" t="s">
        <v>4205</v>
      </c>
      <c r="E1529" s="5" t="s">
        <v>150</v>
      </c>
      <c r="F1529" s="5" t="s">
        <v>4204</v>
      </c>
      <c r="G1529" s="5" t="s">
        <v>148</v>
      </c>
      <c r="H1529" s="5" t="s">
        <v>3</v>
      </c>
      <c r="I1529" s="5"/>
      <c r="J1529" s="5" t="s">
        <v>4203</v>
      </c>
    </row>
    <row r="1530" spans="1:10" ht="25.5" x14ac:dyDescent="0.2">
      <c r="A1530" s="5" t="s">
        <v>4202</v>
      </c>
      <c r="B1530" s="5" t="s">
        <v>83</v>
      </c>
      <c r="C1530" s="5"/>
      <c r="D1530" s="5" t="s">
        <v>4201</v>
      </c>
      <c r="E1530" s="5" t="s">
        <v>150</v>
      </c>
      <c r="F1530" s="5" t="s">
        <v>424</v>
      </c>
      <c r="G1530" s="5" t="s">
        <v>148</v>
      </c>
      <c r="H1530" s="5" t="s">
        <v>137</v>
      </c>
      <c r="I1530" s="5" t="s">
        <v>4197</v>
      </c>
      <c r="J1530" s="5" t="s">
        <v>4200</v>
      </c>
    </row>
    <row r="1531" spans="1:10" ht="25.5" x14ac:dyDescent="0.2">
      <c r="A1531" s="5" t="s">
        <v>4199</v>
      </c>
      <c r="B1531" s="5" t="s">
        <v>83</v>
      </c>
      <c r="C1531" s="5"/>
      <c r="D1531" s="5" t="s">
        <v>4198</v>
      </c>
      <c r="E1531" s="5"/>
      <c r="F1531" s="5" t="s">
        <v>424</v>
      </c>
      <c r="G1531" s="5" t="s">
        <v>170</v>
      </c>
      <c r="H1531" s="5" t="s">
        <v>137</v>
      </c>
      <c r="I1531" s="5" t="s">
        <v>4197</v>
      </c>
      <c r="J1531" s="5" t="s">
        <v>4196</v>
      </c>
    </row>
    <row r="1532" spans="1:10" x14ac:dyDescent="0.2">
      <c r="A1532" s="5" t="s">
        <v>4195</v>
      </c>
      <c r="B1532" s="5" t="s">
        <v>83</v>
      </c>
      <c r="C1532" s="5"/>
      <c r="D1532" s="5" t="s">
        <v>4194</v>
      </c>
      <c r="E1532" s="5"/>
      <c r="F1532" s="5" t="s">
        <v>4180</v>
      </c>
      <c r="G1532" s="5" t="s">
        <v>382</v>
      </c>
      <c r="H1532" s="5" t="s">
        <v>3</v>
      </c>
      <c r="I1532" s="5"/>
      <c r="J1532" s="5" t="s">
        <v>4193</v>
      </c>
    </row>
    <row r="1533" spans="1:10" x14ac:dyDescent="0.2">
      <c r="A1533" s="5" t="s">
        <v>4192</v>
      </c>
      <c r="B1533" s="5" t="s">
        <v>83</v>
      </c>
      <c r="C1533" s="5"/>
      <c r="D1533" s="5" t="s">
        <v>4191</v>
      </c>
      <c r="E1533" s="5"/>
      <c r="F1533" s="5" t="s">
        <v>4180</v>
      </c>
      <c r="G1533" s="5" t="s">
        <v>382</v>
      </c>
      <c r="H1533" s="5" t="s">
        <v>137</v>
      </c>
      <c r="I1533" s="5" t="s">
        <v>4187</v>
      </c>
      <c r="J1533" s="5" t="s">
        <v>4190</v>
      </c>
    </row>
    <row r="1534" spans="1:10" x14ac:dyDescent="0.2">
      <c r="A1534" s="5" t="s">
        <v>4189</v>
      </c>
      <c r="B1534" s="5" t="s">
        <v>83</v>
      </c>
      <c r="C1534" s="5"/>
      <c r="D1534" s="5" t="s">
        <v>4188</v>
      </c>
      <c r="E1534" s="5" t="s">
        <v>150</v>
      </c>
      <c r="F1534" s="5" t="s">
        <v>4180</v>
      </c>
      <c r="G1534" s="5" t="s">
        <v>148</v>
      </c>
      <c r="H1534" s="5" t="s">
        <v>137</v>
      </c>
      <c r="I1534" s="5" t="s">
        <v>4187</v>
      </c>
      <c r="J1534" s="5" t="s">
        <v>4186</v>
      </c>
    </row>
    <row r="1535" spans="1:10" x14ac:dyDescent="0.2">
      <c r="A1535" s="5" t="s">
        <v>4185</v>
      </c>
      <c r="B1535" s="5" t="s">
        <v>83</v>
      </c>
      <c r="C1535" s="5"/>
      <c r="D1535" s="5" t="s">
        <v>4184</v>
      </c>
      <c r="E1535" s="5" t="s">
        <v>150</v>
      </c>
      <c r="F1535" s="5" t="s">
        <v>4180</v>
      </c>
      <c r="G1535" s="5" t="s">
        <v>148</v>
      </c>
      <c r="H1535" s="5" t="s">
        <v>3</v>
      </c>
      <c r="I1535" s="5"/>
      <c r="J1535" s="5" t="s">
        <v>4183</v>
      </c>
    </row>
    <row r="1536" spans="1:10" x14ac:dyDescent="0.2">
      <c r="A1536" s="5" t="s">
        <v>4182</v>
      </c>
      <c r="B1536" s="5" t="s">
        <v>83</v>
      </c>
      <c r="C1536" s="5"/>
      <c r="D1536" s="5" t="s">
        <v>4181</v>
      </c>
      <c r="E1536" s="5" t="s">
        <v>150</v>
      </c>
      <c r="F1536" s="5" t="s">
        <v>4180</v>
      </c>
      <c r="G1536" s="5" t="s">
        <v>148</v>
      </c>
      <c r="H1536" s="5" t="s">
        <v>3</v>
      </c>
      <c r="I1536" s="5"/>
      <c r="J1536" s="5" t="s">
        <v>4179</v>
      </c>
    </row>
    <row r="1537" spans="1:10" ht="25.5" x14ac:dyDescent="0.2">
      <c r="A1537" s="5" t="s">
        <v>4178</v>
      </c>
      <c r="B1537" s="5" t="s">
        <v>83</v>
      </c>
      <c r="C1537" s="5"/>
      <c r="D1537" s="5" t="s">
        <v>4177</v>
      </c>
      <c r="E1537" s="5" t="s">
        <v>150</v>
      </c>
      <c r="F1537" s="5" t="s">
        <v>424</v>
      </c>
      <c r="G1537" s="5" t="s">
        <v>148</v>
      </c>
      <c r="H1537" s="5" t="s">
        <v>137</v>
      </c>
      <c r="I1537" s="5" t="s">
        <v>4149</v>
      </c>
      <c r="J1537" s="5" t="s">
        <v>4176</v>
      </c>
    </row>
    <row r="1538" spans="1:10" ht="25.5" x14ac:dyDescent="0.2">
      <c r="A1538" s="5" t="s">
        <v>4175</v>
      </c>
      <c r="B1538" s="5" t="s">
        <v>83</v>
      </c>
      <c r="C1538" s="5"/>
      <c r="D1538" s="5" t="s">
        <v>4174</v>
      </c>
      <c r="E1538" s="5"/>
      <c r="F1538" s="5" t="s">
        <v>4160</v>
      </c>
      <c r="G1538" s="5" t="s">
        <v>382</v>
      </c>
      <c r="H1538" s="5" t="s">
        <v>3</v>
      </c>
      <c r="I1538" s="5"/>
      <c r="J1538" s="5" t="s">
        <v>4173</v>
      </c>
    </row>
    <row r="1539" spans="1:10" ht="25.5" x14ac:dyDescent="0.2">
      <c r="A1539" s="5" t="s">
        <v>4172</v>
      </c>
      <c r="B1539" s="5" t="s">
        <v>83</v>
      </c>
      <c r="C1539" s="5"/>
      <c r="D1539" s="5" t="s">
        <v>4171</v>
      </c>
      <c r="E1539" s="5"/>
      <c r="F1539" s="5" t="s">
        <v>4160</v>
      </c>
      <c r="G1539" s="5" t="s">
        <v>382</v>
      </c>
      <c r="H1539" s="5" t="s">
        <v>137</v>
      </c>
      <c r="I1539" s="5" t="s">
        <v>4167</v>
      </c>
      <c r="J1539" s="5" t="s">
        <v>4170</v>
      </c>
    </row>
    <row r="1540" spans="1:10" ht="25.5" x14ac:dyDescent="0.2">
      <c r="A1540" s="5" t="s">
        <v>4169</v>
      </c>
      <c r="B1540" s="5" t="s">
        <v>83</v>
      </c>
      <c r="C1540" s="5"/>
      <c r="D1540" s="5" t="s">
        <v>4168</v>
      </c>
      <c r="E1540" s="5" t="s">
        <v>150</v>
      </c>
      <c r="F1540" s="5" t="s">
        <v>4160</v>
      </c>
      <c r="G1540" s="5" t="s">
        <v>148</v>
      </c>
      <c r="H1540" s="5" t="s">
        <v>137</v>
      </c>
      <c r="I1540" s="5" t="s">
        <v>4167</v>
      </c>
      <c r="J1540" s="5" t="s">
        <v>4166</v>
      </c>
    </row>
    <row r="1541" spans="1:10" x14ac:dyDescent="0.2">
      <c r="A1541" s="5" t="s">
        <v>4165</v>
      </c>
      <c r="B1541" s="5" t="s">
        <v>83</v>
      </c>
      <c r="C1541" s="5"/>
      <c r="D1541" s="5" t="s">
        <v>4164</v>
      </c>
      <c r="E1541" s="5" t="s">
        <v>150</v>
      </c>
      <c r="F1541" s="5" t="s">
        <v>4160</v>
      </c>
      <c r="G1541" s="5" t="s">
        <v>148</v>
      </c>
      <c r="H1541" s="5" t="s">
        <v>3</v>
      </c>
      <c r="I1541" s="5"/>
      <c r="J1541" s="5" t="s">
        <v>4163</v>
      </c>
    </row>
    <row r="1542" spans="1:10" x14ac:dyDescent="0.2">
      <c r="A1542" s="5" t="s">
        <v>4162</v>
      </c>
      <c r="B1542" s="5" t="s">
        <v>83</v>
      </c>
      <c r="C1542" s="5"/>
      <c r="D1542" s="5" t="s">
        <v>4161</v>
      </c>
      <c r="E1542" s="5" t="s">
        <v>150</v>
      </c>
      <c r="F1542" s="5" t="s">
        <v>4160</v>
      </c>
      <c r="G1542" s="5" t="s">
        <v>148</v>
      </c>
      <c r="H1542" s="5" t="s">
        <v>3</v>
      </c>
      <c r="I1542" s="5"/>
      <c r="J1542" s="5" t="s">
        <v>4159</v>
      </c>
    </row>
    <row r="1543" spans="1:10" ht="25.5" x14ac:dyDescent="0.2">
      <c r="A1543" s="5" t="s">
        <v>4158</v>
      </c>
      <c r="B1543" s="5" t="s">
        <v>83</v>
      </c>
      <c r="C1543" s="5"/>
      <c r="D1543" s="5" t="s">
        <v>4157</v>
      </c>
      <c r="E1543" s="5" t="s">
        <v>150</v>
      </c>
      <c r="F1543" s="5" t="s">
        <v>424</v>
      </c>
      <c r="G1543" s="5" t="s">
        <v>148</v>
      </c>
      <c r="H1543" s="5" t="s">
        <v>137</v>
      </c>
      <c r="I1543" s="5" t="s">
        <v>4153</v>
      </c>
      <c r="J1543" s="5" t="s">
        <v>4156</v>
      </c>
    </row>
    <row r="1544" spans="1:10" ht="25.5" x14ac:dyDescent="0.2">
      <c r="A1544" s="5" t="s">
        <v>4155</v>
      </c>
      <c r="B1544" s="5" t="s">
        <v>83</v>
      </c>
      <c r="C1544" s="5"/>
      <c r="D1544" s="5" t="s">
        <v>4154</v>
      </c>
      <c r="E1544" s="5"/>
      <c r="F1544" s="5" t="s">
        <v>424</v>
      </c>
      <c r="G1544" s="5" t="s">
        <v>170</v>
      </c>
      <c r="H1544" s="5" t="s">
        <v>137</v>
      </c>
      <c r="I1544" s="5" t="s">
        <v>4153</v>
      </c>
      <c r="J1544" s="5" t="s">
        <v>4152</v>
      </c>
    </row>
    <row r="1545" spans="1:10" ht="25.5" x14ac:dyDescent="0.2">
      <c r="A1545" s="5" t="s">
        <v>4151</v>
      </c>
      <c r="B1545" s="5" t="s">
        <v>83</v>
      </c>
      <c r="C1545" s="5"/>
      <c r="D1545" s="5" t="s">
        <v>4150</v>
      </c>
      <c r="E1545" s="5"/>
      <c r="F1545" s="5" t="s">
        <v>424</v>
      </c>
      <c r="G1545" s="5" t="s">
        <v>170</v>
      </c>
      <c r="H1545" s="5" t="s">
        <v>137</v>
      </c>
      <c r="I1545" s="5" t="s">
        <v>4149</v>
      </c>
      <c r="J1545" s="5" t="s">
        <v>4148</v>
      </c>
    </row>
    <row r="1546" spans="1:10" ht="25.5" x14ac:dyDescent="0.2">
      <c r="A1546" s="5" t="s">
        <v>4147</v>
      </c>
      <c r="B1546" s="5" t="s">
        <v>83</v>
      </c>
      <c r="C1546" s="5"/>
      <c r="D1546" s="5" t="s">
        <v>4146</v>
      </c>
      <c r="E1546" s="5"/>
      <c r="F1546" s="5" t="s">
        <v>4132</v>
      </c>
      <c r="G1546" s="5" t="s">
        <v>382</v>
      </c>
      <c r="H1546" s="5" t="s">
        <v>3</v>
      </c>
      <c r="I1546" s="5"/>
      <c r="J1546" s="5" t="s">
        <v>4145</v>
      </c>
    </row>
    <row r="1547" spans="1:10" x14ac:dyDescent="0.2">
      <c r="A1547" s="5" t="s">
        <v>4144</v>
      </c>
      <c r="B1547" s="5" t="s">
        <v>83</v>
      </c>
      <c r="C1547" s="5"/>
      <c r="D1547" s="5" t="s">
        <v>4143</v>
      </c>
      <c r="E1547" s="5"/>
      <c r="F1547" s="5" t="s">
        <v>4132</v>
      </c>
      <c r="G1547" s="5" t="s">
        <v>382</v>
      </c>
      <c r="H1547" s="5" t="s">
        <v>137</v>
      </c>
      <c r="I1547" s="5" t="s">
        <v>4139</v>
      </c>
      <c r="J1547" s="5" t="s">
        <v>4142</v>
      </c>
    </row>
    <row r="1548" spans="1:10" x14ac:dyDescent="0.2">
      <c r="A1548" s="5" t="s">
        <v>4141</v>
      </c>
      <c r="B1548" s="5" t="s">
        <v>83</v>
      </c>
      <c r="C1548" s="5"/>
      <c r="D1548" s="5" t="s">
        <v>4140</v>
      </c>
      <c r="E1548" s="5" t="s">
        <v>150</v>
      </c>
      <c r="F1548" s="5" t="s">
        <v>4132</v>
      </c>
      <c r="G1548" s="5" t="s">
        <v>148</v>
      </c>
      <c r="H1548" s="5" t="s">
        <v>137</v>
      </c>
      <c r="I1548" s="5" t="s">
        <v>4139</v>
      </c>
      <c r="J1548" s="5" t="s">
        <v>4138</v>
      </c>
    </row>
    <row r="1549" spans="1:10" x14ac:dyDescent="0.2">
      <c r="A1549" s="5" t="s">
        <v>4137</v>
      </c>
      <c r="B1549" s="5" t="s">
        <v>83</v>
      </c>
      <c r="C1549" s="5"/>
      <c r="D1549" s="5" t="s">
        <v>4136</v>
      </c>
      <c r="E1549" s="5" t="s">
        <v>150</v>
      </c>
      <c r="F1549" s="5" t="s">
        <v>4132</v>
      </c>
      <c r="G1549" s="5" t="s">
        <v>148</v>
      </c>
      <c r="H1549" s="5" t="s">
        <v>3</v>
      </c>
      <c r="I1549" s="5"/>
      <c r="J1549" s="5" t="s">
        <v>4135</v>
      </c>
    </row>
    <row r="1550" spans="1:10" x14ac:dyDescent="0.2">
      <c r="A1550" s="5" t="s">
        <v>4134</v>
      </c>
      <c r="B1550" s="5" t="s">
        <v>83</v>
      </c>
      <c r="C1550" s="5"/>
      <c r="D1550" s="5" t="s">
        <v>4133</v>
      </c>
      <c r="E1550" s="5" t="s">
        <v>150</v>
      </c>
      <c r="F1550" s="5" t="s">
        <v>4132</v>
      </c>
      <c r="G1550" s="5" t="s">
        <v>148</v>
      </c>
      <c r="H1550" s="5" t="s">
        <v>3</v>
      </c>
      <c r="I1550" s="5"/>
      <c r="J1550" s="5" t="s">
        <v>4131</v>
      </c>
    </row>
    <row r="1551" spans="1:10" ht="25.5" x14ac:dyDescent="0.2">
      <c r="A1551" s="5" t="s">
        <v>4130</v>
      </c>
      <c r="B1551" s="5" t="s">
        <v>83</v>
      </c>
      <c r="C1551" s="5"/>
      <c r="D1551" s="5" t="s">
        <v>4129</v>
      </c>
      <c r="E1551" s="5" t="s">
        <v>150</v>
      </c>
      <c r="F1551" s="5" t="s">
        <v>424</v>
      </c>
      <c r="G1551" s="5" t="s">
        <v>148</v>
      </c>
      <c r="H1551" s="5" t="s">
        <v>137</v>
      </c>
      <c r="I1551" s="5" t="s">
        <v>4125</v>
      </c>
      <c r="J1551" s="5" t="s">
        <v>4128</v>
      </c>
    </row>
    <row r="1552" spans="1:10" ht="25.5" x14ac:dyDescent="0.2">
      <c r="A1552" s="5" t="s">
        <v>4127</v>
      </c>
      <c r="B1552" s="5" t="s">
        <v>83</v>
      </c>
      <c r="C1552" s="5"/>
      <c r="D1552" s="5" t="s">
        <v>4126</v>
      </c>
      <c r="E1552" s="5"/>
      <c r="F1552" s="5" t="s">
        <v>424</v>
      </c>
      <c r="G1552" s="5" t="s">
        <v>170</v>
      </c>
      <c r="H1552" s="5" t="s">
        <v>137</v>
      </c>
      <c r="I1552" s="5" t="s">
        <v>4125</v>
      </c>
      <c r="J1552" s="5" t="s">
        <v>4124</v>
      </c>
    </row>
    <row r="1553" spans="1:10" x14ac:dyDescent="0.2">
      <c r="A1553" s="5" t="s">
        <v>4123</v>
      </c>
      <c r="B1553" s="5" t="s">
        <v>83</v>
      </c>
      <c r="C1553" s="5"/>
      <c r="D1553" s="5" t="s">
        <v>4122</v>
      </c>
      <c r="E1553" s="5" t="s">
        <v>150</v>
      </c>
      <c r="F1553" s="5" t="s">
        <v>4121</v>
      </c>
      <c r="G1553" s="5" t="s">
        <v>148</v>
      </c>
      <c r="H1553" s="5" t="s">
        <v>137</v>
      </c>
      <c r="I1553" s="5"/>
      <c r="J1553" s="5" t="s">
        <v>4120</v>
      </c>
    </row>
    <row r="1554" spans="1:10" ht="25.5" x14ac:dyDescent="0.2">
      <c r="A1554" s="5" t="s">
        <v>4119</v>
      </c>
      <c r="B1554" s="5" t="s">
        <v>83</v>
      </c>
      <c r="C1554" s="5"/>
      <c r="D1554" s="5" t="s">
        <v>4118</v>
      </c>
      <c r="E1554" s="5"/>
      <c r="F1554" s="5" t="s">
        <v>4104</v>
      </c>
      <c r="G1554" s="5" t="s">
        <v>382</v>
      </c>
      <c r="H1554" s="5" t="s">
        <v>3</v>
      </c>
      <c r="I1554" s="5"/>
      <c r="J1554" s="5" t="s">
        <v>4117</v>
      </c>
    </row>
    <row r="1555" spans="1:10" ht="25.5" x14ac:dyDescent="0.2">
      <c r="A1555" s="5" t="s">
        <v>4116</v>
      </c>
      <c r="B1555" s="5" t="s">
        <v>83</v>
      </c>
      <c r="C1555" s="5"/>
      <c r="D1555" s="5" t="s">
        <v>4115</v>
      </c>
      <c r="E1555" s="5"/>
      <c r="F1555" s="5" t="s">
        <v>4104</v>
      </c>
      <c r="G1555" s="5" t="s">
        <v>382</v>
      </c>
      <c r="H1555" s="5" t="s">
        <v>137</v>
      </c>
      <c r="I1555" s="5" t="s">
        <v>4111</v>
      </c>
      <c r="J1555" s="5" t="s">
        <v>4114</v>
      </c>
    </row>
    <row r="1556" spans="1:10" ht="25.5" x14ac:dyDescent="0.2">
      <c r="A1556" s="5" t="s">
        <v>4113</v>
      </c>
      <c r="B1556" s="5" t="s">
        <v>83</v>
      </c>
      <c r="C1556" s="5"/>
      <c r="D1556" s="5" t="s">
        <v>4112</v>
      </c>
      <c r="E1556" s="5" t="s">
        <v>150</v>
      </c>
      <c r="F1556" s="5" t="s">
        <v>4104</v>
      </c>
      <c r="G1556" s="5" t="s">
        <v>148</v>
      </c>
      <c r="H1556" s="5" t="s">
        <v>137</v>
      </c>
      <c r="I1556" s="5" t="s">
        <v>4111</v>
      </c>
      <c r="J1556" s="5" t="s">
        <v>4110</v>
      </c>
    </row>
    <row r="1557" spans="1:10" x14ac:dyDescent="0.2">
      <c r="A1557" s="5" t="s">
        <v>4109</v>
      </c>
      <c r="B1557" s="5" t="s">
        <v>83</v>
      </c>
      <c r="C1557" s="5"/>
      <c r="D1557" s="5" t="s">
        <v>4108</v>
      </c>
      <c r="E1557" s="5" t="s">
        <v>150</v>
      </c>
      <c r="F1557" s="5" t="s">
        <v>4104</v>
      </c>
      <c r="G1557" s="5" t="s">
        <v>148</v>
      </c>
      <c r="H1557" s="5" t="s">
        <v>3</v>
      </c>
      <c r="I1557" s="5"/>
      <c r="J1557" s="5" t="s">
        <v>4107</v>
      </c>
    </row>
    <row r="1558" spans="1:10" x14ac:dyDescent="0.2">
      <c r="A1558" s="5" t="s">
        <v>4106</v>
      </c>
      <c r="B1558" s="5" t="s">
        <v>83</v>
      </c>
      <c r="C1558" s="5"/>
      <c r="D1558" s="5" t="s">
        <v>4105</v>
      </c>
      <c r="E1558" s="5" t="s">
        <v>150</v>
      </c>
      <c r="F1558" s="5" t="s">
        <v>4104</v>
      </c>
      <c r="G1558" s="5" t="s">
        <v>148</v>
      </c>
      <c r="H1558" s="5" t="s">
        <v>3</v>
      </c>
      <c r="I1558" s="5"/>
      <c r="J1558" s="5" t="s">
        <v>4103</v>
      </c>
    </row>
    <row r="1559" spans="1:10" ht="25.5" x14ac:dyDescent="0.2">
      <c r="A1559" s="5" t="s">
        <v>4102</v>
      </c>
      <c r="B1559" s="5" t="s">
        <v>83</v>
      </c>
      <c r="C1559" s="5"/>
      <c r="D1559" s="5" t="s">
        <v>4101</v>
      </c>
      <c r="E1559" s="5" t="s">
        <v>150</v>
      </c>
      <c r="F1559" s="5" t="s">
        <v>424</v>
      </c>
      <c r="G1559" s="5" t="s">
        <v>148</v>
      </c>
      <c r="H1559" s="5" t="s">
        <v>137</v>
      </c>
      <c r="I1559" s="5" t="s">
        <v>4097</v>
      </c>
      <c r="J1559" s="5" t="s">
        <v>4100</v>
      </c>
    </row>
    <row r="1560" spans="1:10" ht="25.5" x14ac:dyDescent="0.2">
      <c r="A1560" s="5" t="s">
        <v>4099</v>
      </c>
      <c r="B1560" s="5" t="s">
        <v>83</v>
      </c>
      <c r="C1560" s="5"/>
      <c r="D1560" s="5" t="s">
        <v>4098</v>
      </c>
      <c r="E1560" s="5"/>
      <c r="F1560" s="5" t="s">
        <v>424</v>
      </c>
      <c r="G1560" s="5" t="s">
        <v>170</v>
      </c>
      <c r="H1560" s="5" t="s">
        <v>137</v>
      </c>
      <c r="I1560" s="5" t="s">
        <v>4097</v>
      </c>
      <c r="J1560" s="5" t="s">
        <v>4096</v>
      </c>
    </row>
    <row r="1561" spans="1:10" ht="25.5" x14ac:dyDescent="0.2">
      <c r="A1561" s="5" t="s">
        <v>4095</v>
      </c>
      <c r="B1561" s="5" t="s">
        <v>83</v>
      </c>
      <c r="C1561" s="5"/>
      <c r="D1561" s="5" t="s">
        <v>4094</v>
      </c>
      <c r="E1561" s="5" t="s">
        <v>150</v>
      </c>
      <c r="F1561" s="5" t="s">
        <v>424</v>
      </c>
      <c r="G1561" s="5" t="s">
        <v>283</v>
      </c>
      <c r="H1561" s="5" t="s">
        <v>137</v>
      </c>
      <c r="I1561" s="5" t="s">
        <v>4090</v>
      </c>
      <c r="J1561" s="5" t="s">
        <v>4093</v>
      </c>
    </row>
    <row r="1562" spans="1:10" ht="25.5" x14ac:dyDescent="0.2">
      <c r="A1562" s="5" t="s">
        <v>4092</v>
      </c>
      <c r="B1562" s="5" t="s">
        <v>83</v>
      </c>
      <c r="C1562" s="5"/>
      <c r="D1562" s="5" t="s">
        <v>4091</v>
      </c>
      <c r="E1562" s="5"/>
      <c r="F1562" s="5" t="s">
        <v>424</v>
      </c>
      <c r="G1562" s="5" t="s">
        <v>170</v>
      </c>
      <c r="H1562" s="5" t="s">
        <v>137</v>
      </c>
      <c r="I1562" s="5" t="s">
        <v>4090</v>
      </c>
      <c r="J1562" s="5" t="s">
        <v>4089</v>
      </c>
    </row>
    <row r="1563" spans="1:10" ht="25.5" x14ac:dyDescent="0.2">
      <c r="A1563" s="5" t="s">
        <v>4088</v>
      </c>
      <c r="B1563" s="5" t="s">
        <v>83</v>
      </c>
      <c r="C1563" s="5"/>
      <c r="D1563" s="5" t="s">
        <v>4087</v>
      </c>
      <c r="E1563" s="5" t="s">
        <v>138</v>
      </c>
      <c r="F1563" s="5" t="s">
        <v>4086</v>
      </c>
      <c r="G1563" s="5" t="s">
        <v>91</v>
      </c>
      <c r="H1563" s="5" t="s">
        <v>3</v>
      </c>
      <c r="I1563" s="5"/>
      <c r="J1563" s="5" t="s">
        <v>4085</v>
      </c>
    </row>
    <row r="1564" spans="1:10" ht="25.5" x14ac:dyDescent="0.2">
      <c r="A1564" s="5" t="s">
        <v>4084</v>
      </c>
      <c r="B1564" s="5" t="s">
        <v>83</v>
      </c>
      <c r="C1564" s="5"/>
      <c r="D1564" s="5" t="s">
        <v>4083</v>
      </c>
      <c r="E1564" s="5"/>
      <c r="F1564" s="5" t="s">
        <v>4069</v>
      </c>
      <c r="G1564" s="5" t="s">
        <v>382</v>
      </c>
      <c r="H1564" s="5" t="s">
        <v>3</v>
      </c>
      <c r="I1564" s="5"/>
      <c r="J1564" s="5" t="s">
        <v>4082</v>
      </c>
    </row>
    <row r="1565" spans="1:10" ht="25.5" x14ac:dyDescent="0.2">
      <c r="A1565" s="5" t="s">
        <v>4081</v>
      </c>
      <c r="B1565" s="5" t="s">
        <v>83</v>
      </c>
      <c r="C1565" s="5"/>
      <c r="D1565" s="5" t="s">
        <v>4080</v>
      </c>
      <c r="E1565" s="5"/>
      <c r="F1565" s="5" t="s">
        <v>4069</v>
      </c>
      <c r="G1565" s="5" t="s">
        <v>382</v>
      </c>
      <c r="H1565" s="5" t="s">
        <v>137</v>
      </c>
      <c r="I1565" s="5" t="s">
        <v>4076</v>
      </c>
      <c r="J1565" s="5" t="s">
        <v>4079</v>
      </c>
    </row>
    <row r="1566" spans="1:10" ht="25.5" x14ac:dyDescent="0.2">
      <c r="A1566" s="5" t="s">
        <v>4078</v>
      </c>
      <c r="B1566" s="5" t="s">
        <v>83</v>
      </c>
      <c r="C1566" s="5"/>
      <c r="D1566" s="5" t="s">
        <v>4077</v>
      </c>
      <c r="E1566" s="5" t="s">
        <v>150</v>
      </c>
      <c r="F1566" s="5" t="s">
        <v>4069</v>
      </c>
      <c r="G1566" s="5" t="s">
        <v>148</v>
      </c>
      <c r="H1566" s="5" t="s">
        <v>137</v>
      </c>
      <c r="I1566" s="5" t="s">
        <v>4076</v>
      </c>
      <c r="J1566" s="5" t="s">
        <v>4075</v>
      </c>
    </row>
    <row r="1567" spans="1:10" x14ac:dyDescent="0.2">
      <c r="A1567" s="5" t="s">
        <v>4074</v>
      </c>
      <c r="B1567" s="5" t="s">
        <v>83</v>
      </c>
      <c r="C1567" s="5"/>
      <c r="D1567" s="5" t="s">
        <v>4073</v>
      </c>
      <c r="E1567" s="5" t="s">
        <v>150</v>
      </c>
      <c r="F1567" s="5" t="s">
        <v>4069</v>
      </c>
      <c r="G1567" s="5" t="s">
        <v>148</v>
      </c>
      <c r="H1567" s="5" t="s">
        <v>3</v>
      </c>
      <c r="I1567" s="5"/>
      <c r="J1567" s="5" t="s">
        <v>4072</v>
      </c>
    </row>
    <row r="1568" spans="1:10" x14ac:dyDescent="0.2">
      <c r="A1568" s="5" t="s">
        <v>4071</v>
      </c>
      <c r="B1568" s="5" t="s">
        <v>83</v>
      </c>
      <c r="C1568" s="5"/>
      <c r="D1568" s="5" t="s">
        <v>4070</v>
      </c>
      <c r="E1568" s="5" t="s">
        <v>150</v>
      </c>
      <c r="F1568" s="5" t="s">
        <v>4069</v>
      </c>
      <c r="G1568" s="5" t="s">
        <v>148</v>
      </c>
      <c r="H1568" s="5" t="s">
        <v>3</v>
      </c>
      <c r="I1568" s="5"/>
      <c r="J1568" s="5" t="s">
        <v>4068</v>
      </c>
    </row>
    <row r="1569" spans="1:10" ht="25.5" x14ac:dyDescent="0.2">
      <c r="A1569" s="5" t="s">
        <v>4067</v>
      </c>
      <c r="B1569" s="5" t="s">
        <v>83</v>
      </c>
      <c r="C1569" s="5"/>
      <c r="D1569" s="5" t="s">
        <v>4066</v>
      </c>
      <c r="E1569" s="5" t="s">
        <v>150</v>
      </c>
      <c r="F1569" s="5" t="s">
        <v>424</v>
      </c>
      <c r="G1569" s="5" t="s">
        <v>148</v>
      </c>
      <c r="H1569" s="5" t="s">
        <v>137</v>
      </c>
      <c r="I1569" s="5" t="s">
        <v>4062</v>
      </c>
      <c r="J1569" s="5" t="s">
        <v>4065</v>
      </c>
    </row>
    <row r="1570" spans="1:10" ht="25.5" x14ac:dyDescent="0.2">
      <c r="A1570" s="5" t="s">
        <v>4064</v>
      </c>
      <c r="B1570" s="5" t="s">
        <v>83</v>
      </c>
      <c r="C1570" s="5"/>
      <c r="D1570" s="5" t="s">
        <v>4063</v>
      </c>
      <c r="E1570" s="5"/>
      <c r="F1570" s="5" t="s">
        <v>424</v>
      </c>
      <c r="G1570" s="5" t="s">
        <v>170</v>
      </c>
      <c r="H1570" s="5" t="s">
        <v>137</v>
      </c>
      <c r="I1570" s="5" t="s">
        <v>4062</v>
      </c>
      <c r="J1570" s="5" t="s">
        <v>4061</v>
      </c>
    </row>
    <row r="1571" spans="1:10" ht="25.5" x14ac:dyDescent="0.2">
      <c r="A1571" s="5" t="s">
        <v>4060</v>
      </c>
      <c r="B1571" s="5" t="s">
        <v>83</v>
      </c>
      <c r="C1571" s="5"/>
      <c r="D1571" s="5" t="s">
        <v>4059</v>
      </c>
      <c r="E1571" s="5"/>
      <c r="F1571" s="5" t="s">
        <v>4058</v>
      </c>
      <c r="G1571" s="5" t="s">
        <v>4057</v>
      </c>
      <c r="H1571" s="5" t="s">
        <v>3</v>
      </c>
      <c r="I1571" s="5"/>
      <c r="J1571" s="5"/>
    </row>
    <row r="1572" spans="1:10" x14ac:dyDescent="0.2">
      <c r="A1572" s="5" t="s">
        <v>4056</v>
      </c>
      <c r="B1572" s="5" t="s">
        <v>83</v>
      </c>
      <c r="C1572" s="5"/>
      <c r="D1572" s="5" t="s">
        <v>4044</v>
      </c>
      <c r="E1572" s="5"/>
      <c r="F1572" s="5" t="s">
        <v>4009</v>
      </c>
      <c r="G1572" s="5" t="s">
        <v>4</v>
      </c>
      <c r="H1572" s="5" t="s">
        <v>3</v>
      </c>
      <c r="I1572" s="5"/>
      <c r="J1572" s="5"/>
    </row>
    <row r="1573" spans="1:10" x14ac:dyDescent="0.2">
      <c r="A1573" s="5" t="s">
        <v>4055</v>
      </c>
      <c r="B1573" s="5" t="s">
        <v>83</v>
      </c>
      <c r="C1573" s="5"/>
      <c r="D1573" s="5" t="s">
        <v>4054</v>
      </c>
      <c r="E1573" s="5" t="s">
        <v>138</v>
      </c>
      <c r="F1573" s="5" t="s">
        <v>4053</v>
      </c>
      <c r="G1573" s="5" t="s">
        <v>148</v>
      </c>
      <c r="H1573" s="5" t="s">
        <v>3</v>
      </c>
      <c r="I1573" s="5"/>
      <c r="J1573" s="5" t="s">
        <v>4052</v>
      </c>
    </row>
    <row r="1574" spans="1:10" x14ac:dyDescent="0.2">
      <c r="A1574" s="5" t="s">
        <v>4051</v>
      </c>
      <c r="B1574" s="5" t="s">
        <v>83</v>
      </c>
      <c r="C1574" s="5"/>
      <c r="D1574" s="5" t="s">
        <v>4050</v>
      </c>
      <c r="E1574" s="5"/>
      <c r="F1574" s="5" t="s">
        <v>4009</v>
      </c>
      <c r="G1574" s="5" t="s">
        <v>382</v>
      </c>
      <c r="H1574" s="5" t="s">
        <v>137</v>
      </c>
      <c r="I1574" s="5" t="s">
        <v>4039</v>
      </c>
      <c r="J1574" s="5" t="s">
        <v>4049</v>
      </c>
    </row>
    <row r="1575" spans="1:10" ht="25.5" x14ac:dyDescent="0.2">
      <c r="A1575" s="5" t="s">
        <v>4048</v>
      </c>
      <c r="B1575" s="5" t="s">
        <v>83</v>
      </c>
      <c r="C1575" s="5"/>
      <c r="D1575" s="5" t="s">
        <v>4044</v>
      </c>
      <c r="E1575" s="5"/>
      <c r="F1575" s="5" t="s">
        <v>4047</v>
      </c>
      <c r="G1575" s="5" t="s">
        <v>4</v>
      </c>
      <c r="H1575" s="5" t="s">
        <v>3</v>
      </c>
      <c r="I1575" s="5"/>
      <c r="J1575" s="5" t="s">
        <v>4046</v>
      </c>
    </row>
    <row r="1576" spans="1:10" ht="25.5" x14ac:dyDescent="0.2">
      <c r="A1576" s="5" t="s">
        <v>4045</v>
      </c>
      <c r="B1576" s="5" t="s">
        <v>83</v>
      </c>
      <c r="C1576" s="5"/>
      <c r="D1576" s="5" t="s">
        <v>4044</v>
      </c>
      <c r="E1576" s="5"/>
      <c r="F1576" s="5" t="s">
        <v>4043</v>
      </c>
      <c r="G1576" s="5" t="s">
        <v>4</v>
      </c>
      <c r="H1576" s="5" t="s">
        <v>3</v>
      </c>
      <c r="I1576" s="5"/>
      <c r="J1576" s="5" t="s">
        <v>4042</v>
      </c>
    </row>
    <row r="1577" spans="1:10" x14ac:dyDescent="0.2">
      <c r="A1577" s="5" t="s">
        <v>4041</v>
      </c>
      <c r="B1577" s="5" t="s">
        <v>83</v>
      </c>
      <c r="C1577" s="5"/>
      <c r="D1577" s="5" t="s">
        <v>4040</v>
      </c>
      <c r="E1577" s="5" t="s">
        <v>150</v>
      </c>
      <c r="F1577" s="5" t="s">
        <v>4009</v>
      </c>
      <c r="G1577" s="5" t="s">
        <v>148</v>
      </c>
      <c r="H1577" s="5" t="s">
        <v>137</v>
      </c>
      <c r="I1577" s="5" t="s">
        <v>4039</v>
      </c>
      <c r="J1577" s="5" t="s">
        <v>4038</v>
      </c>
    </row>
    <row r="1578" spans="1:10" x14ac:dyDescent="0.2">
      <c r="A1578" s="5" t="s">
        <v>4037</v>
      </c>
      <c r="B1578" s="5" t="s">
        <v>83</v>
      </c>
      <c r="C1578" s="5"/>
      <c r="D1578" s="5" t="s">
        <v>4036</v>
      </c>
      <c r="E1578" s="5" t="s">
        <v>150</v>
      </c>
      <c r="F1578" s="5" t="s">
        <v>4009</v>
      </c>
      <c r="G1578" s="5" t="s">
        <v>148</v>
      </c>
      <c r="H1578" s="5" t="s">
        <v>3</v>
      </c>
      <c r="I1578" s="5"/>
      <c r="J1578" s="5" t="s">
        <v>4035</v>
      </c>
    </row>
    <row r="1579" spans="1:10" x14ac:dyDescent="0.2">
      <c r="A1579" s="5" t="s">
        <v>4034</v>
      </c>
      <c r="B1579" s="5" t="s">
        <v>83</v>
      </c>
      <c r="C1579" s="5"/>
      <c r="D1579" s="5" t="s">
        <v>4033</v>
      </c>
      <c r="E1579" s="5" t="s">
        <v>150</v>
      </c>
      <c r="F1579" s="5" t="s">
        <v>4009</v>
      </c>
      <c r="G1579" s="5" t="s">
        <v>148</v>
      </c>
      <c r="H1579" s="5" t="s">
        <v>3</v>
      </c>
      <c r="I1579" s="5"/>
      <c r="J1579" s="5" t="s">
        <v>4032</v>
      </c>
    </row>
    <row r="1580" spans="1:10" ht="25.5" x14ac:dyDescent="0.2">
      <c r="A1580" s="5" t="s">
        <v>4031</v>
      </c>
      <c r="B1580" s="5" t="s">
        <v>83</v>
      </c>
      <c r="C1580" s="5"/>
      <c r="D1580" s="5" t="s">
        <v>4030</v>
      </c>
      <c r="E1580" s="5"/>
      <c r="F1580" s="5" t="s">
        <v>4029</v>
      </c>
      <c r="G1580" s="5" t="s">
        <v>4028</v>
      </c>
      <c r="H1580" s="5" t="s">
        <v>3</v>
      </c>
      <c r="I1580" s="5"/>
      <c r="J1580" s="5" t="s">
        <v>4027</v>
      </c>
    </row>
    <row r="1581" spans="1:10" ht="25.5" x14ac:dyDescent="0.2">
      <c r="A1581" s="5" t="s">
        <v>4026</v>
      </c>
      <c r="B1581" s="5" t="s">
        <v>83</v>
      </c>
      <c r="C1581" s="5"/>
      <c r="D1581" s="5" t="s">
        <v>4025</v>
      </c>
      <c r="E1581" s="5" t="s">
        <v>150</v>
      </c>
      <c r="F1581" s="5" t="s">
        <v>424</v>
      </c>
      <c r="G1581" s="5" t="s">
        <v>148</v>
      </c>
      <c r="H1581" s="5" t="s">
        <v>137</v>
      </c>
      <c r="I1581" s="5" t="s">
        <v>4021</v>
      </c>
      <c r="J1581" s="5" t="s">
        <v>4024</v>
      </c>
    </row>
    <row r="1582" spans="1:10" ht="25.5" x14ac:dyDescent="0.2">
      <c r="A1582" s="5" t="s">
        <v>4023</v>
      </c>
      <c r="B1582" s="5" t="s">
        <v>83</v>
      </c>
      <c r="C1582" s="5"/>
      <c r="D1582" s="5" t="s">
        <v>4022</v>
      </c>
      <c r="E1582" s="5"/>
      <c r="F1582" s="5" t="s">
        <v>424</v>
      </c>
      <c r="G1582" s="5" t="s">
        <v>170</v>
      </c>
      <c r="H1582" s="5" t="s">
        <v>137</v>
      </c>
      <c r="I1582" s="5" t="s">
        <v>4021</v>
      </c>
      <c r="J1582" s="5" t="s">
        <v>4020</v>
      </c>
    </row>
    <row r="1583" spans="1:10" ht="25.5" x14ac:dyDescent="0.2">
      <c r="A1583" s="5" t="s">
        <v>4019</v>
      </c>
      <c r="B1583" s="5" t="s">
        <v>83</v>
      </c>
      <c r="C1583" s="5"/>
      <c r="D1583" s="5" t="s">
        <v>4018</v>
      </c>
      <c r="E1583" s="5" t="s">
        <v>138</v>
      </c>
      <c r="F1583" s="5" t="s">
        <v>4017</v>
      </c>
      <c r="G1583" s="5" t="s">
        <v>195</v>
      </c>
      <c r="H1583" s="5" t="s">
        <v>3</v>
      </c>
      <c r="I1583" s="5"/>
      <c r="J1583" s="5" t="s">
        <v>4016</v>
      </c>
    </row>
    <row r="1584" spans="1:10" ht="25.5" x14ac:dyDescent="0.2">
      <c r="A1584" s="5" t="s">
        <v>4015</v>
      </c>
      <c r="B1584" s="5" t="s">
        <v>83</v>
      </c>
      <c r="C1584" s="5"/>
      <c r="D1584" s="5" t="s">
        <v>4014</v>
      </c>
      <c r="E1584" s="5" t="s">
        <v>138</v>
      </c>
      <c r="F1584" s="5" t="s">
        <v>4013</v>
      </c>
      <c r="G1584" s="5" t="s">
        <v>195</v>
      </c>
      <c r="H1584" s="5" t="s">
        <v>3</v>
      </c>
      <c r="I1584" s="5"/>
      <c r="J1584" s="5" t="s">
        <v>4012</v>
      </c>
    </row>
    <row r="1585" spans="1:10" ht="25.5" x14ac:dyDescent="0.2">
      <c r="A1585" s="5" t="s">
        <v>4011</v>
      </c>
      <c r="B1585" s="5" t="s">
        <v>83</v>
      </c>
      <c r="C1585" s="5"/>
      <c r="D1585" s="5" t="s">
        <v>4010</v>
      </c>
      <c r="E1585" s="5"/>
      <c r="F1585" s="5" t="s">
        <v>4009</v>
      </c>
      <c r="G1585" s="5" t="s">
        <v>382</v>
      </c>
      <c r="H1585" s="5" t="s">
        <v>3</v>
      </c>
      <c r="I1585" s="5"/>
      <c r="J1585" s="5" t="s">
        <v>4008</v>
      </c>
    </row>
    <row r="1586" spans="1:10" x14ac:dyDescent="0.2">
      <c r="A1586" s="5" t="s">
        <v>4007</v>
      </c>
      <c r="B1586" s="5" t="s">
        <v>83</v>
      </c>
      <c r="C1586" s="5"/>
      <c r="D1586" s="5" t="s">
        <v>4006</v>
      </c>
      <c r="E1586" s="5"/>
      <c r="F1586" s="5" t="s">
        <v>4005</v>
      </c>
      <c r="G1586" s="5" t="s">
        <v>173</v>
      </c>
      <c r="H1586" s="5" t="s">
        <v>3</v>
      </c>
      <c r="I1586" s="5"/>
      <c r="J1586" s="5" t="s">
        <v>4004</v>
      </c>
    </row>
    <row r="1587" spans="1:10" x14ac:dyDescent="0.2">
      <c r="A1587" s="5" t="s">
        <v>4003</v>
      </c>
      <c r="B1587" s="5" t="s">
        <v>83</v>
      </c>
      <c r="C1587" s="5"/>
      <c r="D1587" s="5" t="s">
        <v>4002</v>
      </c>
      <c r="E1587" s="5" t="s">
        <v>150</v>
      </c>
      <c r="F1587" s="5" t="s">
        <v>4001</v>
      </c>
      <c r="G1587" s="5" t="s">
        <v>148</v>
      </c>
      <c r="H1587" s="5" t="s">
        <v>3</v>
      </c>
      <c r="I1587" s="5"/>
      <c r="J1587" s="5" t="s">
        <v>4000</v>
      </c>
    </row>
    <row r="1588" spans="1:10" ht="25.5" x14ac:dyDescent="0.2">
      <c r="A1588" s="5" t="s">
        <v>3999</v>
      </c>
      <c r="B1588" s="5" t="s">
        <v>83</v>
      </c>
      <c r="C1588" s="5"/>
      <c r="D1588" s="5" t="s">
        <v>3998</v>
      </c>
      <c r="E1588" s="5"/>
      <c r="F1588" s="5" t="s">
        <v>3997</v>
      </c>
      <c r="G1588" s="5" t="s">
        <v>4</v>
      </c>
      <c r="H1588" s="5" t="s">
        <v>3</v>
      </c>
      <c r="I1588" s="5"/>
      <c r="J1588" s="5" t="s">
        <v>3996</v>
      </c>
    </row>
    <row r="1589" spans="1:10" ht="25.5" x14ac:dyDescent="0.2">
      <c r="A1589" s="5" t="s">
        <v>3995</v>
      </c>
      <c r="B1589" s="5" t="s">
        <v>83</v>
      </c>
      <c r="C1589" s="5"/>
      <c r="D1589" s="5" t="s">
        <v>3994</v>
      </c>
      <c r="E1589" s="5"/>
      <c r="F1589" s="5" t="s">
        <v>3980</v>
      </c>
      <c r="G1589" s="5" t="s">
        <v>382</v>
      </c>
      <c r="H1589" s="5" t="s">
        <v>3</v>
      </c>
      <c r="I1589" s="5"/>
      <c r="J1589" s="5" t="s">
        <v>3993</v>
      </c>
    </row>
    <row r="1590" spans="1:10" ht="25.5" x14ac:dyDescent="0.2">
      <c r="A1590" s="5" t="s">
        <v>3992</v>
      </c>
      <c r="B1590" s="5" t="s">
        <v>83</v>
      </c>
      <c r="C1590" s="5"/>
      <c r="D1590" s="5" t="s">
        <v>3991</v>
      </c>
      <c r="E1590" s="5"/>
      <c r="F1590" s="5" t="s">
        <v>3980</v>
      </c>
      <c r="G1590" s="5" t="s">
        <v>382</v>
      </c>
      <c r="H1590" s="5" t="s">
        <v>137</v>
      </c>
      <c r="I1590" s="5" t="s">
        <v>3987</v>
      </c>
      <c r="J1590" s="5" t="s">
        <v>3990</v>
      </c>
    </row>
    <row r="1591" spans="1:10" ht="25.5" x14ac:dyDescent="0.2">
      <c r="A1591" s="5" t="s">
        <v>3989</v>
      </c>
      <c r="B1591" s="5" t="s">
        <v>83</v>
      </c>
      <c r="C1591" s="5"/>
      <c r="D1591" s="5" t="s">
        <v>3988</v>
      </c>
      <c r="E1591" s="5" t="s">
        <v>150</v>
      </c>
      <c r="F1591" s="5" t="s">
        <v>3980</v>
      </c>
      <c r="G1591" s="5" t="s">
        <v>148</v>
      </c>
      <c r="H1591" s="5" t="s">
        <v>137</v>
      </c>
      <c r="I1591" s="5" t="s">
        <v>3987</v>
      </c>
      <c r="J1591" s="5" t="s">
        <v>3986</v>
      </c>
    </row>
    <row r="1592" spans="1:10" x14ac:dyDescent="0.2">
      <c r="A1592" s="5" t="s">
        <v>3985</v>
      </c>
      <c r="B1592" s="5" t="s">
        <v>83</v>
      </c>
      <c r="C1592" s="5"/>
      <c r="D1592" s="5" t="s">
        <v>3984</v>
      </c>
      <c r="E1592" s="5" t="s">
        <v>150</v>
      </c>
      <c r="F1592" s="5" t="s">
        <v>3980</v>
      </c>
      <c r="G1592" s="5" t="s">
        <v>148</v>
      </c>
      <c r="H1592" s="5" t="s">
        <v>3</v>
      </c>
      <c r="I1592" s="5"/>
      <c r="J1592" s="5" t="s">
        <v>3983</v>
      </c>
    </row>
    <row r="1593" spans="1:10" x14ac:dyDescent="0.2">
      <c r="A1593" s="5" t="s">
        <v>3982</v>
      </c>
      <c r="B1593" s="5" t="s">
        <v>83</v>
      </c>
      <c r="C1593" s="5"/>
      <c r="D1593" s="5" t="s">
        <v>3981</v>
      </c>
      <c r="E1593" s="5" t="s">
        <v>150</v>
      </c>
      <c r="F1593" s="5" t="s">
        <v>3980</v>
      </c>
      <c r="G1593" s="5" t="s">
        <v>148</v>
      </c>
      <c r="H1593" s="5" t="s">
        <v>3</v>
      </c>
      <c r="I1593" s="5"/>
      <c r="J1593" s="5" t="s">
        <v>3979</v>
      </c>
    </row>
    <row r="1594" spans="1:10" ht="25.5" x14ac:dyDescent="0.2">
      <c r="A1594" s="5" t="s">
        <v>3978</v>
      </c>
      <c r="B1594" s="5" t="s">
        <v>83</v>
      </c>
      <c r="C1594" s="5"/>
      <c r="D1594" s="5" t="s">
        <v>3977</v>
      </c>
      <c r="E1594" s="5" t="s">
        <v>150</v>
      </c>
      <c r="F1594" s="5" t="s">
        <v>424</v>
      </c>
      <c r="G1594" s="5" t="s">
        <v>148</v>
      </c>
      <c r="H1594" s="5" t="s">
        <v>137</v>
      </c>
      <c r="I1594" s="5" t="s">
        <v>3949</v>
      </c>
      <c r="J1594" s="5" t="s">
        <v>3976</v>
      </c>
    </row>
    <row r="1595" spans="1:10" ht="25.5" x14ac:dyDescent="0.2">
      <c r="A1595" s="5" t="s">
        <v>3975</v>
      </c>
      <c r="B1595" s="5" t="s">
        <v>83</v>
      </c>
      <c r="C1595" s="5"/>
      <c r="D1595" s="5" t="s">
        <v>3974</v>
      </c>
      <c r="E1595" s="5"/>
      <c r="F1595" s="5" t="s">
        <v>3960</v>
      </c>
      <c r="G1595" s="5" t="s">
        <v>382</v>
      </c>
      <c r="H1595" s="5" t="s">
        <v>3</v>
      </c>
      <c r="I1595" s="5"/>
      <c r="J1595" s="5" t="s">
        <v>3973</v>
      </c>
    </row>
    <row r="1596" spans="1:10" ht="25.5" x14ac:dyDescent="0.2">
      <c r="A1596" s="5" t="s">
        <v>3972</v>
      </c>
      <c r="B1596" s="5" t="s">
        <v>83</v>
      </c>
      <c r="C1596" s="5"/>
      <c r="D1596" s="5" t="s">
        <v>3971</v>
      </c>
      <c r="E1596" s="5"/>
      <c r="F1596" s="5" t="s">
        <v>3960</v>
      </c>
      <c r="G1596" s="5" t="s">
        <v>382</v>
      </c>
      <c r="H1596" s="5" t="s">
        <v>137</v>
      </c>
      <c r="I1596" s="5" t="s">
        <v>3967</v>
      </c>
      <c r="J1596" s="5" t="s">
        <v>3970</v>
      </c>
    </row>
    <row r="1597" spans="1:10" ht="25.5" x14ac:dyDescent="0.2">
      <c r="A1597" s="5" t="s">
        <v>3969</v>
      </c>
      <c r="B1597" s="5" t="s">
        <v>83</v>
      </c>
      <c r="C1597" s="5"/>
      <c r="D1597" s="5" t="s">
        <v>3968</v>
      </c>
      <c r="E1597" s="5" t="s">
        <v>150</v>
      </c>
      <c r="F1597" s="5" t="s">
        <v>3960</v>
      </c>
      <c r="G1597" s="5" t="s">
        <v>148</v>
      </c>
      <c r="H1597" s="5" t="s">
        <v>137</v>
      </c>
      <c r="I1597" s="5" t="s">
        <v>3967</v>
      </c>
      <c r="J1597" s="5" t="s">
        <v>3966</v>
      </c>
    </row>
    <row r="1598" spans="1:10" x14ac:dyDescent="0.2">
      <c r="A1598" s="5" t="s">
        <v>3965</v>
      </c>
      <c r="B1598" s="5" t="s">
        <v>83</v>
      </c>
      <c r="C1598" s="5"/>
      <c r="D1598" s="5" t="s">
        <v>3964</v>
      </c>
      <c r="E1598" s="5" t="s">
        <v>150</v>
      </c>
      <c r="F1598" s="5" t="s">
        <v>3960</v>
      </c>
      <c r="G1598" s="5" t="s">
        <v>148</v>
      </c>
      <c r="H1598" s="5" t="s">
        <v>3</v>
      </c>
      <c r="I1598" s="5"/>
      <c r="J1598" s="5" t="s">
        <v>3963</v>
      </c>
    </row>
    <row r="1599" spans="1:10" x14ac:dyDescent="0.2">
      <c r="A1599" s="5" t="s">
        <v>3962</v>
      </c>
      <c r="B1599" s="5" t="s">
        <v>83</v>
      </c>
      <c r="C1599" s="5"/>
      <c r="D1599" s="5" t="s">
        <v>3961</v>
      </c>
      <c r="E1599" s="5" t="s">
        <v>150</v>
      </c>
      <c r="F1599" s="5" t="s">
        <v>3960</v>
      </c>
      <c r="G1599" s="5" t="s">
        <v>148</v>
      </c>
      <c r="H1599" s="5" t="s">
        <v>3</v>
      </c>
      <c r="I1599" s="5"/>
      <c r="J1599" s="5" t="s">
        <v>3959</v>
      </c>
    </row>
    <row r="1600" spans="1:10" ht="25.5" x14ac:dyDescent="0.2">
      <c r="A1600" s="5" t="s">
        <v>3958</v>
      </c>
      <c r="B1600" s="5" t="s">
        <v>83</v>
      </c>
      <c r="C1600" s="5"/>
      <c r="D1600" s="5" t="s">
        <v>3957</v>
      </c>
      <c r="E1600" s="5" t="s">
        <v>150</v>
      </c>
      <c r="F1600" s="5" t="s">
        <v>424</v>
      </c>
      <c r="G1600" s="5" t="s">
        <v>148</v>
      </c>
      <c r="H1600" s="5" t="s">
        <v>137</v>
      </c>
      <c r="I1600" s="5" t="s">
        <v>3953</v>
      </c>
      <c r="J1600" s="5" t="s">
        <v>3956</v>
      </c>
    </row>
    <row r="1601" spans="1:10" ht="25.5" x14ac:dyDescent="0.2">
      <c r="A1601" s="5" t="s">
        <v>3955</v>
      </c>
      <c r="B1601" s="5" t="s">
        <v>83</v>
      </c>
      <c r="C1601" s="5"/>
      <c r="D1601" s="5" t="s">
        <v>3954</v>
      </c>
      <c r="E1601" s="5"/>
      <c r="F1601" s="5" t="s">
        <v>424</v>
      </c>
      <c r="G1601" s="5" t="s">
        <v>170</v>
      </c>
      <c r="H1601" s="5" t="s">
        <v>137</v>
      </c>
      <c r="I1601" s="5" t="s">
        <v>3953</v>
      </c>
      <c r="J1601" s="5" t="s">
        <v>3952</v>
      </c>
    </row>
    <row r="1602" spans="1:10" ht="25.5" x14ac:dyDescent="0.2">
      <c r="A1602" s="5" t="s">
        <v>3951</v>
      </c>
      <c r="B1602" s="5" t="s">
        <v>83</v>
      </c>
      <c r="C1602" s="5"/>
      <c r="D1602" s="5" t="s">
        <v>3950</v>
      </c>
      <c r="E1602" s="5"/>
      <c r="F1602" s="5" t="s">
        <v>424</v>
      </c>
      <c r="G1602" s="5" t="s">
        <v>170</v>
      </c>
      <c r="H1602" s="5" t="s">
        <v>137</v>
      </c>
      <c r="I1602" s="5" t="s">
        <v>3949</v>
      </c>
      <c r="J1602" s="5" t="s">
        <v>3948</v>
      </c>
    </row>
    <row r="1603" spans="1:10" x14ac:dyDescent="0.2">
      <c r="A1603" s="5" t="s">
        <v>1094</v>
      </c>
      <c r="B1603" s="5" t="s">
        <v>83</v>
      </c>
      <c r="C1603" s="5"/>
      <c r="D1603" s="5" t="s">
        <v>3940</v>
      </c>
      <c r="E1603" s="5"/>
      <c r="F1603" s="5" t="s">
        <v>1094</v>
      </c>
      <c r="G1603" s="5" t="s">
        <v>382</v>
      </c>
      <c r="H1603" s="5" t="s">
        <v>3</v>
      </c>
      <c r="I1603" s="5"/>
      <c r="J1603" s="5"/>
    </row>
    <row r="1604" spans="1:10" ht="25.5" x14ac:dyDescent="0.2">
      <c r="A1604" s="5" t="s">
        <v>3947</v>
      </c>
      <c r="B1604" s="5" t="s">
        <v>83</v>
      </c>
      <c r="C1604" s="5"/>
      <c r="D1604" s="5" t="s">
        <v>3946</v>
      </c>
      <c r="E1604" s="5"/>
      <c r="F1604" s="5" t="s">
        <v>1094</v>
      </c>
      <c r="G1604" s="5" t="s">
        <v>173</v>
      </c>
      <c r="H1604" s="5" t="s">
        <v>3</v>
      </c>
      <c r="I1604" s="5"/>
      <c r="J1604" s="5" t="s">
        <v>3945</v>
      </c>
    </row>
    <row r="1605" spans="1:10" x14ac:dyDescent="0.2">
      <c r="A1605" s="5" t="s">
        <v>3944</v>
      </c>
      <c r="B1605" s="5" t="s">
        <v>83</v>
      </c>
      <c r="C1605" s="5"/>
      <c r="D1605" s="5" t="s">
        <v>3943</v>
      </c>
      <c r="E1605" s="5" t="s">
        <v>150</v>
      </c>
      <c r="F1605" s="5" t="s">
        <v>1105</v>
      </c>
      <c r="G1605" s="5" t="s">
        <v>148</v>
      </c>
      <c r="H1605" s="5" t="s">
        <v>3</v>
      </c>
      <c r="I1605" s="5"/>
      <c r="J1605" s="5" t="s">
        <v>3942</v>
      </c>
    </row>
    <row r="1606" spans="1:10" ht="25.5" x14ac:dyDescent="0.2">
      <c r="A1606" s="5" t="s">
        <v>3941</v>
      </c>
      <c r="B1606" s="5" t="s">
        <v>83</v>
      </c>
      <c r="C1606" s="5"/>
      <c r="D1606" s="5" t="s">
        <v>3940</v>
      </c>
      <c r="E1606" s="5"/>
      <c r="F1606" s="5" t="s">
        <v>1094</v>
      </c>
      <c r="G1606" s="5" t="s">
        <v>502</v>
      </c>
      <c r="H1606" s="5" t="s">
        <v>3</v>
      </c>
      <c r="I1606" s="5"/>
      <c r="J1606" s="5" t="s">
        <v>1092</v>
      </c>
    </row>
    <row r="1607" spans="1:10" x14ac:dyDescent="0.2">
      <c r="A1607" s="5" t="s">
        <v>3939</v>
      </c>
      <c r="B1607" s="5" t="s">
        <v>83</v>
      </c>
      <c r="C1607" s="5"/>
      <c r="D1607" s="5" t="s">
        <v>3938</v>
      </c>
      <c r="E1607" s="5"/>
      <c r="F1607" s="5" t="s">
        <v>397</v>
      </c>
      <c r="G1607" s="5" t="s">
        <v>181</v>
      </c>
      <c r="H1607" s="5" t="s">
        <v>3</v>
      </c>
      <c r="I1607" s="5"/>
      <c r="J1607" s="5" t="s">
        <v>96</v>
      </c>
    </row>
    <row r="1608" spans="1:10" ht="25.5" x14ac:dyDescent="0.2">
      <c r="A1608" s="5" t="s">
        <v>3936</v>
      </c>
      <c r="B1608" s="5" t="s">
        <v>83</v>
      </c>
      <c r="C1608" s="5"/>
      <c r="D1608" s="5" t="s">
        <v>3937</v>
      </c>
      <c r="E1608" s="5" t="s">
        <v>93</v>
      </c>
      <c r="F1608" s="5" t="s">
        <v>3936</v>
      </c>
      <c r="G1608" s="5" t="s">
        <v>181</v>
      </c>
      <c r="H1608" s="5" t="s">
        <v>3</v>
      </c>
      <c r="I1608" s="5"/>
      <c r="J1608" s="5" t="s">
        <v>96</v>
      </c>
    </row>
    <row r="1609" spans="1:10" ht="25.5" x14ac:dyDescent="0.2">
      <c r="A1609" s="5" t="s">
        <v>3935</v>
      </c>
      <c r="B1609" s="5" t="s">
        <v>83</v>
      </c>
      <c r="C1609" s="5"/>
      <c r="D1609" s="5" t="s">
        <v>3934</v>
      </c>
      <c r="E1609" s="5"/>
      <c r="F1609" s="5" t="s">
        <v>3920</v>
      </c>
      <c r="G1609" s="5" t="s">
        <v>382</v>
      </c>
      <c r="H1609" s="5" t="s">
        <v>3</v>
      </c>
      <c r="I1609" s="5"/>
      <c r="J1609" s="5" t="s">
        <v>3933</v>
      </c>
    </row>
    <row r="1610" spans="1:10" ht="25.5" x14ac:dyDescent="0.2">
      <c r="A1610" s="5" t="s">
        <v>3932</v>
      </c>
      <c r="B1610" s="5" t="s">
        <v>83</v>
      </c>
      <c r="C1610" s="5"/>
      <c r="D1610" s="5" t="s">
        <v>3931</v>
      </c>
      <c r="E1610" s="5"/>
      <c r="F1610" s="5" t="s">
        <v>3920</v>
      </c>
      <c r="G1610" s="5" t="s">
        <v>382</v>
      </c>
      <c r="H1610" s="5" t="s">
        <v>137</v>
      </c>
      <c r="I1610" s="5" t="s">
        <v>3927</v>
      </c>
      <c r="J1610" s="5" t="s">
        <v>3930</v>
      </c>
    </row>
    <row r="1611" spans="1:10" ht="25.5" x14ac:dyDescent="0.2">
      <c r="A1611" s="5" t="s">
        <v>3929</v>
      </c>
      <c r="B1611" s="5" t="s">
        <v>83</v>
      </c>
      <c r="C1611" s="5"/>
      <c r="D1611" s="5" t="s">
        <v>3928</v>
      </c>
      <c r="E1611" s="5" t="s">
        <v>150</v>
      </c>
      <c r="F1611" s="5" t="s">
        <v>3920</v>
      </c>
      <c r="G1611" s="5" t="s">
        <v>148</v>
      </c>
      <c r="H1611" s="5" t="s">
        <v>137</v>
      </c>
      <c r="I1611" s="5" t="s">
        <v>3927</v>
      </c>
      <c r="J1611" s="5" t="s">
        <v>3926</v>
      </c>
    </row>
    <row r="1612" spans="1:10" x14ac:dyDescent="0.2">
      <c r="A1612" s="5" t="s">
        <v>3925</v>
      </c>
      <c r="B1612" s="5" t="s">
        <v>83</v>
      </c>
      <c r="C1612" s="5"/>
      <c r="D1612" s="5" t="s">
        <v>3924</v>
      </c>
      <c r="E1612" s="5" t="s">
        <v>150</v>
      </c>
      <c r="F1612" s="5" t="s">
        <v>3920</v>
      </c>
      <c r="G1612" s="5" t="s">
        <v>148</v>
      </c>
      <c r="H1612" s="5" t="s">
        <v>3</v>
      </c>
      <c r="I1612" s="5"/>
      <c r="J1612" s="5" t="s">
        <v>3923</v>
      </c>
    </row>
    <row r="1613" spans="1:10" x14ac:dyDescent="0.2">
      <c r="A1613" s="5" t="s">
        <v>3922</v>
      </c>
      <c r="B1613" s="5" t="s">
        <v>83</v>
      </c>
      <c r="C1613" s="5"/>
      <c r="D1613" s="5" t="s">
        <v>3921</v>
      </c>
      <c r="E1613" s="5" t="s">
        <v>150</v>
      </c>
      <c r="F1613" s="5" t="s">
        <v>3920</v>
      </c>
      <c r="G1613" s="5" t="s">
        <v>148</v>
      </c>
      <c r="H1613" s="5" t="s">
        <v>3</v>
      </c>
      <c r="I1613" s="5"/>
      <c r="J1613" s="5" t="s">
        <v>3919</v>
      </c>
    </row>
    <row r="1614" spans="1:10" ht="25.5" x14ac:dyDescent="0.2">
      <c r="A1614" s="5" t="s">
        <v>3918</v>
      </c>
      <c r="B1614" s="5" t="s">
        <v>83</v>
      </c>
      <c r="C1614" s="5"/>
      <c r="D1614" s="5" t="s">
        <v>3917</v>
      </c>
      <c r="E1614" s="5" t="s">
        <v>150</v>
      </c>
      <c r="F1614" s="5" t="s">
        <v>424</v>
      </c>
      <c r="G1614" s="5" t="s">
        <v>148</v>
      </c>
      <c r="H1614" s="5" t="s">
        <v>137</v>
      </c>
      <c r="I1614" s="5" t="s">
        <v>3913</v>
      </c>
      <c r="J1614" s="5" t="s">
        <v>3916</v>
      </c>
    </row>
    <row r="1615" spans="1:10" ht="25.5" x14ac:dyDescent="0.2">
      <c r="A1615" s="5" t="s">
        <v>3915</v>
      </c>
      <c r="B1615" s="5" t="s">
        <v>83</v>
      </c>
      <c r="C1615" s="5"/>
      <c r="D1615" s="5" t="s">
        <v>3914</v>
      </c>
      <c r="E1615" s="5"/>
      <c r="F1615" s="5" t="s">
        <v>424</v>
      </c>
      <c r="G1615" s="5" t="s">
        <v>170</v>
      </c>
      <c r="H1615" s="5" t="s">
        <v>137</v>
      </c>
      <c r="I1615" s="5" t="s">
        <v>3913</v>
      </c>
      <c r="J1615" s="5" t="s">
        <v>3912</v>
      </c>
    </row>
    <row r="1616" spans="1:10" ht="25.5" x14ac:dyDescent="0.2">
      <c r="A1616" s="5" t="s">
        <v>3911</v>
      </c>
      <c r="B1616" s="5" t="s">
        <v>83</v>
      </c>
      <c r="C1616" s="5"/>
      <c r="D1616" s="5" t="s">
        <v>3910</v>
      </c>
      <c r="E1616" s="5"/>
      <c r="F1616" s="5" t="s">
        <v>3896</v>
      </c>
      <c r="G1616" s="5" t="s">
        <v>382</v>
      </c>
      <c r="H1616" s="5" t="s">
        <v>3</v>
      </c>
      <c r="I1616" s="5"/>
      <c r="J1616" s="5" t="s">
        <v>3909</v>
      </c>
    </row>
    <row r="1617" spans="1:10" ht="25.5" x14ac:dyDescent="0.2">
      <c r="A1617" s="5" t="s">
        <v>3908</v>
      </c>
      <c r="B1617" s="5" t="s">
        <v>83</v>
      </c>
      <c r="C1617" s="5"/>
      <c r="D1617" s="5" t="s">
        <v>3907</v>
      </c>
      <c r="E1617" s="5"/>
      <c r="F1617" s="5" t="s">
        <v>3896</v>
      </c>
      <c r="G1617" s="5" t="s">
        <v>382</v>
      </c>
      <c r="H1617" s="5" t="s">
        <v>137</v>
      </c>
      <c r="I1617" s="5" t="s">
        <v>3903</v>
      </c>
      <c r="J1617" s="5" t="s">
        <v>3906</v>
      </c>
    </row>
    <row r="1618" spans="1:10" ht="25.5" x14ac:dyDescent="0.2">
      <c r="A1618" s="5" t="s">
        <v>3905</v>
      </c>
      <c r="B1618" s="5" t="s">
        <v>83</v>
      </c>
      <c r="C1618" s="5"/>
      <c r="D1618" s="5" t="s">
        <v>3904</v>
      </c>
      <c r="E1618" s="5" t="s">
        <v>150</v>
      </c>
      <c r="F1618" s="5" t="s">
        <v>3896</v>
      </c>
      <c r="G1618" s="5" t="s">
        <v>148</v>
      </c>
      <c r="H1618" s="5" t="s">
        <v>137</v>
      </c>
      <c r="I1618" s="5" t="s">
        <v>3903</v>
      </c>
      <c r="J1618" s="5" t="s">
        <v>3902</v>
      </c>
    </row>
    <row r="1619" spans="1:10" x14ac:dyDescent="0.2">
      <c r="A1619" s="5" t="s">
        <v>3901</v>
      </c>
      <c r="B1619" s="5" t="s">
        <v>83</v>
      </c>
      <c r="C1619" s="5"/>
      <c r="D1619" s="5" t="s">
        <v>3900</v>
      </c>
      <c r="E1619" s="5" t="s">
        <v>150</v>
      </c>
      <c r="F1619" s="5" t="s">
        <v>3896</v>
      </c>
      <c r="G1619" s="5" t="s">
        <v>148</v>
      </c>
      <c r="H1619" s="5" t="s">
        <v>3</v>
      </c>
      <c r="I1619" s="5"/>
      <c r="J1619" s="5" t="s">
        <v>3899</v>
      </c>
    </row>
    <row r="1620" spans="1:10" x14ac:dyDescent="0.2">
      <c r="A1620" s="5" t="s">
        <v>3898</v>
      </c>
      <c r="B1620" s="5" t="s">
        <v>83</v>
      </c>
      <c r="C1620" s="5"/>
      <c r="D1620" s="5" t="s">
        <v>3897</v>
      </c>
      <c r="E1620" s="5" t="s">
        <v>150</v>
      </c>
      <c r="F1620" s="5" t="s">
        <v>3896</v>
      </c>
      <c r="G1620" s="5" t="s">
        <v>148</v>
      </c>
      <c r="H1620" s="5" t="s">
        <v>3</v>
      </c>
      <c r="I1620" s="5"/>
      <c r="J1620" s="5" t="s">
        <v>3895</v>
      </c>
    </row>
    <row r="1621" spans="1:10" ht="25.5" x14ac:dyDescent="0.2">
      <c r="A1621" s="5" t="s">
        <v>3894</v>
      </c>
      <c r="B1621" s="5" t="s">
        <v>83</v>
      </c>
      <c r="C1621" s="5"/>
      <c r="D1621" s="5" t="s">
        <v>3893</v>
      </c>
      <c r="E1621" s="5" t="s">
        <v>150</v>
      </c>
      <c r="F1621" s="5" t="s">
        <v>424</v>
      </c>
      <c r="G1621" s="5" t="s">
        <v>148</v>
      </c>
      <c r="H1621" s="5" t="s">
        <v>137</v>
      </c>
      <c r="I1621" s="5" t="s">
        <v>3889</v>
      </c>
      <c r="J1621" s="5" t="s">
        <v>3892</v>
      </c>
    </row>
    <row r="1622" spans="1:10" ht="25.5" x14ac:dyDescent="0.2">
      <c r="A1622" s="5" t="s">
        <v>3891</v>
      </c>
      <c r="B1622" s="5" t="s">
        <v>83</v>
      </c>
      <c r="C1622" s="5"/>
      <c r="D1622" s="5" t="s">
        <v>3890</v>
      </c>
      <c r="E1622" s="5"/>
      <c r="F1622" s="5" t="s">
        <v>424</v>
      </c>
      <c r="G1622" s="5" t="s">
        <v>170</v>
      </c>
      <c r="H1622" s="5" t="s">
        <v>137</v>
      </c>
      <c r="I1622" s="5" t="s">
        <v>3889</v>
      </c>
      <c r="J1622" s="5" t="s">
        <v>3888</v>
      </c>
    </row>
    <row r="1623" spans="1:10" ht="25.5" x14ac:dyDescent="0.2">
      <c r="A1623" s="5" t="s">
        <v>3887</v>
      </c>
      <c r="B1623" s="5" t="s">
        <v>83</v>
      </c>
      <c r="C1623" s="5"/>
      <c r="D1623" s="5" t="s">
        <v>3886</v>
      </c>
      <c r="E1623" s="5"/>
      <c r="F1623" s="5" t="s">
        <v>1699</v>
      </c>
      <c r="G1623" s="5" t="s">
        <v>382</v>
      </c>
      <c r="H1623" s="5" t="s">
        <v>3</v>
      </c>
      <c r="I1623" s="5"/>
      <c r="J1623" s="5" t="s">
        <v>1718</v>
      </c>
    </row>
    <row r="1624" spans="1:10" ht="25.5" x14ac:dyDescent="0.2">
      <c r="A1624" s="5" t="s">
        <v>3885</v>
      </c>
      <c r="B1624" s="5" t="s">
        <v>83</v>
      </c>
      <c r="C1624" s="5"/>
      <c r="D1624" s="5" t="s">
        <v>3884</v>
      </c>
      <c r="E1624" s="5"/>
      <c r="F1624" s="5" t="s">
        <v>3870</v>
      </c>
      <c r="G1624" s="5" t="s">
        <v>382</v>
      </c>
      <c r="H1624" s="5" t="s">
        <v>3</v>
      </c>
      <c r="I1624" s="5"/>
      <c r="J1624" s="5" t="s">
        <v>3883</v>
      </c>
    </row>
    <row r="1625" spans="1:10" ht="38.25" x14ac:dyDescent="0.2">
      <c r="A1625" s="5" t="s">
        <v>3882</v>
      </c>
      <c r="B1625" s="5" t="s">
        <v>83</v>
      </c>
      <c r="C1625" s="5"/>
      <c r="D1625" s="5" t="s">
        <v>3881</v>
      </c>
      <c r="E1625" s="5"/>
      <c r="F1625" s="5" t="s">
        <v>3870</v>
      </c>
      <c r="G1625" s="5" t="s">
        <v>382</v>
      </c>
      <c r="H1625" s="5" t="s">
        <v>137</v>
      </c>
      <c r="I1625" s="5" t="s">
        <v>3877</v>
      </c>
      <c r="J1625" s="5" t="s">
        <v>3880</v>
      </c>
    </row>
    <row r="1626" spans="1:10" ht="38.25" x14ac:dyDescent="0.2">
      <c r="A1626" s="5" t="s">
        <v>3879</v>
      </c>
      <c r="B1626" s="5" t="s">
        <v>83</v>
      </c>
      <c r="C1626" s="5"/>
      <c r="D1626" s="5" t="s">
        <v>3878</v>
      </c>
      <c r="E1626" s="5" t="s">
        <v>150</v>
      </c>
      <c r="F1626" s="5" t="s">
        <v>3870</v>
      </c>
      <c r="G1626" s="5" t="s">
        <v>148</v>
      </c>
      <c r="H1626" s="5" t="s">
        <v>137</v>
      </c>
      <c r="I1626" s="5" t="s">
        <v>3877</v>
      </c>
      <c r="J1626" s="5" t="s">
        <v>3876</v>
      </c>
    </row>
    <row r="1627" spans="1:10" x14ac:dyDescent="0.2">
      <c r="A1627" s="5" t="s">
        <v>3875</v>
      </c>
      <c r="B1627" s="5" t="s">
        <v>83</v>
      </c>
      <c r="C1627" s="5"/>
      <c r="D1627" s="5" t="s">
        <v>3874</v>
      </c>
      <c r="E1627" s="5" t="s">
        <v>150</v>
      </c>
      <c r="F1627" s="5" t="s">
        <v>3870</v>
      </c>
      <c r="G1627" s="5" t="s">
        <v>148</v>
      </c>
      <c r="H1627" s="5" t="s">
        <v>3</v>
      </c>
      <c r="I1627" s="5"/>
      <c r="J1627" s="5" t="s">
        <v>3873</v>
      </c>
    </row>
    <row r="1628" spans="1:10" ht="25.5" x14ac:dyDescent="0.2">
      <c r="A1628" s="5" t="s">
        <v>3872</v>
      </c>
      <c r="B1628" s="5" t="s">
        <v>83</v>
      </c>
      <c r="C1628" s="5"/>
      <c r="D1628" s="5" t="s">
        <v>3871</v>
      </c>
      <c r="E1628" s="5" t="s">
        <v>150</v>
      </c>
      <c r="F1628" s="5" t="s">
        <v>3870</v>
      </c>
      <c r="G1628" s="5" t="s">
        <v>148</v>
      </c>
      <c r="H1628" s="5" t="s">
        <v>3</v>
      </c>
      <c r="I1628" s="5"/>
      <c r="J1628" s="5" t="s">
        <v>3869</v>
      </c>
    </row>
    <row r="1629" spans="1:10" ht="38.25" x14ac:dyDescent="0.2">
      <c r="A1629" s="5" t="s">
        <v>3868</v>
      </c>
      <c r="B1629" s="5" t="s">
        <v>83</v>
      </c>
      <c r="C1629" s="5"/>
      <c r="D1629" s="5" t="s">
        <v>3867</v>
      </c>
      <c r="E1629" s="5" t="s">
        <v>150</v>
      </c>
      <c r="F1629" s="5" t="s">
        <v>424</v>
      </c>
      <c r="G1629" s="5" t="s">
        <v>148</v>
      </c>
      <c r="H1629" s="5" t="s">
        <v>137</v>
      </c>
      <c r="I1629" s="5" t="s">
        <v>3863</v>
      </c>
      <c r="J1629" s="5" t="s">
        <v>3866</v>
      </c>
    </row>
    <row r="1630" spans="1:10" ht="38.25" x14ac:dyDescent="0.2">
      <c r="A1630" s="5" t="s">
        <v>3865</v>
      </c>
      <c r="B1630" s="5" t="s">
        <v>83</v>
      </c>
      <c r="C1630" s="5"/>
      <c r="D1630" s="5" t="s">
        <v>3864</v>
      </c>
      <c r="E1630" s="5"/>
      <c r="F1630" s="5" t="s">
        <v>424</v>
      </c>
      <c r="G1630" s="5" t="s">
        <v>170</v>
      </c>
      <c r="H1630" s="5" t="s">
        <v>137</v>
      </c>
      <c r="I1630" s="5" t="s">
        <v>3863</v>
      </c>
      <c r="J1630" s="5" t="s">
        <v>3862</v>
      </c>
    </row>
    <row r="1631" spans="1:10" ht="25.5" x14ac:dyDescent="0.2">
      <c r="A1631" s="5" t="s">
        <v>3861</v>
      </c>
      <c r="B1631" s="5" t="s">
        <v>83</v>
      </c>
      <c r="C1631" s="5"/>
      <c r="D1631" s="5" t="s">
        <v>3860</v>
      </c>
      <c r="E1631" s="5"/>
      <c r="F1631" s="5" t="s">
        <v>3846</v>
      </c>
      <c r="G1631" s="5" t="s">
        <v>382</v>
      </c>
      <c r="H1631" s="5" t="s">
        <v>3</v>
      </c>
      <c r="I1631" s="5"/>
      <c r="J1631" s="5" t="s">
        <v>3859</v>
      </c>
    </row>
    <row r="1632" spans="1:10" ht="25.5" x14ac:dyDescent="0.2">
      <c r="A1632" s="5" t="s">
        <v>3858</v>
      </c>
      <c r="B1632" s="5" t="s">
        <v>83</v>
      </c>
      <c r="C1632" s="5"/>
      <c r="D1632" s="5" t="s">
        <v>3857</v>
      </c>
      <c r="E1632" s="5"/>
      <c r="F1632" s="5" t="s">
        <v>3846</v>
      </c>
      <c r="G1632" s="5" t="s">
        <v>382</v>
      </c>
      <c r="H1632" s="5" t="s">
        <v>137</v>
      </c>
      <c r="I1632" s="5" t="s">
        <v>3853</v>
      </c>
      <c r="J1632" s="5" t="s">
        <v>3856</v>
      </c>
    </row>
    <row r="1633" spans="1:10" ht="25.5" x14ac:dyDescent="0.2">
      <c r="A1633" s="5" t="s">
        <v>3855</v>
      </c>
      <c r="B1633" s="5" t="s">
        <v>83</v>
      </c>
      <c r="C1633" s="5"/>
      <c r="D1633" s="5" t="s">
        <v>3854</v>
      </c>
      <c r="E1633" s="5" t="s">
        <v>150</v>
      </c>
      <c r="F1633" s="5" t="s">
        <v>3846</v>
      </c>
      <c r="G1633" s="5" t="s">
        <v>148</v>
      </c>
      <c r="H1633" s="5" t="s">
        <v>137</v>
      </c>
      <c r="I1633" s="5" t="s">
        <v>3853</v>
      </c>
      <c r="J1633" s="5" t="s">
        <v>3852</v>
      </c>
    </row>
    <row r="1634" spans="1:10" x14ac:dyDescent="0.2">
      <c r="A1634" s="5" t="s">
        <v>3851</v>
      </c>
      <c r="B1634" s="5" t="s">
        <v>83</v>
      </c>
      <c r="C1634" s="5"/>
      <c r="D1634" s="5" t="s">
        <v>3850</v>
      </c>
      <c r="E1634" s="5" t="s">
        <v>150</v>
      </c>
      <c r="F1634" s="5" t="s">
        <v>3846</v>
      </c>
      <c r="G1634" s="5" t="s">
        <v>148</v>
      </c>
      <c r="H1634" s="5" t="s">
        <v>3</v>
      </c>
      <c r="I1634" s="5"/>
      <c r="J1634" s="5" t="s">
        <v>3849</v>
      </c>
    </row>
    <row r="1635" spans="1:10" x14ac:dyDescent="0.2">
      <c r="A1635" s="5" t="s">
        <v>3848</v>
      </c>
      <c r="B1635" s="5" t="s">
        <v>83</v>
      </c>
      <c r="C1635" s="5"/>
      <c r="D1635" s="5" t="s">
        <v>3847</v>
      </c>
      <c r="E1635" s="5" t="s">
        <v>150</v>
      </c>
      <c r="F1635" s="5" t="s">
        <v>3846</v>
      </c>
      <c r="G1635" s="5" t="s">
        <v>148</v>
      </c>
      <c r="H1635" s="5" t="s">
        <v>3</v>
      </c>
      <c r="I1635" s="5"/>
      <c r="J1635" s="5" t="s">
        <v>3845</v>
      </c>
    </row>
    <row r="1636" spans="1:10" ht="38.25" x14ac:dyDescent="0.2">
      <c r="A1636" s="5" t="s">
        <v>3844</v>
      </c>
      <c r="B1636" s="5" t="s">
        <v>83</v>
      </c>
      <c r="C1636" s="5"/>
      <c r="D1636" s="5" t="s">
        <v>3843</v>
      </c>
      <c r="E1636" s="5" t="s">
        <v>150</v>
      </c>
      <c r="F1636" s="5" t="s">
        <v>424</v>
      </c>
      <c r="G1636" s="5" t="s">
        <v>148</v>
      </c>
      <c r="H1636" s="5" t="s">
        <v>137</v>
      </c>
      <c r="I1636" s="5" t="s">
        <v>3839</v>
      </c>
      <c r="J1636" s="5" t="s">
        <v>3842</v>
      </c>
    </row>
    <row r="1637" spans="1:10" ht="38.25" x14ac:dyDescent="0.2">
      <c r="A1637" s="5" t="s">
        <v>3841</v>
      </c>
      <c r="B1637" s="5" t="s">
        <v>83</v>
      </c>
      <c r="C1637" s="5"/>
      <c r="D1637" s="5" t="s">
        <v>3840</v>
      </c>
      <c r="E1637" s="5"/>
      <c r="F1637" s="5" t="s">
        <v>424</v>
      </c>
      <c r="G1637" s="5" t="s">
        <v>170</v>
      </c>
      <c r="H1637" s="5" t="s">
        <v>137</v>
      </c>
      <c r="I1637" s="5" t="s">
        <v>3839</v>
      </c>
      <c r="J1637" s="5" t="s">
        <v>3838</v>
      </c>
    </row>
    <row r="1638" spans="1:10" x14ac:dyDescent="0.2">
      <c r="A1638" s="5" t="s">
        <v>3837</v>
      </c>
      <c r="B1638" s="5" t="s">
        <v>83</v>
      </c>
      <c r="C1638" s="5"/>
      <c r="D1638" s="5" t="s">
        <v>3836</v>
      </c>
      <c r="E1638" s="5"/>
      <c r="F1638" s="5" t="s">
        <v>3821</v>
      </c>
      <c r="G1638" s="5" t="s">
        <v>105</v>
      </c>
      <c r="H1638" s="5" t="s">
        <v>3</v>
      </c>
      <c r="I1638" s="5"/>
      <c r="J1638" s="5" t="s">
        <v>3835</v>
      </c>
    </row>
    <row r="1639" spans="1:10" x14ac:dyDescent="0.2">
      <c r="A1639" s="5" t="s">
        <v>3834</v>
      </c>
      <c r="B1639" s="5" t="s">
        <v>83</v>
      </c>
      <c r="C1639" s="5"/>
      <c r="D1639" s="5" t="s">
        <v>3832</v>
      </c>
      <c r="E1639" s="5"/>
      <c r="F1639" s="5" t="s">
        <v>3821</v>
      </c>
      <c r="G1639" s="5" t="s">
        <v>224</v>
      </c>
      <c r="H1639" s="5" t="s">
        <v>3</v>
      </c>
      <c r="I1639" s="5"/>
      <c r="J1639" s="5" t="s">
        <v>3831</v>
      </c>
    </row>
    <row r="1640" spans="1:10" ht="25.5" x14ac:dyDescent="0.2">
      <c r="A1640" s="5" t="s">
        <v>3833</v>
      </c>
      <c r="B1640" s="5" t="s">
        <v>83</v>
      </c>
      <c r="C1640" s="5"/>
      <c r="D1640" s="5" t="s">
        <v>3832</v>
      </c>
      <c r="E1640" s="5"/>
      <c r="F1640" s="5" t="s">
        <v>3831</v>
      </c>
      <c r="G1640" s="5" t="s">
        <v>224</v>
      </c>
      <c r="H1640" s="5" t="s">
        <v>3</v>
      </c>
      <c r="I1640" s="5"/>
      <c r="J1640" s="5" t="s">
        <v>3830</v>
      </c>
    </row>
    <row r="1641" spans="1:10" x14ac:dyDescent="0.2">
      <c r="A1641" s="5" t="s">
        <v>3829</v>
      </c>
      <c r="B1641" s="5" t="s">
        <v>83</v>
      </c>
      <c r="C1641" s="5"/>
      <c r="D1641" s="5" t="s">
        <v>3828</v>
      </c>
      <c r="E1641" s="5"/>
      <c r="F1641" s="5" t="s">
        <v>3821</v>
      </c>
      <c r="G1641" s="5" t="s">
        <v>3059</v>
      </c>
      <c r="H1641" s="5" t="s">
        <v>3</v>
      </c>
      <c r="I1641" s="5"/>
      <c r="J1641" s="5" t="s">
        <v>3827</v>
      </c>
    </row>
    <row r="1642" spans="1:10" x14ac:dyDescent="0.2">
      <c r="A1642" s="5" t="s">
        <v>3826</v>
      </c>
      <c r="B1642" s="5" t="s">
        <v>83</v>
      </c>
      <c r="C1642" s="5"/>
      <c r="D1642" s="5" t="s">
        <v>3825</v>
      </c>
      <c r="E1642" s="5"/>
      <c r="F1642" s="5" t="s">
        <v>3821</v>
      </c>
      <c r="G1642" s="5" t="s">
        <v>118</v>
      </c>
      <c r="H1642" s="5" t="s">
        <v>3</v>
      </c>
      <c r="I1642" s="5"/>
      <c r="J1642" s="5" t="s">
        <v>3824</v>
      </c>
    </row>
    <row r="1643" spans="1:10" x14ac:dyDescent="0.2">
      <c r="A1643" s="5" t="s">
        <v>3823</v>
      </c>
      <c r="B1643" s="5" t="s">
        <v>83</v>
      </c>
      <c r="C1643" s="5"/>
      <c r="D1643" s="5" t="s">
        <v>3822</v>
      </c>
      <c r="E1643" s="5"/>
      <c r="F1643" s="5" t="s">
        <v>3821</v>
      </c>
      <c r="G1643" s="5" t="s">
        <v>105</v>
      </c>
      <c r="H1643" s="5" t="s">
        <v>3</v>
      </c>
      <c r="I1643" s="5"/>
      <c r="J1643" s="5" t="s">
        <v>3820</v>
      </c>
    </row>
    <row r="1644" spans="1:10" x14ac:dyDescent="0.2">
      <c r="A1644" s="5" t="s">
        <v>3819</v>
      </c>
      <c r="B1644" s="5" t="s">
        <v>83</v>
      </c>
      <c r="C1644" s="5"/>
      <c r="D1644" s="5" t="s">
        <v>3818</v>
      </c>
      <c r="E1644" s="5"/>
      <c r="F1644" s="5" t="s">
        <v>3804</v>
      </c>
      <c r="G1644" s="5" t="s">
        <v>382</v>
      </c>
      <c r="H1644" s="5" t="s">
        <v>3</v>
      </c>
      <c r="I1644" s="5"/>
      <c r="J1644" s="5" t="s">
        <v>3817</v>
      </c>
    </row>
    <row r="1645" spans="1:10" x14ac:dyDescent="0.2">
      <c r="A1645" s="5" t="s">
        <v>3816</v>
      </c>
      <c r="B1645" s="5" t="s">
        <v>83</v>
      </c>
      <c r="C1645" s="5"/>
      <c r="D1645" s="5" t="s">
        <v>3815</v>
      </c>
      <c r="E1645" s="5"/>
      <c r="F1645" s="5" t="s">
        <v>3804</v>
      </c>
      <c r="G1645" s="5" t="s">
        <v>382</v>
      </c>
      <c r="H1645" s="5" t="s">
        <v>137</v>
      </c>
      <c r="I1645" s="5" t="s">
        <v>3811</v>
      </c>
      <c r="J1645" s="5" t="s">
        <v>3814</v>
      </c>
    </row>
    <row r="1646" spans="1:10" x14ac:dyDescent="0.2">
      <c r="A1646" s="5" t="s">
        <v>3813</v>
      </c>
      <c r="B1646" s="5" t="s">
        <v>83</v>
      </c>
      <c r="C1646" s="5"/>
      <c r="D1646" s="5" t="s">
        <v>3812</v>
      </c>
      <c r="E1646" s="5" t="s">
        <v>150</v>
      </c>
      <c r="F1646" s="5" t="s">
        <v>3804</v>
      </c>
      <c r="G1646" s="5" t="s">
        <v>148</v>
      </c>
      <c r="H1646" s="5" t="s">
        <v>137</v>
      </c>
      <c r="I1646" s="5" t="s">
        <v>3811</v>
      </c>
      <c r="J1646" s="5" t="s">
        <v>3810</v>
      </c>
    </row>
    <row r="1647" spans="1:10" x14ac:dyDescent="0.2">
      <c r="A1647" s="5" t="s">
        <v>3809</v>
      </c>
      <c r="B1647" s="5" t="s">
        <v>83</v>
      </c>
      <c r="C1647" s="5"/>
      <c r="D1647" s="5" t="s">
        <v>3808</v>
      </c>
      <c r="E1647" s="5" t="s">
        <v>150</v>
      </c>
      <c r="F1647" s="5" t="s">
        <v>3804</v>
      </c>
      <c r="G1647" s="5" t="s">
        <v>148</v>
      </c>
      <c r="H1647" s="5" t="s">
        <v>3</v>
      </c>
      <c r="I1647" s="5"/>
      <c r="J1647" s="5" t="s">
        <v>3807</v>
      </c>
    </row>
    <row r="1648" spans="1:10" x14ac:dyDescent="0.2">
      <c r="A1648" s="5" t="s">
        <v>3806</v>
      </c>
      <c r="B1648" s="5" t="s">
        <v>83</v>
      </c>
      <c r="C1648" s="5"/>
      <c r="D1648" s="5" t="s">
        <v>3805</v>
      </c>
      <c r="E1648" s="5" t="s">
        <v>150</v>
      </c>
      <c r="F1648" s="5" t="s">
        <v>3804</v>
      </c>
      <c r="G1648" s="5" t="s">
        <v>148</v>
      </c>
      <c r="H1648" s="5" t="s">
        <v>3</v>
      </c>
      <c r="I1648" s="5"/>
      <c r="J1648" s="5" t="s">
        <v>3803</v>
      </c>
    </row>
    <row r="1649" spans="1:10" ht="25.5" x14ac:dyDescent="0.2">
      <c r="A1649" s="5" t="s">
        <v>3802</v>
      </c>
      <c r="B1649" s="5" t="s">
        <v>83</v>
      </c>
      <c r="C1649" s="5"/>
      <c r="D1649" s="5" t="s">
        <v>3801</v>
      </c>
      <c r="E1649" s="5" t="s">
        <v>150</v>
      </c>
      <c r="F1649" s="5" t="s">
        <v>424</v>
      </c>
      <c r="G1649" s="5" t="s">
        <v>148</v>
      </c>
      <c r="H1649" s="5" t="s">
        <v>137</v>
      </c>
      <c r="I1649" s="5" t="s">
        <v>3797</v>
      </c>
      <c r="J1649" s="5" t="s">
        <v>3800</v>
      </c>
    </row>
    <row r="1650" spans="1:10" ht="25.5" x14ac:dyDescent="0.2">
      <c r="A1650" s="5" t="s">
        <v>3799</v>
      </c>
      <c r="B1650" s="5" t="s">
        <v>83</v>
      </c>
      <c r="C1650" s="5"/>
      <c r="D1650" s="5" t="s">
        <v>3798</v>
      </c>
      <c r="E1650" s="5"/>
      <c r="F1650" s="5" t="s">
        <v>424</v>
      </c>
      <c r="G1650" s="5" t="s">
        <v>170</v>
      </c>
      <c r="H1650" s="5" t="s">
        <v>137</v>
      </c>
      <c r="I1650" s="5" t="s">
        <v>3797</v>
      </c>
      <c r="J1650" s="5" t="s">
        <v>3796</v>
      </c>
    </row>
    <row r="1651" spans="1:10" ht="25.5" x14ac:dyDescent="0.2">
      <c r="A1651" s="5" t="s">
        <v>3795</v>
      </c>
      <c r="B1651" s="5" t="s">
        <v>83</v>
      </c>
      <c r="C1651" s="5"/>
      <c r="D1651" s="5" t="s">
        <v>3794</v>
      </c>
      <c r="E1651" s="5"/>
      <c r="F1651" s="5" t="s">
        <v>3780</v>
      </c>
      <c r="G1651" s="5" t="s">
        <v>382</v>
      </c>
      <c r="H1651" s="5" t="s">
        <v>3</v>
      </c>
      <c r="I1651" s="5"/>
      <c r="J1651" s="5" t="s">
        <v>3793</v>
      </c>
    </row>
    <row r="1652" spans="1:10" ht="25.5" x14ac:dyDescent="0.2">
      <c r="A1652" s="5" t="s">
        <v>3792</v>
      </c>
      <c r="B1652" s="5" t="s">
        <v>83</v>
      </c>
      <c r="C1652" s="5"/>
      <c r="D1652" s="5" t="s">
        <v>3791</v>
      </c>
      <c r="E1652" s="5"/>
      <c r="F1652" s="5" t="s">
        <v>3780</v>
      </c>
      <c r="G1652" s="5" t="s">
        <v>382</v>
      </c>
      <c r="H1652" s="5" t="s">
        <v>137</v>
      </c>
      <c r="I1652" s="5" t="s">
        <v>3787</v>
      </c>
      <c r="J1652" s="5" t="s">
        <v>3790</v>
      </c>
    </row>
    <row r="1653" spans="1:10" ht="25.5" x14ac:dyDescent="0.2">
      <c r="A1653" s="5" t="s">
        <v>3789</v>
      </c>
      <c r="B1653" s="5" t="s">
        <v>83</v>
      </c>
      <c r="C1653" s="5"/>
      <c r="D1653" s="5" t="s">
        <v>3788</v>
      </c>
      <c r="E1653" s="5" t="s">
        <v>150</v>
      </c>
      <c r="F1653" s="5" t="s">
        <v>3780</v>
      </c>
      <c r="G1653" s="5" t="s">
        <v>148</v>
      </c>
      <c r="H1653" s="5" t="s">
        <v>137</v>
      </c>
      <c r="I1653" s="5" t="s">
        <v>3787</v>
      </c>
      <c r="J1653" s="5" t="s">
        <v>3786</v>
      </c>
    </row>
    <row r="1654" spans="1:10" x14ac:dyDescent="0.2">
      <c r="A1654" s="5" t="s">
        <v>3785</v>
      </c>
      <c r="B1654" s="5" t="s">
        <v>83</v>
      </c>
      <c r="C1654" s="5"/>
      <c r="D1654" s="5" t="s">
        <v>3784</v>
      </c>
      <c r="E1654" s="5" t="s">
        <v>150</v>
      </c>
      <c r="F1654" s="5" t="s">
        <v>3780</v>
      </c>
      <c r="G1654" s="5" t="s">
        <v>148</v>
      </c>
      <c r="H1654" s="5" t="s">
        <v>3</v>
      </c>
      <c r="I1654" s="5"/>
      <c r="J1654" s="5" t="s">
        <v>3783</v>
      </c>
    </row>
    <row r="1655" spans="1:10" x14ac:dyDescent="0.2">
      <c r="A1655" s="5" t="s">
        <v>3782</v>
      </c>
      <c r="B1655" s="5" t="s">
        <v>83</v>
      </c>
      <c r="C1655" s="5"/>
      <c r="D1655" s="5" t="s">
        <v>3781</v>
      </c>
      <c r="E1655" s="5" t="s">
        <v>150</v>
      </c>
      <c r="F1655" s="5" t="s">
        <v>3780</v>
      </c>
      <c r="G1655" s="5" t="s">
        <v>148</v>
      </c>
      <c r="H1655" s="5" t="s">
        <v>3</v>
      </c>
      <c r="I1655" s="5"/>
      <c r="J1655" s="5" t="s">
        <v>3779</v>
      </c>
    </row>
    <row r="1656" spans="1:10" ht="25.5" x14ac:dyDescent="0.2">
      <c r="A1656" s="5" t="s">
        <v>3778</v>
      </c>
      <c r="B1656" s="5" t="s">
        <v>83</v>
      </c>
      <c r="C1656" s="5"/>
      <c r="D1656" s="5" t="s">
        <v>3777</v>
      </c>
      <c r="E1656" s="5" t="s">
        <v>150</v>
      </c>
      <c r="F1656" s="5" t="s">
        <v>424</v>
      </c>
      <c r="G1656" s="5" t="s">
        <v>148</v>
      </c>
      <c r="H1656" s="5" t="s">
        <v>137</v>
      </c>
      <c r="I1656" s="5" t="s">
        <v>3773</v>
      </c>
      <c r="J1656" s="5" t="s">
        <v>3776</v>
      </c>
    </row>
    <row r="1657" spans="1:10" ht="25.5" x14ac:dyDescent="0.2">
      <c r="A1657" s="5" t="s">
        <v>3775</v>
      </c>
      <c r="B1657" s="5" t="s">
        <v>83</v>
      </c>
      <c r="C1657" s="5"/>
      <c r="D1657" s="5" t="s">
        <v>3774</v>
      </c>
      <c r="E1657" s="5"/>
      <c r="F1657" s="5" t="s">
        <v>424</v>
      </c>
      <c r="G1657" s="5" t="s">
        <v>170</v>
      </c>
      <c r="H1657" s="5" t="s">
        <v>137</v>
      </c>
      <c r="I1657" s="5" t="s">
        <v>3773</v>
      </c>
      <c r="J1657" s="5" t="s">
        <v>3772</v>
      </c>
    </row>
    <row r="1658" spans="1:10" ht="25.5" x14ac:dyDescent="0.2">
      <c r="A1658" s="5" t="s">
        <v>3771</v>
      </c>
      <c r="B1658" s="5" t="s">
        <v>83</v>
      </c>
      <c r="C1658" s="5"/>
      <c r="D1658" s="5" t="s">
        <v>3770</v>
      </c>
      <c r="E1658" s="5"/>
      <c r="F1658" s="5" t="s">
        <v>3756</v>
      </c>
      <c r="G1658" s="5" t="s">
        <v>382</v>
      </c>
      <c r="H1658" s="5" t="s">
        <v>3</v>
      </c>
      <c r="I1658" s="5"/>
      <c r="J1658" s="5" t="s">
        <v>3769</v>
      </c>
    </row>
    <row r="1659" spans="1:10" ht="25.5" x14ac:dyDescent="0.2">
      <c r="A1659" s="5" t="s">
        <v>3768</v>
      </c>
      <c r="B1659" s="5" t="s">
        <v>83</v>
      </c>
      <c r="C1659" s="5"/>
      <c r="D1659" s="5" t="s">
        <v>3767</v>
      </c>
      <c r="E1659" s="5"/>
      <c r="F1659" s="5" t="s">
        <v>3756</v>
      </c>
      <c r="G1659" s="5" t="s">
        <v>382</v>
      </c>
      <c r="H1659" s="5" t="s">
        <v>137</v>
      </c>
      <c r="I1659" s="5" t="s">
        <v>3763</v>
      </c>
      <c r="J1659" s="5" t="s">
        <v>3766</v>
      </c>
    </row>
    <row r="1660" spans="1:10" ht="25.5" x14ac:dyDescent="0.2">
      <c r="A1660" s="5" t="s">
        <v>3765</v>
      </c>
      <c r="B1660" s="5" t="s">
        <v>83</v>
      </c>
      <c r="C1660" s="5"/>
      <c r="D1660" s="5" t="s">
        <v>3764</v>
      </c>
      <c r="E1660" s="5" t="s">
        <v>150</v>
      </c>
      <c r="F1660" s="5" t="s">
        <v>3756</v>
      </c>
      <c r="G1660" s="5" t="s">
        <v>148</v>
      </c>
      <c r="H1660" s="5" t="s">
        <v>137</v>
      </c>
      <c r="I1660" s="5" t="s">
        <v>3763</v>
      </c>
      <c r="J1660" s="5" t="s">
        <v>3762</v>
      </c>
    </row>
    <row r="1661" spans="1:10" x14ac:dyDescent="0.2">
      <c r="A1661" s="5" t="s">
        <v>3761</v>
      </c>
      <c r="B1661" s="5" t="s">
        <v>83</v>
      </c>
      <c r="C1661" s="5"/>
      <c r="D1661" s="5" t="s">
        <v>3760</v>
      </c>
      <c r="E1661" s="5" t="s">
        <v>150</v>
      </c>
      <c r="F1661" s="5" t="s">
        <v>3756</v>
      </c>
      <c r="G1661" s="5" t="s">
        <v>148</v>
      </c>
      <c r="H1661" s="5" t="s">
        <v>3</v>
      </c>
      <c r="I1661" s="5"/>
      <c r="J1661" s="5" t="s">
        <v>3759</v>
      </c>
    </row>
    <row r="1662" spans="1:10" x14ac:dyDescent="0.2">
      <c r="A1662" s="5" t="s">
        <v>3758</v>
      </c>
      <c r="B1662" s="5" t="s">
        <v>83</v>
      </c>
      <c r="C1662" s="5"/>
      <c r="D1662" s="5" t="s">
        <v>3757</v>
      </c>
      <c r="E1662" s="5" t="s">
        <v>150</v>
      </c>
      <c r="F1662" s="5" t="s">
        <v>3756</v>
      </c>
      <c r="G1662" s="5" t="s">
        <v>148</v>
      </c>
      <c r="H1662" s="5" t="s">
        <v>3</v>
      </c>
      <c r="I1662" s="5"/>
      <c r="J1662" s="5" t="s">
        <v>3755</v>
      </c>
    </row>
    <row r="1663" spans="1:10" ht="25.5" x14ac:dyDescent="0.2">
      <c r="A1663" s="5" t="s">
        <v>3754</v>
      </c>
      <c r="B1663" s="5" t="s">
        <v>83</v>
      </c>
      <c r="C1663" s="5"/>
      <c r="D1663" s="5" t="s">
        <v>3753</v>
      </c>
      <c r="E1663" s="5" t="s">
        <v>150</v>
      </c>
      <c r="F1663" s="5" t="s">
        <v>424</v>
      </c>
      <c r="G1663" s="5" t="s">
        <v>148</v>
      </c>
      <c r="H1663" s="5" t="s">
        <v>137</v>
      </c>
      <c r="I1663" s="5" t="s">
        <v>3749</v>
      </c>
      <c r="J1663" s="5" t="s">
        <v>3752</v>
      </c>
    </row>
    <row r="1664" spans="1:10" ht="25.5" x14ac:dyDescent="0.2">
      <c r="A1664" s="5" t="s">
        <v>3751</v>
      </c>
      <c r="B1664" s="5" t="s">
        <v>83</v>
      </c>
      <c r="C1664" s="5"/>
      <c r="D1664" s="5" t="s">
        <v>3750</v>
      </c>
      <c r="E1664" s="5"/>
      <c r="F1664" s="5" t="s">
        <v>424</v>
      </c>
      <c r="G1664" s="5" t="s">
        <v>170</v>
      </c>
      <c r="H1664" s="5" t="s">
        <v>137</v>
      </c>
      <c r="I1664" s="5" t="s">
        <v>3749</v>
      </c>
      <c r="J1664" s="5" t="s">
        <v>3748</v>
      </c>
    </row>
    <row r="1665" spans="1:10" ht="25.5" x14ac:dyDescent="0.2">
      <c r="A1665" s="5" t="s">
        <v>3747</v>
      </c>
      <c r="B1665" s="5" t="s">
        <v>83</v>
      </c>
      <c r="C1665" s="5"/>
      <c r="D1665" s="5" t="s">
        <v>3746</v>
      </c>
      <c r="E1665" s="5"/>
      <c r="F1665" s="5" t="s">
        <v>3732</v>
      </c>
      <c r="G1665" s="5" t="s">
        <v>382</v>
      </c>
      <c r="H1665" s="5" t="s">
        <v>3</v>
      </c>
      <c r="I1665" s="5"/>
      <c r="J1665" s="5" t="s">
        <v>3745</v>
      </c>
    </row>
    <row r="1666" spans="1:10" ht="25.5" x14ac:dyDescent="0.2">
      <c r="A1666" s="5" t="s">
        <v>3744</v>
      </c>
      <c r="B1666" s="5" t="s">
        <v>83</v>
      </c>
      <c r="C1666" s="5"/>
      <c r="D1666" s="5" t="s">
        <v>3743</v>
      </c>
      <c r="E1666" s="5"/>
      <c r="F1666" s="5" t="s">
        <v>3732</v>
      </c>
      <c r="G1666" s="5" t="s">
        <v>382</v>
      </c>
      <c r="H1666" s="5" t="s">
        <v>137</v>
      </c>
      <c r="I1666" s="5" t="s">
        <v>3739</v>
      </c>
      <c r="J1666" s="5" t="s">
        <v>3742</v>
      </c>
    </row>
    <row r="1667" spans="1:10" ht="25.5" x14ac:dyDescent="0.2">
      <c r="A1667" s="5" t="s">
        <v>3741</v>
      </c>
      <c r="B1667" s="5" t="s">
        <v>83</v>
      </c>
      <c r="C1667" s="5"/>
      <c r="D1667" s="5" t="s">
        <v>3740</v>
      </c>
      <c r="E1667" s="5" t="s">
        <v>150</v>
      </c>
      <c r="F1667" s="5" t="s">
        <v>3732</v>
      </c>
      <c r="G1667" s="5" t="s">
        <v>148</v>
      </c>
      <c r="H1667" s="5" t="s">
        <v>137</v>
      </c>
      <c r="I1667" s="5" t="s">
        <v>3739</v>
      </c>
      <c r="J1667" s="5" t="s">
        <v>3738</v>
      </c>
    </row>
    <row r="1668" spans="1:10" x14ac:dyDescent="0.2">
      <c r="A1668" s="5" t="s">
        <v>3737</v>
      </c>
      <c r="B1668" s="5" t="s">
        <v>83</v>
      </c>
      <c r="C1668" s="5"/>
      <c r="D1668" s="5" t="s">
        <v>3736</v>
      </c>
      <c r="E1668" s="5" t="s">
        <v>150</v>
      </c>
      <c r="F1668" s="5" t="s">
        <v>3732</v>
      </c>
      <c r="G1668" s="5" t="s">
        <v>148</v>
      </c>
      <c r="H1668" s="5" t="s">
        <v>3</v>
      </c>
      <c r="I1668" s="5"/>
      <c r="J1668" s="5" t="s">
        <v>3735</v>
      </c>
    </row>
    <row r="1669" spans="1:10" x14ac:dyDescent="0.2">
      <c r="A1669" s="5" t="s">
        <v>3734</v>
      </c>
      <c r="B1669" s="5" t="s">
        <v>83</v>
      </c>
      <c r="C1669" s="5"/>
      <c r="D1669" s="5" t="s">
        <v>3733</v>
      </c>
      <c r="E1669" s="5" t="s">
        <v>150</v>
      </c>
      <c r="F1669" s="5" t="s">
        <v>3732</v>
      </c>
      <c r="G1669" s="5" t="s">
        <v>148</v>
      </c>
      <c r="H1669" s="5" t="s">
        <v>3</v>
      </c>
      <c r="I1669" s="5"/>
      <c r="J1669" s="5" t="s">
        <v>3731</v>
      </c>
    </row>
    <row r="1670" spans="1:10" ht="25.5" x14ac:dyDescent="0.2">
      <c r="A1670" s="5" t="s">
        <v>3730</v>
      </c>
      <c r="B1670" s="5" t="s">
        <v>83</v>
      </c>
      <c r="C1670" s="5"/>
      <c r="D1670" s="5" t="s">
        <v>3729</v>
      </c>
      <c r="E1670" s="5" t="s">
        <v>150</v>
      </c>
      <c r="F1670" s="5" t="s">
        <v>424</v>
      </c>
      <c r="G1670" s="5" t="s">
        <v>148</v>
      </c>
      <c r="H1670" s="5" t="s">
        <v>137</v>
      </c>
      <c r="I1670" s="5" t="s">
        <v>3725</v>
      </c>
      <c r="J1670" s="5" t="s">
        <v>3728</v>
      </c>
    </row>
    <row r="1671" spans="1:10" ht="25.5" x14ac:dyDescent="0.2">
      <c r="A1671" s="5" t="s">
        <v>3727</v>
      </c>
      <c r="B1671" s="5" t="s">
        <v>83</v>
      </c>
      <c r="C1671" s="5"/>
      <c r="D1671" s="5" t="s">
        <v>3726</v>
      </c>
      <c r="E1671" s="5"/>
      <c r="F1671" s="5" t="s">
        <v>424</v>
      </c>
      <c r="G1671" s="5" t="s">
        <v>170</v>
      </c>
      <c r="H1671" s="5" t="s">
        <v>137</v>
      </c>
      <c r="I1671" s="5" t="s">
        <v>3725</v>
      </c>
      <c r="J1671" s="5" t="s">
        <v>3724</v>
      </c>
    </row>
    <row r="1672" spans="1:10" ht="25.5" x14ac:dyDescent="0.2">
      <c r="A1672" s="5" t="s">
        <v>3723</v>
      </c>
      <c r="B1672" s="5" t="s">
        <v>83</v>
      </c>
      <c r="C1672" s="5"/>
      <c r="D1672" s="5" t="s">
        <v>3722</v>
      </c>
      <c r="E1672" s="5"/>
      <c r="F1672" s="5" t="s">
        <v>3708</v>
      </c>
      <c r="G1672" s="5" t="s">
        <v>382</v>
      </c>
      <c r="H1672" s="5" t="s">
        <v>3</v>
      </c>
      <c r="I1672" s="5"/>
      <c r="J1672" s="5" t="s">
        <v>3721</v>
      </c>
    </row>
    <row r="1673" spans="1:10" ht="25.5" x14ac:dyDescent="0.2">
      <c r="A1673" s="5" t="s">
        <v>3720</v>
      </c>
      <c r="B1673" s="5" t="s">
        <v>83</v>
      </c>
      <c r="C1673" s="5"/>
      <c r="D1673" s="5" t="s">
        <v>3719</v>
      </c>
      <c r="E1673" s="5"/>
      <c r="F1673" s="5" t="s">
        <v>3708</v>
      </c>
      <c r="G1673" s="5" t="s">
        <v>382</v>
      </c>
      <c r="H1673" s="5" t="s">
        <v>137</v>
      </c>
      <c r="I1673" s="5" t="s">
        <v>3715</v>
      </c>
      <c r="J1673" s="5" t="s">
        <v>3718</v>
      </c>
    </row>
    <row r="1674" spans="1:10" ht="25.5" x14ac:dyDescent="0.2">
      <c r="A1674" s="5" t="s">
        <v>3717</v>
      </c>
      <c r="B1674" s="5" t="s">
        <v>83</v>
      </c>
      <c r="C1674" s="5"/>
      <c r="D1674" s="5" t="s">
        <v>3716</v>
      </c>
      <c r="E1674" s="5" t="s">
        <v>150</v>
      </c>
      <c r="F1674" s="5" t="s">
        <v>3708</v>
      </c>
      <c r="G1674" s="5" t="s">
        <v>148</v>
      </c>
      <c r="H1674" s="5" t="s">
        <v>137</v>
      </c>
      <c r="I1674" s="5" t="s">
        <v>3715</v>
      </c>
      <c r="J1674" s="5" t="s">
        <v>3714</v>
      </c>
    </row>
    <row r="1675" spans="1:10" x14ac:dyDescent="0.2">
      <c r="A1675" s="5" t="s">
        <v>3713</v>
      </c>
      <c r="B1675" s="5" t="s">
        <v>83</v>
      </c>
      <c r="C1675" s="5"/>
      <c r="D1675" s="5" t="s">
        <v>3712</v>
      </c>
      <c r="E1675" s="5" t="s">
        <v>150</v>
      </c>
      <c r="F1675" s="5" t="s">
        <v>3708</v>
      </c>
      <c r="G1675" s="5" t="s">
        <v>148</v>
      </c>
      <c r="H1675" s="5" t="s">
        <v>3</v>
      </c>
      <c r="I1675" s="5"/>
      <c r="J1675" s="5" t="s">
        <v>3711</v>
      </c>
    </row>
    <row r="1676" spans="1:10" x14ac:dyDescent="0.2">
      <c r="A1676" s="5" t="s">
        <v>3710</v>
      </c>
      <c r="B1676" s="5" t="s">
        <v>83</v>
      </c>
      <c r="C1676" s="5"/>
      <c r="D1676" s="5" t="s">
        <v>3709</v>
      </c>
      <c r="E1676" s="5" t="s">
        <v>150</v>
      </c>
      <c r="F1676" s="5" t="s">
        <v>3708</v>
      </c>
      <c r="G1676" s="5" t="s">
        <v>148</v>
      </c>
      <c r="H1676" s="5" t="s">
        <v>3</v>
      </c>
      <c r="I1676" s="5"/>
      <c r="J1676" s="5" t="s">
        <v>3707</v>
      </c>
    </row>
    <row r="1677" spans="1:10" ht="25.5" x14ac:dyDescent="0.2">
      <c r="A1677" s="5" t="s">
        <v>3706</v>
      </c>
      <c r="B1677" s="5" t="s">
        <v>83</v>
      </c>
      <c r="C1677" s="5"/>
      <c r="D1677" s="5" t="s">
        <v>3705</v>
      </c>
      <c r="E1677" s="5" t="s">
        <v>150</v>
      </c>
      <c r="F1677" s="5" t="s">
        <v>424</v>
      </c>
      <c r="G1677" s="5" t="s">
        <v>148</v>
      </c>
      <c r="H1677" s="5" t="s">
        <v>137</v>
      </c>
      <c r="I1677" s="5" t="s">
        <v>3701</v>
      </c>
      <c r="J1677" s="5" t="s">
        <v>3704</v>
      </c>
    </row>
    <row r="1678" spans="1:10" ht="25.5" x14ac:dyDescent="0.2">
      <c r="A1678" s="5" t="s">
        <v>3703</v>
      </c>
      <c r="B1678" s="5" t="s">
        <v>83</v>
      </c>
      <c r="C1678" s="5"/>
      <c r="D1678" s="5" t="s">
        <v>3702</v>
      </c>
      <c r="E1678" s="5"/>
      <c r="F1678" s="5" t="s">
        <v>424</v>
      </c>
      <c r="G1678" s="5" t="s">
        <v>170</v>
      </c>
      <c r="H1678" s="5" t="s">
        <v>137</v>
      </c>
      <c r="I1678" s="5" t="s">
        <v>3701</v>
      </c>
      <c r="J1678" s="5" t="s">
        <v>3700</v>
      </c>
    </row>
    <row r="1679" spans="1:10" x14ac:dyDescent="0.2">
      <c r="A1679" s="5" t="s">
        <v>3699</v>
      </c>
      <c r="B1679" s="5" t="s">
        <v>83</v>
      </c>
      <c r="C1679" s="5"/>
      <c r="D1679" s="5" t="s">
        <v>3698</v>
      </c>
      <c r="E1679" s="5" t="s">
        <v>150</v>
      </c>
      <c r="F1679" s="5" t="s">
        <v>1777</v>
      </c>
      <c r="G1679" s="5" t="s">
        <v>148</v>
      </c>
      <c r="H1679" s="5" t="s">
        <v>137</v>
      </c>
      <c r="I1679" s="5" t="s">
        <v>15</v>
      </c>
      <c r="J1679" s="5" t="s">
        <v>3697</v>
      </c>
    </row>
    <row r="1680" spans="1:10" ht="25.5" x14ac:dyDescent="0.2">
      <c r="A1680" s="5" t="s">
        <v>3696</v>
      </c>
      <c r="B1680" s="5" t="s">
        <v>83</v>
      </c>
      <c r="C1680" s="5"/>
      <c r="D1680" s="5" t="s">
        <v>3695</v>
      </c>
      <c r="E1680" s="5"/>
      <c r="F1680" s="5" t="s">
        <v>3681</v>
      </c>
      <c r="G1680" s="5" t="s">
        <v>382</v>
      </c>
      <c r="H1680" s="5" t="s">
        <v>3</v>
      </c>
      <c r="I1680" s="5"/>
      <c r="J1680" s="5" t="s">
        <v>3694</v>
      </c>
    </row>
    <row r="1681" spans="1:10" ht="25.5" x14ac:dyDescent="0.2">
      <c r="A1681" s="5" t="s">
        <v>3693</v>
      </c>
      <c r="B1681" s="5" t="s">
        <v>83</v>
      </c>
      <c r="C1681" s="5"/>
      <c r="D1681" s="5" t="s">
        <v>3692</v>
      </c>
      <c r="E1681" s="5"/>
      <c r="F1681" s="5" t="s">
        <v>3681</v>
      </c>
      <c r="G1681" s="5" t="s">
        <v>382</v>
      </c>
      <c r="H1681" s="5" t="s">
        <v>137</v>
      </c>
      <c r="I1681" s="5" t="s">
        <v>3688</v>
      </c>
      <c r="J1681" s="5" t="s">
        <v>3691</v>
      </c>
    </row>
    <row r="1682" spans="1:10" ht="25.5" x14ac:dyDescent="0.2">
      <c r="A1682" s="5" t="s">
        <v>3690</v>
      </c>
      <c r="B1682" s="5" t="s">
        <v>83</v>
      </c>
      <c r="C1682" s="5"/>
      <c r="D1682" s="5" t="s">
        <v>3689</v>
      </c>
      <c r="E1682" s="5" t="s">
        <v>150</v>
      </c>
      <c r="F1682" s="5" t="s">
        <v>3681</v>
      </c>
      <c r="G1682" s="5" t="s">
        <v>148</v>
      </c>
      <c r="H1682" s="5" t="s">
        <v>137</v>
      </c>
      <c r="I1682" s="5" t="s">
        <v>3688</v>
      </c>
      <c r="J1682" s="5" t="s">
        <v>3687</v>
      </c>
    </row>
    <row r="1683" spans="1:10" x14ac:dyDescent="0.2">
      <c r="A1683" s="5" t="s">
        <v>3686</v>
      </c>
      <c r="B1683" s="5" t="s">
        <v>83</v>
      </c>
      <c r="C1683" s="5"/>
      <c r="D1683" s="5" t="s">
        <v>3685</v>
      </c>
      <c r="E1683" s="5" t="s">
        <v>150</v>
      </c>
      <c r="F1683" s="5" t="s">
        <v>3681</v>
      </c>
      <c r="G1683" s="5" t="s">
        <v>148</v>
      </c>
      <c r="H1683" s="5" t="s">
        <v>3</v>
      </c>
      <c r="I1683" s="5"/>
      <c r="J1683" s="5" t="s">
        <v>3684</v>
      </c>
    </row>
    <row r="1684" spans="1:10" x14ac:dyDescent="0.2">
      <c r="A1684" s="5" t="s">
        <v>3683</v>
      </c>
      <c r="B1684" s="5" t="s">
        <v>83</v>
      </c>
      <c r="C1684" s="5"/>
      <c r="D1684" s="5" t="s">
        <v>3682</v>
      </c>
      <c r="E1684" s="5" t="s">
        <v>150</v>
      </c>
      <c r="F1684" s="5" t="s">
        <v>3681</v>
      </c>
      <c r="G1684" s="5" t="s">
        <v>148</v>
      </c>
      <c r="H1684" s="5" t="s">
        <v>3</v>
      </c>
      <c r="I1684" s="5"/>
      <c r="J1684" s="5" t="s">
        <v>3680</v>
      </c>
    </row>
    <row r="1685" spans="1:10" ht="25.5" x14ac:dyDescent="0.2">
      <c r="A1685" s="5" t="s">
        <v>3679</v>
      </c>
      <c r="B1685" s="5" t="s">
        <v>83</v>
      </c>
      <c r="C1685" s="5"/>
      <c r="D1685" s="5" t="s">
        <v>3678</v>
      </c>
      <c r="E1685" s="5" t="s">
        <v>150</v>
      </c>
      <c r="F1685" s="5" t="s">
        <v>424</v>
      </c>
      <c r="G1685" s="5" t="s">
        <v>148</v>
      </c>
      <c r="H1685" s="5" t="s">
        <v>137</v>
      </c>
      <c r="I1685" s="5" t="s">
        <v>3674</v>
      </c>
      <c r="J1685" s="5" t="s">
        <v>3677</v>
      </c>
    </row>
    <row r="1686" spans="1:10" ht="25.5" x14ac:dyDescent="0.2">
      <c r="A1686" s="5" t="s">
        <v>3676</v>
      </c>
      <c r="B1686" s="5" t="s">
        <v>83</v>
      </c>
      <c r="C1686" s="5"/>
      <c r="D1686" s="5" t="s">
        <v>3675</v>
      </c>
      <c r="E1686" s="5"/>
      <c r="F1686" s="5" t="s">
        <v>424</v>
      </c>
      <c r="G1686" s="5" t="s">
        <v>170</v>
      </c>
      <c r="H1686" s="5" t="s">
        <v>137</v>
      </c>
      <c r="I1686" s="5" t="s">
        <v>3674</v>
      </c>
      <c r="J1686" s="5" t="s">
        <v>3673</v>
      </c>
    </row>
    <row r="1687" spans="1:10" ht="25.5" x14ac:dyDescent="0.2">
      <c r="A1687" s="5" t="s">
        <v>3672</v>
      </c>
      <c r="B1687" s="5" t="s">
        <v>83</v>
      </c>
      <c r="C1687" s="5"/>
      <c r="D1687" s="5" t="s">
        <v>3671</v>
      </c>
      <c r="E1687" s="5"/>
      <c r="F1687" s="5" t="s">
        <v>3657</v>
      </c>
      <c r="G1687" s="5" t="s">
        <v>382</v>
      </c>
      <c r="H1687" s="5" t="s">
        <v>3</v>
      </c>
      <c r="I1687" s="5"/>
      <c r="J1687" s="5" t="s">
        <v>3670</v>
      </c>
    </row>
    <row r="1688" spans="1:10" ht="25.5" x14ac:dyDescent="0.2">
      <c r="A1688" s="5" t="s">
        <v>3669</v>
      </c>
      <c r="B1688" s="5" t="s">
        <v>83</v>
      </c>
      <c r="C1688" s="5"/>
      <c r="D1688" s="5" t="s">
        <v>3668</v>
      </c>
      <c r="E1688" s="5"/>
      <c r="F1688" s="5" t="s">
        <v>3657</v>
      </c>
      <c r="G1688" s="5" t="s">
        <v>382</v>
      </c>
      <c r="H1688" s="5" t="s">
        <v>137</v>
      </c>
      <c r="I1688" s="5" t="s">
        <v>3664</v>
      </c>
      <c r="J1688" s="5" t="s">
        <v>3667</v>
      </c>
    </row>
    <row r="1689" spans="1:10" ht="25.5" x14ac:dyDescent="0.2">
      <c r="A1689" s="5" t="s">
        <v>3666</v>
      </c>
      <c r="B1689" s="5" t="s">
        <v>83</v>
      </c>
      <c r="C1689" s="5"/>
      <c r="D1689" s="5" t="s">
        <v>3665</v>
      </c>
      <c r="E1689" s="5" t="s">
        <v>150</v>
      </c>
      <c r="F1689" s="5" t="s">
        <v>3657</v>
      </c>
      <c r="G1689" s="5" t="s">
        <v>148</v>
      </c>
      <c r="H1689" s="5" t="s">
        <v>137</v>
      </c>
      <c r="I1689" s="5" t="s">
        <v>3664</v>
      </c>
      <c r="J1689" s="5" t="s">
        <v>3663</v>
      </c>
    </row>
    <row r="1690" spans="1:10" x14ac:dyDescent="0.2">
      <c r="A1690" s="5" t="s">
        <v>3662</v>
      </c>
      <c r="B1690" s="5" t="s">
        <v>83</v>
      </c>
      <c r="C1690" s="5"/>
      <c r="D1690" s="5" t="s">
        <v>3661</v>
      </c>
      <c r="E1690" s="5" t="s">
        <v>150</v>
      </c>
      <c r="F1690" s="5" t="s">
        <v>3657</v>
      </c>
      <c r="G1690" s="5" t="s">
        <v>148</v>
      </c>
      <c r="H1690" s="5" t="s">
        <v>3</v>
      </c>
      <c r="I1690" s="5"/>
      <c r="J1690" s="5" t="s">
        <v>3660</v>
      </c>
    </row>
    <row r="1691" spans="1:10" x14ac:dyDescent="0.2">
      <c r="A1691" s="5" t="s">
        <v>3659</v>
      </c>
      <c r="B1691" s="5" t="s">
        <v>83</v>
      </c>
      <c r="C1691" s="5"/>
      <c r="D1691" s="5" t="s">
        <v>3658</v>
      </c>
      <c r="E1691" s="5" t="s">
        <v>150</v>
      </c>
      <c r="F1691" s="5" t="s">
        <v>3657</v>
      </c>
      <c r="G1691" s="5" t="s">
        <v>148</v>
      </c>
      <c r="H1691" s="5" t="s">
        <v>3</v>
      </c>
      <c r="I1691" s="5"/>
      <c r="J1691" s="5" t="s">
        <v>3656</v>
      </c>
    </row>
    <row r="1692" spans="1:10" ht="25.5" x14ac:dyDescent="0.2">
      <c r="A1692" s="5" t="s">
        <v>3655</v>
      </c>
      <c r="B1692" s="5" t="s">
        <v>83</v>
      </c>
      <c r="C1692" s="5"/>
      <c r="D1692" s="5" t="s">
        <v>3654</v>
      </c>
      <c r="E1692" s="5" t="s">
        <v>150</v>
      </c>
      <c r="F1692" s="5" t="s">
        <v>424</v>
      </c>
      <c r="G1692" s="5" t="s">
        <v>148</v>
      </c>
      <c r="H1692" s="5" t="s">
        <v>137</v>
      </c>
      <c r="I1692" s="5" t="s">
        <v>3650</v>
      </c>
      <c r="J1692" s="5" t="s">
        <v>3653</v>
      </c>
    </row>
    <row r="1693" spans="1:10" ht="25.5" x14ac:dyDescent="0.2">
      <c r="A1693" s="5" t="s">
        <v>3652</v>
      </c>
      <c r="B1693" s="5" t="s">
        <v>83</v>
      </c>
      <c r="C1693" s="5"/>
      <c r="D1693" s="5" t="s">
        <v>3651</v>
      </c>
      <c r="E1693" s="5"/>
      <c r="F1693" s="5" t="s">
        <v>424</v>
      </c>
      <c r="G1693" s="5" t="s">
        <v>170</v>
      </c>
      <c r="H1693" s="5" t="s">
        <v>137</v>
      </c>
      <c r="I1693" s="5" t="s">
        <v>3650</v>
      </c>
      <c r="J1693" s="5" t="s">
        <v>3649</v>
      </c>
    </row>
    <row r="1694" spans="1:10" ht="25.5" x14ac:dyDescent="0.2">
      <c r="A1694" s="5" t="s">
        <v>3648</v>
      </c>
      <c r="B1694" s="5" t="s">
        <v>83</v>
      </c>
      <c r="C1694" s="5"/>
      <c r="D1694" s="5" t="s">
        <v>3647</v>
      </c>
      <c r="E1694" s="5"/>
      <c r="F1694" s="5" t="s">
        <v>1065</v>
      </c>
      <c r="G1694" s="5" t="s">
        <v>207</v>
      </c>
      <c r="H1694" s="5" t="s">
        <v>3</v>
      </c>
      <c r="I1694" s="5"/>
      <c r="J1694" s="5" t="s">
        <v>1063</v>
      </c>
    </row>
    <row r="1695" spans="1:10" ht="38.25" x14ac:dyDescent="0.2">
      <c r="A1695" s="5" t="s">
        <v>3646</v>
      </c>
      <c r="B1695" s="5" t="s">
        <v>83</v>
      </c>
      <c r="C1695" s="5"/>
      <c r="D1695" s="5" t="s">
        <v>3645</v>
      </c>
      <c r="E1695" s="5" t="s">
        <v>368</v>
      </c>
      <c r="F1695" s="5" t="s">
        <v>3644</v>
      </c>
      <c r="G1695" s="5" t="s">
        <v>207</v>
      </c>
      <c r="H1695" s="5" t="s">
        <v>3</v>
      </c>
      <c r="I1695" s="5"/>
      <c r="J1695" s="5" t="s">
        <v>3643</v>
      </c>
    </row>
    <row r="1696" spans="1:10" x14ac:dyDescent="0.2">
      <c r="A1696" s="5" t="s">
        <v>3642</v>
      </c>
      <c r="B1696" s="5" t="s">
        <v>83</v>
      </c>
      <c r="C1696" s="5"/>
      <c r="D1696" s="5" t="s">
        <v>3641</v>
      </c>
      <c r="E1696" s="5" t="s">
        <v>150</v>
      </c>
      <c r="F1696" s="5" t="s">
        <v>1065</v>
      </c>
      <c r="G1696" s="5" t="s">
        <v>148</v>
      </c>
      <c r="H1696" s="5" t="s">
        <v>3</v>
      </c>
      <c r="I1696" s="5"/>
      <c r="J1696" s="5" t="s">
        <v>3640</v>
      </c>
    </row>
    <row r="1697" spans="1:10" ht="25.5" x14ac:dyDescent="0.2">
      <c r="A1697" s="5" t="s">
        <v>3639</v>
      </c>
      <c r="B1697" s="5" t="s">
        <v>83</v>
      </c>
      <c r="C1697" s="5"/>
      <c r="D1697" s="5" t="s">
        <v>3638</v>
      </c>
      <c r="E1697" s="5"/>
      <c r="F1697" s="5" t="s">
        <v>424</v>
      </c>
      <c r="G1697" s="5" t="s">
        <v>896</v>
      </c>
      <c r="H1697" s="5" t="s">
        <v>137</v>
      </c>
      <c r="I1697" s="5" t="s">
        <v>3622</v>
      </c>
      <c r="J1697" s="5" t="s">
        <v>3637</v>
      </c>
    </row>
    <row r="1698" spans="1:10" x14ac:dyDescent="0.2">
      <c r="A1698" s="5" t="s">
        <v>3636</v>
      </c>
      <c r="B1698" s="5" t="s">
        <v>83</v>
      </c>
      <c r="C1698" s="5"/>
      <c r="D1698" s="5" t="s">
        <v>3635</v>
      </c>
      <c r="E1698" s="5" t="s">
        <v>150</v>
      </c>
      <c r="F1698" s="5" t="s">
        <v>1065</v>
      </c>
      <c r="G1698" s="5" t="s">
        <v>148</v>
      </c>
      <c r="H1698" s="5" t="s">
        <v>3</v>
      </c>
      <c r="I1698" s="5"/>
      <c r="J1698" s="5" t="s">
        <v>3634</v>
      </c>
    </row>
    <row r="1699" spans="1:10" ht="25.5" x14ac:dyDescent="0.2">
      <c r="A1699" s="5" t="s">
        <v>3633</v>
      </c>
      <c r="B1699" s="5" t="s">
        <v>83</v>
      </c>
      <c r="C1699" s="5"/>
      <c r="D1699" s="5" t="s">
        <v>3632</v>
      </c>
      <c r="E1699" s="5" t="s">
        <v>150</v>
      </c>
      <c r="F1699" s="5" t="s">
        <v>424</v>
      </c>
      <c r="G1699" s="5" t="s">
        <v>283</v>
      </c>
      <c r="H1699" s="5" t="s">
        <v>137</v>
      </c>
      <c r="I1699" s="5" t="s">
        <v>3622</v>
      </c>
      <c r="J1699" s="5" t="s">
        <v>3631</v>
      </c>
    </row>
    <row r="1700" spans="1:10" ht="25.5" x14ac:dyDescent="0.2">
      <c r="A1700" s="5" t="s">
        <v>3630</v>
      </c>
      <c r="B1700" s="5" t="s">
        <v>83</v>
      </c>
      <c r="C1700" s="5"/>
      <c r="D1700" s="5" t="s">
        <v>3629</v>
      </c>
      <c r="E1700" s="5"/>
      <c r="F1700" s="5" t="s">
        <v>424</v>
      </c>
      <c r="G1700" s="5" t="s">
        <v>170</v>
      </c>
      <c r="H1700" s="5" t="s">
        <v>137</v>
      </c>
      <c r="I1700" s="5" t="s">
        <v>3622</v>
      </c>
      <c r="J1700" s="5" t="s">
        <v>3628</v>
      </c>
    </row>
    <row r="1701" spans="1:10" ht="25.5" x14ac:dyDescent="0.2">
      <c r="A1701" s="5" t="s">
        <v>3627</v>
      </c>
      <c r="B1701" s="5" t="s">
        <v>83</v>
      </c>
      <c r="C1701" s="5"/>
      <c r="D1701" s="5" t="s">
        <v>3626</v>
      </c>
      <c r="E1701" s="5"/>
      <c r="F1701" s="5" t="s">
        <v>424</v>
      </c>
      <c r="G1701" s="5" t="s">
        <v>882</v>
      </c>
      <c r="H1701" s="5" t="s">
        <v>137</v>
      </c>
      <c r="I1701" s="5" t="s">
        <v>3622</v>
      </c>
      <c r="J1701" s="5" t="s">
        <v>3625</v>
      </c>
    </row>
    <row r="1702" spans="1:10" ht="25.5" x14ac:dyDescent="0.2">
      <c r="A1702" s="5" t="s">
        <v>3624</v>
      </c>
      <c r="B1702" s="5" t="s">
        <v>83</v>
      </c>
      <c r="C1702" s="5"/>
      <c r="D1702" s="5" t="s">
        <v>3623</v>
      </c>
      <c r="E1702" s="5" t="s">
        <v>665</v>
      </c>
      <c r="F1702" s="5" t="s">
        <v>424</v>
      </c>
      <c r="G1702" s="5" t="s">
        <v>148</v>
      </c>
      <c r="H1702" s="5" t="s">
        <v>137</v>
      </c>
      <c r="I1702" s="5" t="s">
        <v>3622</v>
      </c>
      <c r="J1702" s="5" t="s">
        <v>3621</v>
      </c>
    </row>
    <row r="1703" spans="1:10" ht="25.5" x14ac:dyDescent="0.2">
      <c r="A1703" s="5" t="s">
        <v>3620</v>
      </c>
      <c r="B1703" s="5" t="s">
        <v>83</v>
      </c>
      <c r="C1703" s="5"/>
      <c r="D1703" s="5" t="s">
        <v>3619</v>
      </c>
      <c r="E1703" s="5"/>
      <c r="F1703" s="5" t="s">
        <v>3605</v>
      </c>
      <c r="G1703" s="5" t="s">
        <v>382</v>
      </c>
      <c r="H1703" s="5" t="s">
        <v>3</v>
      </c>
      <c r="I1703" s="5"/>
      <c r="J1703" s="5" t="s">
        <v>3618</v>
      </c>
    </row>
    <row r="1704" spans="1:10" ht="25.5" x14ac:dyDescent="0.2">
      <c r="A1704" s="5" t="s">
        <v>3617</v>
      </c>
      <c r="B1704" s="5" t="s">
        <v>83</v>
      </c>
      <c r="C1704" s="5"/>
      <c r="D1704" s="5" t="s">
        <v>3616</v>
      </c>
      <c r="E1704" s="5"/>
      <c r="F1704" s="5" t="s">
        <v>3605</v>
      </c>
      <c r="G1704" s="5" t="s">
        <v>382</v>
      </c>
      <c r="H1704" s="5" t="s">
        <v>137</v>
      </c>
      <c r="I1704" s="5" t="s">
        <v>3612</v>
      </c>
      <c r="J1704" s="5" t="s">
        <v>3615</v>
      </c>
    </row>
    <row r="1705" spans="1:10" ht="25.5" x14ac:dyDescent="0.2">
      <c r="A1705" s="5" t="s">
        <v>3614</v>
      </c>
      <c r="B1705" s="5" t="s">
        <v>83</v>
      </c>
      <c r="C1705" s="5"/>
      <c r="D1705" s="5" t="s">
        <v>3613</v>
      </c>
      <c r="E1705" s="5" t="s">
        <v>150</v>
      </c>
      <c r="F1705" s="5" t="s">
        <v>3605</v>
      </c>
      <c r="G1705" s="5" t="s">
        <v>148</v>
      </c>
      <c r="H1705" s="5" t="s">
        <v>137</v>
      </c>
      <c r="I1705" s="5" t="s">
        <v>3612</v>
      </c>
      <c r="J1705" s="5" t="s">
        <v>3611</v>
      </c>
    </row>
    <row r="1706" spans="1:10" x14ac:dyDescent="0.2">
      <c r="A1706" s="5" t="s">
        <v>3610</v>
      </c>
      <c r="B1706" s="5" t="s">
        <v>83</v>
      </c>
      <c r="C1706" s="5"/>
      <c r="D1706" s="5" t="s">
        <v>3609</v>
      </c>
      <c r="E1706" s="5" t="s">
        <v>150</v>
      </c>
      <c r="F1706" s="5" t="s">
        <v>3605</v>
      </c>
      <c r="G1706" s="5" t="s">
        <v>148</v>
      </c>
      <c r="H1706" s="5" t="s">
        <v>3</v>
      </c>
      <c r="I1706" s="5"/>
      <c r="J1706" s="5" t="s">
        <v>3608</v>
      </c>
    </row>
    <row r="1707" spans="1:10" x14ac:dyDescent="0.2">
      <c r="A1707" s="5" t="s">
        <v>3607</v>
      </c>
      <c r="B1707" s="5" t="s">
        <v>83</v>
      </c>
      <c r="C1707" s="5"/>
      <c r="D1707" s="5" t="s">
        <v>3606</v>
      </c>
      <c r="E1707" s="5" t="s">
        <v>150</v>
      </c>
      <c r="F1707" s="5" t="s">
        <v>3605</v>
      </c>
      <c r="G1707" s="5" t="s">
        <v>148</v>
      </c>
      <c r="H1707" s="5" t="s">
        <v>3</v>
      </c>
      <c r="I1707" s="5"/>
      <c r="J1707" s="5" t="s">
        <v>3604</v>
      </c>
    </row>
    <row r="1708" spans="1:10" ht="38.25" x14ac:dyDescent="0.2">
      <c r="A1708" s="5" t="s">
        <v>3603</v>
      </c>
      <c r="B1708" s="5" t="s">
        <v>83</v>
      </c>
      <c r="C1708" s="5"/>
      <c r="D1708" s="5" t="s">
        <v>3602</v>
      </c>
      <c r="E1708" s="5" t="s">
        <v>150</v>
      </c>
      <c r="F1708" s="5" t="s">
        <v>424</v>
      </c>
      <c r="G1708" s="5" t="s">
        <v>148</v>
      </c>
      <c r="H1708" s="5" t="s">
        <v>137</v>
      </c>
      <c r="I1708" s="5" t="s">
        <v>3598</v>
      </c>
      <c r="J1708" s="5" t="s">
        <v>3601</v>
      </c>
    </row>
    <row r="1709" spans="1:10" ht="38.25" x14ac:dyDescent="0.2">
      <c r="A1709" s="5" t="s">
        <v>3600</v>
      </c>
      <c r="B1709" s="5" t="s">
        <v>83</v>
      </c>
      <c r="C1709" s="5"/>
      <c r="D1709" s="5" t="s">
        <v>3599</v>
      </c>
      <c r="E1709" s="5"/>
      <c r="F1709" s="5" t="s">
        <v>424</v>
      </c>
      <c r="G1709" s="5" t="s">
        <v>170</v>
      </c>
      <c r="H1709" s="5" t="s">
        <v>137</v>
      </c>
      <c r="I1709" s="5" t="s">
        <v>3598</v>
      </c>
      <c r="J1709" s="5" t="s">
        <v>3597</v>
      </c>
    </row>
    <row r="1710" spans="1:10" x14ac:dyDescent="0.2">
      <c r="A1710" s="5" t="s">
        <v>3596</v>
      </c>
      <c r="B1710" s="5" t="s">
        <v>83</v>
      </c>
      <c r="C1710" s="5"/>
      <c r="D1710" s="5" t="s">
        <v>3595</v>
      </c>
      <c r="E1710" s="5"/>
      <c r="F1710" s="5" t="s">
        <v>3581</v>
      </c>
      <c r="G1710" s="5" t="s">
        <v>382</v>
      </c>
      <c r="H1710" s="5" t="s">
        <v>3</v>
      </c>
      <c r="I1710" s="5"/>
      <c r="J1710" s="5" t="s">
        <v>3594</v>
      </c>
    </row>
    <row r="1711" spans="1:10" ht="25.5" x14ac:dyDescent="0.2">
      <c r="A1711" s="5" t="s">
        <v>3593</v>
      </c>
      <c r="B1711" s="5" t="s">
        <v>83</v>
      </c>
      <c r="C1711" s="5"/>
      <c r="D1711" s="5" t="s">
        <v>3592</v>
      </c>
      <c r="E1711" s="5"/>
      <c r="F1711" s="5" t="s">
        <v>3581</v>
      </c>
      <c r="G1711" s="5" t="s">
        <v>382</v>
      </c>
      <c r="H1711" s="5" t="s">
        <v>137</v>
      </c>
      <c r="I1711" s="5" t="s">
        <v>3588</v>
      </c>
      <c r="J1711" s="5" t="s">
        <v>3591</v>
      </c>
    </row>
    <row r="1712" spans="1:10" ht="25.5" x14ac:dyDescent="0.2">
      <c r="A1712" s="5" t="s">
        <v>3590</v>
      </c>
      <c r="B1712" s="5" t="s">
        <v>83</v>
      </c>
      <c r="C1712" s="5"/>
      <c r="D1712" s="5" t="s">
        <v>3589</v>
      </c>
      <c r="E1712" s="5" t="s">
        <v>150</v>
      </c>
      <c r="F1712" s="5" t="s">
        <v>3581</v>
      </c>
      <c r="G1712" s="5" t="s">
        <v>148</v>
      </c>
      <c r="H1712" s="5" t="s">
        <v>137</v>
      </c>
      <c r="I1712" s="5" t="s">
        <v>3588</v>
      </c>
      <c r="J1712" s="5" t="s">
        <v>3587</v>
      </c>
    </row>
    <row r="1713" spans="1:10" x14ac:dyDescent="0.2">
      <c r="A1713" s="5" t="s">
        <v>3586</v>
      </c>
      <c r="B1713" s="5" t="s">
        <v>83</v>
      </c>
      <c r="C1713" s="5"/>
      <c r="D1713" s="5" t="s">
        <v>3585</v>
      </c>
      <c r="E1713" s="5" t="s">
        <v>150</v>
      </c>
      <c r="F1713" s="5" t="s">
        <v>3581</v>
      </c>
      <c r="G1713" s="5" t="s">
        <v>148</v>
      </c>
      <c r="H1713" s="5" t="s">
        <v>3</v>
      </c>
      <c r="I1713" s="5"/>
      <c r="J1713" s="5" t="s">
        <v>3584</v>
      </c>
    </row>
    <row r="1714" spans="1:10" x14ac:dyDescent="0.2">
      <c r="A1714" s="5" t="s">
        <v>3583</v>
      </c>
      <c r="B1714" s="5" t="s">
        <v>83</v>
      </c>
      <c r="C1714" s="5"/>
      <c r="D1714" s="5" t="s">
        <v>3582</v>
      </c>
      <c r="E1714" s="5" t="s">
        <v>150</v>
      </c>
      <c r="F1714" s="5" t="s">
        <v>3581</v>
      </c>
      <c r="G1714" s="5" t="s">
        <v>148</v>
      </c>
      <c r="H1714" s="5" t="s">
        <v>3</v>
      </c>
      <c r="I1714" s="5"/>
      <c r="J1714" s="5" t="s">
        <v>3580</v>
      </c>
    </row>
    <row r="1715" spans="1:10" ht="25.5" x14ac:dyDescent="0.2">
      <c r="A1715" s="5" t="s">
        <v>3579</v>
      </c>
      <c r="B1715" s="5" t="s">
        <v>83</v>
      </c>
      <c r="C1715" s="5"/>
      <c r="D1715" s="5" t="s">
        <v>3578</v>
      </c>
      <c r="E1715" s="5" t="s">
        <v>150</v>
      </c>
      <c r="F1715" s="5" t="s">
        <v>424</v>
      </c>
      <c r="G1715" s="5" t="s">
        <v>148</v>
      </c>
      <c r="H1715" s="5" t="s">
        <v>137</v>
      </c>
      <c r="I1715" s="5" t="s">
        <v>3574</v>
      </c>
      <c r="J1715" s="5" t="s">
        <v>3577</v>
      </c>
    </row>
    <row r="1716" spans="1:10" ht="25.5" x14ac:dyDescent="0.2">
      <c r="A1716" s="5" t="s">
        <v>3576</v>
      </c>
      <c r="B1716" s="5" t="s">
        <v>83</v>
      </c>
      <c r="C1716" s="5"/>
      <c r="D1716" s="5" t="s">
        <v>3575</v>
      </c>
      <c r="E1716" s="5"/>
      <c r="F1716" s="5" t="s">
        <v>424</v>
      </c>
      <c r="G1716" s="5" t="s">
        <v>170</v>
      </c>
      <c r="H1716" s="5" t="s">
        <v>137</v>
      </c>
      <c r="I1716" s="5" t="s">
        <v>3574</v>
      </c>
      <c r="J1716" s="5" t="s">
        <v>3573</v>
      </c>
    </row>
    <row r="1717" spans="1:10" ht="25.5" x14ac:dyDescent="0.2">
      <c r="A1717" s="5" t="s">
        <v>3572</v>
      </c>
      <c r="B1717" s="5" t="s">
        <v>83</v>
      </c>
      <c r="C1717" s="5"/>
      <c r="D1717" s="5" t="s">
        <v>3571</v>
      </c>
      <c r="E1717" s="5"/>
      <c r="F1717" s="5" t="s">
        <v>3564</v>
      </c>
      <c r="G1717" s="5" t="s">
        <v>382</v>
      </c>
      <c r="H1717" s="5" t="s">
        <v>3</v>
      </c>
      <c r="I1717" s="5"/>
      <c r="J1717" s="5" t="s">
        <v>3570</v>
      </c>
    </row>
    <row r="1718" spans="1:10" x14ac:dyDescent="0.2">
      <c r="A1718" s="5" t="s">
        <v>3569</v>
      </c>
      <c r="B1718" s="5" t="s">
        <v>83</v>
      </c>
      <c r="C1718" s="5"/>
      <c r="D1718" s="5" t="s">
        <v>3568</v>
      </c>
      <c r="E1718" s="5" t="s">
        <v>150</v>
      </c>
      <c r="F1718" s="5" t="s">
        <v>3564</v>
      </c>
      <c r="G1718" s="5" t="s">
        <v>148</v>
      </c>
      <c r="H1718" s="5" t="s">
        <v>3</v>
      </c>
      <c r="I1718" s="5"/>
      <c r="J1718" s="5" t="s">
        <v>3567</v>
      </c>
    </row>
    <row r="1719" spans="1:10" x14ac:dyDescent="0.2">
      <c r="A1719" s="5" t="s">
        <v>3566</v>
      </c>
      <c r="B1719" s="5" t="s">
        <v>83</v>
      </c>
      <c r="C1719" s="5"/>
      <c r="D1719" s="5" t="s">
        <v>3565</v>
      </c>
      <c r="E1719" s="5" t="s">
        <v>150</v>
      </c>
      <c r="F1719" s="5" t="s">
        <v>3564</v>
      </c>
      <c r="G1719" s="5" t="s">
        <v>148</v>
      </c>
      <c r="H1719" s="5" t="s">
        <v>3</v>
      </c>
      <c r="I1719" s="5"/>
      <c r="J1719" s="5" t="s">
        <v>3563</v>
      </c>
    </row>
    <row r="1720" spans="1:10" ht="25.5" x14ac:dyDescent="0.2">
      <c r="A1720" s="5" t="s">
        <v>3562</v>
      </c>
      <c r="B1720" s="5" t="s">
        <v>83</v>
      </c>
      <c r="C1720" s="5"/>
      <c r="D1720" s="5" t="s">
        <v>3561</v>
      </c>
      <c r="E1720" s="5"/>
      <c r="F1720" s="5" t="s">
        <v>3547</v>
      </c>
      <c r="G1720" s="5" t="s">
        <v>382</v>
      </c>
      <c r="H1720" s="5" t="s">
        <v>3</v>
      </c>
      <c r="I1720" s="5"/>
      <c r="J1720" s="5" t="s">
        <v>3560</v>
      </c>
    </row>
    <row r="1721" spans="1:10" ht="25.5" x14ac:dyDescent="0.2">
      <c r="A1721" s="5" t="s">
        <v>3559</v>
      </c>
      <c r="B1721" s="5" t="s">
        <v>83</v>
      </c>
      <c r="C1721" s="5"/>
      <c r="D1721" s="5" t="s">
        <v>3558</v>
      </c>
      <c r="E1721" s="5"/>
      <c r="F1721" s="5" t="s">
        <v>3547</v>
      </c>
      <c r="G1721" s="5" t="s">
        <v>382</v>
      </c>
      <c r="H1721" s="5" t="s">
        <v>137</v>
      </c>
      <c r="I1721" s="5" t="s">
        <v>3554</v>
      </c>
      <c r="J1721" s="5" t="s">
        <v>3557</v>
      </c>
    </row>
    <row r="1722" spans="1:10" ht="25.5" x14ac:dyDescent="0.2">
      <c r="A1722" s="5" t="s">
        <v>3556</v>
      </c>
      <c r="B1722" s="5" t="s">
        <v>83</v>
      </c>
      <c r="C1722" s="5"/>
      <c r="D1722" s="5" t="s">
        <v>3555</v>
      </c>
      <c r="E1722" s="5" t="s">
        <v>150</v>
      </c>
      <c r="F1722" s="5" t="s">
        <v>3547</v>
      </c>
      <c r="G1722" s="5" t="s">
        <v>148</v>
      </c>
      <c r="H1722" s="5" t="s">
        <v>137</v>
      </c>
      <c r="I1722" s="5" t="s">
        <v>3554</v>
      </c>
      <c r="J1722" s="5" t="s">
        <v>3553</v>
      </c>
    </row>
    <row r="1723" spans="1:10" x14ac:dyDescent="0.2">
      <c r="A1723" s="5" t="s">
        <v>3552</v>
      </c>
      <c r="B1723" s="5" t="s">
        <v>83</v>
      </c>
      <c r="C1723" s="5"/>
      <c r="D1723" s="5" t="s">
        <v>3551</v>
      </c>
      <c r="E1723" s="5" t="s">
        <v>150</v>
      </c>
      <c r="F1723" s="5" t="s">
        <v>3547</v>
      </c>
      <c r="G1723" s="5" t="s">
        <v>148</v>
      </c>
      <c r="H1723" s="5" t="s">
        <v>3</v>
      </c>
      <c r="I1723" s="5"/>
      <c r="J1723" s="5" t="s">
        <v>3550</v>
      </c>
    </row>
    <row r="1724" spans="1:10" x14ac:dyDescent="0.2">
      <c r="A1724" s="5" t="s">
        <v>3549</v>
      </c>
      <c r="B1724" s="5" t="s">
        <v>83</v>
      </c>
      <c r="C1724" s="5"/>
      <c r="D1724" s="5" t="s">
        <v>3548</v>
      </c>
      <c r="E1724" s="5" t="s">
        <v>150</v>
      </c>
      <c r="F1724" s="5" t="s">
        <v>3547</v>
      </c>
      <c r="G1724" s="5" t="s">
        <v>148</v>
      </c>
      <c r="H1724" s="5" t="s">
        <v>3</v>
      </c>
      <c r="I1724" s="5"/>
      <c r="J1724" s="5" t="s">
        <v>3546</v>
      </c>
    </row>
    <row r="1725" spans="1:10" ht="38.25" x14ac:dyDescent="0.2">
      <c r="A1725" s="5" t="s">
        <v>3545</v>
      </c>
      <c r="B1725" s="5" t="s">
        <v>83</v>
      </c>
      <c r="C1725" s="5"/>
      <c r="D1725" s="5" t="s">
        <v>3544</v>
      </c>
      <c r="E1725" s="5" t="s">
        <v>150</v>
      </c>
      <c r="F1725" s="5" t="s">
        <v>424</v>
      </c>
      <c r="G1725" s="5" t="s">
        <v>148</v>
      </c>
      <c r="H1725" s="5" t="s">
        <v>137</v>
      </c>
      <c r="I1725" s="5" t="s">
        <v>3540</v>
      </c>
      <c r="J1725" s="5" t="s">
        <v>3543</v>
      </c>
    </row>
    <row r="1726" spans="1:10" ht="38.25" x14ac:dyDescent="0.2">
      <c r="A1726" s="5" t="s">
        <v>3542</v>
      </c>
      <c r="B1726" s="5" t="s">
        <v>83</v>
      </c>
      <c r="C1726" s="5"/>
      <c r="D1726" s="5" t="s">
        <v>3541</v>
      </c>
      <c r="E1726" s="5"/>
      <c r="F1726" s="5" t="s">
        <v>424</v>
      </c>
      <c r="G1726" s="5" t="s">
        <v>170</v>
      </c>
      <c r="H1726" s="5" t="s">
        <v>137</v>
      </c>
      <c r="I1726" s="5" t="s">
        <v>3540</v>
      </c>
      <c r="J1726" s="5" t="s">
        <v>3539</v>
      </c>
    </row>
    <row r="1727" spans="1:10" ht="25.5" x14ac:dyDescent="0.2">
      <c r="A1727" s="5" t="s">
        <v>3538</v>
      </c>
      <c r="B1727" s="5" t="s">
        <v>83</v>
      </c>
      <c r="C1727" s="5"/>
      <c r="D1727" s="5" t="s">
        <v>3537</v>
      </c>
      <c r="E1727" s="5"/>
      <c r="F1727" s="5" t="s">
        <v>3523</v>
      </c>
      <c r="G1727" s="5" t="s">
        <v>382</v>
      </c>
      <c r="H1727" s="5" t="s">
        <v>3</v>
      </c>
      <c r="I1727" s="5"/>
      <c r="J1727" s="5" t="s">
        <v>3536</v>
      </c>
    </row>
    <row r="1728" spans="1:10" ht="25.5" x14ac:dyDescent="0.2">
      <c r="A1728" s="5" t="s">
        <v>3535</v>
      </c>
      <c r="B1728" s="5" t="s">
        <v>83</v>
      </c>
      <c r="C1728" s="5"/>
      <c r="D1728" s="5" t="s">
        <v>3534</v>
      </c>
      <c r="E1728" s="5"/>
      <c r="F1728" s="5" t="s">
        <v>3523</v>
      </c>
      <c r="G1728" s="5" t="s">
        <v>382</v>
      </c>
      <c r="H1728" s="5" t="s">
        <v>137</v>
      </c>
      <c r="I1728" s="5" t="s">
        <v>3530</v>
      </c>
      <c r="J1728" s="5" t="s">
        <v>3533</v>
      </c>
    </row>
    <row r="1729" spans="1:10" ht="25.5" x14ac:dyDescent="0.2">
      <c r="A1729" s="5" t="s">
        <v>3532</v>
      </c>
      <c r="B1729" s="5" t="s">
        <v>83</v>
      </c>
      <c r="C1729" s="5"/>
      <c r="D1729" s="5" t="s">
        <v>3531</v>
      </c>
      <c r="E1729" s="5" t="s">
        <v>150</v>
      </c>
      <c r="F1729" s="5" t="s">
        <v>3523</v>
      </c>
      <c r="G1729" s="5" t="s">
        <v>148</v>
      </c>
      <c r="H1729" s="5" t="s">
        <v>137</v>
      </c>
      <c r="I1729" s="5" t="s">
        <v>3530</v>
      </c>
      <c r="J1729" s="5" t="s">
        <v>3529</v>
      </c>
    </row>
    <row r="1730" spans="1:10" x14ac:dyDescent="0.2">
      <c r="A1730" s="5" t="s">
        <v>3528</v>
      </c>
      <c r="B1730" s="5" t="s">
        <v>83</v>
      </c>
      <c r="C1730" s="5"/>
      <c r="D1730" s="5" t="s">
        <v>3527</v>
      </c>
      <c r="E1730" s="5" t="s">
        <v>150</v>
      </c>
      <c r="F1730" s="5" t="s">
        <v>3523</v>
      </c>
      <c r="G1730" s="5" t="s">
        <v>148</v>
      </c>
      <c r="H1730" s="5" t="s">
        <v>3</v>
      </c>
      <c r="I1730" s="5"/>
      <c r="J1730" s="5" t="s">
        <v>3526</v>
      </c>
    </row>
    <row r="1731" spans="1:10" x14ac:dyDescent="0.2">
      <c r="A1731" s="5" t="s">
        <v>3525</v>
      </c>
      <c r="B1731" s="5" t="s">
        <v>83</v>
      </c>
      <c r="C1731" s="5"/>
      <c r="D1731" s="5" t="s">
        <v>3524</v>
      </c>
      <c r="E1731" s="5" t="s">
        <v>150</v>
      </c>
      <c r="F1731" s="5" t="s">
        <v>3523</v>
      </c>
      <c r="G1731" s="5" t="s">
        <v>148</v>
      </c>
      <c r="H1731" s="5" t="s">
        <v>3</v>
      </c>
      <c r="I1731" s="5"/>
      <c r="J1731" s="5" t="s">
        <v>3522</v>
      </c>
    </row>
    <row r="1732" spans="1:10" ht="25.5" x14ac:dyDescent="0.2">
      <c r="A1732" s="5" t="s">
        <v>3521</v>
      </c>
      <c r="B1732" s="5" t="s">
        <v>83</v>
      </c>
      <c r="C1732" s="5"/>
      <c r="D1732" s="5" t="s">
        <v>3520</v>
      </c>
      <c r="E1732" s="5" t="s">
        <v>150</v>
      </c>
      <c r="F1732" s="5" t="s">
        <v>424</v>
      </c>
      <c r="G1732" s="5" t="s">
        <v>148</v>
      </c>
      <c r="H1732" s="5" t="s">
        <v>137</v>
      </c>
      <c r="I1732" s="5" t="s">
        <v>3516</v>
      </c>
      <c r="J1732" s="5" t="s">
        <v>3519</v>
      </c>
    </row>
    <row r="1733" spans="1:10" ht="25.5" x14ac:dyDescent="0.2">
      <c r="A1733" s="5" t="s">
        <v>3518</v>
      </c>
      <c r="B1733" s="5" t="s">
        <v>83</v>
      </c>
      <c r="C1733" s="5"/>
      <c r="D1733" s="5" t="s">
        <v>3517</v>
      </c>
      <c r="E1733" s="5"/>
      <c r="F1733" s="5" t="s">
        <v>424</v>
      </c>
      <c r="G1733" s="5" t="s">
        <v>170</v>
      </c>
      <c r="H1733" s="5" t="s">
        <v>137</v>
      </c>
      <c r="I1733" s="5" t="s">
        <v>3516</v>
      </c>
      <c r="J1733" s="5" t="s">
        <v>3515</v>
      </c>
    </row>
    <row r="1734" spans="1:10" ht="25.5" x14ac:dyDescent="0.2">
      <c r="A1734" s="5" t="s">
        <v>3514</v>
      </c>
      <c r="B1734" s="5" t="s">
        <v>83</v>
      </c>
      <c r="C1734" s="5"/>
      <c r="D1734" s="5" t="s">
        <v>3513</v>
      </c>
      <c r="E1734" s="5"/>
      <c r="F1734" s="5" t="s">
        <v>3495</v>
      </c>
      <c r="G1734" s="5" t="s">
        <v>382</v>
      </c>
      <c r="H1734" s="5" t="s">
        <v>3</v>
      </c>
      <c r="I1734" s="5"/>
      <c r="J1734" s="5" t="s">
        <v>3512</v>
      </c>
    </row>
    <row r="1735" spans="1:10" x14ac:dyDescent="0.2">
      <c r="A1735" s="5" t="s">
        <v>3511</v>
      </c>
      <c r="B1735" s="5" t="s">
        <v>83</v>
      </c>
      <c r="C1735" s="5"/>
      <c r="D1735" s="5" t="s">
        <v>3510</v>
      </c>
      <c r="E1735" s="5"/>
      <c r="F1735" s="5" t="s">
        <v>3495</v>
      </c>
      <c r="G1735" s="5" t="s">
        <v>382</v>
      </c>
      <c r="H1735" s="5" t="s">
        <v>137</v>
      </c>
      <c r="I1735" s="5" t="s">
        <v>3502</v>
      </c>
      <c r="J1735" s="5" t="s">
        <v>3509</v>
      </c>
    </row>
    <row r="1736" spans="1:10" x14ac:dyDescent="0.2">
      <c r="A1736" s="5" t="s">
        <v>3508</v>
      </c>
      <c r="B1736" s="5" t="s">
        <v>83</v>
      </c>
      <c r="C1736" s="5"/>
      <c r="D1736" s="5" t="s">
        <v>3507</v>
      </c>
      <c r="E1736" s="5" t="s">
        <v>665</v>
      </c>
      <c r="F1736" s="5" t="s">
        <v>3506</v>
      </c>
      <c r="G1736" s="5" t="s">
        <v>148</v>
      </c>
      <c r="H1736" s="5" t="s">
        <v>137</v>
      </c>
      <c r="I1736" s="5" t="s">
        <v>3502</v>
      </c>
      <c r="J1736" s="5" t="s">
        <v>3505</v>
      </c>
    </row>
    <row r="1737" spans="1:10" x14ac:dyDescent="0.2">
      <c r="A1737" s="5" t="s">
        <v>3504</v>
      </c>
      <c r="B1737" s="5" t="s">
        <v>83</v>
      </c>
      <c r="C1737" s="5"/>
      <c r="D1737" s="5" t="s">
        <v>3503</v>
      </c>
      <c r="E1737" s="5" t="s">
        <v>150</v>
      </c>
      <c r="F1737" s="5" t="s">
        <v>3495</v>
      </c>
      <c r="G1737" s="5" t="s">
        <v>148</v>
      </c>
      <c r="H1737" s="5" t="s">
        <v>137</v>
      </c>
      <c r="I1737" s="5" t="s">
        <v>3502</v>
      </c>
      <c r="J1737" s="5" t="s">
        <v>3501</v>
      </c>
    </row>
    <row r="1738" spans="1:10" x14ac:dyDescent="0.2">
      <c r="A1738" s="5" t="s">
        <v>3500</v>
      </c>
      <c r="B1738" s="5" t="s">
        <v>83</v>
      </c>
      <c r="C1738" s="5"/>
      <c r="D1738" s="5" t="s">
        <v>3499</v>
      </c>
      <c r="E1738" s="5" t="s">
        <v>150</v>
      </c>
      <c r="F1738" s="5" t="s">
        <v>3495</v>
      </c>
      <c r="G1738" s="5" t="s">
        <v>148</v>
      </c>
      <c r="H1738" s="5" t="s">
        <v>3</v>
      </c>
      <c r="I1738" s="5"/>
      <c r="J1738" s="5" t="s">
        <v>3498</v>
      </c>
    </row>
    <row r="1739" spans="1:10" x14ac:dyDescent="0.2">
      <c r="A1739" s="5" t="s">
        <v>3497</v>
      </c>
      <c r="B1739" s="5" t="s">
        <v>83</v>
      </c>
      <c r="C1739" s="5"/>
      <c r="D1739" s="5" t="s">
        <v>3496</v>
      </c>
      <c r="E1739" s="5" t="s">
        <v>150</v>
      </c>
      <c r="F1739" s="5" t="s">
        <v>3495</v>
      </c>
      <c r="G1739" s="5" t="s">
        <v>148</v>
      </c>
      <c r="H1739" s="5" t="s">
        <v>3</v>
      </c>
      <c r="I1739" s="5"/>
      <c r="J1739" s="5" t="s">
        <v>3494</v>
      </c>
    </row>
    <row r="1740" spans="1:10" ht="25.5" x14ac:dyDescent="0.2">
      <c r="A1740" s="5" t="s">
        <v>3493</v>
      </c>
      <c r="B1740" s="5" t="s">
        <v>83</v>
      </c>
      <c r="C1740" s="5"/>
      <c r="D1740" s="5" t="s">
        <v>3492</v>
      </c>
      <c r="E1740" s="5" t="s">
        <v>150</v>
      </c>
      <c r="F1740" s="5" t="s">
        <v>424</v>
      </c>
      <c r="G1740" s="5" t="s">
        <v>148</v>
      </c>
      <c r="H1740" s="5" t="s">
        <v>137</v>
      </c>
      <c r="I1740" s="5" t="s">
        <v>3488</v>
      </c>
      <c r="J1740" s="5" t="s">
        <v>3491</v>
      </c>
    </row>
    <row r="1741" spans="1:10" ht="25.5" x14ac:dyDescent="0.2">
      <c r="A1741" s="5" t="s">
        <v>3490</v>
      </c>
      <c r="B1741" s="5" t="s">
        <v>83</v>
      </c>
      <c r="C1741" s="5"/>
      <c r="D1741" s="5" t="s">
        <v>3489</v>
      </c>
      <c r="E1741" s="5"/>
      <c r="F1741" s="5" t="s">
        <v>424</v>
      </c>
      <c r="G1741" s="5" t="s">
        <v>170</v>
      </c>
      <c r="H1741" s="5" t="s">
        <v>137</v>
      </c>
      <c r="I1741" s="5" t="s">
        <v>3488</v>
      </c>
      <c r="J1741" s="5" t="s">
        <v>3487</v>
      </c>
    </row>
    <row r="1742" spans="1:10" ht="25.5" x14ac:dyDescent="0.2">
      <c r="A1742" s="5" t="s">
        <v>3486</v>
      </c>
      <c r="B1742" s="5" t="s">
        <v>83</v>
      </c>
      <c r="C1742" s="5"/>
      <c r="D1742" s="5" t="s">
        <v>3485</v>
      </c>
      <c r="E1742" s="5"/>
      <c r="F1742" s="5" t="s">
        <v>3471</v>
      </c>
      <c r="G1742" s="5" t="s">
        <v>382</v>
      </c>
      <c r="H1742" s="5" t="s">
        <v>3</v>
      </c>
      <c r="I1742" s="5"/>
      <c r="J1742" s="5" t="s">
        <v>3484</v>
      </c>
    </row>
    <row r="1743" spans="1:10" ht="25.5" x14ac:dyDescent="0.2">
      <c r="A1743" s="5" t="s">
        <v>3483</v>
      </c>
      <c r="B1743" s="5" t="s">
        <v>83</v>
      </c>
      <c r="C1743" s="5"/>
      <c r="D1743" s="5" t="s">
        <v>3482</v>
      </c>
      <c r="E1743" s="5"/>
      <c r="F1743" s="5" t="s">
        <v>3471</v>
      </c>
      <c r="G1743" s="5" t="s">
        <v>382</v>
      </c>
      <c r="H1743" s="5" t="s">
        <v>137</v>
      </c>
      <c r="I1743" s="5" t="s">
        <v>3478</v>
      </c>
      <c r="J1743" s="5" t="s">
        <v>3481</v>
      </c>
    </row>
    <row r="1744" spans="1:10" ht="25.5" x14ac:dyDescent="0.2">
      <c r="A1744" s="5" t="s">
        <v>3480</v>
      </c>
      <c r="B1744" s="5" t="s">
        <v>83</v>
      </c>
      <c r="C1744" s="5"/>
      <c r="D1744" s="5" t="s">
        <v>3479</v>
      </c>
      <c r="E1744" s="5" t="s">
        <v>150</v>
      </c>
      <c r="F1744" s="5" t="s">
        <v>3471</v>
      </c>
      <c r="G1744" s="5" t="s">
        <v>148</v>
      </c>
      <c r="H1744" s="5" t="s">
        <v>137</v>
      </c>
      <c r="I1744" s="5" t="s">
        <v>3478</v>
      </c>
      <c r="J1744" s="5" t="s">
        <v>3477</v>
      </c>
    </row>
    <row r="1745" spans="1:10" x14ac:dyDescent="0.2">
      <c r="A1745" s="5" t="s">
        <v>3476</v>
      </c>
      <c r="B1745" s="5" t="s">
        <v>83</v>
      </c>
      <c r="C1745" s="5"/>
      <c r="D1745" s="5" t="s">
        <v>3475</v>
      </c>
      <c r="E1745" s="5" t="s">
        <v>150</v>
      </c>
      <c r="F1745" s="5" t="s">
        <v>3471</v>
      </c>
      <c r="G1745" s="5" t="s">
        <v>148</v>
      </c>
      <c r="H1745" s="5" t="s">
        <v>3</v>
      </c>
      <c r="I1745" s="5"/>
      <c r="J1745" s="5" t="s">
        <v>3474</v>
      </c>
    </row>
    <row r="1746" spans="1:10" x14ac:dyDescent="0.2">
      <c r="A1746" s="5" t="s">
        <v>3473</v>
      </c>
      <c r="B1746" s="5" t="s">
        <v>83</v>
      </c>
      <c r="C1746" s="5"/>
      <c r="D1746" s="5" t="s">
        <v>3472</v>
      </c>
      <c r="E1746" s="5" t="s">
        <v>150</v>
      </c>
      <c r="F1746" s="5" t="s">
        <v>3471</v>
      </c>
      <c r="G1746" s="5" t="s">
        <v>148</v>
      </c>
      <c r="H1746" s="5" t="s">
        <v>3</v>
      </c>
      <c r="I1746" s="5"/>
      <c r="J1746" s="5" t="s">
        <v>3470</v>
      </c>
    </row>
    <row r="1747" spans="1:10" ht="25.5" x14ac:dyDescent="0.2">
      <c r="A1747" s="5" t="s">
        <v>3469</v>
      </c>
      <c r="B1747" s="5" t="s">
        <v>83</v>
      </c>
      <c r="C1747" s="5"/>
      <c r="D1747" s="5" t="s">
        <v>3468</v>
      </c>
      <c r="E1747" s="5" t="s">
        <v>150</v>
      </c>
      <c r="F1747" s="5" t="s">
        <v>424</v>
      </c>
      <c r="G1747" s="5" t="s">
        <v>148</v>
      </c>
      <c r="H1747" s="5" t="s">
        <v>137</v>
      </c>
      <c r="I1747" s="5" t="s">
        <v>3464</v>
      </c>
      <c r="J1747" s="5" t="s">
        <v>3467</v>
      </c>
    </row>
    <row r="1748" spans="1:10" ht="25.5" x14ac:dyDescent="0.2">
      <c r="A1748" s="5" t="s">
        <v>3466</v>
      </c>
      <c r="B1748" s="5" t="s">
        <v>83</v>
      </c>
      <c r="C1748" s="5"/>
      <c r="D1748" s="5" t="s">
        <v>3465</v>
      </c>
      <c r="E1748" s="5"/>
      <c r="F1748" s="5" t="s">
        <v>424</v>
      </c>
      <c r="G1748" s="5" t="s">
        <v>170</v>
      </c>
      <c r="H1748" s="5" t="s">
        <v>137</v>
      </c>
      <c r="I1748" s="5" t="s">
        <v>3464</v>
      </c>
      <c r="J1748" s="5" t="s">
        <v>3463</v>
      </c>
    </row>
    <row r="1749" spans="1:10" ht="25.5" x14ac:dyDescent="0.2">
      <c r="A1749" s="5" t="s">
        <v>3462</v>
      </c>
      <c r="B1749" s="5" t="s">
        <v>83</v>
      </c>
      <c r="C1749" s="5"/>
      <c r="D1749" s="5" t="s">
        <v>3461</v>
      </c>
      <c r="E1749" s="5"/>
      <c r="F1749" s="5" t="s">
        <v>3423</v>
      </c>
      <c r="G1749" s="5" t="s">
        <v>382</v>
      </c>
      <c r="H1749" s="5" t="s">
        <v>3</v>
      </c>
      <c r="I1749" s="5"/>
      <c r="J1749" s="5" t="s">
        <v>3460</v>
      </c>
    </row>
    <row r="1750" spans="1:10" ht="25.5" x14ac:dyDescent="0.2">
      <c r="A1750" s="5" t="s">
        <v>3459</v>
      </c>
      <c r="B1750" s="5" t="s">
        <v>83</v>
      </c>
      <c r="C1750" s="5"/>
      <c r="D1750" s="5" t="s">
        <v>3458</v>
      </c>
      <c r="E1750" s="5"/>
      <c r="F1750" s="5" t="s">
        <v>3423</v>
      </c>
      <c r="G1750" s="5" t="s">
        <v>382</v>
      </c>
      <c r="H1750" s="5" t="s">
        <v>137</v>
      </c>
      <c r="I1750" s="5" t="s">
        <v>3430</v>
      </c>
      <c r="J1750" s="5" t="s">
        <v>3457</v>
      </c>
    </row>
    <row r="1751" spans="1:10" ht="25.5" x14ac:dyDescent="0.2">
      <c r="A1751" s="5" t="s">
        <v>3456</v>
      </c>
      <c r="B1751" s="5" t="s">
        <v>83</v>
      </c>
      <c r="C1751" s="5"/>
      <c r="D1751" s="5" t="s">
        <v>3455</v>
      </c>
      <c r="E1751" s="5"/>
      <c r="F1751" s="5" t="s">
        <v>3441</v>
      </c>
      <c r="G1751" s="5" t="s">
        <v>382</v>
      </c>
      <c r="H1751" s="5" t="s">
        <v>3</v>
      </c>
      <c r="I1751" s="5"/>
      <c r="J1751" s="5" t="s">
        <v>3454</v>
      </c>
    </row>
    <row r="1752" spans="1:10" ht="25.5" x14ac:dyDescent="0.2">
      <c r="A1752" s="5" t="s">
        <v>3453</v>
      </c>
      <c r="B1752" s="5" t="s">
        <v>83</v>
      </c>
      <c r="C1752" s="5"/>
      <c r="D1752" s="5" t="s">
        <v>3452</v>
      </c>
      <c r="E1752" s="5"/>
      <c r="F1752" s="5" t="s">
        <v>3441</v>
      </c>
      <c r="G1752" s="5" t="s">
        <v>382</v>
      </c>
      <c r="H1752" s="5" t="s">
        <v>137</v>
      </c>
      <c r="I1752" s="5" t="s">
        <v>3448</v>
      </c>
      <c r="J1752" s="5" t="s">
        <v>3451</v>
      </c>
    </row>
    <row r="1753" spans="1:10" ht="25.5" x14ac:dyDescent="0.2">
      <c r="A1753" s="5" t="s">
        <v>3450</v>
      </c>
      <c r="B1753" s="5" t="s">
        <v>83</v>
      </c>
      <c r="C1753" s="5"/>
      <c r="D1753" s="5" t="s">
        <v>3449</v>
      </c>
      <c r="E1753" s="5" t="s">
        <v>150</v>
      </c>
      <c r="F1753" s="5" t="s">
        <v>3441</v>
      </c>
      <c r="G1753" s="5" t="s">
        <v>148</v>
      </c>
      <c r="H1753" s="5" t="s">
        <v>137</v>
      </c>
      <c r="I1753" s="5" t="s">
        <v>3448</v>
      </c>
      <c r="J1753" s="5" t="s">
        <v>3447</v>
      </c>
    </row>
    <row r="1754" spans="1:10" x14ac:dyDescent="0.2">
      <c r="A1754" s="5" t="s">
        <v>3446</v>
      </c>
      <c r="B1754" s="5" t="s">
        <v>83</v>
      </c>
      <c r="C1754" s="5"/>
      <c r="D1754" s="5" t="s">
        <v>3445</v>
      </c>
      <c r="E1754" s="5" t="s">
        <v>150</v>
      </c>
      <c r="F1754" s="5" t="s">
        <v>3441</v>
      </c>
      <c r="G1754" s="5" t="s">
        <v>148</v>
      </c>
      <c r="H1754" s="5" t="s">
        <v>3</v>
      </c>
      <c r="I1754" s="5"/>
      <c r="J1754" s="5" t="s">
        <v>3444</v>
      </c>
    </row>
    <row r="1755" spans="1:10" x14ac:dyDescent="0.2">
      <c r="A1755" s="5" t="s">
        <v>3443</v>
      </c>
      <c r="B1755" s="5" t="s">
        <v>83</v>
      </c>
      <c r="C1755" s="5"/>
      <c r="D1755" s="5" t="s">
        <v>3442</v>
      </c>
      <c r="E1755" s="5" t="s">
        <v>150</v>
      </c>
      <c r="F1755" s="5" t="s">
        <v>3441</v>
      </c>
      <c r="G1755" s="5" t="s">
        <v>148</v>
      </c>
      <c r="H1755" s="5" t="s">
        <v>3</v>
      </c>
      <c r="I1755" s="5"/>
      <c r="J1755" s="5" t="s">
        <v>3440</v>
      </c>
    </row>
    <row r="1756" spans="1:10" ht="38.25" x14ac:dyDescent="0.2">
      <c r="A1756" s="5" t="s">
        <v>3439</v>
      </c>
      <c r="B1756" s="5" t="s">
        <v>83</v>
      </c>
      <c r="C1756" s="5"/>
      <c r="D1756" s="5" t="s">
        <v>3438</v>
      </c>
      <c r="E1756" s="5" t="s">
        <v>150</v>
      </c>
      <c r="F1756" s="5" t="s">
        <v>424</v>
      </c>
      <c r="G1756" s="5" t="s">
        <v>148</v>
      </c>
      <c r="H1756" s="5" t="s">
        <v>137</v>
      </c>
      <c r="I1756" s="5" t="s">
        <v>3434</v>
      </c>
      <c r="J1756" s="5" t="s">
        <v>3437</v>
      </c>
    </row>
    <row r="1757" spans="1:10" ht="38.25" x14ac:dyDescent="0.2">
      <c r="A1757" s="5" t="s">
        <v>3436</v>
      </c>
      <c r="B1757" s="5" t="s">
        <v>83</v>
      </c>
      <c r="C1757" s="5"/>
      <c r="D1757" s="5" t="s">
        <v>3435</v>
      </c>
      <c r="E1757" s="5"/>
      <c r="F1757" s="5" t="s">
        <v>424</v>
      </c>
      <c r="G1757" s="5" t="s">
        <v>170</v>
      </c>
      <c r="H1757" s="5" t="s">
        <v>137</v>
      </c>
      <c r="I1757" s="5" t="s">
        <v>3434</v>
      </c>
      <c r="J1757" s="5" t="s">
        <v>3433</v>
      </c>
    </row>
    <row r="1758" spans="1:10" ht="25.5" x14ac:dyDescent="0.2">
      <c r="A1758" s="5" t="s">
        <v>3432</v>
      </c>
      <c r="B1758" s="5" t="s">
        <v>83</v>
      </c>
      <c r="C1758" s="5"/>
      <c r="D1758" s="5" t="s">
        <v>3431</v>
      </c>
      <c r="E1758" s="5" t="s">
        <v>150</v>
      </c>
      <c r="F1758" s="5" t="s">
        <v>3423</v>
      </c>
      <c r="G1758" s="5" t="s">
        <v>148</v>
      </c>
      <c r="H1758" s="5" t="s">
        <v>137</v>
      </c>
      <c r="I1758" s="5" t="s">
        <v>3430</v>
      </c>
      <c r="J1758" s="5" t="s">
        <v>3429</v>
      </c>
    </row>
    <row r="1759" spans="1:10" x14ac:dyDescent="0.2">
      <c r="A1759" s="5" t="s">
        <v>3428</v>
      </c>
      <c r="B1759" s="5" t="s">
        <v>83</v>
      </c>
      <c r="C1759" s="5"/>
      <c r="D1759" s="5" t="s">
        <v>3427</v>
      </c>
      <c r="E1759" s="5" t="s">
        <v>150</v>
      </c>
      <c r="F1759" s="5" t="s">
        <v>3423</v>
      </c>
      <c r="G1759" s="5" t="s">
        <v>148</v>
      </c>
      <c r="H1759" s="5" t="s">
        <v>3</v>
      </c>
      <c r="I1759" s="5"/>
      <c r="J1759" s="5" t="s">
        <v>3426</v>
      </c>
    </row>
    <row r="1760" spans="1:10" x14ac:dyDescent="0.2">
      <c r="A1760" s="5" t="s">
        <v>3425</v>
      </c>
      <c r="B1760" s="5" t="s">
        <v>83</v>
      </c>
      <c r="C1760" s="5"/>
      <c r="D1760" s="5" t="s">
        <v>3424</v>
      </c>
      <c r="E1760" s="5" t="s">
        <v>150</v>
      </c>
      <c r="F1760" s="5" t="s">
        <v>3423</v>
      </c>
      <c r="G1760" s="5" t="s">
        <v>148</v>
      </c>
      <c r="H1760" s="5" t="s">
        <v>3</v>
      </c>
      <c r="I1760" s="5"/>
      <c r="J1760" s="5" t="s">
        <v>3422</v>
      </c>
    </row>
    <row r="1761" spans="1:10" ht="25.5" x14ac:dyDescent="0.2">
      <c r="A1761" s="5" t="s">
        <v>3421</v>
      </c>
      <c r="B1761" s="5" t="s">
        <v>83</v>
      </c>
      <c r="C1761" s="5"/>
      <c r="D1761" s="5" t="s">
        <v>3420</v>
      </c>
      <c r="E1761" s="5" t="s">
        <v>150</v>
      </c>
      <c r="F1761" s="5" t="s">
        <v>424</v>
      </c>
      <c r="G1761" s="5" t="s">
        <v>148</v>
      </c>
      <c r="H1761" s="5" t="s">
        <v>137</v>
      </c>
      <c r="I1761" s="5" t="s">
        <v>3416</v>
      </c>
      <c r="J1761" s="5" t="s">
        <v>3419</v>
      </c>
    </row>
    <row r="1762" spans="1:10" ht="25.5" x14ac:dyDescent="0.2">
      <c r="A1762" s="5" t="s">
        <v>3418</v>
      </c>
      <c r="B1762" s="5" t="s">
        <v>83</v>
      </c>
      <c r="C1762" s="5"/>
      <c r="D1762" s="5" t="s">
        <v>3417</v>
      </c>
      <c r="E1762" s="5"/>
      <c r="F1762" s="5" t="s">
        <v>424</v>
      </c>
      <c r="G1762" s="5" t="s">
        <v>170</v>
      </c>
      <c r="H1762" s="5" t="s">
        <v>137</v>
      </c>
      <c r="I1762" s="5" t="s">
        <v>3416</v>
      </c>
      <c r="J1762" s="5" t="s">
        <v>3415</v>
      </c>
    </row>
    <row r="1763" spans="1:10" ht="25.5" x14ac:dyDescent="0.2">
      <c r="A1763" s="5" t="s">
        <v>3414</v>
      </c>
      <c r="B1763" s="5" t="s">
        <v>83</v>
      </c>
      <c r="C1763" s="5"/>
      <c r="D1763" s="5" t="s">
        <v>3413</v>
      </c>
      <c r="E1763" s="5"/>
      <c r="F1763" s="5" t="s">
        <v>3399</v>
      </c>
      <c r="G1763" s="5" t="s">
        <v>382</v>
      </c>
      <c r="H1763" s="5" t="s">
        <v>3</v>
      </c>
      <c r="I1763" s="5"/>
      <c r="J1763" s="5" t="s">
        <v>3412</v>
      </c>
    </row>
    <row r="1764" spans="1:10" ht="25.5" x14ac:dyDescent="0.2">
      <c r="A1764" s="5" t="s">
        <v>3411</v>
      </c>
      <c r="B1764" s="5" t="s">
        <v>83</v>
      </c>
      <c r="C1764" s="5"/>
      <c r="D1764" s="5" t="s">
        <v>3410</v>
      </c>
      <c r="E1764" s="5"/>
      <c r="F1764" s="5" t="s">
        <v>3399</v>
      </c>
      <c r="G1764" s="5" t="s">
        <v>382</v>
      </c>
      <c r="H1764" s="5" t="s">
        <v>137</v>
      </c>
      <c r="I1764" s="5" t="s">
        <v>3406</v>
      </c>
      <c r="J1764" s="5" t="s">
        <v>3409</v>
      </c>
    </row>
    <row r="1765" spans="1:10" ht="25.5" x14ac:dyDescent="0.2">
      <c r="A1765" s="5" t="s">
        <v>3408</v>
      </c>
      <c r="B1765" s="5" t="s">
        <v>83</v>
      </c>
      <c r="C1765" s="5"/>
      <c r="D1765" s="5" t="s">
        <v>3407</v>
      </c>
      <c r="E1765" s="5" t="s">
        <v>150</v>
      </c>
      <c r="F1765" s="5" t="s">
        <v>3399</v>
      </c>
      <c r="G1765" s="5" t="s">
        <v>148</v>
      </c>
      <c r="H1765" s="5" t="s">
        <v>137</v>
      </c>
      <c r="I1765" s="5" t="s">
        <v>3406</v>
      </c>
      <c r="J1765" s="5" t="s">
        <v>3405</v>
      </c>
    </row>
    <row r="1766" spans="1:10" x14ac:dyDescent="0.2">
      <c r="A1766" s="5" t="s">
        <v>3404</v>
      </c>
      <c r="B1766" s="5" t="s">
        <v>83</v>
      </c>
      <c r="C1766" s="5"/>
      <c r="D1766" s="5" t="s">
        <v>3403</v>
      </c>
      <c r="E1766" s="5" t="s">
        <v>150</v>
      </c>
      <c r="F1766" s="5" t="s">
        <v>3399</v>
      </c>
      <c r="G1766" s="5" t="s">
        <v>148</v>
      </c>
      <c r="H1766" s="5" t="s">
        <v>3</v>
      </c>
      <c r="I1766" s="5"/>
      <c r="J1766" s="5" t="s">
        <v>3402</v>
      </c>
    </row>
    <row r="1767" spans="1:10" x14ac:dyDescent="0.2">
      <c r="A1767" s="5" t="s">
        <v>3401</v>
      </c>
      <c r="B1767" s="5" t="s">
        <v>83</v>
      </c>
      <c r="C1767" s="5"/>
      <c r="D1767" s="5" t="s">
        <v>3400</v>
      </c>
      <c r="E1767" s="5" t="s">
        <v>150</v>
      </c>
      <c r="F1767" s="5" t="s">
        <v>3399</v>
      </c>
      <c r="G1767" s="5" t="s">
        <v>148</v>
      </c>
      <c r="H1767" s="5" t="s">
        <v>3</v>
      </c>
      <c r="I1767" s="5"/>
      <c r="J1767" s="5" t="s">
        <v>3398</v>
      </c>
    </row>
    <row r="1768" spans="1:10" ht="25.5" x14ac:dyDescent="0.2">
      <c r="A1768" s="5" t="s">
        <v>3397</v>
      </c>
      <c r="B1768" s="5" t="s">
        <v>83</v>
      </c>
      <c r="C1768" s="5"/>
      <c r="D1768" s="5" t="s">
        <v>3396</v>
      </c>
      <c r="E1768" s="5" t="s">
        <v>150</v>
      </c>
      <c r="F1768" s="5" t="s">
        <v>424</v>
      </c>
      <c r="G1768" s="5" t="s">
        <v>148</v>
      </c>
      <c r="H1768" s="5" t="s">
        <v>137</v>
      </c>
      <c r="I1768" s="5" t="s">
        <v>3392</v>
      </c>
      <c r="J1768" s="5" t="s">
        <v>3395</v>
      </c>
    </row>
    <row r="1769" spans="1:10" ht="25.5" x14ac:dyDescent="0.2">
      <c r="A1769" s="5" t="s">
        <v>3394</v>
      </c>
      <c r="B1769" s="5" t="s">
        <v>83</v>
      </c>
      <c r="C1769" s="5"/>
      <c r="D1769" s="5" t="s">
        <v>3393</v>
      </c>
      <c r="E1769" s="5"/>
      <c r="F1769" s="5" t="s">
        <v>424</v>
      </c>
      <c r="G1769" s="5" t="s">
        <v>170</v>
      </c>
      <c r="H1769" s="5" t="s">
        <v>137</v>
      </c>
      <c r="I1769" s="5" t="s">
        <v>3392</v>
      </c>
      <c r="J1769" s="5" t="s">
        <v>3391</v>
      </c>
    </row>
    <row r="1770" spans="1:10" ht="25.5" x14ac:dyDescent="0.2">
      <c r="A1770" s="5" t="s">
        <v>3390</v>
      </c>
      <c r="B1770" s="5" t="s">
        <v>83</v>
      </c>
      <c r="C1770" s="5"/>
      <c r="D1770" s="5" t="s">
        <v>3389</v>
      </c>
      <c r="E1770" s="5"/>
      <c r="F1770" s="5" t="s">
        <v>3375</v>
      </c>
      <c r="G1770" s="5" t="s">
        <v>382</v>
      </c>
      <c r="H1770" s="5" t="s">
        <v>3</v>
      </c>
      <c r="I1770" s="5"/>
      <c r="J1770" s="5" t="s">
        <v>3388</v>
      </c>
    </row>
    <row r="1771" spans="1:10" ht="25.5" x14ac:dyDescent="0.2">
      <c r="A1771" s="5" t="s">
        <v>3387</v>
      </c>
      <c r="B1771" s="5" t="s">
        <v>83</v>
      </c>
      <c r="C1771" s="5"/>
      <c r="D1771" s="5" t="s">
        <v>3386</v>
      </c>
      <c r="E1771" s="5"/>
      <c r="F1771" s="5" t="s">
        <v>3375</v>
      </c>
      <c r="G1771" s="5" t="s">
        <v>382</v>
      </c>
      <c r="H1771" s="5" t="s">
        <v>137</v>
      </c>
      <c r="I1771" s="5" t="s">
        <v>3382</v>
      </c>
      <c r="J1771" s="5" t="s">
        <v>3385</v>
      </c>
    </row>
    <row r="1772" spans="1:10" ht="25.5" x14ac:dyDescent="0.2">
      <c r="A1772" s="5" t="s">
        <v>3384</v>
      </c>
      <c r="B1772" s="5" t="s">
        <v>83</v>
      </c>
      <c r="C1772" s="5"/>
      <c r="D1772" s="5" t="s">
        <v>3383</v>
      </c>
      <c r="E1772" s="5" t="s">
        <v>150</v>
      </c>
      <c r="F1772" s="5" t="s">
        <v>3375</v>
      </c>
      <c r="G1772" s="5" t="s">
        <v>148</v>
      </c>
      <c r="H1772" s="5" t="s">
        <v>137</v>
      </c>
      <c r="I1772" s="5" t="s">
        <v>3382</v>
      </c>
      <c r="J1772" s="5" t="s">
        <v>3381</v>
      </c>
    </row>
    <row r="1773" spans="1:10" x14ac:dyDescent="0.2">
      <c r="A1773" s="5" t="s">
        <v>3380</v>
      </c>
      <c r="B1773" s="5" t="s">
        <v>83</v>
      </c>
      <c r="C1773" s="5"/>
      <c r="D1773" s="5" t="s">
        <v>3379</v>
      </c>
      <c r="E1773" s="5" t="s">
        <v>150</v>
      </c>
      <c r="F1773" s="5" t="s">
        <v>3375</v>
      </c>
      <c r="G1773" s="5" t="s">
        <v>148</v>
      </c>
      <c r="H1773" s="5" t="s">
        <v>3</v>
      </c>
      <c r="I1773" s="5"/>
      <c r="J1773" s="5" t="s">
        <v>3378</v>
      </c>
    </row>
    <row r="1774" spans="1:10" x14ac:dyDescent="0.2">
      <c r="A1774" s="5" t="s">
        <v>3377</v>
      </c>
      <c r="B1774" s="5" t="s">
        <v>83</v>
      </c>
      <c r="C1774" s="5"/>
      <c r="D1774" s="5" t="s">
        <v>3376</v>
      </c>
      <c r="E1774" s="5" t="s">
        <v>150</v>
      </c>
      <c r="F1774" s="5" t="s">
        <v>3375</v>
      </c>
      <c r="G1774" s="5" t="s">
        <v>148</v>
      </c>
      <c r="H1774" s="5" t="s">
        <v>3</v>
      </c>
      <c r="I1774" s="5"/>
      <c r="J1774" s="5" t="s">
        <v>3374</v>
      </c>
    </row>
    <row r="1775" spans="1:10" ht="25.5" x14ac:dyDescent="0.2">
      <c r="A1775" s="5" t="s">
        <v>3373</v>
      </c>
      <c r="B1775" s="5" t="s">
        <v>83</v>
      </c>
      <c r="C1775" s="5"/>
      <c r="D1775" s="5" t="s">
        <v>3372</v>
      </c>
      <c r="E1775" s="5" t="s">
        <v>150</v>
      </c>
      <c r="F1775" s="5" t="s">
        <v>424</v>
      </c>
      <c r="G1775" s="5" t="s">
        <v>148</v>
      </c>
      <c r="H1775" s="5" t="s">
        <v>137</v>
      </c>
      <c r="I1775" s="5" t="s">
        <v>3368</v>
      </c>
      <c r="J1775" s="5" t="s">
        <v>3371</v>
      </c>
    </row>
    <row r="1776" spans="1:10" ht="25.5" x14ac:dyDescent="0.2">
      <c r="A1776" s="5" t="s">
        <v>3370</v>
      </c>
      <c r="B1776" s="5" t="s">
        <v>83</v>
      </c>
      <c r="C1776" s="5"/>
      <c r="D1776" s="5" t="s">
        <v>3369</v>
      </c>
      <c r="E1776" s="5"/>
      <c r="F1776" s="5" t="s">
        <v>424</v>
      </c>
      <c r="G1776" s="5" t="s">
        <v>170</v>
      </c>
      <c r="H1776" s="5" t="s">
        <v>137</v>
      </c>
      <c r="I1776" s="5" t="s">
        <v>3368</v>
      </c>
      <c r="J1776" s="5" t="s">
        <v>3367</v>
      </c>
    </row>
    <row r="1777" spans="1:10" ht="25.5" x14ac:dyDescent="0.2">
      <c r="A1777" s="5" t="s">
        <v>3366</v>
      </c>
      <c r="B1777" s="5" t="s">
        <v>83</v>
      </c>
      <c r="C1777" s="5"/>
      <c r="D1777" s="5" t="s">
        <v>3365</v>
      </c>
      <c r="E1777" s="5"/>
      <c r="F1777" s="5" t="s">
        <v>3351</v>
      </c>
      <c r="G1777" s="5" t="s">
        <v>382</v>
      </c>
      <c r="H1777" s="5" t="s">
        <v>3</v>
      </c>
      <c r="I1777" s="5"/>
      <c r="J1777" s="5" t="s">
        <v>3364</v>
      </c>
    </row>
    <row r="1778" spans="1:10" ht="25.5" x14ac:dyDescent="0.2">
      <c r="A1778" s="5" t="s">
        <v>3363</v>
      </c>
      <c r="B1778" s="5" t="s">
        <v>83</v>
      </c>
      <c r="C1778" s="5"/>
      <c r="D1778" s="5" t="s">
        <v>3362</v>
      </c>
      <c r="E1778" s="5"/>
      <c r="F1778" s="5" t="s">
        <v>3351</v>
      </c>
      <c r="G1778" s="5" t="s">
        <v>382</v>
      </c>
      <c r="H1778" s="5" t="s">
        <v>137</v>
      </c>
      <c r="I1778" s="5" t="s">
        <v>3358</v>
      </c>
      <c r="J1778" s="5" t="s">
        <v>3361</v>
      </c>
    </row>
    <row r="1779" spans="1:10" ht="25.5" x14ac:dyDescent="0.2">
      <c r="A1779" s="5" t="s">
        <v>3360</v>
      </c>
      <c r="B1779" s="5" t="s">
        <v>83</v>
      </c>
      <c r="C1779" s="5"/>
      <c r="D1779" s="5" t="s">
        <v>3359</v>
      </c>
      <c r="E1779" s="5" t="s">
        <v>150</v>
      </c>
      <c r="F1779" s="5" t="s">
        <v>3351</v>
      </c>
      <c r="G1779" s="5" t="s">
        <v>148</v>
      </c>
      <c r="H1779" s="5" t="s">
        <v>137</v>
      </c>
      <c r="I1779" s="5" t="s">
        <v>3358</v>
      </c>
      <c r="J1779" s="5" t="s">
        <v>3357</v>
      </c>
    </row>
    <row r="1780" spans="1:10" x14ac:dyDescent="0.2">
      <c r="A1780" s="5" t="s">
        <v>3356</v>
      </c>
      <c r="B1780" s="5" t="s">
        <v>83</v>
      </c>
      <c r="C1780" s="5"/>
      <c r="D1780" s="5" t="s">
        <v>3355</v>
      </c>
      <c r="E1780" s="5" t="s">
        <v>150</v>
      </c>
      <c r="F1780" s="5" t="s">
        <v>3351</v>
      </c>
      <c r="G1780" s="5" t="s">
        <v>148</v>
      </c>
      <c r="H1780" s="5" t="s">
        <v>3</v>
      </c>
      <c r="I1780" s="5"/>
      <c r="J1780" s="5" t="s">
        <v>3354</v>
      </c>
    </row>
    <row r="1781" spans="1:10" x14ac:dyDescent="0.2">
      <c r="A1781" s="5" t="s">
        <v>3353</v>
      </c>
      <c r="B1781" s="5" t="s">
        <v>83</v>
      </c>
      <c r="C1781" s="5"/>
      <c r="D1781" s="5" t="s">
        <v>3352</v>
      </c>
      <c r="E1781" s="5" t="s">
        <v>150</v>
      </c>
      <c r="F1781" s="5" t="s">
        <v>3351</v>
      </c>
      <c r="G1781" s="5" t="s">
        <v>148</v>
      </c>
      <c r="H1781" s="5" t="s">
        <v>3</v>
      </c>
      <c r="I1781" s="5"/>
      <c r="J1781" s="5" t="s">
        <v>3350</v>
      </c>
    </row>
    <row r="1782" spans="1:10" ht="25.5" x14ac:dyDescent="0.2">
      <c r="A1782" s="5" t="s">
        <v>3349</v>
      </c>
      <c r="B1782" s="5" t="s">
        <v>83</v>
      </c>
      <c r="C1782" s="5"/>
      <c r="D1782" s="5" t="s">
        <v>3348</v>
      </c>
      <c r="E1782" s="5" t="s">
        <v>150</v>
      </c>
      <c r="F1782" s="5" t="s">
        <v>424</v>
      </c>
      <c r="G1782" s="5" t="s">
        <v>148</v>
      </c>
      <c r="H1782" s="5" t="s">
        <v>137</v>
      </c>
      <c r="I1782" s="5" t="s">
        <v>3344</v>
      </c>
      <c r="J1782" s="5" t="s">
        <v>3347</v>
      </c>
    </row>
    <row r="1783" spans="1:10" ht="25.5" x14ac:dyDescent="0.2">
      <c r="A1783" s="5" t="s">
        <v>3346</v>
      </c>
      <c r="B1783" s="5" t="s">
        <v>83</v>
      </c>
      <c r="C1783" s="5"/>
      <c r="D1783" s="5" t="s">
        <v>3345</v>
      </c>
      <c r="E1783" s="5"/>
      <c r="F1783" s="5" t="s">
        <v>424</v>
      </c>
      <c r="G1783" s="5" t="s">
        <v>170</v>
      </c>
      <c r="H1783" s="5" t="s">
        <v>137</v>
      </c>
      <c r="I1783" s="5" t="s">
        <v>3344</v>
      </c>
      <c r="J1783" s="5" t="s">
        <v>3343</v>
      </c>
    </row>
    <row r="1784" spans="1:10" ht="25.5" x14ac:dyDescent="0.2">
      <c r="A1784" s="5" t="s">
        <v>3342</v>
      </c>
      <c r="B1784" s="5" t="s">
        <v>83</v>
      </c>
      <c r="C1784" s="5"/>
      <c r="D1784" s="5" t="s">
        <v>3324</v>
      </c>
      <c r="E1784" s="5"/>
      <c r="F1784" s="5" t="s">
        <v>3332</v>
      </c>
      <c r="G1784" s="5" t="s">
        <v>382</v>
      </c>
      <c r="H1784" s="5" t="s">
        <v>3</v>
      </c>
      <c r="I1784" s="5"/>
      <c r="J1784" s="5" t="s">
        <v>3341</v>
      </c>
    </row>
    <row r="1785" spans="1:10" ht="25.5" x14ac:dyDescent="0.2">
      <c r="A1785" s="5" t="s">
        <v>3340</v>
      </c>
      <c r="B1785" s="5" t="s">
        <v>83</v>
      </c>
      <c r="C1785" s="5"/>
      <c r="D1785" s="5" t="s">
        <v>3321</v>
      </c>
      <c r="E1785" s="5"/>
      <c r="F1785" s="5" t="s">
        <v>3332</v>
      </c>
      <c r="G1785" s="5" t="s">
        <v>382</v>
      </c>
      <c r="H1785" s="5" t="s">
        <v>137</v>
      </c>
      <c r="I1785" s="5" t="s">
        <v>3337</v>
      </c>
      <c r="J1785" s="5" t="s">
        <v>3339</v>
      </c>
    </row>
    <row r="1786" spans="1:10" ht="25.5" x14ac:dyDescent="0.2">
      <c r="A1786" s="5" t="s">
        <v>3338</v>
      </c>
      <c r="B1786" s="5" t="s">
        <v>83</v>
      </c>
      <c r="C1786" s="5"/>
      <c r="D1786" s="5" t="s">
        <v>3318</v>
      </c>
      <c r="E1786" s="5" t="s">
        <v>150</v>
      </c>
      <c r="F1786" s="5" t="s">
        <v>3332</v>
      </c>
      <c r="G1786" s="5" t="s">
        <v>148</v>
      </c>
      <c r="H1786" s="5" t="s">
        <v>137</v>
      </c>
      <c r="I1786" s="5" t="s">
        <v>3337</v>
      </c>
      <c r="J1786" s="5" t="s">
        <v>3336</v>
      </c>
    </row>
    <row r="1787" spans="1:10" x14ac:dyDescent="0.2">
      <c r="A1787" s="5" t="s">
        <v>3335</v>
      </c>
      <c r="B1787" s="5" t="s">
        <v>83</v>
      </c>
      <c r="C1787" s="5"/>
      <c r="D1787" s="5" t="s">
        <v>3314</v>
      </c>
      <c r="E1787" s="5" t="s">
        <v>150</v>
      </c>
      <c r="F1787" s="5" t="s">
        <v>3332</v>
      </c>
      <c r="G1787" s="5" t="s">
        <v>148</v>
      </c>
      <c r="H1787" s="5" t="s">
        <v>3</v>
      </c>
      <c r="I1787" s="5"/>
      <c r="J1787" s="5" t="s">
        <v>3334</v>
      </c>
    </row>
    <row r="1788" spans="1:10" x14ac:dyDescent="0.2">
      <c r="A1788" s="5" t="s">
        <v>3333</v>
      </c>
      <c r="B1788" s="5" t="s">
        <v>83</v>
      </c>
      <c r="C1788" s="5"/>
      <c r="D1788" s="5" t="s">
        <v>3311</v>
      </c>
      <c r="E1788" s="5" t="s">
        <v>150</v>
      </c>
      <c r="F1788" s="5" t="s">
        <v>3332</v>
      </c>
      <c r="G1788" s="5" t="s">
        <v>148</v>
      </c>
      <c r="H1788" s="5" t="s">
        <v>3</v>
      </c>
      <c r="I1788" s="5"/>
      <c r="J1788" s="5" t="s">
        <v>3331</v>
      </c>
    </row>
    <row r="1789" spans="1:10" ht="25.5" x14ac:dyDescent="0.2">
      <c r="A1789" s="5" t="s">
        <v>3330</v>
      </c>
      <c r="B1789" s="5" t="s">
        <v>83</v>
      </c>
      <c r="C1789" s="5"/>
      <c r="D1789" s="5" t="s">
        <v>3307</v>
      </c>
      <c r="E1789" s="5" t="s">
        <v>150</v>
      </c>
      <c r="F1789" s="5" t="s">
        <v>424</v>
      </c>
      <c r="G1789" s="5" t="s">
        <v>148</v>
      </c>
      <c r="H1789" s="5" t="s">
        <v>137</v>
      </c>
      <c r="I1789" s="5" t="s">
        <v>3327</v>
      </c>
      <c r="J1789" s="5" t="s">
        <v>3329</v>
      </c>
    </row>
    <row r="1790" spans="1:10" ht="25.5" x14ac:dyDescent="0.2">
      <c r="A1790" s="5" t="s">
        <v>3328</v>
      </c>
      <c r="B1790" s="5" t="s">
        <v>83</v>
      </c>
      <c r="C1790" s="5"/>
      <c r="D1790" s="5" t="s">
        <v>3304</v>
      </c>
      <c r="E1790" s="5"/>
      <c r="F1790" s="5" t="s">
        <v>424</v>
      </c>
      <c r="G1790" s="5" t="s">
        <v>170</v>
      </c>
      <c r="H1790" s="5" t="s">
        <v>137</v>
      </c>
      <c r="I1790" s="5" t="s">
        <v>3327</v>
      </c>
      <c r="J1790" s="5" t="s">
        <v>3326</v>
      </c>
    </row>
    <row r="1791" spans="1:10" ht="25.5" x14ac:dyDescent="0.2">
      <c r="A1791" s="5" t="s">
        <v>3325</v>
      </c>
      <c r="B1791" s="5" t="s">
        <v>83</v>
      </c>
      <c r="C1791" s="5"/>
      <c r="D1791" s="5" t="s">
        <v>3324</v>
      </c>
      <c r="E1791" s="5"/>
      <c r="F1791" s="5" t="s">
        <v>3310</v>
      </c>
      <c r="G1791" s="5" t="s">
        <v>382</v>
      </c>
      <c r="H1791" s="5" t="s">
        <v>3</v>
      </c>
      <c r="I1791" s="5"/>
      <c r="J1791" s="5" t="s">
        <v>3323</v>
      </c>
    </row>
    <row r="1792" spans="1:10" ht="38.25" x14ac:dyDescent="0.2">
      <c r="A1792" s="5" t="s">
        <v>3322</v>
      </c>
      <c r="B1792" s="5" t="s">
        <v>83</v>
      </c>
      <c r="C1792" s="5"/>
      <c r="D1792" s="5" t="s">
        <v>3321</v>
      </c>
      <c r="E1792" s="5"/>
      <c r="F1792" s="5" t="s">
        <v>3310</v>
      </c>
      <c r="G1792" s="5" t="s">
        <v>382</v>
      </c>
      <c r="H1792" s="5" t="s">
        <v>137</v>
      </c>
      <c r="I1792" s="5" t="s">
        <v>3317</v>
      </c>
      <c r="J1792" s="5" t="s">
        <v>3320</v>
      </c>
    </row>
    <row r="1793" spans="1:10" ht="38.25" x14ac:dyDescent="0.2">
      <c r="A1793" s="5" t="s">
        <v>3319</v>
      </c>
      <c r="B1793" s="5" t="s">
        <v>83</v>
      </c>
      <c r="C1793" s="5"/>
      <c r="D1793" s="5" t="s">
        <v>3318</v>
      </c>
      <c r="E1793" s="5" t="s">
        <v>150</v>
      </c>
      <c r="F1793" s="5" t="s">
        <v>3310</v>
      </c>
      <c r="G1793" s="5" t="s">
        <v>148</v>
      </c>
      <c r="H1793" s="5" t="s">
        <v>137</v>
      </c>
      <c r="I1793" s="5" t="s">
        <v>3317</v>
      </c>
      <c r="J1793" s="5" t="s">
        <v>3316</v>
      </c>
    </row>
    <row r="1794" spans="1:10" x14ac:dyDescent="0.2">
      <c r="A1794" s="5" t="s">
        <v>3315</v>
      </c>
      <c r="B1794" s="5" t="s">
        <v>83</v>
      </c>
      <c r="C1794" s="5"/>
      <c r="D1794" s="5" t="s">
        <v>3314</v>
      </c>
      <c r="E1794" s="5" t="s">
        <v>150</v>
      </c>
      <c r="F1794" s="5" t="s">
        <v>3310</v>
      </c>
      <c r="G1794" s="5" t="s">
        <v>148</v>
      </c>
      <c r="H1794" s="5" t="s">
        <v>3</v>
      </c>
      <c r="I1794" s="5"/>
      <c r="J1794" s="5" t="s">
        <v>3313</v>
      </c>
    </row>
    <row r="1795" spans="1:10" x14ac:dyDescent="0.2">
      <c r="A1795" s="5" t="s">
        <v>3312</v>
      </c>
      <c r="B1795" s="5" t="s">
        <v>83</v>
      </c>
      <c r="C1795" s="5"/>
      <c r="D1795" s="5" t="s">
        <v>3311</v>
      </c>
      <c r="E1795" s="5" t="s">
        <v>150</v>
      </c>
      <c r="F1795" s="5" t="s">
        <v>3310</v>
      </c>
      <c r="G1795" s="5" t="s">
        <v>148</v>
      </c>
      <c r="H1795" s="5" t="s">
        <v>3</v>
      </c>
      <c r="I1795" s="5"/>
      <c r="J1795" s="5" t="s">
        <v>3309</v>
      </c>
    </row>
    <row r="1796" spans="1:10" ht="38.25" x14ac:dyDescent="0.2">
      <c r="A1796" s="5" t="s">
        <v>3308</v>
      </c>
      <c r="B1796" s="5" t="s">
        <v>83</v>
      </c>
      <c r="C1796" s="5"/>
      <c r="D1796" s="5" t="s">
        <v>3307</v>
      </c>
      <c r="E1796" s="5" t="s">
        <v>150</v>
      </c>
      <c r="F1796" s="5" t="s">
        <v>424</v>
      </c>
      <c r="G1796" s="5" t="s">
        <v>148</v>
      </c>
      <c r="H1796" s="5" t="s">
        <v>137</v>
      </c>
      <c r="I1796" s="5" t="s">
        <v>3303</v>
      </c>
      <c r="J1796" s="5" t="s">
        <v>3306</v>
      </c>
    </row>
    <row r="1797" spans="1:10" ht="38.25" x14ac:dyDescent="0.2">
      <c r="A1797" s="5" t="s">
        <v>3305</v>
      </c>
      <c r="B1797" s="5" t="s">
        <v>83</v>
      </c>
      <c r="C1797" s="5"/>
      <c r="D1797" s="5" t="s">
        <v>3304</v>
      </c>
      <c r="E1797" s="5"/>
      <c r="F1797" s="5" t="s">
        <v>424</v>
      </c>
      <c r="G1797" s="5" t="s">
        <v>170</v>
      </c>
      <c r="H1797" s="5" t="s">
        <v>137</v>
      </c>
      <c r="I1797" s="5" t="s">
        <v>3303</v>
      </c>
      <c r="J1797" s="5" t="s">
        <v>3302</v>
      </c>
    </row>
    <row r="1798" spans="1:10" ht="25.5" x14ac:dyDescent="0.2">
      <c r="A1798" s="5" t="s">
        <v>3301</v>
      </c>
      <c r="B1798" s="5" t="s">
        <v>83</v>
      </c>
      <c r="C1798" s="5"/>
      <c r="D1798" s="5" t="s">
        <v>3300</v>
      </c>
      <c r="E1798" s="5"/>
      <c r="F1798" s="5" t="s">
        <v>3286</v>
      </c>
      <c r="G1798" s="5" t="s">
        <v>382</v>
      </c>
      <c r="H1798" s="5" t="s">
        <v>3</v>
      </c>
      <c r="I1798" s="5"/>
      <c r="J1798" s="5" t="s">
        <v>3299</v>
      </c>
    </row>
    <row r="1799" spans="1:10" ht="25.5" x14ac:dyDescent="0.2">
      <c r="A1799" s="5" t="s">
        <v>3298</v>
      </c>
      <c r="B1799" s="5" t="s">
        <v>83</v>
      </c>
      <c r="C1799" s="5"/>
      <c r="D1799" s="5" t="s">
        <v>3297</v>
      </c>
      <c r="E1799" s="5"/>
      <c r="F1799" s="5" t="s">
        <v>3286</v>
      </c>
      <c r="G1799" s="5" t="s">
        <v>382</v>
      </c>
      <c r="H1799" s="5" t="s">
        <v>137</v>
      </c>
      <c r="I1799" s="5" t="s">
        <v>3293</v>
      </c>
      <c r="J1799" s="5" t="s">
        <v>3296</v>
      </c>
    </row>
    <row r="1800" spans="1:10" ht="25.5" x14ac:dyDescent="0.2">
      <c r="A1800" s="5" t="s">
        <v>3295</v>
      </c>
      <c r="B1800" s="5" t="s">
        <v>83</v>
      </c>
      <c r="C1800" s="5"/>
      <c r="D1800" s="5" t="s">
        <v>3294</v>
      </c>
      <c r="E1800" s="5" t="s">
        <v>150</v>
      </c>
      <c r="F1800" s="5" t="s">
        <v>3286</v>
      </c>
      <c r="G1800" s="5" t="s">
        <v>148</v>
      </c>
      <c r="H1800" s="5" t="s">
        <v>137</v>
      </c>
      <c r="I1800" s="5" t="s">
        <v>3293</v>
      </c>
      <c r="J1800" s="5" t="s">
        <v>3292</v>
      </c>
    </row>
    <row r="1801" spans="1:10" x14ac:dyDescent="0.2">
      <c r="A1801" s="5" t="s">
        <v>3291</v>
      </c>
      <c r="B1801" s="5" t="s">
        <v>83</v>
      </c>
      <c r="C1801" s="5"/>
      <c r="D1801" s="5" t="s">
        <v>3290</v>
      </c>
      <c r="E1801" s="5" t="s">
        <v>150</v>
      </c>
      <c r="F1801" s="5" t="s">
        <v>3286</v>
      </c>
      <c r="G1801" s="5" t="s">
        <v>148</v>
      </c>
      <c r="H1801" s="5" t="s">
        <v>3</v>
      </c>
      <c r="I1801" s="5"/>
      <c r="J1801" s="5" t="s">
        <v>3289</v>
      </c>
    </row>
    <row r="1802" spans="1:10" x14ac:dyDescent="0.2">
      <c r="A1802" s="5" t="s">
        <v>3288</v>
      </c>
      <c r="B1802" s="5" t="s">
        <v>83</v>
      </c>
      <c r="C1802" s="5"/>
      <c r="D1802" s="5" t="s">
        <v>3287</v>
      </c>
      <c r="E1802" s="5" t="s">
        <v>150</v>
      </c>
      <c r="F1802" s="5" t="s">
        <v>3286</v>
      </c>
      <c r="G1802" s="5" t="s">
        <v>148</v>
      </c>
      <c r="H1802" s="5" t="s">
        <v>3</v>
      </c>
      <c r="I1802" s="5"/>
      <c r="J1802" s="5" t="s">
        <v>3285</v>
      </c>
    </row>
    <row r="1803" spans="1:10" ht="25.5" x14ac:dyDescent="0.2">
      <c r="A1803" s="5" t="s">
        <v>3284</v>
      </c>
      <c r="B1803" s="5" t="s">
        <v>83</v>
      </c>
      <c r="C1803" s="5"/>
      <c r="D1803" s="5" t="s">
        <v>3283</v>
      </c>
      <c r="E1803" s="5" t="s">
        <v>150</v>
      </c>
      <c r="F1803" s="5" t="s">
        <v>424</v>
      </c>
      <c r="G1803" s="5" t="s">
        <v>148</v>
      </c>
      <c r="H1803" s="5" t="s">
        <v>137</v>
      </c>
      <c r="I1803" s="5" t="s">
        <v>3279</v>
      </c>
      <c r="J1803" s="5" t="s">
        <v>3282</v>
      </c>
    </row>
    <row r="1804" spans="1:10" ht="25.5" x14ac:dyDescent="0.2">
      <c r="A1804" s="5" t="s">
        <v>3281</v>
      </c>
      <c r="B1804" s="5" t="s">
        <v>83</v>
      </c>
      <c r="C1804" s="5"/>
      <c r="D1804" s="5" t="s">
        <v>3280</v>
      </c>
      <c r="E1804" s="5"/>
      <c r="F1804" s="5" t="s">
        <v>424</v>
      </c>
      <c r="G1804" s="5" t="s">
        <v>170</v>
      </c>
      <c r="H1804" s="5" t="s">
        <v>137</v>
      </c>
      <c r="I1804" s="5" t="s">
        <v>3279</v>
      </c>
      <c r="J1804" s="5" t="s">
        <v>3278</v>
      </c>
    </row>
    <row r="1805" spans="1:10" ht="25.5" x14ac:dyDescent="0.2">
      <c r="A1805" s="5" t="s">
        <v>3277</v>
      </c>
      <c r="B1805" s="5" t="s">
        <v>83</v>
      </c>
      <c r="C1805" s="5"/>
      <c r="D1805" s="5" t="s">
        <v>3276</v>
      </c>
      <c r="E1805" s="5"/>
      <c r="F1805" s="5" t="s">
        <v>3262</v>
      </c>
      <c r="G1805" s="5" t="s">
        <v>382</v>
      </c>
      <c r="H1805" s="5" t="s">
        <v>3</v>
      </c>
      <c r="I1805" s="5"/>
      <c r="J1805" s="5" t="s">
        <v>3275</v>
      </c>
    </row>
    <row r="1806" spans="1:10" ht="25.5" x14ac:dyDescent="0.2">
      <c r="A1806" s="5" t="s">
        <v>3274</v>
      </c>
      <c r="B1806" s="5" t="s">
        <v>83</v>
      </c>
      <c r="C1806" s="5"/>
      <c r="D1806" s="5" t="s">
        <v>3273</v>
      </c>
      <c r="E1806" s="5"/>
      <c r="F1806" s="5" t="s">
        <v>3262</v>
      </c>
      <c r="G1806" s="5" t="s">
        <v>382</v>
      </c>
      <c r="H1806" s="5" t="s">
        <v>137</v>
      </c>
      <c r="I1806" s="5" t="s">
        <v>3269</v>
      </c>
      <c r="J1806" s="5" t="s">
        <v>3272</v>
      </c>
    </row>
    <row r="1807" spans="1:10" ht="25.5" x14ac:dyDescent="0.2">
      <c r="A1807" s="5" t="s">
        <v>3271</v>
      </c>
      <c r="B1807" s="5" t="s">
        <v>83</v>
      </c>
      <c r="C1807" s="5"/>
      <c r="D1807" s="5" t="s">
        <v>3270</v>
      </c>
      <c r="E1807" s="5" t="s">
        <v>150</v>
      </c>
      <c r="F1807" s="5" t="s">
        <v>3262</v>
      </c>
      <c r="G1807" s="5" t="s">
        <v>148</v>
      </c>
      <c r="H1807" s="5" t="s">
        <v>137</v>
      </c>
      <c r="I1807" s="5" t="s">
        <v>3269</v>
      </c>
      <c r="J1807" s="5" t="s">
        <v>3268</v>
      </c>
    </row>
    <row r="1808" spans="1:10" x14ac:dyDescent="0.2">
      <c r="A1808" s="5" t="s">
        <v>3267</v>
      </c>
      <c r="B1808" s="5" t="s">
        <v>83</v>
      </c>
      <c r="C1808" s="5"/>
      <c r="D1808" s="5" t="s">
        <v>3266</v>
      </c>
      <c r="E1808" s="5" t="s">
        <v>150</v>
      </c>
      <c r="F1808" s="5" t="s">
        <v>3262</v>
      </c>
      <c r="G1808" s="5" t="s">
        <v>148</v>
      </c>
      <c r="H1808" s="5" t="s">
        <v>3</v>
      </c>
      <c r="I1808" s="5"/>
      <c r="J1808" s="5" t="s">
        <v>3265</v>
      </c>
    </row>
    <row r="1809" spans="1:10" x14ac:dyDescent="0.2">
      <c r="A1809" s="5" t="s">
        <v>3264</v>
      </c>
      <c r="B1809" s="5" t="s">
        <v>83</v>
      </c>
      <c r="C1809" s="5"/>
      <c r="D1809" s="5" t="s">
        <v>3263</v>
      </c>
      <c r="E1809" s="5" t="s">
        <v>150</v>
      </c>
      <c r="F1809" s="5" t="s">
        <v>3262</v>
      </c>
      <c r="G1809" s="5" t="s">
        <v>148</v>
      </c>
      <c r="H1809" s="5" t="s">
        <v>3</v>
      </c>
      <c r="I1809" s="5"/>
      <c r="J1809" s="5" t="s">
        <v>3261</v>
      </c>
    </row>
    <row r="1810" spans="1:10" ht="25.5" x14ac:dyDescent="0.2">
      <c r="A1810" s="5" t="s">
        <v>3260</v>
      </c>
      <c r="B1810" s="5" t="s">
        <v>83</v>
      </c>
      <c r="C1810" s="5"/>
      <c r="D1810" s="5" t="s">
        <v>3259</v>
      </c>
      <c r="E1810" s="5" t="s">
        <v>150</v>
      </c>
      <c r="F1810" s="5" t="s">
        <v>424</v>
      </c>
      <c r="G1810" s="5" t="s">
        <v>148</v>
      </c>
      <c r="H1810" s="5" t="s">
        <v>137</v>
      </c>
      <c r="I1810" s="5" t="s">
        <v>3255</v>
      </c>
      <c r="J1810" s="5" t="s">
        <v>3258</v>
      </c>
    </row>
    <row r="1811" spans="1:10" ht="25.5" x14ac:dyDescent="0.2">
      <c r="A1811" s="5" t="s">
        <v>3257</v>
      </c>
      <c r="B1811" s="5" t="s">
        <v>83</v>
      </c>
      <c r="C1811" s="5"/>
      <c r="D1811" s="5" t="s">
        <v>3256</v>
      </c>
      <c r="E1811" s="5"/>
      <c r="F1811" s="5" t="s">
        <v>424</v>
      </c>
      <c r="G1811" s="5" t="s">
        <v>170</v>
      </c>
      <c r="H1811" s="5" t="s">
        <v>137</v>
      </c>
      <c r="I1811" s="5" t="s">
        <v>3255</v>
      </c>
      <c r="J1811" s="5" t="s">
        <v>3254</v>
      </c>
    </row>
    <row r="1812" spans="1:10" ht="25.5" x14ac:dyDescent="0.2">
      <c r="A1812" s="5" t="s">
        <v>3253</v>
      </c>
      <c r="B1812" s="5" t="s">
        <v>83</v>
      </c>
      <c r="C1812" s="5"/>
      <c r="D1812" s="5" t="s">
        <v>3252</v>
      </c>
      <c r="E1812" s="5"/>
      <c r="F1812" s="5" t="s">
        <v>3238</v>
      </c>
      <c r="G1812" s="5" t="s">
        <v>382</v>
      </c>
      <c r="H1812" s="5" t="s">
        <v>3</v>
      </c>
      <c r="I1812" s="5"/>
      <c r="J1812" s="5" t="s">
        <v>3251</v>
      </c>
    </row>
    <row r="1813" spans="1:10" ht="25.5" x14ac:dyDescent="0.2">
      <c r="A1813" s="5" t="s">
        <v>3250</v>
      </c>
      <c r="B1813" s="5" t="s">
        <v>83</v>
      </c>
      <c r="C1813" s="5"/>
      <c r="D1813" s="5" t="s">
        <v>3249</v>
      </c>
      <c r="E1813" s="5"/>
      <c r="F1813" s="5" t="s">
        <v>3238</v>
      </c>
      <c r="G1813" s="5" t="s">
        <v>382</v>
      </c>
      <c r="H1813" s="5" t="s">
        <v>137</v>
      </c>
      <c r="I1813" s="5" t="s">
        <v>3245</v>
      </c>
      <c r="J1813" s="5" t="s">
        <v>3248</v>
      </c>
    </row>
    <row r="1814" spans="1:10" ht="25.5" x14ac:dyDescent="0.2">
      <c r="A1814" s="5" t="s">
        <v>3247</v>
      </c>
      <c r="B1814" s="5" t="s">
        <v>83</v>
      </c>
      <c r="C1814" s="5"/>
      <c r="D1814" s="5" t="s">
        <v>3246</v>
      </c>
      <c r="E1814" s="5" t="s">
        <v>150</v>
      </c>
      <c r="F1814" s="5" t="s">
        <v>3238</v>
      </c>
      <c r="G1814" s="5" t="s">
        <v>148</v>
      </c>
      <c r="H1814" s="5" t="s">
        <v>137</v>
      </c>
      <c r="I1814" s="5" t="s">
        <v>3245</v>
      </c>
      <c r="J1814" s="5" t="s">
        <v>3244</v>
      </c>
    </row>
    <row r="1815" spans="1:10" x14ac:dyDescent="0.2">
      <c r="A1815" s="5" t="s">
        <v>3243</v>
      </c>
      <c r="B1815" s="5" t="s">
        <v>83</v>
      </c>
      <c r="C1815" s="5"/>
      <c r="D1815" s="5" t="s">
        <v>3242</v>
      </c>
      <c r="E1815" s="5" t="s">
        <v>150</v>
      </c>
      <c r="F1815" s="5" t="s">
        <v>3238</v>
      </c>
      <c r="G1815" s="5" t="s">
        <v>148</v>
      </c>
      <c r="H1815" s="5" t="s">
        <v>3</v>
      </c>
      <c r="I1815" s="5"/>
      <c r="J1815" s="5" t="s">
        <v>3241</v>
      </c>
    </row>
    <row r="1816" spans="1:10" x14ac:dyDescent="0.2">
      <c r="A1816" s="5" t="s">
        <v>3240</v>
      </c>
      <c r="B1816" s="5" t="s">
        <v>83</v>
      </c>
      <c r="C1816" s="5"/>
      <c r="D1816" s="5" t="s">
        <v>3239</v>
      </c>
      <c r="E1816" s="5" t="s">
        <v>150</v>
      </c>
      <c r="F1816" s="5" t="s">
        <v>3238</v>
      </c>
      <c r="G1816" s="5" t="s">
        <v>148</v>
      </c>
      <c r="H1816" s="5" t="s">
        <v>3</v>
      </c>
      <c r="I1816" s="5"/>
      <c r="J1816" s="5" t="s">
        <v>3237</v>
      </c>
    </row>
    <row r="1817" spans="1:10" ht="25.5" x14ac:dyDescent="0.2">
      <c r="A1817" s="5" t="s">
        <v>3236</v>
      </c>
      <c r="B1817" s="5" t="s">
        <v>83</v>
      </c>
      <c r="C1817" s="5"/>
      <c r="D1817" s="5" t="s">
        <v>3235</v>
      </c>
      <c r="E1817" s="5" t="s">
        <v>150</v>
      </c>
      <c r="F1817" s="5" t="s">
        <v>424</v>
      </c>
      <c r="G1817" s="5" t="s">
        <v>148</v>
      </c>
      <c r="H1817" s="5" t="s">
        <v>137</v>
      </c>
      <c r="I1817" s="5" t="s">
        <v>3231</v>
      </c>
      <c r="J1817" s="5" t="s">
        <v>3234</v>
      </c>
    </row>
    <row r="1818" spans="1:10" ht="25.5" x14ac:dyDescent="0.2">
      <c r="A1818" s="5" t="s">
        <v>3233</v>
      </c>
      <c r="B1818" s="5" t="s">
        <v>83</v>
      </c>
      <c r="C1818" s="5"/>
      <c r="D1818" s="5" t="s">
        <v>3232</v>
      </c>
      <c r="E1818" s="5"/>
      <c r="F1818" s="5" t="s">
        <v>424</v>
      </c>
      <c r="G1818" s="5" t="s">
        <v>170</v>
      </c>
      <c r="H1818" s="5" t="s">
        <v>137</v>
      </c>
      <c r="I1818" s="5" t="s">
        <v>3231</v>
      </c>
      <c r="J1818" s="5" t="s">
        <v>3230</v>
      </c>
    </row>
    <row r="1819" spans="1:10" ht="25.5" x14ac:dyDescent="0.2">
      <c r="A1819" s="5" t="s">
        <v>3229</v>
      </c>
      <c r="B1819" s="5" t="s">
        <v>83</v>
      </c>
      <c r="C1819" s="5"/>
      <c r="D1819" s="5" t="s">
        <v>3228</v>
      </c>
      <c r="E1819" s="5"/>
      <c r="F1819" s="5" t="s">
        <v>3214</v>
      </c>
      <c r="G1819" s="5" t="s">
        <v>382</v>
      </c>
      <c r="H1819" s="5" t="s">
        <v>3</v>
      </c>
      <c r="I1819" s="5"/>
      <c r="J1819" s="5" t="s">
        <v>3227</v>
      </c>
    </row>
    <row r="1820" spans="1:10" ht="25.5" x14ac:dyDescent="0.2">
      <c r="A1820" s="5" t="s">
        <v>3226</v>
      </c>
      <c r="B1820" s="5" t="s">
        <v>83</v>
      </c>
      <c r="C1820" s="5"/>
      <c r="D1820" s="5" t="s">
        <v>3225</v>
      </c>
      <c r="E1820" s="5"/>
      <c r="F1820" s="5" t="s">
        <v>3214</v>
      </c>
      <c r="G1820" s="5" t="s">
        <v>382</v>
      </c>
      <c r="H1820" s="5" t="s">
        <v>137</v>
      </c>
      <c r="I1820" s="5" t="s">
        <v>3221</v>
      </c>
      <c r="J1820" s="5" t="s">
        <v>3224</v>
      </c>
    </row>
    <row r="1821" spans="1:10" ht="25.5" x14ac:dyDescent="0.2">
      <c r="A1821" s="5" t="s">
        <v>3223</v>
      </c>
      <c r="B1821" s="5" t="s">
        <v>83</v>
      </c>
      <c r="C1821" s="5"/>
      <c r="D1821" s="5" t="s">
        <v>3222</v>
      </c>
      <c r="E1821" s="5" t="s">
        <v>150</v>
      </c>
      <c r="F1821" s="5" t="s">
        <v>3214</v>
      </c>
      <c r="G1821" s="5" t="s">
        <v>148</v>
      </c>
      <c r="H1821" s="5" t="s">
        <v>137</v>
      </c>
      <c r="I1821" s="5" t="s">
        <v>3221</v>
      </c>
      <c r="J1821" s="5" t="s">
        <v>3220</v>
      </c>
    </row>
    <row r="1822" spans="1:10" x14ac:dyDescent="0.2">
      <c r="A1822" s="5" t="s">
        <v>3219</v>
      </c>
      <c r="B1822" s="5" t="s">
        <v>83</v>
      </c>
      <c r="C1822" s="5"/>
      <c r="D1822" s="5" t="s">
        <v>3218</v>
      </c>
      <c r="E1822" s="5" t="s">
        <v>150</v>
      </c>
      <c r="F1822" s="5" t="s">
        <v>3214</v>
      </c>
      <c r="G1822" s="5" t="s">
        <v>148</v>
      </c>
      <c r="H1822" s="5" t="s">
        <v>3</v>
      </c>
      <c r="I1822" s="5"/>
      <c r="J1822" s="5" t="s">
        <v>3217</v>
      </c>
    </row>
    <row r="1823" spans="1:10" x14ac:dyDescent="0.2">
      <c r="A1823" s="5" t="s">
        <v>3216</v>
      </c>
      <c r="B1823" s="5" t="s">
        <v>83</v>
      </c>
      <c r="C1823" s="5"/>
      <c r="D1823" s="5" t="s">
        <v>3215</v>
      </c>
      <c r="E1823" s="5" t="s">
        <v>150</v>
      </c>
      <c r="F1823" s="5" t="s">
        <v>3214</v>
      </c>
      <c r="G1823" s="5" t="s">
        <v>148</v>
      </c>
      <c r="H1823" s="5" t="s">
        <v>3</v>
      </c>
      <c r="I1823" s="5"/>
      <c r="J1823" s="5" t="s">
        <v>3213</v>
      </c>
    </row>
    <row r="1824" spans="1:10" ht="25.5" x14ac:dyDescent="0.2">
      <c r="A1824" s="5" t="s">
        <v>3212</v>
      </c>
      <c r="B1824" s="5" t="s">
        <v>83</v>
      </c>
      <c r="C1824" s="5"/>
      <c r="D1824" s="5" t="s">
        <v>3211</v>
      </c>
      <c r="E1824" s="5" t="s">
        <v>150</v>
      </c>
      <c r="F1824" s="5" t="s">
        <v>424</v>
      </c>
      <c r="G1824" s="5" t="s">
        <v>148</v>
      </c>
      <c r="H1824" s="5" t="s">
        <v>137</v>
      </c>
      <c r="I1824" s="5" t="s">
        <v>3207</v>
      </c>
      <c r="J1824" s="5" t="s">
        <v>3210</v>
      </c>
    </row>
    <row r="1825" spans="1:10" ht="25.5" x14ac:dyDescent="0.2">
      <c r="A1825" s="5" t="s">
        <v>3209</v>
      </c>
      <c r="B1825" s="5" t="s">
        <v>83</v>
      </c>
      <c r="C1825" s="5"/>
      <c r="D1825" s="5" t="s">
        <v>3208</v>
      </c>
      <c r="E1825" s="5"/>
      <c r="F1825" s="5" t="s">
        <v>424</v>
      </c>
      <c r="G1825" s="5" t="s">
        <v>170</v>
      </c>
      <c r="H1825" s="5" t="s">
        <v>137</v>
      </c>
      <c r="I1825" s="5" t="s">
        <v>3207</v>
      </c>
      <c r="J1825" s="5" t="s">
        <v>3206</v>
      </c>
    </row>
    <row r="1826" spans="1:10" ht="25.5" x14ac:dyDescent="0.2">
      <c r="A1826" s="5" t="s">
        <v>3205</v>
      </c>
      <c r="B1826" s="5" t="s">
        <v>83</v>
      </c>
      <c r="C1826" s="5"/>
      <c r="D1826" s="5" t="s">
        <v>3204</v>
      </c>
      <c r="E1826" s="5"/>
      <c r="F1826" s="5" t="s">
        <v>3190</v>
      </c>
      <c r="G1826" s="5" t="s">
        <v>382</v>
      </c>
      <c r="H1826" s="5" t="s">
        <v>3</v>
      </c>
      <c r="I1826" s="5"/>
      <c r="J1826" s="5" t="s">
        <v>3203</v>
      </c>
    </row>
    <row r="1827" spans="1:10" ht="25.5" x14ac:dyDescent="0.2">
      <c r="A1827" s="5" t="s">
        <v>3202</v>
      </c>
      <c r="B1827" s="5" t="s">
        <v>83</v>
      </c>
      <c r="C1827" s="5"/>
      <c r="D1827" s="5" t="s">
        <v>3201</v>
      </c>
      <c r="E1827" s="5"/>
      <c r="F1827" s="5" t="s">
        <v>3190</v>
      </c>
      <c r="G1827" s="5" t="s">
        <v>382</v>
      </c>
      <c r="H1827" s="5" t="s">
        <v>137</v>
      </c>
      <c r="I1827" s="5" t="s">
        <v>3197</v>
      </c>
      <c r="J1827" s="5" t="s">
        <v>3200</v>
      </c>
    </row>
    <row r="1828" spans="1:10" ht="25.5" x14ac:dyDescent="0.2">
      <c r="A1828" s="5" t="s">
        <v>3199</v>
      </c>
      <c r="B1828" s="5" t="s">
        <v>83</v>
      </c>
      <c r="C1828" s="5"/>
      <c r="D1828" s="5" t="s">
        <v>3198</v>
      </c>
      <c r="E1828" s="5" t="s">
        <v>150</v>
      </c>
      <c r="F1828" s="5" t="s">
        <v>3190</v>
      </c>
      <c r="G1828" s="5" t="s">
        <v>148</v>
      </c>
      <c r="H1828" s="5" t="s">
        <v>137</v>
      </c>
      <c r="I1828" s="5" t="s">
        <v>3197</v>
      </c>
      <c r="J1828" s="5" t="s">
        <v>3196</v>
      </c>
    </row>
    <row r="1829" spans="1:10" x14ac:dyDescent="0.2">
      <c r="A1829" s="5" t="s">
        <v>3195</v>
      </c>
      <c r="B1829" s="5" t="s">
        <v>83</v>
      </c>
      <c r="C1829" s="5"/>
      <c r="D1829" s="5" t="s">
        <v>3194</v>
      </c>
      <c r="E1829" s="5" t="s">
        <v>150</v>
      </c>
      <c r="F1829" s="5" t="s">
        <v>3190</v>
      </c>
      <c r="G1829" s="5" t="s">
        <v>148</v>
      </c>
      <c r="H1829" s="5" t="s">
        <v>3</v>
      </c>
      <c r="I1829" s="5"/>
      <c r="J1829" s="5" t="s">
        <v>3193</v>
      </c>
    </row>
    <row r="1830" spans="1:10" x14ac:dyDescent="0.2">
      <c r="A1830" s="5" t="s">
        <v>3192</v>
      </c>
      <c r="B1830" s="5" t="s">
        <v>83</v>
      </c>
      <c r="C1830" s="5"/>
      <c r="D1830" s="5" t="s">
        <v>3191</v>
      </c>
      <c r="E1830" s="5" t="s">
        <v>150</v>
      </c>
      <c r="F1830" s="5" t="s">
        <v>3190</v>
      </c>
      <c r="G1830" s="5" t="s">
        <v>148</v>
      </c>
      <c r="H1830" s="5" t="s">
        <v>3</v>
      </c>
      <c r="I1830" s="5"/>
      <c r="J1830" s="5" t="s">
        <v>3189</v>
      </c>
    </row>
    <row r="1831" spans="1:10" ht="38.25" x14ac:dyDescent="0.2">
      <c r="A1831" s="5" t="s">
        <v>3188</v>
      </c>
      <c r="B1831" s="5" t="s">
        <v>83</v>
      </c>
      <c r="C1831" s="5"/>
      <c r="D1831" s="5" t="s">
        <v>3187</v>
      </c>
      <c r="E1831" s="5" t="s">
        <v>150</v>
      </c>
      <c r="F1831" s="5" t="s">
        <v>424</v>
      </c>
      <c r="G1831" s="5" t="s">
        <v>148</v>
      </c>
      <c r="H1831" s="5" t="s">
        <v>137</v>
      </c>
      <c r="I1831" s="5" t="s">
        <v>3183</v>
      </c>
      <c r="J1831" s="5" t="s">
        <v>3186</v>
      </c>
    </row>
    <row r="1832" spans="1:10" ht="38.25" x14ac:dyDescent="0.2">
      <c r="A1832" s="5" t="s">
        <v>3185</v>
      </c>
      <c r="B1832" s="5" t="s">
        <v>83</v>
      </c>
      <c r="C1832" s="5"/>
      <c r="D1832" s="5" t="s">
        <v>3184</v>
      </c>
      <c r="E1832" s="5"/>
      <c r="F1832" s="5" t="s">
        <v>424</v>
      </c>
      <c r="G1832" s="5" t="s">
        <v>170</v>
      </c>
      <c r="H1832" s="5" t="s">
        <v>137</v>
      </c>
      <c r="I1832" s="5" t="s">
        <v>3183</v>
      </c>
      <c r="J1832" s="5" t="s">
        <v>3182</v>
      </c>
    </row>
    <row r="1833" spans="1:10" ht="25.5" x14ac:dyDescent="0.2">
      <c r="A1833" s="5" t="s">
        <v>3181</v>
      </c>
      <c r="B1833" s="5" t="s">
        <v>83</v>
      </c>
      <c r="C1833" s="5"/>
      <c r="D1833" s="5" t="s">
        <v>3180</v>
      </c>
      <c r="E1833" s="5"/>
      <c r="F1833" s="5" t="s">
        <v>3166</v>
      </c>
      <c r="G1833" s="5" t="s">
        <v>382</v>
      </c>
      <c r="H1833" s="5" t="s">
        <v>3</v>
      </c>
      <c r="I1833" s="5"/>
      <c r="J1833" s="5" t="s">
        <v>3179</v>
      </c>
    </row>
    <row r="1834" spans="1:10" ht="25.5" x14ac:dyDescent="0.2">
      <c r="A1834" s="5" t="s">
        <v>3178</v>
      </c>
      <c r="B1834" s="5" t="s">
        <v>83</v>
      </c>
      <c r="C1834" s="5"/>
      <c r="D1834" s="5" t="s">
        <v>3177</v>
      </c>
      <c r="E1834" s="5"/>
      <c r="F1834" s="5" t="s">
        <v>3166</v>
      </c>
      <c r="G1834" s="5" t="s">
        <v>382</v>
      </c>
      <c r="H1834" s="5" t="s">
        <v>137</v>
      </c>
      <c r="I1834" s="5" t="s">
        <v>3173</v>
      </c>
      <c r="J1834" s="5" t="s">
        <v>3176</v>
      </c>
    </row>
    <row r="1835" spans="1:10" ht="25.5" x14ac:dyDescent="0.2">
      <c r="A1835" s="5" t="s">
        <v>3175</v>
      </c>
      <c r="B1835" s="5" t="s">
        <v>83</v>
      </c>
      <c r="C1835" s="5"/>
      <c r="D1835" s="5" t="s">
        <v>3174</v>
      </c>
      <c r="E1835" s="5" t="s">
        <v>150</v>
      </c>
      <c r="F1835" s="5" t="s">
        <v>3166</v>
      </c>
      <c r="G1835" s="5" t="s">
        <v>148</v>
      </c>
      <c r="H1835" s="5" t="s">
        <v>137</v>
      </c>
      <c r="I1835" s="5" t="s">
        <v>3173</v>
      </c>
      <c r="J1835" s="5" t="s">
        <v>3172</v>
      </c>
    </row>
    <row r="1836" spans="1:10" x14ac:dyDescent="0.2">
      <c r="A1836" s="5" t="s">
        <v>3171</v>
      </c>
      <c r="B1836" s="5" t="s">
        <v>83</v>
      </c>
      <c r="C1836" s="5"/>
      <c r="D1836" s="5" t="s">
        <v>3170</v>
      </c>
      <c r="E1836" s="5" t="s">
        <v>150</v>
      </c>
      <c r="F1836" s="5" t="s">
        <v>3166</v>
      </c>
      <c r="G1836" s="5" t="s">
        <v>148</v>
      </c>
      <c r="H1836" s="5" t="s">
        <v>3</v>
      </c>
      <c r="I1836" s="5"/>
      <c r="J1836" s="5" t="s">
        <v>3169</v>
      </c>
    </row>
    <row r="1837" spans="1:10" x14ac:dyDescent="0.2">
      <c r="A1837" s="5" t="s">
        <v>3168</v>
      </c>
      <c r="B1837" s="5" t="s">
        <v>83</v>
      </c>
      <c r="C1837" s="5"/>
      <c r="D1837" s="5" t="s">
        <v>3167</v>
      </c>
      <c r="E1837" s="5" t="s">
        <v>150</v>
      </c>
      <c r="F1837" s="5" t="s">
        <v>3166</v>
      </c>
      <c r="G1837" s="5" t="s">
        <v>148</v>
      </c>
      <c r="H1837" s="5" t="s">
        <v>3</v>
      </c>
      <c r="I1837" s="5"/>
      <c r="J1837" s="5" t="s">
        <v>3165</v>
      </c>
    </row>
    <row r="1838" spans="1:10" ht="38.25" x14ac:dyDescent="0.2">
      <c r="A1838" s="5" t="s">
        <v>3164</v>
      </c>
      <c r="B1838" s="5" t="s">
        <v>83</v>
      </c>
      <c r="C1838" s="5"/>
      <c r="D1838" s="5" t="s">
        <v>3163</v>
      </c>
      <c r="E1838" s="5" t="s">
        <v>150</v>
      </c>
      <c r="F1838" s="5" t="s">
        <v>424</v>
      </c>
      <c r="G1838" s="5" t="s">
        <v>148</v>
      </c>
      <c r="H1838" s="5" t="s">
        <v>137</v>
      </c>
      <c r="I1838" s="5" t="s">
        <v>3159</v>
      </c>
      <c r="J1838" s="5" t="s">
        <v>3162</v>
      </c>
    </row>
    <row r="1839" spans="1:10" ht="38.25" x14ac:dyDescent="0.2">
      <c r="A1839" s="5" t="s">
        <v>3161</v>
      </c>
      <c r="B1839" s="5" t="s">
        <v>83</v>
      </c>
      <c r="C1839" s="5"/>
      <c r="D1839" s="5" t="s">
        <v>3160</v>
      </c>
      <c r="E1839" s="5"/>
      <c r="F1839" s="5" t="s">
        <v>424</v>
      </c>
      <c r="G1839" s="5" t="s">
        <v>170</v>
      </c>
      <c r="H1839" s="5" t="s">
        <v>137</v>
      </c>
      <c r="I1839" s="5" t="s">
        <v>3159</v>
      </c>
      <c r="J1839" s="5" t="s">
        <v>3158</v>
      </c>
    </row>
    <row r="1840" spans="1:10" ht="25.5" x14ac:dyDescent="0.2">
      <c r="A1840" s="5" t="s">
        <v>3157</v>
      </c>
      <c r="B1840" s="5" t="s">
        <v>83</v>
      </c>
      <c r="C1840" s="5"/>
      <c r="D1840" s="5" t="s">
        <v>3156</v>
      </c>
      <c r="E1840" s="5"/>
      <c r="F1840" s="5" t="s">
        <v>3142</v>
      </c>
      <c r="G1840" s="5" t="s">
        <v>382</v>
      </c>
      <c r="H1840" s="5" t="s">
        <v>3</v>
      </c>
      <c r="I1840" s="5"/>
      <c r="J1840" s="5" t="s">
        <v>3155</v>
      </c>
    </row>
    <row r="1841" spans="1:10" ht="25.5" x14ac:dyDescent="0.2">
      <c r="A1841" s="5" t="s">
        <v>3154</v>
      </c>
      <c r="B1841" s="5" t="s">
        <v>83</v>
      </c>
      <c r="C1841" s="5"/>
      <c r="D1841" s="5" t="s">
        <v>3153</v>
      </c>
      <c r="E1841" s="5"/>
      <c r="F1841" s="5" t="s">
        <v>3142</v>
      </c>
      <c r="G1841" s="5" t="s">
        <v>382</v>
      </c>
      <c r="H1841" s="5" t="s">
        <v>137</v>
      </c>
      <c r="I1841" s="5" t="s">
        <v>3149</v>
      </c>
      <c r="J1841" s="5" t="s">
        <v>3152</v>
      </c>
    </row>
    <row r="1842" spans="1:10" ht="25.5" x14ac:dyDescent="0.2">
      <c r="A1842" s="5" t="s">
        <v>3151</v>
      </c>
      <c r="B1842" s="5" t="s">
        <v>83</v>
      </c>
      <c r="C1842" s="5"/>
      <c r="D1842" s="5" t="s">
        <v>3150</v>
      </c>
      <c r="E1842" s="5" t="s">
        <v>150</v>
      </c>
      <c r="F1842" s="5" t="s">
        <v>3142</v>
      </c>
      <c r="G1842" s="5" t="s">
        <v>148</v>
      </c>
      <c r="H1842" s="5" t="s">
        <v>137</v>
      </c>
      <c r="I1842" s="5" t="s">
        <v>3149</v>
      </c>
      <c r="J1842" s="5" t="s">
        <v>3148</v>
      </c>
    </row>
    <row r="1843" spans="1:10" x14ac:dyDescent="0.2">
      <c r="A1843" s="5" t="s">
        <v>3147</v>
      </c>
      <c r="B1843" s="5" t="s">
        <v>83</v>
      </c>
      <c r="C1843" s="5"/>
      <c r="D1843" s="5" t="s">
        <v>3146</v>
      </c>
      <c r="E1843" s="5" t="s">
        <v>150</v>
      </c>
      <c r="F1843" s="5" t="s">
        <v>3142</v>
      </c>
      <c r="G1843" s="5" t="s">
        <v>148</v>
      </c>
      <c r="H1843" s="5" t="s">
        <v>3</v>
      </c>
      <c r="I1843" s="5"/>
      <c r="J1843" s="5" t="s">
        <v>3145</v>
      </c>
    </row>
    <row r="1844" spans="1:10" x14ac:dyDescent="0.2">
      <c r="A1844" s="5" t="s">
        <v>3144</v>
      </c>
      <c r="B1844" s="5" t="s">
        <v>83</v>
      </c>
      <c r="C1844" s="5"/>
      <c r="D1844" s="5" t="s">
        <v>3143</v>
      </c>
      <c r="E1844" s="5" t="s">
        <v>150</v>
      </c>
      <c r="F1844" s="5" t="s">
        <v>3142</v>
      </c>
      <c r="G1844" s="5" t="s">
        <v>148</v>
      </c>
      <c r="H1844" s="5" t="s">
        <v>3</v>
      </c>
      <c r="I1844" s="5"/>
      <c r="J1844" s="5" t="s">
        <v>3141</v>
      </c>
    </row>
    <row r="1845" spans="1:10" ht="25.5" x14ac:dyDescent="0.2">
      <c r="A1845" s="5" t="s">
        <v>3140</v>
      </c>
      <c r="B1845" s="5" t="s">
        <v>83</v>
      </c>
      <c r="C1845" s="5"/>
      <c r="D1845" s="5" t="s">
        <v>3139</v>
      </c>
      <c r="E1845" s="5" t="s">
        <v>150</v>
      </c>
      <c r="F1845" s="5" t="s">
        <v>424</v>
      </c>
      <c r="G1845" s="5" t="s">
        <v>148</v>
      </c>
      <c r="H1845" s="5" t="s">
        <v>137</v>
      </c>
      <c r="I1845" s="5" t="s">
        <v>3135</v>
      </c>
      <c r="J1845" s="5" t="s">
        <v>3138</v>
      </c>
    </row>
    <row r="1846" spans="1:10" ht="25.5" x14ac:dyDescent="0.2">
      <c r="A1846" s="5" t="s">
        <v>3137</v>
      </c>
      <c r="B1846" s="5" t="s">
        <v>83</v>
      </c>
      <c r="C1846" s="5"/>
      <c r="D1846" s="5" t="s">
        <v>3136</v>
      </c>
      <c r="E1846" s="5"/>
      <c r="F1846" s="5" t="s">
        <v>424</v>
      </c>
      <c r="G1846" s="5" t="s">
        <v>170</v>
      </c>
      <c r="H1846" s="5" t="s">
        <v>137</v>
      </c>
      <c r="I1846" s="5" t="s">
        <v>3135</v>
      </c>
      <c r="J1846" s="5" t="s">
        <v>3134</v>
      </c>
    </row>
    <row r="1847" spans="1:10" ht="25.5" x14ac:dyDescent="0.2">
      <c r="A1847" s="5" t="s">
        <v>3133</v>
      </c>
      <c r="B1847" s="5" t="s">
        <v>83</v>
      </c>
      <c r="C1847" s="5"/>
      <c r="D1847" s="5" t="s">
        <v>3132</v>
      </c>
      <c r="E1847" s="5"/>
      <c r="F1847" s="5" t="s">
        <v>3131</v>
      </c>
      <c r="G1847" s="5" t="s">
        <v>382</v>
      </c>
      <c r="H1847" s="5" t="s">
        <v>3</v>
      </c>
      <c r="I1847" s="5"/>
      <c r="J1847" s="5" t="s">
        <v>3130</v>
      </c>
    </row>
    <row r="1848" spans="1:10" ht="25.5" x14ac:dyDescent="0.2">
      <c r="A1848" s="5" t="s">
        <v>3129</v>
      </c>
      <c r="B1848" s="5" t="s">
        <v>83</v>
      </c>
      <c r="C1848" s="5"/>
      <c r="D1848" s="5" t="s">
        <v>3128</v>
      </c>
      <c r="E1848" s="5"/>
      <c r="F1848" s="5" t="s">
        <v>3114</v>
      </c>
      <c r="G1848" s="5" t="s">
        <v>382</v>
      </c>
      <c r="H1848" s="5" t="s">
        <v>3</v>
      </c>
      <c r="I1848" s="5"/>
      <c r="J1848" s="5" t="s">
        <v>3127</v>
      </c>
    </row>
    <row r="1849" spans="1:10" ht="25.5" x14ac:dyDescent="0.2">
      <c r="A1849" s="5" t="s">
        <v>3126</v>
      </c>
      <c r="B1849" s="5" t="s">
        <v>83</v>
      </c>
      <c r="C1849" s="5"/>
      <c r="D1849" s="5" t="s">
        <v>3125</v>
      </c>
      <c r="E1849" s="5"/>
      <c r="F1849" s="5" t="s">
        <v>3114</v>
      </c>
      <c r="G1849" s="5" t="s">
        <v>382</v>
      </c>
      <c r="H1849" s="5" t="s">
        <v>137</v>
      </c>
      <c r="I1849" s="5" t="s">
        <v>3121</v>
      </c>
      <c r="J1849" s="5" t="s">
        <v>3124</v>
      </c>
    </row>
    <row r="1850" spans="1:10" ht="25.5" x14ac:dyDescent="0.2">
      <c r="A1850" s="5" t="s">
        <v>3123</v>
      </c>
      <c r="B1850" s="5" t="s">
        <v>83</v>
      </c>
      <c r="C1850" s="5"/>
      <c r="D1850" s="5" t="s">
        <v>3122</v>
      </c>
      <c r="E1850" s="5" t="s">
        <v>150</v>
      </c>
      <c r="F1850" s="5" t="s">
        <v>3114</v>
      </c>
      <c r="G1850" s="5" t="s">
        <v>148</v>
      </c>
      <c r="H1850" s="5" t="s">
        <v>137</v>
      </c>
      <c r="I1850" s="5" t="s">
        <v>3121</v>
      </c>
      <c r="J1850" s="5" t="s">
        <v>3120</v>
      </c>
    </row>
    <row r="1851" spans="1:10" x14ac:dyDescent="0.2">
      <c r="A1851" s="5" t="s">
        <v>3119</v>
      </c>
      <c r="B1851" s="5" t="s">
        <v>83</v>
      </c>
      <c r="C1851" s="5"/>
      <c r="D1851" s="5" t="s">
        <v>3118</v>
      </c>
      <c r="E1851" s="5" t="s">
        <v>150</v>
      </c>
      <c r="F1851" s="5" t="s">
        <v>3114</v>
      </c>
      <c r="G1851" s="5" t="s">
        <v>148</v>
      </c>
      <c r="H1851" s="5" t="s">
        <v>3</v>
      </c>
      <c r="I1851" s="5"/>
      <c r="J1851" s="5" t="s">
        <v>3117</v>
      </c>
    </row>
    <row r="1852" spans="1:10" x14ac:dyDescent="0.2">
      <c r="A1852" s="5" t="s">
        <v>3116</v>
      </c>
      <c r="B1852" s="5" t="s">
        <v>83</v>
      </c>
      <c r="C1852" s="5"/>
      <c r="D1852" s="5" t="s">
        <v>3115</v>
      </c>
      <c r="E1852" s="5" t="s">
        <v>150</v>
      </c>
      <c r="F1852" s="5" t="s">
        <v>3114</v>
      </c>
      <c r="G1852" s="5" t="s">
        <v>148</v>
      </c>
      <c r="H1852" s="5" t="s">
        <v>3</v>
      </c>
      <c r="I1852" s="5"/>
      <c r="J1852" s="5" t="s">
        <v>3113</v>
      </c>
    </row>
    <row r="1853" spans="1:10" ht="25.5" x14ac:dyDescent="0.2">
      <c r="A1853" s="5" t="s">
        <v>3112</v>
      </c>
      <c r="B1853" s="5" t="s">
        <v>83</v>
      </c>
      <c r="C1853" s="5"/>
      <c r="D1853" s="5" t="s">
        <v>3111</v>
      </c>
      <c r="E1853" s="5" t="s">
        <v>150</v>
      </c>
      <c r="F1853" s="5" t="s">
        <v>424</v>
      </c>
      <c r="G1853" s="5" t="s">
        <v>148</v>
      </c>
      <c r="H1853" s="5" t="s">
        <v>137</v>
      </c>
      <c r="I1853" s="5" t="s">
        <v>3107</v>
      </c>
      <c r="J1853" s="5" t="s">
        <v>3110</v>
      </c>
    </row>
    <row r="1854" spans="1:10" ht="25.5" x14ac:dyDescent="0.2">
      <c r="A1854" s="5" t="s">
        <v>3109</v>
      </c>
      <c r="B1854" s="5" t="s">
        <v>83</v>
      </c>
      <c r="C1854" s="5"/>
      <c r="D1854" s="5" t="s">
        <v>3108</v>
      </c>
      <c r="E1854" s="5"/>
      <c r="F1854" s="5" t="s">
        <v>424</v>
      </c>
      <c r="G1854" s="5" t="s">
        <v>170</v>
      </c>
      <c r="H1854" s="5" t="s">
        <v>137</v>
      </c>
      <c r="I1854" s="5" t="s">
        <v>3107</v>
      </c>
      <c r="J1854" s="5" t="s">
        <v>3106</v>
      </c>
    </row>
    <row r="1855" spans="1:10" x14ac:dyDescent="0.2">
      <c r="A1855" s="5" t="s">
        <v>3105</v>
      </c>
      <c r="B1855" s="5" t="s">
        <v>83</v>
      </c>
      <c r="C1855" s="5"/>
      <c r="D1855" s="5" t="s">
        <v>3104</v>
      </c>
      <c r="E1855" s="5" t="s">
        <v>665</v>
      </c>
      <c r="F1855" s="5" t="s">
        <v>212</v>
      </c>
      <c r="G1855" s="5" t="s">
        <v>91</v>
      </c>
      <c r="H1855" s="5" t="s">
        <v>3</v>
      </c>
      <c r="I1855" s="5"/>
      <c r="J1855" s="5"/>
    </row>
    <row r="1856" spans="1:10" ht="25.5" x14ac:dyDescent="0.2">
      <c r="A1856" s="5" t="s">
        <v>3103</v>
      </c>
      <c r="B1856" s="5" t="s">
        <v>83</v>
      </c>
      <c r="C1856" s="5"/>
      <c r="D1856" s="5" t="s">
        <v>3102</v>
      </c>
      <c r="E1856" s="5"/>
      <c r="F1856" s="5" t="s">
        <v>3088</v>
      </c>
      <c r="G1856" s="5" t="s">
        <v>382</v>
      </c>
      <c r="H1856" s="5" t="s">
        <v>3</v>
      </c>
      <c r="I1856" s="5"/>
      <c r="J1856" s="5" t="s">
        <v>3101</v>
      </c>
    </row>
    <row r="1857" spans="1:10" ht="25.5" x14ac:dyDescent="0.2">
      <c r="A1857" s="5" t="s">
        <v>3100</v>
      </c>
      <c r="B1857" s="5" t="s">
        <v>83</v>
      </c>
      <c r="C1857" s="5"/>
      <c r="D1857" s="5" t="s">
        <v>3099</v>
      </c>
      <c r="E1857" s="5"/>
      <c r="F1857" s="5" t="s">
        <v>3088</v>
      </c>
      <c r="G1857" s="5" t="s">
        <v>382</v>
      </c>
      <c r="H1857" s="5" t="s">
        <v>137</v>
      </c>
      <c r="I1857" s="5" t="s">
        <v>3095</v>
      </c>
      <c r="J1857" s="5" t="s">
        <v>3098</v>
      </c>
    </row>
    <row r="1858" spans="1:10" ht="25.5" x14ac:dyDescent="0.2">
      <c r="A1858" s="5" t="s">
        <v>3097</v>
      </c>
      <c r="B1858" s="5" t="s">
        <v>83</v>
      </c>
      <c r="C1858" s="5"/>
      <c r="D1858" s="5" t="s">
        <v>3096</v>
      </c>
      <c r="E1858" s="5" t="s">
        <v>150</v>
      </c>
      <c r="F1858" s="5" t="s">
        <v>3088</v>
      </c>
      <c r="G1858" s="5" t="s">
        <v>148</v>
      </c>
      <c r="H1858" s="5" t="s">
        <v>137</v>
      </c>
      <c r="I1858" s="5" t="s">
        <v>3095</v>
      </c>
      <c r="J1858" s="5" t="s">
        <v>3094</v>
      </c>
    </row>
    <row r="1859" spans="1:10" x14ac:dyDescent="0.2">
      <c r="A1859" s="5" t="s">
        <v>3093</v>
      </c>
      <c r="B1859" s="5" t="s">
        <v>83</v>
      </c>
      <c r="C1859" s="5"/>
      <c r="D1859" s="5" t="s">
        <v>3092</v>
      </c>
      <c r="E1859" s="5" t="s">
        <v>150</v>
      </c>
      <c r="F1859" s="5" t="s">
        <v>3088</v>
      </c>
      <c r="G1859" s="5" t="s">
        <v>148</v>
      </c>
      <c r="H1859" s="5" t="s">
        <v>3</v>
      </c>
      <c r="I1859" s="5"/>
      <c r="J1859" s="5" t="s">
        <v>3091</v>
      </c>
    </row>
    <row r="1860" spans="1:10" x14ac:dyDescent="0.2">
      <c r="A1860" s="5" t="s">
        <v>3090</v>
      </c>
      <c r="B1860" s="5" t="s">
        <v>83</v>
      </c>
      <c r="C1860" s="5"/>
      <c r="D1860" s="5" t="s">
        <v>3089</v>
      </c>
      <c r="E1860" s="5" t="s">
        <v>150</v>
      </c>
      <c r="F1860" s="5" t="s">
        <v>3088</v>
      </c>
      <c r="G1860" s="5" t="s">
        <v>148</v>
      </c>
      <c r="H1860" s="5" t="s">
        <v>3</v>
      </c>
      <c r="I1860" s="5"/>
      <c r="J1860" s="5" t="s">
        <v>3087</v>
      </c>
    </row>
    <row r="1861" spans="1:10" ht="25.5" x14ac:dyDescent="0.2">
      <c r="A1861" s="5" t="s">
        <v>3086</v>
      </c>
      <c r="B1861" s="5" t="s">
        <v>83</v>
      </c>
      <c r="C1861" s="5"/>
      <c r="D1861" s="5" t="s">
        <v>3085</v>
      </c>
      <c r="E1861" s="5" t="s">
        <v>150</v>
      </c>
      <c r="F1861" s="5" t="s">
        <v>424</v>
      </c>
      <c r="G1861" s="5" t="s">
        <v>148</v>
      </c>
      <c r="H1861" s="5" t="s">
        <v>137</v>
      </c>
      <c r="I1861" s="5" t="s">
        <v>3081</v>
      </c>
      <c r="J1861" s="5" t="s">
        <v>3084</v>
      </c>
    </row>
    <row r="1862" spans="1:10" ht="25.5" x14ac:dyDescent="0.2">
      <c r="A1862" s="5" t="s">
        <v>3083</v>
      </c>
      <c r="B1862" s="5" t="s">
        <v>83</v>
      </c>
      <c r="C1862" s="5"/>
      <c r="D1862" s="5" t="s">
        <v>3082</v>
      </c>
      <c r="E1862" s="5"/>
      <c r="F1862" s="5" t="s">
        <v>424</v>
      </c>
      <c r="G1862" s="5" t="s">
        <v>170</v>
      </c>
      <c r="H1862" s="5" t="s">
        <v>137</v>
      </c>
      <c r="I1862" s="5" t="s">
        <v>3081</v>
      </c>
      <c r="J1862" s="5" t="s">
        <v>3080</v>
      </c>
    </row>
    <row r="1863" spans="1:10" x14ac:dyDescent="0.2">
      <c r="A1863" s="5" t="s">
        <v>3079</v>
      </c>
      <c r="B1863" s="5" t="s">
        <v>83</v>
      </c>
      <c r="C1863" s="5"/>
      <c r="D1863" s="5" t="s">
        <v>3078</v>
      </c>
      <c r="E1863" s="5" t="s">
        <v>150</v>
      </c>
      <c r="F1863" s="5" t="s">
        <v>3055</v>
      </c>
      <c r="G1863" s="5" t="s">
        <v>148</v>
      </c>
      <c r="H1863" s="5" t="s">
        <v>3</v>
      </c>
      <c r="I1863" s="5"/>
      <c r="J1863" s="5" t="s">
        <v>3077</v>
      </c>
    </row>
    <row r="1864" spans="1:10" ht="25.5" x14ac:dyDescent="0.2">
      <c r="A1864" s="5" t="s">
        <v>3076</v>
      </c>
      <c r="B1864" s="5" t="s">
        <v>83</v>
      </c>
      <c r="C1864" s="5"/>
      <c r="D1864" s="5" t="s">
        <v>3075</v>
      </c>
      <c r="E1864" s="5"/>
      <c r="F1864" s="5" t="s">
        <v>3055</v>
      </c>
      <c r="G1864" s="5" t="s">
        <v>283</v>
      </c>
      <c r="H1864" s="5" t="s">
        <v>3</v>
      </c>
      <c r="I1864" s="5"/>
      <c r="J1864" s="5" t="s">
        <v>3074</v>
      </c>
    </row>
    <row r="1865" spans="1:10" x14ac:dyDescent="0.2">
      <c r="A1865" s="5" t="s">
        <v>3073</v>
      </c>
      <c r="B1865" s="5" t="s">
        <v>83</v>
      </c>
      <c r="C1865" s="5"/>
      <c r="D1865" s="5" t="s">
        <v>3072</v>
      </c>
      <c r="E1865" s="5"/>
      <c r="F1865" s="5" t="s">
        <v>3055</v>
      </c>
      <c r="G1865" s="5" t="s">
        <v>148</v>
      </c>
      <c r="H1865" s="5" t="s">
        <v>3</v>
      </c>
      <c r="I1865" s="5"/>
      <c r="J1865" s="5" t="s">
        <v>3071</v>
      </c>
    </row>
    <row r="1866" spans="1:10" x14ac:dyDescent="0.2">
      <c r="A1866" s="5" t="s">
        <v>3070</v>
      </c>
      <c r="B1866" s="5" t="s">
        <v>83</v>
      </c>
      <c r="C1866" s="5"/>
      <c r="D1866" s="5" t="s">
        <v>3069</v>
      </c>
      <c r="E1866" s="5"/>
      <c r="F1866" s="5" t="s">
        <v>3055</v>
      </c>
      <c r="G1866" s="5" t="s">
        <v>148</v>
      </c>
      <c r="H1866" s="5" t="s">
        <v>3</v>
      </c>
      <c r="I1866" s="5"/>
      <c r="J1866" s="5" t="s">
        <v>3068</v>
      </c>
    </row>
    <row r="1867" spans="1:10" x14ac:dyDescent="0.2">
      <c r="A1867" s="5" t="s">
        <v>3067</v>
      </c>
      <c r="B1867" s="5" t="s">
        <v>83</v>
      </c>
      <c r="C1867" s="5"/>
      <c r="D1867" s="5" t="s">
        <v>3066</v>
      </c>
      <c r="E1867" s="5"/>
      <c r="F1867" s="5" t="s">
        <v>3055</v>
      </c>
      <c r="G1867" s="5" t="s">
        <v>148</v>
      </c>
      <c r="H1867" s="5" t="s">
        <v>3</v>
      </c>
      <c r="I1867" s="5"/>
      <c r="J1867" s="5" t="s">
        <v>3065</v>
      </c>
    </row>
    <row r="1868" spans="1:10" x14ac:dyDescent="0.2">
      <c r="A1868" s="5" t="s">
        <v>3064</v>
      </c>
      <c r="B1868" s="5" t="s">
        <v>83</v>
      </c>
      <c r="C1868" s="5"/>
      <c r="D1868" s="5" t="s">
        <v>3063</v>
      </c>
      <c r="E1868" s="5" t="s">
        <v>3057</v>
      </c>
      <c r="F1868" s="5" t="s">
        <v>3060</v>
      </c>
      <c r="G1868" s="5" t="s">
        <v>702</v>
      </c>
      <c r="H1868" s="5" t="s">
        <v>3</v>
      </c>
      <c r="I1868" s="5"/>
      <c r="J1868" s="5"/>
    </row>
    <row r="1869" spans="1:10" x14ac:dyDescent="0.2">
      <c r="A1869" s="5" t="s">
        <v>3062</v>
      </c>
      <c r="B1869" s="5" t="s">
        <v>83</v>
      </c>
      <c r="C1869" s="5"/>
      <c r="D1869" s="5" t="s">
        <v>3061</v>
      </c>
      <c r="E1869" s="5"/>
      <c r="F1869" s="5" t="s">
        <v>3060</v>
      </c>
      <c r="G1869" s="5" t="s">
        <v>3059</v>
      </c>
      <c r="H1869" s="5" t="s">
        <v>137</v>
      </c>
      <c r="I1869" s="5"/>
      <c r="J1869" s="5"/>
    </row>
    <row r="1870" spans="1:10" ht="25.5" x14ac:dyDescent="0.2">
      <c r="A1870" s="5" t="s">
        <v>3058</v>
      </c>
      <c r="B1870" s="5" t="s">
        <v>83</v>
      </c>
      <c r="C1870" s="5"/>
      <c r="D1870" s="5" t="s">
        <v>700</v>
      </c>
      <c r="E1870" s="5" t="s">
        <v>3057</v>
      </c>
      <c r="F1870" s="5" t="s">
        <v>331</v>
      </c>
      <c r="G1870" s="5" t="s">
        <v>702</v>
      </c>
      <c r="H1870" s="5" t="s">
        <v>3</v>
      </c>
      <c r="I1870" s="5"/>
      <c r="J1870" s="5" t="s">
        <v>3056</v>
      </c>
    </row>
    <row r="1871" spans="1:10" x14ac:dyDescent="0.2">
      <c r="A1871" s="5" t="s">
        <v>3055</v>
      </c>
      <c r="B1871" s="5" t="s">
        <v>83</v>
      </c>
      <c r="C1871" s="5"/>
      <c r="D1871" s="5" t="s">
        <v>3054</v>
      </c>
      <c r="E1871" s="5"/>
      <c r="F1871" s="5" t="s">
        <v>3053</v>
      </c>
      <c r="G1871" s="5" t="s">
        <v>105</v>
      </c>
      <c r="H1871" s="5" t="s">
        <v>3</v>
      </c>
      <c r="I1871" s="5"/>
      <c r="J1871" s="5" t="s">
        <v>3052</v>
      </c>
    </row>
    <row r="1872" spans="1:10" ht="25.5" x14ac:dyDescent="0.2">
      <c r="A1872" s="5" t="s">
        <v>3051</v>
      </c>
      <c r="B1872" s="5" t="s">
        <v>83</v>
      </c>
      <c r="C1872" s="5"/>
      <c r="D1872" s="5" t="s">
        <v>3050</v>
      </c>
      <c r="E1872" s="5"/>
      <c r="F1872" s="5" t="s">
        <v>3036</v>
      </c>
      <c r="G1872" s="5" t="s">
        <v>382</v>
      </c>
      <c r="H1872" s="5" t="s">
        <v>3</v>
      </c>
      <c r="I1872" s="5"/>
      <c r="J1872" s="5" t="s">
        <v>3049</v>
      </c>
    </row>
    <row r="1873" spans="1:10" x14ac:dyDescent="0.2">
      <c r="A1873" s="5" t="s">
        <v>3048</v>
      </c>
      <c r="B1873" s="5" t="s">
        <v>83</v>
      </c>
      <c r="C1873" s="5"/>
      <c r="D1873" s="5" t="s">
        <v>3047</v>
      </c>
      <c r="E1873" s="5"/>
      <c r="F1873" s="5" t="s">
        <v>3036</v>
      </c>
      <c r="G1873" s="5" t="s">
        <v>382</v>
      </c>
      <c r="H1873" s="5" t="s">
        <v>137</v>
      </c>
      <c r="I1873" s="5" t="s">
        <v>3043</v>
      </c>
      <c r="J1873" s="5" t="s">
        <v>3046</v>
      </c>
    </row>
    <row r="1874" spans="1:10" x14ac:dyDescent="0.2">
      <c r="A1874" s="5" t="s">
        <v>3045</v>
      </c>
      <c r="B1874" s="5" t="s">
        <v>83</v>
      </c>
      <c r="C1874" s="5"/>
      <c r="D1874" s="5" t="s">
        <v>3044</v>
      </c>
      <c r="E1874" s="5" t="s">
        <v>150</v>
      </c>
      <c r="F1874" s="5" t="s">
        <v>3036</v>
      </c>
      <c r="G1874" s="5" t="s">
        <v>148</v>
      </c>
      <c r="H1874" s="5" t="s">
        <v>137</v>
      </c>
      <c r="I1874" s="5" t="s">
        <v>3043</v>
      </c>
      <c r="J1874" s="5" t="s">
        <v>3042</v>
      </c>
    </row>
    <row r="1875" spans="1:10" x14ac:dyDescent="0.2">
      <c r="A1875" s="5" t="s">
        <v>3041</v>
      </c>
      <c r="B1875" s="5" t="s">
        <v>83</v>
      </c>
      <c r="C1875" s="5"/>
      <c r="D1875" s="5" t="s">
        <v>3040</v>
      </c>
      <c r="E1875" s="5" t="s">
        <v>150</v>
      </c>
      <c r="F1875" s="5" t="s">
        <v>3036</v>
      </c>
      <c r="G1875" s="5" t="s">
        <v>148</v>
      </c>
      <c r="H1875" s="5" t="s">
        <v>3</v>
      </c>
      <c r="I1875" s="5"/>
      <c r="J1875" s="5" t="s">
        <v>3039</v>
      </c>
    </row>
    <row r="1876" spans="1:10" x14ac:dyDescent="0.2">
      <c r="A1876" s="5" t="s">
        <v>3038</v>
      </c>
      <c r="B1876" s="5" t="s">
        <v>83</v>
      </c>
      <c r="C1876" s="5"/>
      <c r="D1876" s="5" t="s">
        <v>3037</v>
      </c>
      <c r="E1876" s="5" t="s">
        <v>150</v>
      </c>
      <c r="F1876" s="5" t="s">
        <v>3036</v>
      </c>
      <c r="G1876" s="5" t="s">
        <v>148</v>
      </c>
      <c r="H1876" s="5" t="s">
        <v>3</v>
      </c>
      <c r="I1876" s="5"/>
      <c r="J1876" s="5" t="s">
        <v>3035</v>
      </c>
    </row>
    <row r="1877" spans="1:10" ht="25.5" x14ac:dyDescent="0.2">
      <c r="A1877" s="5" t="s">
        <v>3034</v>
      </c>
      <c r="B1877" s="5" t="s">
        <v>83</v>
      </c>
      <c r="C1877" s="5"/>
      <c r="D1877" s="5" t="s">
        <v>3033</v>
      </c>
      <c r="E1877" s="5" t="s">
        <v>150</v>
      </c>
      <c r="F1877" s="5" t="s">
        <v>424</v>
      </c>
      <c r="G1877" s="5" t="s">
        <v>148</v>
      </c>
      <c r="H1877" s="5" t="s">
        <v>137</v>
      </c>
      <c r="I1877" s="5" t="s">
        <v>3029</v>
      </c>
      <c r="J1877" s="5" t="s">
        <v>3032</v>
      </c>
    </row>
    <row r="1878" spans="1:10" ht="25.5" x14ac:dyDescent="0.2">
      <c r="A1878" s="5" t="s">
        <v>3031</v>
      </c>
      <c r="B1878" s="5" t="s">
        <v>83</v>
      </c>
      <c r="C1878" s="5"/>
      <c r="D1878" s="5" t="s">
        <v>3030</v>
      </c>
      <c r="E1878" s="5"/>
      <c r="F1878" s="5" t="s">
        <v>424</v>
      </c>
      <c r="G1878" s="5" t="s">
        <v>170</v>
      </c>
      <c r="H1878" s="5" t="s">
        <v>137</v>
      </c>
      <c r="I1878" s="5" t="s">
        <v>3029</v>
      </c>
      <c r="J1878" s="5" t="s">
        <v>3028</v>
      </c>
    </row>
    <row r="1879" spans="1:10" ht="25.5" x14ac:dyDescent="0.2">
      <c r="A1879" s="5" t="s">
        <v>3027</v>
      </c>
      <c r="B1879" s="5" t="s">
        <v>83</v>
      </c>
      <c r="C1879" s="5"/>
      <c r="D1879" s="5" t="s">
        <v>3026</v>
      </c>
      <c r="E1879" s="5"/>
      <c r="F1879" s="5" t="s">
        <v>3012</v>
      </c>
      <c r="G1879" s="5" t="s">
        <v>382</v>
      </c>
      <c r="H1879" s="5" t="s">
        <v>3</v>
      </c>
      <c r="I1879" s="5"/>
      <c r="J1879" s="5" t="s">
        <v>3025</v>
      </c>
    </row>
    <row r="1880" spans="1:10" ht="25.5" x14ac:dyDescent="0.2">
      <c r="A1880" s="5" t="s">
        <v>3024</v>
      </c>
      <c r="B1880" s="5" t="s">
        <v>83</v>
      </c>
      <c r="C1880" s="5"/>
      <c r="D1880" s="5" t="s">
        <v>3023</v>
      </c>
      <c r="E1880" s="5"/>
      <c r="F1880" s="5" t="s">
        <v>3012</v>
      </c>
      <c r="G1880" s="5" t="s">
        <v>382</v>
      </c>
      <c r="H1880" s="5" t="s">
        <v>137</v>
      </c>
      <c r="I1880" s="5" t="s">
        <v>3019</v>
      </c>
      <c r="J1880" s="5" t="s">
        <v>3022</v>
      </c>
    </row>
    <row r="1881" spans="1:10" ht="25.5" x14ac:dyDescent="0.2">
      <c r="A1881" s="5" t="s">
        <v>3021</v>
      </c>
      <c r="B1881" s="5" t="s">
        <v>83</v>
      </c>
      <c r="C1881" s="5"/>
      <c r="D1881" s="5" t="s">
        <v>3020</v>
      </c>
      <c r="E1881" s="5" t="s">
        <v>150</v>
      </c>
      <c r="F1881" s="5" t="s">
        <v>3012</v>
      </c>
      <c r="G1881" s="5" t="s">
        <v>148</v>
      </c>
      <c r="H1881" s="5" t="s">
        <v>137</v>
      </c>
      <c r="I1881" s="5" t="s">
        <v>3019</v>
      </c>
      <c r="J1881" s="5" t="s">
        <v>3018</v>
      </c>
    </row>
    <row r="1882" spans="1:10" x14ac:dyDescent="0.2">
      <c r="A1882" s="5" t="s">
        <v>3017</v>
      </c>
      <c r="B1882" s="5" t="s">
        <v>83</v>
      </c>
      <c r="C1882" s="5"/>
      <c r="D1882" s="5" t="s">
        <v>3016</v>
      </c>
      <c r="E1882" s="5" t="s">
        <v>150</v>
      </c>
      <c r="F1882" s="5" t="s">
        <v>3012</v>
      </c>
      <c r="G1882" s="5" t="s">
        <v>148</v>
      </c>
      <c r="H1882" s="5" t="s">
        <v>3</v>
      </c>
      <c r="I1882" s="5"/>
      <c r="J1882" s="5" t="s">
        <v>3015</v>
      </c>
    </row>
    <row r="1883" spans="1:10" x14ac:dyDescent="0.2">
      <c r="A1883" s="5" t="s">
        <v>3014</v>
      </c>
      <c r="B1883" s="5" t="s">
        <v>83</v>
      </c>
      <c r="C1883" s="5"/>
      <c r="D1883" s="5" t="s">
        <v>3013</v>
      </c>
      <c r="E1883" s="5" t="s">
        <v>150</v>
      </c>
      <c r="F1883" s="5" t="s">
        <v>3012</v>
      </c>
      <c r="G1883" s="5" t="s">
        <v>148</v>
      </c>
      <c r="H1883" s="5" t="s">
        <v>3</v>
      </c>
      <c r="I1883" s="5"/>
      <c r="J1883" s="5" t="s">
        <v>3011</v>
      </c>
    </row>
    <row r="1884" spans="1:10" ht="25.5" x14ac:dyDescent="0.2">
      <c r="A1884" s="5" t="s">
        <v>3010</v>
      </c>
      <c r="B1884" s="5" t="s">
        <v>83</v>
      </c>
      <c r="C1884" s="5"/>
      <c r="D1884" s="5" t="s">
        <v>3009</v>
      </c>
      <c r="E1884" s="5" t="s">
        <v>150</v>
      </c>
      <c r="F1884" s="5" t="s">
        <v>424</v>
      </c>
      <c r="G1884" s="5" t="s">
        <v>148</v>
      </c>
      <c r="H1884" s="5" t="s">
        <v>137</v>
      </c>
      <c r="I1884" s="5" t="s">
        <v>3005</v>
      </c>
      <c r="J1884" s="5" t="s">
        <v>3008</v>
      </c>
    </row>
    <row r="1885" spans="1:10" ht="25.5" x14ac:dyDescent="0.2">
      <c r="A1885" s="5" t="s">
        <v>3007</v>
      </c>
      <c r="B1885" s="5" t="s">
        <v>83</v>
      </c>
      <c r="C1885" s="5"/>
      <c r="D1885" s="5" t="s">
        <v>3006</v>
      </c>
      <c r="E1885" s="5"/>
      <c r="F1885" s="5" t="s">
        <v>424</v>
      </c>
      <c r="G1885" s="5" t="s">
        <v>170</v>
      </c>
      <c r="H1885" s="5" t="s">
        <v>137</v>
      </c>
      <c r="I1885" s="5" t="s">
        <v>3005</v>
      </c>
      <c r="J1885" s="5" t="s">
        <v>3004</v>
      </c>
    </row>
    <row r="1886" spans="1:10" x14ac:dyDescent="0.2">
      <c r="A1886" s="5" t="s">
        <v>3003</v>
      </c>
      <c r="B1886" s="5" t="s">
        <v>83</v>
      </c>
      <c r="C1886" s="5"/>
      <c r="D1886" s="5" t="s">
        <v>3002</v>
      </c>
      <c r="E1886" s="5"/>
      <c r="F1886" s="5" t="s">
        <v>2964</v>
      </c>
      <c r="G1886" s="5" t="s">
        <v>382</v>
      </c>
      <c r="H1886" s="5" t="s">
        <v>3</v>
      </c>
      <c r="I1886" s="5"/>
      <c r="J1886" s="5" t="s">
        <v>3001</v>
      </c>
    </row>
    <row r="1887" spans="1:10" ht="25.5" x14ac:dyDescent="0.2">
      <c r="A1887" s="5" t="s">
        <v>3000</v>
      </c>
      <c r="B1887" s="5" t="s">
        <v>83</v>
      </c>
      <c r="C1887" s="5"/>
      <c r="D1887" s="5" t="s">
        <v>2999</v>
      </c>
      <c r="E1887" s="5"/>
      <c r="F1887" s="5" t="s">
        <v>2985</v>
      </c>
      <c r="G1887" s="5" t="s">
        <v>382</v>
      </c>
      <c r="H1887" s="5" t="s">
        <v>3</v>
      </c>
      <c r="I1887" s="5"/>
      <c r="J1887" s="5" t="s">
        <v>2998</v>
      </c>
    </row>
    <row r="1888" spans="1:10" ht="25.5" x14ac:dyDescent="0.2">
      <c r="A1888" s="5" t="s">
        <v>2997</v>
      </c>
      <c r="B1888" s="5" t="s">
        <v>83</v>
      </c>
      <c r="C1888" s="5"/>
      <c r="D1888" s="5" t="s">
        <v>2996</v>
      </c>
      <c r="E1888" s="5"/>
      <c r="F1888" s="5" t="s">
        <v>2985</v>
      </c>
      <c r="G1888" s="5" t="s">
        <v>382</v>
      </c>
      <c r="H1888" s="5" t="s">
        <v>137</v>
      </c>
      <c r="I1888" s="5" t="s">
        <v>2992</v>
      </c>
      <c r="J1888" s="5" t="s">
        <v>2995</v>
      </c>
    </row>
    <row r="1889" spans="1:10" ht="25.5" x14ac:dyDescent="0.2">
      <c r="A1889" s="5" t="s">
        <v>2994</v>
      </c>
      <c r="B1889" s="5" t="s">
        <v>83</v>
      </c>
      <c r="C1889" s="5"/>
      <c r="D1889" s="5" t="s">
        <v>2993</v>
      </c>
      <c r="E1889" s="5" t="s">
        <v>150</v>
      </c>
      <c r="F1889" s="5" t="s">
        <v>2985</v>
      </c>
      <c r="G1889" s="5" t="s">
        <v>148</v>
      </c>
      <c r="H1889" s="5" t="s">
        <v>137</v>
      </c>
      <c r="I1889" s="5" t="s">
        <v>2992</v>
      </c>
      <c r="J1889" s="5" t="s">
        <v>2991</v>
      </c>
    </row>
    <row r="1890" spans="1:10" x14ac:dyDescent="0.2">
      <c r="A1890" s="5" t="s">
        <v>2990</v>
      </c>
      <c r="B1890" s="5" t="s">
        <v>83</v>
      </c>
      <c r="C1890" s="5"/>
      <c r="D1890" s="5" t="s">
        <v>2989</v>
      </c>
      <c r="E1890" s="5" t="s">
        <v>150</v>
      </c>
      <c r="F1890" s="5" t="s">
        <v>2985</v>
      </c>
      <c r="G1890" s="5" t="s">
        <v>148</v>
      </c>
      <c r="H1890" s="5" t="s">
        <v>3</v>
      </c>
      <c r="I1890" s="5"/>
      <c r="J1890" s="5" t="s">
        <v>2988</v>
      </c>
    </row>
    <row r="1891" spans="1:10" x14ac:dyDescent="0.2">
      <c r="A1891" s="5" t="s">
        <v>2987</v>
      </c>
      <c r="B1891" s="5" t="s">
        <v>83</v>
      </c>
      <c r="C1891" s="5"/>
      <c r="D1891" s="5" t="s">
        <v>2986</v>
      </c>
      <c r="E1891" s="5" t="s">
        <v>150</v>
      </c>
      <c r="F1891" s="5" t="s">
        <v>2985</v>
      </c>
      <c r="G1891" s="5" t="s">
        <v>148</v>
      </c>
      <c r="H1891" s="5" t="s">
        <v>3</v>
      </c>
      <c r="I1891" s="5"/>
      <c r="J1891" s="5" t="s">
        <v>2984</v>
      </c>
    </row>
    <row r="1892" spans="1:10" ht="25.5" x14ac:dyDescent="0.2">
      <c r="A1892" s="5" t="s">
        <v>2983</v>
      </c>
      <c r="B1892" s="5" t="s">
        <v>83</v>
      </c>
      <c r="C1892" s="5"/>
      <c r="D1892" s="5" t="s">
        <v>2982</v>
      </c>
      <c r="E1892" s="5" t="s">
        <v>150</v>
      </c>
      <c r="F1892" s="5" t="s">
        <v>424</v>
      </c>
      <c r="G1892" s="5" t="s">
        <v>148</v>
      </c>
      <c r="H1892" s="5" t="s">
        <v>137</v>
      </c>
      <c r="I1892" s="5" t="s">
        <v>2978</v>
      </c>
      <c r="J1892" s="5" t="s">
        <v>2981</v>
      </c>
    </row>
    <row r="1893" spans="1:10" ht="25.5" x14ac:dyDescent="0.2">
      <c r="A1893" s="5" t="s">
        <v>2980</v>
      </c>
      <c r="B1893" s="5" t="s">
        <v>83</v>
      </c>
      <c r="C1893" s="5"/>
      <c r="D1893" s="5" t="s">
        <v>2979</v>
      </c>
      <c r="E1893" s="5"/>
      <c r="F1893" s="5" t="s">
        <v>424</v>
      </c>
      <c r="G1893" s="5" t="s">
        <v>170</v>
      </c>
      <c r="H1893" s="5" t="s">
        <v>137</v>
      </c>
      <c r="I1893" s="5" t="s">
        <v>2978</v>
      </c>
      <c r="J1893" s="5" t="s">
        <v>2977</v>
      </c>
    </row>
    <row r="1894" spans="1:10" x14ac:dyDescent="0.2">
      <c r="A1894" s="5" t="s">
        <v>2976</v>
      </c>
      <c r="B1894" s="5" t="s">
        <v>83</v>
      </c>
      <c r="C1894" s="5"/>
      <c r="D1894" s="5" t="s">
        <v>2975</v>
      </c>
      <c r="E1894" s="5"/>
      <c r="F1894" s="5" t="s">
        <v>2964</v>
      </c>
      <c r="G1894" s="5" t="s">
        <v>382</v>
      </c>
      <c r="H1894" s="5" t="s">
        <v>137</v>
      </c>
      <c r="I1894" s="5" t="s">
        <v>2971</v>
      </c>
      <c r="J1894" s="5" t="s">
        <v>2974</v>
      </c>
    </row>
    <row r="1895" spans="1:10" x14ac:dyDescent="0.2">
      <c r="A1895" s="5" t="s">
        <v>2973</v>
      </c>
      <c r="B1895" s="5" t="s">
        <v>83</v>
      </c>
      <c r="C1895" s="5"/>
      <c r="D1895" s="5" t="s">
        <v>2972</v>
      </c>
      <c r="E1895" s="5" t="s">
        <v>150</v>
      </c>
      <c r="F1895" s="5" t="s">
        <v>2964</v>
      </c>
      <c r="G1895" s="5" t="s">
        <v>148</v>
      </c>
      <c r="H1895" s="5" t="s">
        <v>137</v>
      </c>
      <c r="I1895" s="5" t="s">
        <v>2971</v>
      </c>
      <c r="J1895" s="5" t="s">
        <v>2970</v>
      </c>
    </row>
    <row r="1896" spans="1:10" x14ac:dyDescent="0.2">
      <c r="A1896" s="5" t="s">
        <v>2969</v>
      </c>
      <c r="B1896" s="5" t="s">
        <v>83</v>
      </c>
      <c r="C1896" s="5"/>
      <c r="D1896" s="5" t="s">
        <v>2968</v>
      </c>
      <c r="E1896" s="5" t="s">
        <v>150</v>
      </c>
      <c r="F1896" s="5" t="s">
        <v>2964</v>
      </c>
      <c r="G1896" s="5" t="s">
        <v>148</v>
      </c>
      <c r="H1896" s="5" t="s">
        <v>3</v>
      </c>
      <c r="I1896" s="5"/>
      <c r="J1896" s="5" t="s">
        <v>2967</v>
      </c>
    </row>
    <row r="1897" spans="1:10" x14ac:dyDescent="0.2">
      <c r="A1897" s="5" t="s">
        <v>2966</v>
      </c>
      <c r="B1897" s="5" t="s">
        <v>83</v>
      </c>
      <c r="C1897" s="5"/>
      <c r="D1897" s="5" t="s">
        <v>2965</v>
      </c>
      <c r="E1897" s="5" t="s">
        <v>150</v>
      </c>
      <c r="F1897" s="5" t="s">
        <v>2964</v>
      </c>
      <c r="G1897" s="5" t="s">
        <v>148</v>
      </c>
      <c r="H1897" s="5" t="s">
        <v>3</v>
      </c>
      <c r="I1897" s="5"/>
      <c r="J1897" s="5" t="s">
        <v>2963</v>
      </c>
    </row>
    <row r="1898" spans="1:10" ht="25.5" x14ac:dyDescent="0.2">
      <c r="A1898" s="5" t="s">
        <v>2962</v>
      </c>
      <c r="B1898" s="5" t="s">
        <v>83</v>
      </c>
      <c r="C1898" s="5"/>
      <c r="D1898" s="5" t="s">
        <v>2961</v>
      </c>
      <c r="E1898" s="5" t="s">
        <v>150</v>
      </c>
      <c r="F1898" s="5" t="s">
        <v>424</v>
      </c>
      <c r="G1898" s="5" t="s">
        <v>148</v>
      </c>
      <c r="H1898" s="5" t="s">
        <v>137</v>
      </c>
      <c r="I1898" s="5" t="s">
        <v>2957</v>
      </c>
      <c r="J1898" s="5" t="s">
        <v>2960</v>
      </c>
    </row>
    <row r="1899" spans="1:10" ht="25.5" x14ac:dyDescent="0.2">
      <c r="A1899" s="5" t="s">
        <v>2959</v>
      </c>
      <c r="B1899" s="5" t="s">
        <v>83</v>
      </c>
      <c r="C1899" s="5"/>
      <c r="D1899" s="5" t="s">
        <v>2958</v>
      </c>
      <c r="E1899" s="5"/>
      <c r="F1899" s="5" t="s">
        <v>424</v>
      </c>
      <c r="G1899" s="5" t="s">
        <v>170</v>
      </c>
      <c r="H1899" s="5" t="s">
        <v>137</v>
      </c>
      <c r="I1899" s="5" t="s">
        <v>2957</v>
      </c>
      <c r="J1899" s="5" t="s">
        <v>2956</v>
      </c>
    </row>
    <row r="1900" spans="1:10" ht="25.5" x14ac:dyDescent="0.2">
      <c r="A1900" s="5" t="s">
        <v>2955</v>
      </c>
      <c r="B1900" s="5" t="s">
        <v>83</v>
      </c>
      <c r="C1900" s="5"/>
      <c r="D1900" s="5" t="s">
        <v>2954</v>
      </c>
      <c r="E1900" s="5"/>
      <c r="F1900" s="5" t="s">
        <v>2940</v>
      </c>
      <c r="G1900" s="5" t="s">
        <v>382</v>
      </c>
      <c r="H1900" s="5" t="s">
        <v>3</v>
      </c>
      <c r="I1900" s="5"/>
      <c r="J1900" s="5" t="s">
        <v>2953</v>
      </c>
    </row>
    <row r="1901" spans="1:10" ht="25.5" x14ac:dyDescent="0.2">
      <c r="A1901" s="5" t="s">
        <v>2952</v>
      </c>
      <c r="B1901" s="5" t="s">
        <v>83</v>
      </c>
      <c r="C1901" s="5"/>
      <c r="D1901" s="5" t="s">
        <v>2951</v>
      </c>
      <c r="E1901" s="5"/>
      <c r="F1901" s="5" t="s">
        <v>2940</v>
      </c>
      <c r="G1901" s="5" t="s">
        <v>382</v>
      </c>
      <c r="H1901" s="5" t="s">
        <v>137</v>
      </c>
      <c r="I1901" s="5" t="s">
        <v>2947</v>
      </c>
      <c r="J1901" s="5" t="s">
        <v>2950</v>
      </c>
    </row>
    <row r="1902" spans="1:10" ht="25.5" x14ac:dyDescent="0.2">
      <c r="A1902" s="5" t="s">
        <v>2949</v>
      </c>
      <c r="B1902" s="5" t="s">
        <v>83</v>
      </c>
      <c r="C1902" s="5"/>
      <c r="D1902" s="5" t="s">
        <v>2948</v>
      </c>
      <c r="E1902" s="5" t="s">
        <v>150</v>
      </c>
      <c r="F1902" s="5" t="s">
        <v>2940</v>
      </c>
      <c r="G1902" s="5" t="s">
        <v>148</v>
      </c>
      <c r="H1902" s="5" t="s">
        <v>137</v>
      </c>
      <c r="I1902" s="5" t="s">
        <v>2947</v>
      </c>
      <c r="J1902" s="5" t="s">
        <v>2946</v>
      </c>
    </row>
    <row r="1903" spans="1:10" x14ac:dyDescent="0.2">
      <c r="A1903" s="5" t="s">
        <v>2945</v>
      </c>
      <c r="B1903" s="5" t="s">
        <v>83</v>
      </c>
      <c r="C1903" s="5"/>
      <c r="D1903" s="5" t="s">
        <v>2944</v>
      </c>
      <c r="E1903" s="5" t="s">
        <v>150</v>
      </c>
      <c r="F1903" s="5" t="s">
        <v>2940</v>
      </c>
      <c r="G1903" s="5" t="s">
        <v>148</v>
      </c>
      <c r="H1903" s="5" t="s">
        <v>3</v>
      </c>
      <c r="I1903" s="5"/>
      <c r="J1903" s="5" t="s">
        <v>2943</v>
      </c>
    </row>
    <row r="1904" spans="1:10" x14ac:dyDescent="0.2">
      <c r="A1904" s="5" t="s">
        <v>2942</v>
      </c>
      <c r="B1904" s="5" t="s">
        <v>83</v>
      </c>
      <c r="C1904" s="5"/>
      <c r="D1904" s="5" t="s">
        <v>2941</v>
      </c>
      <c r="E1904" s="5" t="s">
        <v>150</v>
      </c>
      <c r="F1904" s="5" t="s">
        <v>2940</v>
      </c>
      <c r="G1904" s="5" t="s">
        <v>148</v>
      </c>
      <c r="H1904" s="5" t="s">
        <v>3</v>
      </c>
      <c r="I1904" s="5"/>
      <c r="J1904" s="5" t="s">
        <v>2939</v>
      </c>
    </row>
    <row r="1905" spans="1:10" ht="38.25" x14ac:dyDescent="0.2">
      <c r="A1905" s="5" t="s">
        <v>2938</v>
      </c>
      <c r="B1905" s="5" t="s">
        <v>83</v>
      </c>
      <c r="C1905" s="5"/>
      <c r="D1905" s="5" t="s">
        <v>2937</v>
      </c>
      <c r="E1905" s="5" t="s">
        <v>150</v>
      </c>
      <c r="F1905" s="5" t="s">
        <v>424</v>
      </c>
      <c r="G1905" s="5" t="s">
        <v>148</v>
      </c>
      <c r="H1905" s="5" t="s">
        <v>137</v>
      </c>
      <c r="I1905" s="5" t="s">
        <v>2933</v>
      </c>
      <c r="J1905" s="5" t="s">
        <v>2936</v>
      </c>
    </row>
    <row r="1906" spans="1:10" ht="38.25" x14ac:dyDescent="0.2">
      <c r="A1906" s="5" t="s">
        <v>2935</v>
      </c>
      <c r="B1906" s="5" t="s">
        <v>83</v>
      </c>
      <c r="C1906" s="5"/>
      <c r="D1906" s="5" t="s">
        <v>2934</v>
      </c>
      <c r="E1906" s="5"/>
      <c r="F1906" s="5" t="s">
        <v>424</v>
      </c>
      <c r="G1906" s="5" t="s">
        <v>170</v>
      </c>
      <c r="H1906" s="5" t="s">
        <v>137</v>
      </c>
      <c r="I1906" s="5" t="s">
        <v>2933</v>
      </c>
      <c r="J1906" s="5" t="s">
        <v>2932</v>
      </c>
    </row>
    <row r="1907" spans="1:10" ht="25.5" x14ac:dyDescent="0.2">
      <c r="A1907" s="5" t="s">
        <v>2931</v>
      </c>
      <c r="B1907" s="5" t="s">
        <v>83</v>
      </c>
      <c r="C1907" s="5"/>
      <c r="D1907" s="5" t="s">
        <v>2930</v>
      </c>
      <c r="E1907" s="5"/>
      <c r="F1907" s="5" t="s">
        <v>2916</v>
      </c>
      <c r="G1907" s="5" t="s">
        <v>382</v>
      </c>
      <c r="H1907" s="5" t="s">
        <v>3</v>
      </c>
      <c r="I1907" s="5"/>
      <c r="J1907" s="5" t="s">
        <v>2929</v>
      </c>
    </row>
    <row r="1908" spans="1:10" ht="25.5" x14ac:dyDescent="0.2">
      <c r="A1908" s="5" t="s">
        <v>2928</v>
      </c>
      <c r="B1908" s="5" t="s">
        <v>83</v>
      </c>
      <c r="C1908" s="5"/>
      <c r="D1908" s="5" t="s">
        <v>2927</v>
      </c>
      <c r="E1908" s="5"/>
      <c r="F1908" s="5" t="s">
        <v>2916</v>
      </c>
      <c r="G1908" s="5" t="s">
        <v>382</v>
      </c>
      <c r="H1908" s="5" t="s">
        <v>137</v>
      </c>
      <c r="I1908" s="5" t="s">
        <v>2923</v>
      </c>
      <c r="J1908" s="5" t="s">
        <v>2926</v>
      </c>
    </row>
    <row r="1909" spans="1:10" ht="25.5" x14ac:dyDescent="0.2">
      <c r="A1909" s="5" t="s">
        <v>2925</v>
      </c>
      <c r="B1909" s="5" t="s">
        <v>83</v>
      </c>
      <c r="C1909" s="5"/>
      <c r="D1909" s="5" t="s">
        <v>2924</v>
      </c>
      <c r="E1909" s="5" t="s">
        <v>150</v>
      </c>
      <c r="F1909" s="5" t="s">
        <v>2916</v>
      </c>
      <c r="G1909" s="5" t="s">
        <v>148</v>
      </c>
      <c r="H1909" s="5" t="s">
        <v>137</v>
      </c>
      <c r="I1909" s="5" t="s">
        <v>2923</v>
      </c>
      <c r="J1909" s="5" t="s">
        <v>2922</v>
      </c>
    </row>
    <row r="1910" spans="1:10" x14ac:dyDescent="0.2">
      <c r="A1910" s="5" t="s">
        <v>2921</v>
      </c>
      <c r="B1910" s="5" t="s">
        <v>83</v>
      </c>
      <c r="C1910" s="5"/>
      <c r="D1910" s="5" t="s">
        <v>2920</v>
      </c>
      <c r="E1910" s="5" t="s">
        <v>150</v>
      </c>
      <c r="F1910" s="5" t="s">
        <v>2916</v>
      </c>
      <c r="G1910" s="5" t="s">
        <v>148</v>
      </c>
      <c r="H1910" s="5" t="s">
        <v>3</v>
      </c>
      <c r="I1910" s="5"/>
      <c r="J1910" s="5" t="s">
        <v>2919</v>
      </c>
    </row>
    <row r="1911" spans="1:10" x14ac:dyDescent="0.2">
      <c r="A1911" s="5" t="s">
        <v>2918</v>
      </c>
      <c r="B1911" s="5" t="s">
        <v>83</v>
      </c>
      <c r="C1911" s="5"/>
      <c r="D1911" s="5" t="s">
        <v>2917</v>
      </c>
      <c r="E1911" s="5" t="s">
        <v>150</v>
      </c>
      <c r="F1911" s="5" t="s">
        <v>2916</v>
      </c>
      <c r="G1911" s="5" t="s">
        <v>148</v>
      </c>
      <c r="H1911" s="5" t="s">
        <v>3</v>
      </c>
      <c r="I1911" s="5"/>
      <c r="J1911" s="5" t="s">
        <v>2915</v>
      </c>
    </row>
    <row r="1912" spans="1:10" ht="25.5" x14ac:dyDescent="0.2">
      <c r="A1912" s="5" t="s">
        <v>2914</v>
      </c>
      <c r="B1912" s="5" t="s">
        <v>83</v>
      </c>
      <c r="C1912" s="5"/>
      <c r="D1912" s="5" t="s">
        <v>2913</v>
      </c>
      <c r="E1912" s="5" t="s">
        <v>150</v>
      </c>
      <c r="F1912" s="5" t="s">
        <v>424</v>
      </c>
      <c r="G1912" s="5" t="s">
        <v>148</v>
      </c>
      <c r="H1912" s="5" t="s">
        <v>137</v>
      </c>
      <c r="I1912" s="5" t="s">
        <v>2909</v>
      </c>
      <c r="J1912" s="5" t="s">
        <v>2912</v>
      </c>
    </row>
    <row r="1913" spans="1:10" ht="25.5" x14ac:dyDescent="0.2">
      <c r="A1913" s="5" t="s">
        <v>2911</v>
      </c>
      <c r="B1913" s="5" t="s">
        <v>83</v>
      </c>
      <c r="C1913" s="5"/>
      <c r="D1913" s="5" t="s">
        <v>2910</v>
      </c>
      <c r="E1913" s="5"/>
      <c r="F1913" s="5" t="s">
        <v>424</v>
      </c>
      <c r="G1913" s="5" t="s">
        <v>170</v>
      </c>
      <c r="H1913" s="5" t="s">
        <v>137</v>
      </c>
      <c r="I1913" s="5" t="s">
        <v>2909</v>
      </c>
      <c r="J1913" s="5" t="s">
        <v>2908</v>
      </c>
    </row>
    <row r="1914" spans="1:10" ht="25.5" x14ac:dyDescent="0.2">
      <c r="A1914" s="5" t="s">
        <v>2907</v>
      </c>
      <c r="B1914" s="5" t="s">
        <v>83</v>
      </c>
      <c r="C1914" s="5"/>
      <c r="D1914" s="5" t="s">
        <v>2906</v>
      </c>
      <c r="E1914" s="5"/>
      <c r="F1914" s="5" t="s">
        <v>2892</v>
      </c>
      <c r="G1914" s="5" t="s">
        <v>382</v>
      </c>
      <c r="H1914" s="5" t="s">
        <v>3</v>
      </c>
      <c r="I1914" s="5"/>
      <c r="J1914" s="5" t="s">
        <v>2905</v>
      </c>
    </row>
    <row r="1915" spans="1:10" ht="25.5" x14ac:dyDescent="0.2">
      <c r="A1915" s="5" t="s">
        <v>2904</v>
      </c>
      <c r="B1915" s="5" t="s">
        <v>83</v>
      </c>
      <c r="C1915" s="5"/>
      <c r="D1915" s="5" t="s">
        <v>2903</v>
      </c>
      <c r="E1915" s="5"/>
      <c r="F1915" s="5" t="s">
        <v>2892</v>
      </c>
      <c r="G1915" s="5" t="s">
        <v>382</v>
      </c>
      <c r="H1915" s="5" t="s">
        <v>137</v>
      </c>
      <c r="I1915" s="5" t="s">
        <v>2899</v>
      </c>
      <c r="J1915" s="5" t="s">
        <v>2902</v>
      </c>
    </row>
    <row r="1916" spans="1:10" ht="25.5" x14ac:dyDescent="0.2">
      <c r="A1916" s="5" t="s">
        <v>2901</v>
      </c>
      <c r="B1916" s="5" t="s">
        <v>83</v>
      </c>
      <c r="C1916" s="5"/>
      <c r="D1916" s="5" t="s">
        <v>2900</v>
      </c>
      <c r="E1916" s="5" t="s">
        <v>150</v>
      </c>
      <c r="F1916" s="5" t="s">
        <v>2892</v>
      </c>
      <c r="G1916" s="5" t="s">
        <v>148</v>
      </c>
      <c r="H1916" s="5" t="s">
        <v>137</v>
      </c>
      <c r="I1916" s="5" t="s">
        <v>2899</v>
      </c>
      <c r="J1916" s="5" t="s">
        <v>2898</v>
      </c>
    </row>
    <row r="1917" spans="1:10" x14ac:dyDescent="0.2">
      <c r="A1917" s="5" t="s">
        <v>2897</v>
      </c>
      <c r="B1917" s="5" t="s">
        <v>83</v>
      </c>
      <c r="C1917" s="5"/>
      <c r="D1917" s="5" t="s">
        <v>2896</v>
      </c>
      <c r="E1917" s="5" t="s">
        <v>150</v>
      </c>
      <c r="F1917" s="5" t="s">
        <v>2892</v>
      </c>
      <c r="G1917" s="5" t="s">
        <v>148</v>
      </c>
      <c r="H1917" s="5" t="s">
        <v>3</v>
      </c>
      <c r="I1917" s="5"/>
      <c r="J1917" s="5" t="s">
        <v>2895</v>
      </c>
    </row>
    <row r="1918" spans="1:10" x14ac:dyDescent="0.2">
      <c r="A1918" s="5" t="s">
        <v>2894</v>
      </c>
      <c r="B1918" s="5" t="s">
        <v>83</v>
      </c>
      <c r="C1918" s="5"/>
      <c r="D1918" s="5" t="s">
        <v>2893</v>
      </c>
      <c r="E1918" s="5" t="s">
        <v>150</v>
      </c>
      <c r="F1918" s="5" t="s">
        <v>2892</v>
      </c>
      <c r="G1918" s="5" t="s">
        <v>148</v>
      </c>
      <c r="H1918" s="5" t="s">
        <v>3</v>
      </c>
      <c r="I1918" s="5"/>
      <c r="J1918" s="5" t="s">
        <v>2891</v>
      </c>
    </row>
    <row r="1919" spans="1:10" ht="25.5" x14ac:dyDescent="0.2">
      <c r="A1919" s="5" t="s">
        <v>2890</v>
      </c>
      <c r="B1919" s="5" t="s">
        <v>83</v>
      </c>
      <c r="C1919" s="5"/>
      <c r="D1919" s="5" t="s">
        <v>2889</v>
      </c>
      <c r="E1919" s="5" t="s">
        <v>150</v>
      </c>
      <c r="F1919" s="5" t="s">
        <v>424</v>
      </c>
      <c r="G1919" s="5" t="s">
        <v>148</v>
      </c>
      <c r="H1919" s="5" t="s">
        <v>137</v>
      </c>
      <c r="I1919" s="5" t="s">
        <v>2885</v>
      </c>
      <c r="J1919" s="5" t="s">
        <v>2888</v>
      </c>
    </row>
    <row r="1920" spans="1:10" ht="25.5" x14ac:dyDescent="0.2">
      <c r="A1920" s="5" t="s">
        <v>2887</v>
      </c>
      <c r="B1920" s="5" t="s">
        <v>83</v>
      </c>
      <c r="C1920" s="5"/>
      <c r="D1920" s="5" t="s">
        <v>2886</v>
      </c>
      <c r="E1920" s="5"/>
      <c r="F1920" s="5" t="s">
        <v>424</v>
      </c>
      <c r="G1920" s="5" t="s">
        <v>170</v>
      </c>
      <c r="H1920" s="5" t="s">
        <v>137</v>
      </c>
      <c r="I1920" s="5" t="s">
        <v>2885</v>
      </c>
      <c r="J1920" s="5" t="s">
        <v>2884</v>
      </c>
    </row>
    <row r="1921" spans="1:10" ht="25.5" x14ac:dyDescent="0.2">
      <c r="A1921" s="5" t="s">
        <v>2883</v>
      </c>
      <c r="B1921" s="5" t="s">
        <v>83</v>
      </c>
      <c r="C1921" s="5"/>
      <c r="D1921" s="5" t="s">
        <v>2882</v>
      </c>
      <c r="E1921" s="5"/>
      <c r="F1921" s="5" t="s">
        <v>2868</v>
      </c>
      <c r="G1921" s="5" t="s">
        <v>382</v>
      </c>
      <c r="H1921" s="5" t="s">
        <v>3</v>
      </c>
      <c r="I1921" s="5"/>
      <c r="J1921" s="5" t="s">
        <v>2881</v>
      </c>
    </row>
    <row r="1922" spans="1:10" ht="25.5" x14ac:dyDescent="0.2">
      <c r="A1922" s="5" t="s">
        <v>2880</v>
      </c>
      <c r="B1922" s="5" t="s">
        <v>83</v>
      </c>
      <c r="C1922" s="5"/>
      <c r="D1922" s="5" t="s">
        <v>2879</v>
      </c>
      <c r="E1922" s="5"/>
      <c r="F1922" s="5" t="s">
        <v>2868</v>
      </c>
      <c r="G1922" s="5" t="s">
        <v>382</v>
      </c>
      <c r="H1922" s="5" t="s">
        <v>137</v>
      </c>
      <c r="I1922" s="5" t="s">
        <v>2875</v>
      </c>
      <c r="J1922" s="5" t="s">
        <v>2878</v>
      </c>
    </row>
    <row r="1923" spans="1:10" ht="25.5" x14ac:dyDescent="0.2">
      <c r="A1923" s="5" t="s">
        <v>2877</v>
      </c>
      <c r="B1923" s="5" t="s">
        <v>83</v>
      </c>
      <c r="C1923" s="5"/>
      <c r="D1923" s="5" t="s">
        <v>2876</v>
      </c>
      <c r="E1923" s="5" t="s">
        <v>150</v>
      </c>
      <c r="F1923" s="5" t="s">
        <v>2868</v>
      </c>
      <c r="G1923" s="5" t="s">
        <v>148</v>
      </c>
      <c r="H1923" s="5" t="s">
        <v>137</v>
      </c>
      <c r="I1923" s="5" t="s">
        <v>2875</v>
      </c>
      <c r="J1923" s="5" t="s">
        <v>2874</v>
      </c>
    </row>
    <row r="1924" spans="1:10" x14ac:dyDescent="0.2">
      <c r="A1924" s="5" t="s">
        <v>2873</v>
      </c>
      <c r="B1924" s="5" t="s">
        <v>83</v>
      </c>
      <c r="C1924" s="5"/>
      <c r="D1924" s="5" t="s">
        <v>2872</v>
      </c>
      <c r="E1924" s="5" t="s">
        <v>150</v>
      </c>
      <c r="F1924" s="5" t="s">
        <v>2868</v>
      </c>
      <c r="G1924" s="5" t="s">
        <v>148</v>
      </c>
      <c r="H1924" s="5" t="s">
        <v>3</v>
      </c>
      <c r="I1924" s="5"/>
      <c r="J1924" s="5" t="s">
        <v>2871</v>
      </c>
    </row>
    <row r="1925" spans="1:10" x14ac:dyDescent="0.2">
      <c r="A1925" s="5" t="s">
        <v>2870</v>
      </c>
      <c r="B1925" s="5" t="s">
        <v>83</v>
      </c>
      <c r="C1925" s="5"/>
      <c r="D1925" s="5" t="s">
        <v>2869</v>
      </c>
      <c r="E1925" s="5" t="s">
        <v>150</v>
      </c>
      <c r="F1925" s="5" t="s">
        <v>2868</v>
      </c>
      <c r="G1925" s="5" t="s">
        <v>148</v>
      </c>
      <c r="H1925" s="5" t="s">
        <v>3</v>
      </c>
      <c r="I1925" s="5"/>
      <c r="J1925" s="5" t="s">
        <v>2867</v>
      </c>
    </row>
    <row r="1926" spans="1:10" ht="25.5" x14ac:dyDescent="0.2">
      <c r="A1926" s="5" t="s">
        <v>2866</v>
      </c>
      <c r="B1926" s="5" t="s">
        <v>83</v>
      </c>
      <c r="C1926" s="5"/>
      <c r="D1926" s="5" t="s">
        <v>2865</v>
      </c>
      <c r="E1926" s="5" t="s">
        <v>150</v>
      </c>
      <c r="F1926" s="5" t="s">
        <v>424</v>
      </c>
      <c r="G1926" s="5" t="s">
        <v>148</v>
      </c>
      <c r="H1926" s="5" t="s">
        <v>137</v>
      </c>
      <c r="I1926" s="5" t="s">
        <v>2861</v>
      </c>
      <c r="J1926" s="5" t="s">
        <v>2864</v>
      </c>
    </row>
    <row r="1927" spans="1:10" ht="25.5" x14ac:dyDescent="0.2">
      <c r="A1927" s="5" t="s">
        <v>2863</v>
      </c>
      <c r="B1927" s="5" t="s">
        <v>83</v>
      </c>
      <c r="C1927" s="5"/>
      <c r="D1927" s="5" t="s">
        <v>2862</v>
      </c>
      <c r="E1927" s="5"/>
      <c r="F1927" s="5" t="s">
        <v>424</v>
      </c>
      <c r="G1927" s="5" t="s">
        <v>170</v>
      </c>
      <c r="H1927" s="5" t="s">
        <v>137</v>
      </c>
      <c r="I1927" s="5" t="s">
        <v>2861</v>
      </c>
      <c r="J1927" s="5" t="s">
        <v>2860</v>
      </c>
    </row>
    <row r="1928" spans="1:10" ht="25.5" x14ac:dyDescent="0.2">
      <c r="A1928" s="5" t="s">
        <v>2859</v>
      </c>
      <c r="B1928" s="5" t="s">
        <v>83</v>
      </c>
      <c r="C1928" s="5"/>
      <c r="D1928" s="5" t="s">
        <v>2858</v>
      </c>
      <c r="E1928" s="5"/>
      <c r="F1928" s="5" t="s">
        <v>2844</v>
      </c>
      <c r="G1928" s="5" t="s">
        <v>382</v>
      </c>
      <c r="H1928" s="5" t="s">
        <v>3</v>
      </c>
      <c r="I1928" s="5"/>
      <c r="J1928" s="5" t="s">
        <v>2857</v>
      </c>
    </row>
    <row r="1929" spans="1:10" ht="25.5" x14ac:dyDescent="0.2">
      <c r="A1929" s="5" t="s">
        <v>2856</v>
      </c>
      <c r="B1929" s="5" t="s">
        <v>83</v>
      </c>
      <c r="C1929" s="5"/>
      <c r="D1929" s="5" t="s">
        <v>2855</v>
      </c>
      <c r="E1929" s="5"/>
      <c r="F1929" s="5" t="s">
        <v>2844</v>
      </c>
      <c r="G1929" s="5" t="s">
        <v>382</v>
      </c>
      <c r="H1929" s="5" t="s">
        <v>137</v>
      </c>
      <c r="I1929" s="5" t="s">
        <v>2851</v>
      </c>
      <c r="J1929" s="5" t="s">
        <v>2854</v>
      </c>
    </row>
    <row r="1930" spans="1:10" ht="25.5" x14ac:dyDescent="0.2">
      <c r="A1930" s="5" t="s">
        <v>2853</v>
      </c>
      <c r="B1930" s="5" t="s">
        <v>83</v>
      </c>
      <c r="C1930" s="5"/>
      <c r="D1930" s="5" t="s">
        <v>2852</v>
      </c>
      <c r="E1930" s="5" t="s">
        <v>150</v>
      </c>
      <c r="F1930" s="5" t="s">
        <v>2844</v>
      </c>
      <c r="G1930" s="5" t="s">
        <v>148</v>
      </c>
      <c r="H1930" s="5" t="s">
        <v>137</v>
      </c>
      <c r="I1930" s="5" t="s">
        <v>2851</v>
      </c>
      <c r="J1930" s="5" t="s">
        <v>2850</v>
      </c>
    </row>
    <row r="1931" spans="1:10" x14ac:dyDescent="0.2">
      <c r="A1931" s="5" t="s">
        <v>2849</v>
      </c>
      <c r="B1931" s="5" t="s">
        <v>83</v>
      </c>
      <c r="C1931" s="5"/>
      <c r="D1931" s="5" t="s">
        <v>2848</v>
      </c>
      <c r="E1931" s="5" t="s">
        <v>150</v>
      </c>
      <c r="F1931" s="5" t="s">
        <v>2844</v>
      </c>
      <c r="G1931" s="5" t="s">
        <v>148</v>
      </c>
      <c r="H1931" s="5" t="s">
        <v>3</v>
      </c>
      <c r="I1931" s="5"/>
      <c r="J1931" s="5" t="s">
        <v>2847</v>
      </c>
    </row>
    <row r="1932" spans="1:10" x14ac:dyDescent="0.2">
      <c r="A1932" s="5" t="s">
        <v>2846</v>
      </c>
      <c r="B1932" s="5" t="s">
        <v>83</v>
      </c>
      <c r="C1932" s="5"/>
      <c r="D1932" s="5" t="s">
        <v>2845</v>
      </c>
      <c r="E1932" s="5" t="s">
        <v>150</v>
      </c>
      <c r="F1932" s="5" t="s">
        <v>2844</v>
      </c>
      <c r="G1932" s="5" t="s">
        <v>148</v>
      </c>
      <c r="H1932" s="5" t="s">
        <v>3</v>
      </c>
      <c r="I1932" s="5"/>
      <c r="J1932" s="5" t="s">
        <v>2843</v>
      </c>
    </row>
    <row r="1933" spans="1:10" ht="25.5" x14ac:dyDescent="0.2">
      <c r="A1933" s="5" t="s">
        <v>2842</v>
      </c>
      <c r="B1933" s="5" t="s">
        <v>83</v>
      </c>
      <c r="C1933" s="5"/>
      <c r="D1933" s="5" t="s">
        <v>2841</v>
      </c>
      <c r="E1933" s="5" t="s">
        <v>150</v>
      </c>
      <c r="F1933" s="5" t="s">
        <v>424</v>
      </c>
      <c r="G1933" s="5" t="s">
        <v>148</v>
      </c>
      <c r="H1933" s="5" t="s">
        <v>137</v>
      </c>
      <c r="I1933" s="5" t="s">
        <v>2837</v>
      </c>
      <c r="J1933" s="5" t="s">
        <v>2840</v>
      </c>
    </row>
    <row r="1934" spans="1:10" ht="25.5" x14ac:dyDescent="0.2">
      <c r="A1934" s="5" t="s">
        <v>2839</v>
      </c>
      <c r="B1934" s="5" t="s">
        <v>83</v>
      </c>
      <c r="C1934" s="5"/>
      <c r="D1934" s="5" t="s">
        <v>2838</v>
      </c>
      <c r="E1934" s="5"/>
      <c r="F1934" s="5" t="s">
        <v>424</v>
      </c>
      <c r="G1934" s="5" t="s">
        <v>170</v>
      </c>
      <c r="H1934" s="5" t="s">
        <v>137</v>
      </c>
      <c r="I1934" s="5" t="s">
        <v>2837</v>
      </c>
      <c r="J1934" s="5" t="s">
        <v>2836</v>
      </c>
    </row>
    <row r="1935" spans="1:10" x14ac:dyDescent="0.2">
      <c r="A1935" s="5" t="s">
        <v>2835</v>
      </c>
      <c r="B1935" s="5" t="s">
        <v>83</v>
      </c>
      <c r="C1935" s="5"/>
      <c r="D1935" s="5" t="s">
        <v>2834</v>
      </c>
      <c r="E1935" s="5"/>
      <c r="F1935" s="5" t="s">
        <v>2833</v>
      </c>
      <c r="G1935" s="5" t="s">
        <v>181</v>
      </c>
      <c r="H1935" s="5" t="s">
        <v>3</v>
      </c>
      <c r="I1935" s="5"/>
      <c r="J1935" s="5"/>
    </row>
    <row r="1936" spans="1:10" ht="25.5" x14ac:dyDescent="0.2">
      <c r="A1936" s="5" t="s">
        <v>2832</v>
      </c>
      <c r="B1936" s="5" t="s">
        <v>83</v>
      </c>
      <c r="C1936" s="5"/>
      <c r="D1936" s="5" t="s">
        <v>2831</v>
      </c>
      <c r="E1936" s="5" t="s">
        <v>138</v>
      </c>
      <c r="F1936" s="5" t="s">
        <v>2828</v>
      </c>
      <c r="G1936" s="5" t="s">
        <v>181</v>
      </c>
      <c r="H1936" s="5" t="s">
        <v>3</v>
      </c>
      <c r="I1936" s="5"/>
      <c r="J1936" s="5" t="s">
        <v>2827</v>
      </c>
    </row>
    <row r="1937" spans="1:10" ht="25.5" x14ac:dyDescent="0.2">
      <c r="A1937" s="5" t="s">
        <v>2830</v>
      </c>
      <c r="B1937" s="5" t="s">
        <v>83</v>
      </c>
      <c r="C1937" s="5"/>
      <c r="D1937" s="5" t="s">
        <v>2829</v>
      </c>
      <c r="E1937" s="5" t="s">
        <v>138</v>
      </c>
      <c r="F1937" s="5" t="s">
        <v>2828</v>
      </c>
      <c r="G1937" s="5" t="s">
        <v>181</v>
      </c>
      <c r="H1937" s="5" t="s">
        <v>3</v>
      </c>
      <c r="I1937" s="5"/>
      <c r="J1937" s="5" t="s">
        <v>2827</v>
      </c>
    </row>
    <row r="1938" spans="1:10" ht="25.5" x14ac:dyDescent="0.2">
      <c r="A1938" s="5" t="s">
        <v>2826</v>
      </c>
      <c r="B1938" s="5" t="s">
        <v>83</v>
      </c>
      <c r="C1938" s="5"/>
      <c r="D1938" s="5" t="s">
        <v>2825</v>
      </c>
      <c r="E1938" s="5"/>
      <c r="F1938" s="5" t="s">
        <v>2804</v>
      </c>
      <c r="G1938" s="5" t="s">
        <v>382</v>
      </c>
      <c r="H1938" s="5" t="s">
        <v>3</v>
      </c>
      <c r="I1938" s="5"/>
      <c r="J1938" s="5" t="s">
        <v>2824</v>
      </c>
    </row>
    <row r="1939" spans="1:10" ht="25.5" x14ac:dyDescent="0.2">
      <c r="A1939" s="5" t="s">
        <v>2823</v>
      </c>
      <c r="B1939" s="5" t="s">
        <v>83</v>
      </c>
      <c r="C1939" s="5"/>
      <c r="D1939" s="5" t="s">
        <v>2822</v>
      </c>
      <c r="E1939" s="5" t="s">
        <v>368</v>
      </c>
      <c r="F1939" s="5" t="s">
        <v>2821</v>
      </c>
      <c r="G1939" s="5" t="s">
        <v>207</v>
      </c>
      <c r="H1939" s="5" t="s">
        <v>3</v>
      </c>
      <c r="I1939" s="5"/>
      <c r="J1939" s="5" t="s">
        <v>2820</v>
      </c>
    </row>
    <row r="1940" spans="1:10" ht="25.5" x14ac:dyDescent="0.2">
      <c r="A1940" s="5" t="s">
        <v>2819</v>
      </c>
      <c r="B1940" s="5" t="s">
        <v>83</v>
      </c>
      <c r="C1940" s="5"/>
      <c r="D1940" s="5" t="s">
        <v>2818</v>
      </c>
      <c r="E1940" s="5"/>
      <c r="F1940" s="5" t="s">
        <v>2804</v>
      </c>
      <c r="G1940" s="5" t="s">
        <v>382</v>
      </c>
      <c r="H1940" s="5" t="s">
        <v>137</v>
      </c>
      <c r="I1940" s="5" t="s">
        <v>2811</v>
      </c>
      <c r="J1940" s="5" t="s">
        <v>2817</v>
      </c>
    </row>
    <row r="1941" spans="1:10" ht="25.5" x14ac:dyDescent="0.2">
      <c r="A1941" s="5" t="s">
        <v>2816</v>
      </c>
      <c r="B1941" s="5" t="s">
        <v>83</v>
      </c>
      <c r="C1941" s="5"/>
      <c r="D1941" s="5" t="s">
        <v>2815</v>
      </c>
      <c r="E1941" s="5" t="s">
        <v>665</v>
      </c>
      <c r="F1941" s="5" t="s">
        <v>2804</v>
      </c>
      <c r="G1941" s="5" t="s">
        <v>148</v>
      </c>
      <c r="H1941" s="5" t="s">
        <v>137</v>
      </c>
      <c r="I1941" s="5" t="s">
        <v>2811</v>
      </c>
      <c r="J1941" s="5" t="s">
        <v>2814</v>
      </c>
    </row>
    <row r="1942" spans="1:10" ht="25.5" x14ac:dyDescent="0.2">
      <c r="A1942" s="5" t="s">
        <v>2813</v>
      </c>
      <c r="B1942" s="5" t="s">
        <v>83</v>
      </c>
      <c r="C1942" s="5"/>
      <c r="D1942" s="5" t="s">
        <v>2812</v>
      </c>
      <c r="E1942" s="5" t="s">
        <v>150</v>
      </c>
      <c r="F1942" s="5" t="s">
        <v>2804</v>
      </c>
      <c r="G1942" s="5" t="s">
        <v>148</v>
      </c>
      <c r="H1942" s="5" t="s">
        <v>137</v>
      </c>
      <c r="I1942" s="5" t="s">
        <v>2811</v>
      </c>
      <c r="J1942" s="5" t="s">
        <v>2810</v>
      </c>
    </row>
    <row r="1943" spans="1:10" x14ac:dyDescent="0.2">
      <c r="A1943" s="5" t="s">
        <v>2809</v>
      </c>
      <c r="B1943" s="5" t="s">
        <v>83</v>
      </c>
      <c r="C1943" s="5"/>
      <c r="D1943" s="5" t="s">
        <v>2808</v>
      </c>
      <c r="E1943" s="5" t="s">
        <v>150</v>
      </c>
      <c r="F1943" s="5" t="s">
        <v>2804</v>
      </c>
      <c r="G1943" s="5" t="s">
        <v>148</v>
      </c>
      <c r="H1943" s="5" t="s">
        <v>3</v>
      </c>
      <c r="I1943" s="5"/>
      <c r="J1943" s="5" t="s">
        <v>2807</v>
      </c>
    </row>
    <row r="1944" spans="1:10" x14ac:dyDescent="0.2">
      <c r="A1944" s="5" t="s">
        <v>2806</v>
      </c>
      <c r="B1944" s="5" t="s">
        <v>83</v>
      </c>
      <c r="C1944" s="5"/>
      <c r="D1944" s="5" t="s">
        <v>2805</v>
      </c>
      <c r="E1944" s="5" t="s">
        <v>150</v>
      </c>
      <c r="F1944" s="5" t="s">
        <v>2804</v>
      </c>
      <c r="G1944" s="5" t="s">
        <v>148</v>
      </c>
      <c r="H1944" s="5" t="s">
        <v>3</v>
      </c>
      <c r="I1944" s="5"/>
      <c r="J1944" s="5" t="s">
        <v>2803</v>
      </c>
    </row>
    <row r="1945" spans="1:10" ht="38.25" x14ac:dyDescent="0.2">
      <c r="A1945" s="5" t="s">
        <v>2802</v>
      </c>
      <c r="B1945" s="5" t="s">
        <v>83</v>
      </c>
      <c r="C1945" s="5"/>
      <c r="D1945" s="5" t="s">
        <v>2801</v>
      </c>
      <c r="E1945" s="5" t="s">
        <v>150</v>
      </c>
      <c r="F1945" s="5" t="s">
        <v>424</v>
      </c>
      <c r="G1945" s="5" t="s">
        <v>148</v>
      </c>
      <c r="H1945" s="5" t="s">
        <v>137</v>
      </c>
      <c r="I1945" s="5" t="s">
        <v>2797</v>
      </c>
      <c r="J1945" s="5" t="s">
        <v>2800</v>
      </c>
    </row>
    <row r="1946" spans="1:10" ht="38.25" x14ac:dyDescent="0.2">
      <c r="A1946" s="5" t="s">
        <v>2799</v>
      </c>
      <c r="B1946" s="5" t="s">
        <v>83</v>
      </c>
      <c r="C1946" s="5"/>
      <c r="D1946" s="5" t="s">
        <v>2798</v>
      </c>
      <c r="E1946" s="5"/>
      <c r="F1946" s="5" t="s">
        <v>424</v>
      </c>
      <c r="G1946" s="5" t="s">
        <v>170</v>
      </c>
      <c r="H1946" s="5" t="s">
        <v>137</v>
      </c>
      <c r="I1946" s="5" t="s">
        <v>2797</v>
      </c>
      <c r="J1946" s="5" t="s">
        <v>2796</v>
      </c>
    </row>
    <row r="1947" spans="1:10" ht="25.5" x14ac:dyDescent="0.2">
      <c r="A1947" s="5" t="s">
        <v>2795</v>
      </c>
      <c r="B1947" s="5" t="s">
        <v>83</v>
      </c>
      <c r="C1947" s="5"/>
      <c r="D1947" s="5" t="s">
        <v>2794</v>
      </c>
      <c r="E1947" s="5"/>
      <c r="F1947" s="5" t="s">
        <v>2780</v>
      </c>
      <c r="G1947" s="5" t="s">
        <v>382</v>
      </c>
      <c r="H1947" s="5" t="s">
        <v>3</v>
      </c>
      <c r="I1947" s="5"/>
      <c r="J1947" s="5" t="s">
        <v>2793</v>
      </c>
    </row>
    <row r="1948" spans="1:10" ht="25.5" x14ac:dyDescent="0.2">
      <c r="A1948" s="5" t="s">
        <v>2792</v>
      </c>
      <c r="B1948" s="5" t="s">
        <v>83</v>
      </c>
      <c r="C1948" s="5"/>
      <c r="D1948" s="5" t="s">
        <v>2791</v>
      </c>
      <c r="E1948" s="5"/>
      <c r="F1948" s="5" t="s">
        <v>2780</v>
      </c>
      <c r="G1948" s="5" t="s">
        <v>382</v>
      </c>
      <c r="H1948" s="5" t="s">
        <v>137</v>
      </c>
      <c r="I1948" s="5" t="s">
        <v>2787</v>
      </c>
      <c r="J1948" s="5" t="s">
        <v>2790</v>
      </c>
    </row>
    <row r="1949" spans="1:10" ht="25.5" x14ac:dyDescent="0.2">
      <c r="A1949" s="5" t="s">
        <v>2789</v>
      </c>
      <c r="B1949" s="5" t="s">
        <v>83</v>
      </c>
      <c r="C1949" s="5"/>
      <c r="D1949" s="5" t="s">
        <v>2788</v>
      </c>
      <c r="E1949" s="5" t="s">
        <v>150</v>
      </c>
      <c r="F1949" s="5" t="s">
        <v>2780</v>
      </c>
      <c r="G1949" s="5" t="s">
        <v>148</v>
      </c>
      <c r="H1949" s="5" t="s">
        <v>137</v>
      </c>
      <c r="I1949" s="5" t="s">
        <v>2787</v>
      </c>
      <c r="J1949" s="5" t="s">
        <v>2786</v>
      </c>
    </row>
    <row r="1950" spans="1:10" x14ac:dyDescent="0.2">
      <c r="A1950" s="5" t="s">
        <v>2785</v>
      </c>
      <c r="B1950" s="5" t="s">
        <v>83</v>
      </c>
      <c r="C1950" s="5"/>
      <c r="D1950" s="5" t="s">
        <v>2784</v>
      </c>
      <c r="E1950" s="5" t="s">
        <v>150</v>
      </c>
      <c r="F1950" s="5" t="s">
        <v>2780</v>
      </c>
      <c r="G1950" s="5" t="s">
        <v>148</v>
      </c>
      <c r="H1950" s="5" t="s">
        <v>3</v>
      </c>
      <c r="I1950" s="5"/>
      <c r="J1950" s="5" t="s">
        <v>2783</v>
      </c>
    </row>
    <row r="1951" spans="1:10" x14ac:dyDescent="0.2">
      <c r="A1951" s="5" t="s">
        <v>2782</v>
      </c>
      <c r="B1951" s="5" t="s">
        <v>83</v>
      </c>
      <c r="C1951" s="5"/>
      <c r="D1951" s="5" t="s">
        <v>2781</v>
      </c>
      <c r="E1951" s="5" t="s">
        <v>150</v>
      </c>
      <c r="F1951" s="5" t="s">
        <v>2780</v>
      </c>
      <c r="G1951" s="5" t="s">
        <v>148</v>
      </c>
      <c r="H1951" s="5" t="s">
        <v>3</v>
      </c>
      <c r="I1951" s="5"/>
      <c r="J1951" s="5" t="s">
        <v>2779</v>
      </c>
    </row>
    <row r="1952" spans="1:10" ht="38.25" x14ac:dyDescent="0.2">
      <c r="A1952" s="5" t="s">
        <v>2778</v>
      </c>
      <c r="B1952" s="5" t="s">
        <v>83</v>
      </c>
      <c r="C1952" s="5"/>
      <c r="D1952" s="5" t="s">
        <v>2777</v>
      </c>
      <c r="E1952" s="5" t="s">
        <v>150</v>
      </c>
      <c r="F1952" s="5" t="s">
        <v>424</v>
      </c>
      <c r="G1952" s="5" t="s">
        <v>148</v>
      </c>
      <c r="H1952" s="5" t="s">
        <v>137</v>
      </c>
      <c r="I1952" s="5" t="s">
        <v>2773</v>
      </c>
      <c r="J1952" s="5" t="s">
        <v>2776</v>
      </c>
    </row>
    <row r="1953" spans="1:10" ht="38.25" x14ac:dyDescent="0.2">
      <c r="A1953" s="5" t="s">
        <v>2775</v>
      </c>
      <c r="B1953" s="5" t="s">
        <v>83</v>
      </c>
      <c r="C1953" s="5"/>
      <c r="D1953" s="5" t="s">
        <v>2774</v>
      </c>
      <c r="E1953" s="5"/>
      <c r="F1953" s="5" t="s">
        <v>424</v>
      </c>
      <c r="G1953" s="5" t="s">
        <v>170</v>
      </c>
      <c r="H1953" s="5" t="s">
        <v>137</v>
      </c>
      <c r="I1953" s="5" t="s">
        <v>2773</v>
      </c>
      <c r="J1953" s="5" t="s">
        <v>2772</v>
      </c>
    </row>
    <row r="1954" spans="1:10" ht="25.5" x14ac:dyDescent="0.2">
      <c r="A1954" s="5" t="s">
        <v>2771</v>
      </c>
      <c r="B1954" s="5" t="s">
        <v>83</v>
      </c>
      <c r="C1954" s="5"/>
      <c r="D1954" s="5" t="s">
        <v>2770</v>
      </c>
      <c r="E1954" s="5"/>
      <c r="F1954" s="5" t="s">
        <v>2756</v>
      </c>
      <c r="G1954" s="5" t="s">
        <v>382</v>
      </c>
      <c r="H1954" s="5" t="s">
        <v>3</v>
      </c>
      <c r="I1954" s="5"/>
      <c r="J1954" s="5" t="s">
        <v>2769</v>
      </c>
    </row>
    <row r="1955" spans="1:10" ht="25.5" x14ac:dyDescent="0.2">
      <c r="A1955" s="5" t="s">
        <v>2768</v>
      </c>
      <c r="B1955" s="5" t="s">
        <v>83</v>
      </c>
      <c r="C1955" s="5"/>
      <c r="D1955" s="5" t="s">
        <v>2767</v>
      </c>
      <c r="E1955" s="5"/>
      <c r="F1955" s="5" t="s">
        <v>2756</v>
      </c>
      <c r="G1955" s="5" t="s">
        <v>382</v>
      </c>
      <c r="H1955" s="5" t="s">
        <v>137</v>
      </c>
      <c r="I1955" s="5" t="s">
        <v>2763</v>
      </c>
      <c r="J1955" s="5" t="s">
        <v>2766</v>
      </c>
    </row>
    <row r="1956" spans="1:10" ht="25.5" x14ac:dyDescent="0.2">
      <c r="A1956" s="5" t="s">
        <v>2765</v>
      </c>
      <c r="B1956" s="5" t="s">
        <v>83</v>
      </c>
      <c r="C1956" s="5"/>
      <c r="D1956" s="5" t="s">
        <v>2764</v>
      </c>
      <c r="E1956" s="5" t="s">
        <v>150</v>
      </c>
      <c r="F1956" s="5" t="s">
        <v>2756</v>
      </c>
      <c r="G1956" s="5" t="s">
        <v>148</v>
      </c>
      <c r="H1956" s="5" t="s">
        <v>137</v>
      </c>
      <c r="I1956" s="5" t="s">
        <v>2763</v>
      </c>
      <c r="J1956" s="5" t="s">
        <v>2762</v>
      </c>
    </row>
    <row r="1957" spans="1:10" x14ac:dyDescent="0.2">
      <c r="A1957" s="5" t="s">
        <v>2761</v>
      </c>
      <c r="B1957" s="5" t="s">
        <v>83</v>
      </c>
      <c r="C1957" s="5"/>
      <c r="D1957" s="5" t="s">
        <v>2760</v>
      </c>
      <c r="E1957" s="5" t="s">
        <v>150</v>
      </c>
      <c r="F1957" s="5" t="s">
        <v>2756</v>
      </c>
      <c r="G1957" s="5" t="s">
        <v>148</v>
      </c>
      <c r="H1957" s="5" t="s">
        <v>3</v>
      </c>
      <c r="I1957" s="5"/>
      <c r="J1957" s="5" t="s">
        <v>2759</v>
      </c>
    </row>
    <row r="1958" spans="1:10" x14ac:dyDescent="0.2">
      <c r="A1958" s="5" t="s">
        <v>2758</v>
      </c>
      <c r="B1958" s="5" t="s">
        <v>83</v>
      </c>
      <c r="C1958" s="5"/>
      <c r="D1958" s="5" t="s">
        <v>2757</v>
      </c>
      <c r="E1958" s="5" t="s">
        <v>150</v>
      </c>
      <c r="F1958" s="5" t="s">
        <v>2756</v>
      </c>
      <c r="G1958" s="5" t="s">
        <v>148</v>
      </c>
      <c r="H1958" s="5" t="s">
        <v>3</v>
      </c>
      <c r="I1958" s="5"/>
      <c r="J1958" s="5" t="s">
        <v>2755</v>
      </c>
    </row>
    <row r="1959" spans="1:10" ht="25.5" x14ac:dyDescent="0.2">
      <c r="A1959" s="5" t="s">
        <v>2754</v>
      </c>
      <c r="B1959" s="5" t="s">
        <v>83</v>
      </c>
      <c r="C1959" s="5"/>
      <c r="D1959" s="5" t="s">
        <v>2753</v>
      </c>
      <c r="E1959" s="5" t="s">
        <v>150</v>
      </c>
      <c r="F1959" s="5" t="s">
        <v>424</v>
      </c>
      <c r="G1959" s="5" t="s">
        <v>148</v>
      </c>
      <c r="H1959" s="5" t="s">
        <v>137</v>
      </c>
      <c r="I1959" s="5" t="s">
        <v>2749</v>
      </c>
      <c r="J1959" s="5" t="s">
        <v>2752</v>
      </c>
    </row>
    <row r="1960" spans="1:10" ht="25.5" x14ac:dyDescent="0.2">
      <c r="A1960" s="5" t="s">
        <v>2751</v>
      </c>
      <c r="B1960" s="5" t="s">
        <v>83</v>
      </c>
      <c r="C1960" s="5"/>
      <c r="D1960" s="5" t="s">
        <v>2750</v>
      </c>
      <c r="E1960" s="5"/>
      <c r="F1960" s="5" t="s">
        <v>424</v>
      </c>
      <c r="G1960" s="5" t="s">
        <v>170</v>
      </c>
      <c r="H1960" s="5" t="s">
        <v>137</v>
      </c>
      <c r="I1960" s="5" t="s">
        <v>2749</v>
      </c>
      <c r="J1960" s="5" t="s">
        <v>2748</v>
      </c>
    </row>
    <row r="1961" spans="1:10" ht="25.5" x14ac:dyDescent="0.2">
      <c r="A1961" s="5" t="s">
        <v>2747</v>
      </c>
      <c r="B1961" s="5" t="s">
        <v>83</v>
      </c>
      <c r="C1961" s="5"/>
      <c r="D1961" s="5" t="s">
        <v>2746</v>
      </c>
      <c r="E1961" s="5"/>
      <c r="F1961" s="5" t="s">
        <v>2732</v>
      </c>
      <c r="G1961" s="5" t="s">
        <v>382</v>
      </c>
      <c r="H1961" s="5" t="s">
        <v>3</v>
      </c>
      <c r="I1961" s="5"/>
      <c r="J1961" s="5" t="s">
        <v>2745</v>
      </c>
    </row>
    <row r="1962" spans="1:10" ht="25.5" x14ac:dyDescent="0.2">
      <c r="A1962" s="5" t="s">
        <v>2744</v>
      </c>
      <c r="B1962" s="5" t="s">
        <v>83</v>
      </c>
      <c r="C1962" s="5"/>
      <c r="D1962" s="5" t="s">
        <v>2743</v>
      </c>
      <c r="E1962" s="5"/>
      <c r="F1962" s="5" t="s">
        <v>2732</v>
      </c>
      <c r="G1962" s="5" t="s">
        <v>382</v>
      </c>
      <c r="H1962" s="5" t="s">
        <v>137</v>
      </c>
      <c r="I1962" s="5" t="s">
        <v>2739</v>
      </c>
      <c r="J1962" s="5" t="s">
        <v>2742</v>
      </c>
    </row>
    <row r="1963" spans="1:10" ht="25.5" x14ac:dyDescent="0.2">
      <c r="A1963" s="5" t="s">
        <v>2741</v>
      </c>
      <c r="B1963" s="5" t="s">
        <v>83</v>
      </c>
      <c r="C1963" s="5"/>
      <c r="D1963" s="5" t="s">
        <v>2740</v>
      </c>
      <c r="E1963" s="5" t="s">
        <v>150</v>
      </c>
      <c r="F1963" s="5" t="s">
        <v>2732</v>
      </c>
      <c r="G1963" s="5" t="s">
        <v>148</v>
      </c>
      <c r="H1963" s="5" t="s">
        <v>137</v>
      </c>
      <c r="I1963" s="5" t="s">
        <v>2739</v>
      </c>
      <c r="J1963" s="5" t="s">
        <v>2738</v>
      </c>
    </row>
    <row r="1964" spans="1:10" x14ac:dyDescent="0.2">
      <c r="A1964" s="5" t="s">
        <v>2737</v>
      </c>
      <c r="B1964" s="5" t="s">
        <v>83</v>
      </c>
      <c r="C1964" s="5"/>
      <c r="D1964" s="5" t="s">
        <v>2736</v>
      </c>
      <c r="E1964" s="5" t="s">
        <v>150</v>
      </c>
      <c r="F1964" s="5" t="s">
        <v>2732</v>
      </c>
      <c r="G1964" s="5" t="s">
        <v>148</v>
      </c>
      <c r="H1964" s="5" t="s">
        <v>3</v>
      </c>
      <c r="I1964" s="5"/>
      <c r="J1964" s="5" t="s">
        <v>2735</v>
      </c>
    </row>
    <row r="1965" spans="1:10" x14ac:dyDescent="0.2">
      <c r="A1965" s="5" t="s">
        <v>2734</v>
      </c>
      <c r="B1965" s="5" t="s">
        <v>83</v>
      </c>
      <c r="C1965" s="5"/>
      <c r="D1965" s="5" t="s">
        <v>2733</v>
      </c>
      <c r="E1965" s="5" t="s">
        <v>150</v>
      </c>
      <c r="F1965" s="5" t="s">
        <v>2732</v>
      </c>
      <c r="G1965" s="5" t="s">
        <v>148</v>
      </c>
      <c r="H1965" s="5" t="s">
        <v>3</v>
      </c>
      <c r="I1965" s="5"/>
      <c r="J1965" s="5" t="s">
        <v>2731</v>
      </c>
    </row>
    <row r="1966" spans="1:10" ht="25.5" x14ac:dyDescent="0.2">
      <c r="A1966" s="5" t="s">
        <v>2730</v>
      </c>
      <c r="B1966" s="5" t="s">
        <v>83</v>
      </c>
      <c r="C1966" s="5"/>
      <c r="D1966" s="5" t="s">
        <v>2729</v>
      </c>
      <c r="E1966" s="5" t="s">
        <v>150</v>
      </c>
      <c r="F1966" s="5" t="s">
        <v>424</v>
      </c>
      <c r="G1966" s="5" t="s">
        <v>148</v>
      </c>
      <c r="H1966" s="5" t="s">
        <v>137</v>
      </c>
      <c r="I1966" s="5" t="s">
        <v>2725</v>
      </c>
      <c r="J1966" s="5" t="s">
        <v>2728</v>
      </c>
    </row>
    <row r="1967" spans="1:10" ht="25.5" x14ac:dyDescent="0.2">
      <c r="A1967" s="5" t="s">
        <v>2727</v>
      </c>
      <c r="B1967" s="5" t="s">
        <v>83</v>
      </c>
      <c r="C1967" s="5"/>
      <c r="D1967" s="5" t="s">
        <v>2726</v>
      </c>
      <c r="E1967" s="5"/>
      <c r="F1967" s="5" t="s">
        <v>424</v>
      </c>
      <c r="G1967" s="5" t="s">
        <v>170</v>
      </c>
      <c r="H1967" s="5" t="s">
        <v>137</v>
      </c>
      <c r="I1967" s="5" t="s">
        <v>2725</v>
      </c>
      <c r="J1967" s="5" t="s">
        <v>2724</v>
      </c>
    </row>
    <row r="1968" spans="1:10" ht="25.5" x14ac:dyDescent="0.2">
      <c r="A1968" s="5" t="s">
        <v>2723</v>
      </c>
      <c r="B1968" s="5" t="s">
        <v>83</v>
      </c>
      <c r="C1968" s="5"/>
      <c r="D1968" s="5" t="s">
        <v>2722</v>
      </c>
      <c r="E1968" s="5"/>
      <c r="F1968" s="5" t="s">
        <v>2708</v>
      </c>
      <c r="G1968" s="5" t="s">
        <v>382</v>
      </c>
      <c r="H1968" s="5" t="s">
        <v>3</v>
      </c>
      <c r="I1968" s="5"/>
      <c r="J1968" s="5" t="s">
        <v>2721</v>
      </c>
    </row>
    <row r="1969" spans="1:10" ht="25.5" x14ac:dyDescent="0.2">
      <c r="A1969" s="5" t="s">
        <v>2720</v>
      </c>
      <c r="B1969" s="5" t="s">
        <v>83</v>
      </c>
      <c r="C1969" s="5"/>
      <c r="D1969" s="5" t="s">
        <v>2719</v>
      </c>
      <c r="E1969" s="5"/>
      <c r="F1969" s="5" t="s">
        <v>2708</v>
      </c>
      <c r="G1969" s="5" t="s">
        <v>382</v>
      </c>
      <c r="H1969" s="5" t="s">
        <v>137</v>
      </c>
      <c r="I1969" s="5" t="s">
        <v>2715</v>
      </c>
      <c r="J1969" s="5" t="s">
        <v>2718</v>
      </c>
    </row>
    <row r="1970" spans="1:10" ht="25.5" x14ac:dyDescent="0.2">
      <c r="A1970" s="5" t="s">
        <v>2717</v>
      </c>
      <c r="B1970" s="5" t="s">
        <v>83</v>
      </c>
      <c r="C1970" s="5"/>
      <c r="D1970" s="5" t="s">
        <v>2716</v>
      </c>
      <c r="E1970" s="5" t="s">
        <v>150</v>
      </c>
      <c r="F1970" s="5" t="s">
        <v>2708</v>
      </c>
      <c r="G1970" s="5" t="s">
        <v>148</v>
      </c>
      <c r="H1970" s="5" t="s">
        <v>137</v>
      </c>
      <c r="I1970" s="5" t="s">
        <v>2715</v>
      </c>
      <c r="J1970" s="5" t="s">
        <v>2714</v>
      </c>
    </row>
    <row r="1971" spans="1:10" x14ac:dyDescent="0.2">
      <c r="A1971" s="5" t="s">
        <v>2713</v>
      </c>
      <c r="B1971" s="5" t="s">
        <v>83</v>
      </c>
      <c r="C1971" s="5"/>
      <c r="D1971" s="5" t="s">
        <v>2712</v>
      </c>
      <c r="E1971" s="5" t="s">
        <v>150</v>
      </c>
      <c r="F1971" s="5" t="s">
        <v>2708</v>
      </c>
      <c r="G1971" s="5" t="s">
        <v>148</v>
      </c>
      <c r="H1971" s="5" t="s">
        <v>3</v>
      </c>
      <c r="I1971" s="5"/>
      <c r="J1971" s="5" t="s">
        <v>2711</v>
      </c>
    </row>
    <row r="1972" spans="1:10" x14ac:dyDescent="0.2">
      <c r="A1972" s="5" t="s">
        <v>2710</v>
      </c>
      <c r="B1972" s="5" t="s">
        <v>83</v>
      </c>
      <c r="C1972" s="5"/>
      <c r="D1972" s="5" t="s">
        <v>2709</v>
      </c>
      <c r="E1972" s="5" t="s">
        <v>150</v>
      </c>
      <c r="F1972" s="5" t="s">
        <v>2708</v>
      </c>
      <c r="G1972" s="5" t="s">
        <v>148</v>
      </c>
      <c r="H1972" s="5" t="s">
        <v>3</v>
      </c>
      <c r="I1972" s="5"/>
      <c r="J1972" s="5" t="s">
        <v>2707</v>
      </c>
    </row>
    <row r="1973" spans="1:10" ht="25.5" x14ac:dyDescent="0.2">
      <c r="A1973" s="5" t="s">
        <v>2706</v>
      </c>
      <c r="B1973" s="5" t="s">
        <v>83</v>
      </c>
      <c r="C1973" s="5"/>
      <c r="D1973" s="5" t="s">
        <v>2705</v>
      </c>
      <c r="E1973" s="5" t="s">
        <v>150</v>
      </c>
      <c r="F1973" s="5" t="s">
        <v>424</v>
      </c>
      <c r="G1973" s="5" t="s">
        <v>148</v>
      </c>
      <c r="H1973" s="5" t="s">
        <v>137</v>
      </c>
      <c r="I1973" s="5" t="s">
        <v>2701</v>
      </c>
      <c r="J1973" s="5" t="s">
        <v>2704</v>
      </c>
    </row>
    <row r="1974" spans="1:10" ht="25.5" x14ac:dyDescent="0.2">
      <c r="A1974" s="5" t="s">
        <v>2703</v>
      </c>
      <c r="B1974" s="5" t="s">
        <v>83</v>
      </c>
      <c r="C1974" s="5"/>
      <c r="D1974" s="5" t="s">
        <v>2702</v>
      </c>
      <c r="E1974" s="5"/>
      <c r="F1974" s="5" t="s">
        <v>424</v>
      </c>
      <c r="G1974" s="5" t="s">
        <v>170</v>
      </c>
      <c r="H1974" s="5" t="s">
        <v>137</v>
      </c>
      <c r="I1974" s="5" t="s">
        <v>2701</v>
      </c>
      <c r="J1974" s="5" t="s">
        <v>2700</v>
      </c>
    </row>
    <row r="1975" spans="1:10" ht="25.5" x14ac:dyDescent="0.2">
      <c r="A1975" s="5" t="s">
        <v>2699</v>
      </c>
      <c r="B1975" s="5" t="s">
        <v>83</v>
      </c>
      <c r="C1975" s="5"/>
      <c r="D1975" s="5" t="s">
        <v>2698</v>
      </c>
      <c r="E1975" s="5"/>
      <c r="F1975" s="5" t="s">
        <v>2684</v>
      </c>
      <c r="G1975" s="5" t="s">
        <v>382</v>
      </c>
      <c r="H1975" s="5" t="s">
        <v>3</v>
      </c>
      <c r="I1975" s="5"/>
      <c r="J1975" s="5" t="s">
        <v>2697</v>
      </c>
    </row>
    <row r="1976" spans="1:10" ht="25.5" x14ac:dyDescent="0.2">
      <c r="A1976" s="5" t="s">
        <v>2696</v>
      </c>
      <c r="B1976" s="5" t="s">
        <v>83</v>
      </c>
      <c r="C1976" s="5"/>
      <c r="D1976" s="5" t="s">
        <v>2695</v>
      </c>
      <c r="E1976" s="5"/>
      <c r="F1976" s="5" t="s">
        <v>2684</v>
      </c>
      <c r="G1976" s="5" t="s">
        <v>382</v>
      </c>
      <c r="H1976" s="5" t="s">
        <v>137</v>
      </c>
      <c r="I1976" s="5" t="s">
        <v>2691</v>
      </c>
      <c r="J1976" s="5" t="s">
        <v>2694</v>
      </c>
    </row>
    <row r="1977" spans="1:10" ht="25.5" x14ac:dyDescent="0.2">
      <c r="A1977" s="5" t="s">
        <v>2693</v>
      </c>
      <c r="B1977" s="5" t="s">
        <v>83</v>
      </c>
      <c r="C1977" s="5"/>
      <c r="D1977" s="5" t="s">
        <v>2692</v>
      </c>
      <c r="E1977" s="5" t="s">
        <v>150</v>
      </c>
      <c r="F1977" s="5" t="s">
        <v>2684</v>
      </c>
      <c r="G1977" s="5" t="s">
        <v>148</v>
      </c>
      <c r="H1977" s="5" t="s">
        <v>137</v>
      </c>
      <c r="I1977" s="5" t="s">
        <v>2691</v>
      </c>
      <c r="J1977" s="5" t="s">
        <v>2690</v>
      </c>
    </row>
    <row r="1978" spans="1:10" x14ac:dyDescent="0.2">
      <c r="A1978" s="5" t="s">
        <v>2689</v>
      </c>
      <c r="B1978" s="5" t="s">
        <v>83</v>
      </c>
      <c r="C1978" s="5"/>
      <c r="D1978" s="5" t="s">
        <v>2688</v>
      </c>
      <c r="E1978" s="5" t="s">
        <v>150</v>
      </c>
      <c r="F1978" s="5" t="s">
        <v>2684</v>
      </c>
      <c r="G1978" s="5" t="s">
        <v>148</v>
      </c>
      <c r="H1978" s="5" t="s">
        <v>3</v>
      </c>
      <c r="I1978" s="5"/>
      <c r="J1978" s="5" t="s">
        <v>2687</v>
      </c>
    </row>
    <row r="1979" spans="1:10" x14ac:dyDescent="0.2">
      <c r="A1979" s="5" t="s">
        <v>2686</v>
      </c>
      <c r="B1979" s="5" t="s">
        <v>83</v>
      </c>
      <c r="C1979" s="5"/>
      <c r="D1979" s="5" t="s">
        <v>2685</v>
      </c>
      <c r="E1979" s="5" t="s">
        <v>150</v>
      </c>
      <c r="F1979" s="5" t="s">
        <v>2684</v>
      </c>
      <c r="G1979" s="5" t="s">
        <v>148</v>
      </c>
      <c r="H1979" s="5" t="s">
        <v>3</v>
      </c>
      <c r="I1979" s="5"/>
      <c r="J1979" s="5" t="s">
        <v>2683</v>
      </c>
    </row>
    <row r="1980" spans="1:10" ht="25.5" x14ac:dyDescent="0.2">
      <c r="A1980" s="5" t="s">
        <v>2682</v>
      </c>
      <c r="B1980" s="5" t="s">
        <v>83</v>
      </c>
      <c r="C1980" s="5"/>
      <c r="D1980" s="5" t="s">
        <v>2681</v>
      </c>
      <c r="E1980" s="5" t="s">
        <v>150</v>
      </c>
      <c r="F1980" s="5" t="s">
        <v>424</v>
      </c>
      <c r="G1980" s="5" t="s">
        <v>148</v>
      </c>
      <c r="H1980" s="5" t="s">
        <v>137</v>
      </c>
      <c r="I1980" s="5" t="s">
        <v>2677</v>
      </c>
      <c r="J1980" s="5" t="s">
        <v>2680</v>
      </c>
    </row>
    <row r="1981" spans="1:10" ht="25.5" x14ac:dyDescent="0.2">
      <c r="A1981" s="5" t="s">
        <v>2679</v>
      </c>
      <c r="B1981" s="5" t="s">
        <v>83</v>
      </c>
      <c r="C1981" s="5"/>
      <c r="D1981" s="5" t="s">
        <v>2678</v>
      </c>
      <c r="E1981" s="5"/>
      <c r="F1981" s="5" t="s">
        <v>424</v>
      </c>
      <c r="G1981" s="5" t="s">
        <v>170</v>
      </c>
      <c r="H1981" s="5" t="s">
        <v>137</v>
      </c>
      <c r="I1981" s="5" t="s">
        <v>2677</v>
      </c>
      <c r="J1981" s="5" t="s">
        <v>2676</v>
      </c>
    </row>
    <row r="1982" spans="1:10" ht="25.5" x14ac:dyDescent="0.2">
      <c r="A1982" s="5" t="s">
        <v>2675</v>
      </c>
      <c r="B1982" s="5" t="s">
        <v>83</v>
      </c>
      <c r="C1982" s="5"/>
      <c r="D1982" s="5" t="s">
        <v>2674</v>
      </c>
      <c r="E1982" s="5"/>
      <c r="F1982" s="5" t="s">
        <v>2673</v>
      </c>
      <c r="G1982" s="5" t="s">
        <v>2672</v>
      </c>
      <c r="H1982" s="5" t="s">
        <v>137</v>
      </c>
      <c r="I1982" s="5"/>
      <c r="J1982" s="5" t="s">
        <v>2671</v>
      </c>
    </row>
    <row r="1983" spans="1:10" ht="25.5" x14ac:dyDescent="0.2">
      <c r="A1983" s="5" t="s">
        <v>2670</v>
      </c>
      <c r="B1983" s="5" t="s">
        <v>83</v>
      </c>
      <c r="C1983" s="5"/>
      <c r="D1983" s="5" t="s">
        <v>2669</v>
      </c>
      <c r="E1983" s="5"/>
      <c r="F1983" s="5" t="s">
        <v>2655</v>
      </c>
      <c r="G1983" s="5" t="s">
        <v>382</v>
      </c>
      <c r="H1983" s="5" t="s">
        <v>3</v>
      </c>
      <c r="I1983" s="5"/>
      <c r="J1983" s="5" t="s">
        <v>2668</v>
      </c>
    </row>
    <row r="1984" spans="1:10" x14ac:dyDescent="0.2">
      <c r="A1984" s="5" t="s">
        <v>2667</v>
      </c>
      <c r="B1984" s="5" t="s">
        <v>83</v>
      </c>
      <c r="C1984" s="5"/>
      <c r="D1984" s="5" t="s">
        <v>2666</v>
      </c>
      <c r="E1984" s="5"/>
      <c r="F1984" s="5" t="s">
        <v>2655</v>
      </c>
      <c r="G1984" s="5" t="s">
        <v>382</v>
      </c>
      <c r="H1984" s="5" t="s">
        <v>137</v>
      </c>
      <c r="I1984" s="5" t="s">
        <v>2662</v>
      </c>
      <c r="J1984" s="5" t="s">
        <v>2665</v>
      </c>
    </row>
    <row r="1985" spans="1:10" x14ac:dyDescent="0.2">
      <c r="A1985" s="5" t="s">
        <v>2664</v>
      </c>
      <c r="B1985" s="5" t="s">
        <v>83</v>
      </c>
      <c r="C1985" s="5"/>
      <c r="D1985" s="5" t="s">
        <v>2663</v>
      </c>
      <c r="E1985" s="5" t="s">
        <v>150</v>
      </c>
      <c r="F1985" s="5" t="s">
        <v>2655</v>
      </c>
      <c r="G1985" s="5" t="s">
        <v>148</v>
      </c>
      <c r="H1985" s="5" t="s">
        <v>137</v>
      </c>
      <c r="I1985" s="5" t="s">
        <v>2662</v>
      </c>
      <c r="J1985" s="5" t="s">
        <v>2661</v>
      </c>
    </row>
    <row r="1986" spans="1:10" x14ac:dyDescent="0.2">
      <c r="A1986" s="5" t="s">
        <v>2660</v>
      </c>
      <c r="B1986" s="5" t="s">
        <v>83</v>
      </c>
      <c r="C1986" s="5"/>
      <c r="D1986" s="5" t="s">
        <v>2659</v>
      </c>
      <c r="E1986" s="5" t="s">
        <v>150</v>
      </c>
      <c r="F1986" s="5" t="s">
        <v>2655</v>
      </c>
      <c r="G1986" s="5" t="s">
        <v>148</v>
      </c>
      <c r="H1986" s="5" t="s">
        <v>3</v>
      </c>
      <c r="I1986" s="5"/>
      <c r="J1986" s="5" t="s">
        <v>2658</v>
      </c>
    </row>
    <row r="1987" spans="1:10" x14ac:dyDescent="0.2">
      <c r="A1987" s="5" t="s">
        <v>2657</v>
      </c>
      <c r="B1987" s="5" t="s">
        <v>83</v>
      </c>
      <c r="C1987" s="5"/>
      <c r="D1987" s="5" t="s">
        <v>2656</v>
      </c>
      <c r="E1987" s="5" t="s">
        <v>150</v>
      </c>
      <c r="F1987" s="5" t="s">
        <v>2655</v>
      </c>
      <c r="G1987" s="5" t="s">
        <v>148</v>
      </c>
      <c r="H1987" s="5" t="s">
        <v>3</v>
      </c>
      <c r="I1987" s="5"/>
      <c r="J1987" s="5" t="s">
        <v>2654</v>
      </c>
    </row>
    <row r="1988" spans="1:10" ht="25.5" x14ac:dyDescent="0.2">
      <c r="A1988" s="5" t="s">
        <v>2653</v>
      </c>
      <c r="B1988" s="5" t="s">
        <v>83</v>
      </c>
      <c r="C1988" s="5"/>
      <c r="D1988" s="5" t="s">
        <v>2652</v>
      </c>
      <c r="E1988" s="5" t="s">
        <v>150</v>
      </c>
      <c r="F1988" s="5" t="s">
        <v>424</v>
      </c>
      <c r="G1988" s="5" t="s">
        <v>148</v>
      </c>
      <c r="H1988" s="5" t="s">
        <v>137</v>
      </c>
      <c r="I1988" s="5" t="s">
        <v>2648</v>
      </c>
      <c r="J1988" s="5" t="s">
        <v>2651</v>
      </c>
    </row>
    <row r="1989" spans="1:10" ht="25.5" x14ac:dyDescent="0.2">
      <c r="A1989" s="5" t="s">
        <v>2650</v>
      </c>
      <c r="B1989" s="5" t="s">
        <v>83</v>
      </c>
      <c r="C1989" s="5"/>
      <c r="D1989" s="5" t="s">
        <v>2649</v>
      </c>
      <c r="E1989" s="5"/>
      <c r="F1989" s="5" t="s">
        <v>424</v>
      </c>
      <c r="G1989" s="5" t="s">
        <v>170</v>
      </c>
      <c r="H1989" s="5" t="s">
        <v>137</v>
      </c>
      <c r="I1989" s="5" t="s">
        <v>2648</v>
      </c>
      <c r="J1989" s="5" t="s">
        <v>2647</v>
      </c>
    </row>
    <row r="1990" spans="1:10" ht="25.5" x14ac:dyDescent="0.2">
      <c r="A1990" s="5" t="s">
        <v>2646</v>
      </c>
      <c r="B1990" s="5" t="s">
        <v>83</v>
      </c>
      <c r="C1990" s="5"/>
      <c r="D1990" s="5" t="s">
        <v>2645</v>
      </c>
      <c r="E1990" s="5"/>
      <c r="F1990" s="5" t="s">
        <v>2631</v>
      </c>
      <c r="G1990" s="5" t="s">
        <v>382</v>
      </c>
      <c r="H1990" s="5" t="s">
        <v>3</v>
      </c>
      <c r="I1990" s="5"/>
      <c r="J1990" s="5" t="s">
        <v>2644</v>
      </c>
    </row>
    <row r="1991" spans="1:10" ht="25.5" x14ac:dyDescent="0.2">
      <c r="A1991" s="5" t="s">
        <v>2643</v>
      </c>
      <c r="B1991" s="5" t="s">
        <v>83</v>
      </c>
      <c r="C1991" s="5"/>
      <c r="D1991" s="5" t="s">
        <v>2642</v>
      </c>
      <c r="E1991" s="5"/>
      <c r="F1991" s="5" t="s">
        <v>2631</v>
      </c>
      <c r="G1991" s="5" t="s">
        <v>382</v>
      </c>
      <c r="H1991" s="5" t="s">
        <v>137</v>
      </c>
      <c r="I1991" s="5" t="s">
        <v>2638</v>
      </c>
      <c r="J1991" s="5" t="s">
        <v>2641</v>
      </c>
    </row>
    <row r="1992" spans="1:10" ht="25.5" x14ac:dyDescent="0.2">
      <c r="A1992" s="5" t="s">
        <v>2640</v>
      </c>
      <c r="B1992" s="5" t="s">
        <v>83</v>
      </c>
      <c r="C1992" s="5"/>
      <c r="D1992" s="5" t="s">
        <v>2639</v>
      </c>
      <c r="E1992" s="5" t="s">
        <v>150</v>
      </c>
      <c r="F1992" s="5" t="s">
        <v>2631</v>
      </c>
      <c r="G1992" s="5" t="s">
        <v>148</v>
      </c>
      <c r="H1992" s="5" t="s">
        <v>137</v>
      </c>
      <c r="I1992" s="5" t="s">
        <v>2638</v>
      </c>
      <c r="J1992" s="5" t="s">
        <v>2637</v>
      </c>
    </row>
    <row r="1993" spans="1:10" x14ac:dyDescent="0.2">
      <c r="A1993" s="5" t="s">
        <v>2636</v>
      </c>
      <c r="B1993" s="5" t="s">
        <v>83</v>
      </c>
      <c r="C1993" s="5"/>
      <c r="D1993" s="5" t="s">
        <v>2635</v>
      </c>
      <c r="E1993" s="5" t="s">
        <v>150</v>
      </c>
      <c r="F1993" s="5" t="s">
        <v>2631</v>
      </c>
      <c r="G1993" s="5" t="s">
        <v>148</v>
      </c>
      <c r="H1993" s="5" t="s">
        <v>3</v>
      </c>
      <c r="I1993" s="5"/>
      <c r="J1993" s="5" t="s">
        <v>2634</v>
      </c>
    </row>
    <row r="1994" spans="1:10" x14ac:dyDescent="0.2">
      <c r="A1994" s="5" t="s">
        <v>2633</v>
      </c>
      <c r="B1994" s="5" t="s">
        <v>83</v>
      </c>
      <c r="C1994" s="5"/>
      <c r="D1994" s="5" t="s">
        <v>2632</v>
      </c>
      <c r="E1994" s="5" t="s">
        <v>150</v>
      </c>
      <c r="F1994" s="5" t="s">
        <v>2631</v>
      </c>
      <c r="G1994" s="5" t="s">
        <v>148</v>
      </c>
      <c r="H1994" s="5" t="s">
        <v>3</v>
      </c>
      <c r="I1994" s="5"/>
      <c r="J1994" s="5" t="s">
        <v>2630</v>
      </c>
    </row>
    <row r="1995" spans="1:10" ht="25.5" x14ac:dyDescent="0.2">
      <c r="A1995" s="5" t="s">
        <v>2629</v>
      </c>
      <c r="B1995" s="5" t="s">
        <v>83</v>
      </c>
      <c r="C1995" s="5"/>
      <c r="D1995" s="5" t="s">
        <v>2628</v>
      </c>
      <c r="E1995" s="5" t="s">
        <v>150</v>
      </c>
      <c r="F1995" s="5" t="s">
        <v>424</v>
      </c>
      <c r="G1995" s="5" t="s">
        <v>148</v>
      </c>
      <c r="H1995" s="5" t="s">
        <v>137</v>
      </c>
      <c r="I1995" s="5" t="s">
        <v>2624</v>
      </c>
      <c r="J1995" s="5" t="s">
        <v>2627</v>
      </c>
    </row>
    <row r="1996" spans="1:10" ht="25.5" x14ac:dyDescent="0.2">
      <c r="A1996" s="5" t="s">
        <v>2626</v>
      </c>
      <c r="B1996" s="5" t="s">
        <v>83</v>
      </c>
      <c r="C1996" s="5"/>
      <c r="D1996" s="5" t="s">
        <v>2625</v>
      </c>
      <c r="E1996" s="5"/>
      <c r="F1996" s="5" t="s">
        <v>424</v>
      </c>
      <c r="G1996" s="5" t="s">
        <v>170</v>
      </c>
      <c r="H1996" s="5" t="s">
        <v>137</v>
      </c>
      <c r="I1996" s="5" t="s">
        <v>2624</v>
      </c>
      <c r="J1996" s="5" t="s">
        <v>2623</v>
      </c>
    </row>
    <row r="1997" spans="1:10" ht="25.5" x14ac:dyDescent="0.2">
      <c r="A1997" s="5" t="s">
        <v>2622</v>
      </c>
      <c r="B1997" s="5" t="s">
        <v>83</v>
      </c>
      <c r="C1997" s="5"/>
      <c r="D1997" s="5" t="s">
        <v>2621</v>
      </c>
      <c r="E1997" s="5"/>
      <c r="F1997" s="5" t="s">
        <v>2607</v>
      </c>
      <c r="G1997" s="5" t="s">
        <v>382</v>
      </c>
      <c r="H1997" s="5" t="s">
        <v>3</v>
      </c>
      <c r="I1997" s="5"/>
      <c r="J1997" s="5" t="s">
        <v>2620</v>
      </c>
    </row>
    <row r="1998" spans="1:10" ht="25.5" x14ac:dyDescent="0.2">
      <c r="A1998" s="5" t="s">
        <v>2619</v>
      </c>
      <c r="B1998" s="5" t="s">
        <v>83</v>
      </c>
      <c r="C1998" s="5"/>
      <c r="D1998" s="5" t="s">
        <v>2618</v>
      </c>
      <c r="E1998" s="5"/>
      <c r="F1998" s="5" t="s">
        <v>2607</v>
      </c>
      <c r="G1998" s="5" t="s">
        <v>382</v>
      </c>
      <c r="H1998" s="5" t="s">
        <v>137</v>
      </c>
      <c r="I1998" s="5" t="s">
        <v>2614</v>
      </c>
      <c r="J1998" s="5" t="s">
        <v>2617</v>
      </c>
    </row>
    <row r="1999" spans="1:10" ht="25.5" x14ac:dyDescent="0.2">
      <c r="A1999" s="5" t="s">
        <v>2616</v>
      </c>
      <c r="B1999" s="5" t="s">
        <v>83</v>
      </c>
      <c r="C1999" s="5"/>
      <c r="D1999" s="5" t="s">
        <v>2615</v>
      </c>
      <c r="E1999" s="5" t="s">
        <v>150</v>
      </c>
      <c r="F1999" s="5" t="s">
        <v>2607</v>
      </c>
      <c r="G1999" s="5" t="s">
        <v>148</v>
      </c>
      <c r="H1999" s="5" t="s">
        <v>137</v>
      </c>
      <c r="I1999" s="5" t="s">
        <v>2614</v>
      </c>
      <c r="J1999" s="5" t="s">
        <v>2613</v>
      </c>
    </row>
    <row r="2000" spans="1:10" x14ac:dyDescent="0.2">
      <c r="A2000" s="5" t="s">
        <v>2612</v>
      </c>
      <c r="B2000" s="5" t="s">
        <v>83</v>
      </c>
      <c r="C2000" s="5"/>
      <c r="D2000" s="5" t="s">
        <v>2611</v>
      </c>
      <c r="E2000" s="5" t="s">
        <v>150</v>
      </c>
      <c r="F2000" s="5" t="s">
        <v>2607</v>
      </c>
      <c r="G2000" s="5" t="s">
        <v>148</v>
      </c>
      <c r="H2000" s="5" t="s">
        <v>3</v>
      </c>
      <c r="I2000" s="5"/>
      <c r="J2000" s="5" t="s">
        <v>2610</v>
      </c>
    </row>
    <row r="2001" spans="1:10" x14ac:dyDescent="0.2">
      <c r="A2001" s="5" t="s">
        <v>2609</v>
      </c>
      <c r="B2001" s="5" t="s">
        <v>83</v>
      </c>
      <c r="C2001" s="5"/>
      <c r="D2001" s="5" t="s">
        <v>2608</v>
      </c>
      <c r="E2001" s="5" t="s">
        <v>150</v>
      </c>
      <c r="F2001" s="5" t="s">
        <v>2607</v>
      </c>
      <c r="G2001" s="5" t="s">
        <v>148</v>
      </c>
      <c r="H2001" s="5" t="s">
        <v>3</v>
      </c>
      <c r="I2001" s="5"/>
      <c r="J2001" s="5" t="s">
        <v>2606</v>
      </c>
    </row>
    <row r="2002" spans="1:10" ht="25.5" x14ac:dyDescent="0.2">
      <c r="A2002" s="5" t="s">
        <v>2605</v>
      </c>
      <c r="B2002" s="5" t="s">
        <v>83</v>
      </c>
      <c r="C2002" s="5"/>
      <c r="D2002" s="5" t="s">
        <v>2604</v>
      </c>
      <c r="E2002" s="5" t="s">
        <v>150</v>
      </c>
      <c r="F2002" s="5" t="s">
        <v>424</v>
      </c>
      <c r="G2002" s="5" t="s">
        <v>148</v>
      </c>
      <c r="H2002" s="5" t="s">
        <v>137</v>
      </c>
      <c r="I2002" s="5" t="s">
        <v>2600</v>
      </c>
      <c r="J2002" s="5" t="s">
        <v>2603</v>
      </c>
    </row>
    <row r="2003" spans="1:10" ht="25.5" x14ac:dyDescent="0.2">
      <c r="A2003" s="5" t="s">
        <v>2602</v>
      </c>
      <c r="B2003" s="5" t="s">
        <v>83</v>
      </c>
      <c r="C2003" s="5"/>
      <c r="D2003" s="5" t="s">
        <v>2601</v>
      </c>
      <c r="E2003" s="5"/>
      <c r="F2003" s="5" t="s">
        <v>424</v>
      </c>
      <c r="G2003" s="5" t="s">
        <v>170</v>
      </c>
      <c r="H2003" s="5" t="s">
        <v>137</v>
      </c>
      <c r="I2003" s="5" t="s">
        <v>2600</v>
      </c>
      <c r="J2003" s="5" t="s">
        <v>2599</v>
      </c>
    </row>
    <row r="2004" spans="1:10" ht="25.5" x14ac:dyDescent="0.2">
      <c r="A2004" s="5" t="s">
        <v>2598</v>
      </c>
      <c r="B2004" s="5" t="s">
        <v>83</v>
      </c>
      <c r="C2004" s="5"/>
      <c r="D2004" s="5" t="s">
        <v>2597</v>
      </c>
      <c r="E2004" s="5"/>
      <c r="F2004" s="5" t="s">
        <v>2583</v>
      </c>
      <c r="G2004" s="5" t="s">
        <v>382</v>
      </c>
      <c r="H2004" s="5" t="s">
        <v>3</v>
      </c>
      <c r="I2004" s="5"/>
      <c r="J2004" s="5" t="s">
        <v>2596</v>
      </c>
    </row>
    <row r="2005" spans="1:10" ht="25.5" x14ac:dyDescent="0.2">
      <c r="A2005" s="5" t="s">
        <v>2595</v>
      </c>
      <c r="B2005" s="5" t="s">
        <v>83</v>
      </c>
      <c r="C2005" s="5"/>
      <c r="D2005" s="5" t="s">
        <v>2594</v>
      </c>
      <c r="E2005" s="5"/>
      <c r="F2005" s="5" t="s">
        <v>2583</v>
      </c>
      <c r="G2005" s="5" t="s">
        <v>382</v>
      </c>
      <c r="H2005" s="5" t="s">
        <v>137</v>
      </c>
      <c r="I2005" s="5" t="s">
        <v>2590</v>
      </c>
      <c r="J2005" s="5" t="s">
        <v>2593</v>
      </c>
    </row>
    <row r="2006" spans="1:10" ht="25.5" x14ac:dyDescent="0.2">
      <c r="A2006" s="5" t="s">
        <v>2592</v>
      </c>
      <c r="B2006" s="5" t="s">
        <v>83</v>
      </c>
      <c r="C2006" s="5"/>
      <c r="D2006" s="5" t="s">
        <v>2591</v>
      </c>
      <c r="E2006" s="5" t="s">
        <v>150</v>
      </c>
      <c r="F2006" s="5" t="s">
        <v>2583</v>
      </c>
      <c r="G2006" s="5" t="s">
        <v>148</v>
      </c>
      <c r="H2006" s="5" t="s">
        <v>137</v>
      </c>
      <c r="I2006" s="5" t="s">
        <v>2590</v>
      </c>
      <c r="J2006" s="5" t="s">
        <v>2589</v>
      </c>
    </row>
    <row r="2007" spans="1:10" x14ac:dyDescent="0.2">
      <c r="A2007" s="5" t="s">
        <v>2588</v>
      </c>
      <c r="B2007" s="5" t="s">
        <v>83</v>
      </c>
      <c r="C2007" s="5"/>
      <c r="D2007" s="5" t="s">
        <v>2587</v>
      </c>
      <c r="E2007" s="5" t="s">
        <v>150</v>
      </c>
      <c r="F2007" s="5" t="s">
        <v>2583</v>
      </c>
      <c r="G2007" s="5" t="s">
        <v>148</v>
      </c>
      <c r="H2007" s="5" t="s">
        <v>3</v>
      </c>
      <c r="I2007" s="5"/>
      <c r="J2007" s="5" t="s">
        <v>2586</v>
      </c>
    </row>
    <row r="2008" spans="1:10" x14ac:dyDescent="0.2">
      <c r="A2008" s="5" t="s">
        <v>2585</v>
      </c>
      <c r="B2008" s="5" t="s">
        <v>83</v>
      </c>
      <c r="C2008" s="5"/>
      <c r="D2008" s="5" t="s">
        <v>2584</v>
      </c>
      <c r="E2008" s="5" t="s">
        <v>150</v>
      </c>
      <c r="F2008" s="5" t="s">
        <v>2583</v>
      </c>
      <c r="G2008" s="5" t="s">
        <v>148</v>
      </c>
      <c r="H2008" s="5" t="s">
        <v>3</v>
      </c>
      <c r="I2008" s="5"/>
      <c r="J2008" s="5" t="s">
        <v>2582</v>
      </c>
    </row>
    <row r="2009" spans="1:10" ht="25.5" x14ac:dyDescent="0.2">
      <c r="A2009" s="5" t="s">
        <v>2581</v>
      </c>
      <c r="B2009" s="5" t="s">
        <v>83</v>
      </c>
      <c r="C2009" s="5"/>
      <c r="D2009" s="5" t="s">
        <v>2580</v>
      </c>
      <c r="E2009" s="5" t="s">
        <v>150</v>
      </c>
      <c r="F2009" s="5" t="s">
        <v>424</v>
      </c>
      <c r="G2009" s="5" t="s">
        <v>148</v>
      </c>
      <c r="H2009" s="5" t="s">
        <v>137</v>
      </c>
      <c r="I2009" s="5" t="s">
        <v>2576</v>
      </c>
      <c r="J2009" s="5" t="s">
        <v>2579</v>
      </c>
    </row>
    <row r="2010" spans="1:10" ht="25.5" x14ac:dyDescent="0.2">
      <c r="A2010" s="5" t="s">
        <v>2578</v>
      </c>
      <c r="B2010" s="5" t="s">
        <v>83</v>
      </c>
      <c r="C2010" s="5"/>
      <c r="D2010" s="5" t="s">
        <v>2577</v>
      </c>
      <c r="E2010" s="5"/>
      <c r="F2010" s="5" t="s">
        <v>424</v>
      </c>
      <c r="G2010" s="5" t="s">
        <v>170</v>
      </c>
      <c r="H2010" s="5" t="s">
        <v>137</v>
      </c>
      <c r="I2010" s="5" t="s">
        <v>2576</v>
      </c>
      <c r="J2010" s="5" t="s">
        <v>2575</v>
      </c>
    </row>
    <row r="2011" spans="1:10" ht="25.5" x14ac:dyDescent="0.2">
      <c r="A2011" s="5" t="s">
        <v>2574</v>
      </c>
      <c r="B2011" s="5" t="s">
        <v>83</v>
      </c>
      <c r="C2011" s="5"/>
      <c r="D2011" s="5" t="s">
        <v>2573</v>
      </c>
      <c r="E2011" s="5"/>
      <c r="F2011" s="5" t="s">
        <v>2559</v>
      </c>
      <c r="G2011" s="5" t="s">
        <v>382</v>
      </c>
      <c r="H2011" s="5" t="s">
        <v>3</v>
      </c>
      <c r="I2011" s="5"/>
      <c r="J2011" s="5" t="s">
        <v>2572</v>
      </c>
    </row>
    <row r="2012" spans="1:10" ht="25.5" x14ac:dyDescent="0.2">
      <c r="A2012" s="5" t="s">
        <v>2571</v>
      </c>
      <c r="B2012" s="5" t="s">
        <v>83</v>
      </c>
      <c r="C2012" s="5"/>
      <c r="D2012" s="5" t="s">
        <v>2570</v>
      </c>
      <c r="E2012" s="5"/>
      <c r="F2012" s="5" t="s">
        <v>2559</v>
      </c>
      <c r="G2012" s="5" t="s">
        <v>382</v>
      </c>
      <c r="H2012" s="5" t="s">
        <v>137</v>
      </c>
      <c r="I2012" s="5" t="s">
        <v>2566</v>
      </c>
      <c r="J2012" s="5" t="s">
        <v>2569</v>
      </c>
    </row>
    <row r="2013" spans="1:10" ht="25.5" x14ac:dyDescent="0.2">
      <c r="A2013" s="5" t="s">
        <v>2568</v>
      </c>
      <c r="B2013" s="5" t="s">
        <v>83</v>
      </c>
      <c r="C2013" s="5"/>
      <c r="D2013" s="5" t="s">
        <v>2567</v>
      </c>
      <c r="E2013" s="5" t="s">
        <v>150</v>
      </c>
      <c r="F2013" s="5" t="s">
        <v>2559</v>
      </c>
      <c r="G2013" s="5" t="s">
        <v>148</v>
      </c>
      <c r="H2013" s="5" t="s">
        <v>137</v>
      </c>
      <c r="I2013" s="5" t="s">
        <v>2566</v>
      </c>
      <c r="J2013" s="5" t="s">
        <v>2565</v>
      </c>
    </row>
    <row r="2014" spans="1:10" x14ac:dyDescent="0.2">
      <c r="A2014" s="5" t="s">
        <v>2564</v>
      </c>
      <c r="B2014" s="5" t="s">
        <v>83</v>
      </c>
      <c r="C2014" s="5"/>
      <c r="D2014" s="5" t="s">
        <v>2563</v>
      </c>
      <c r="E2014" s="5" t="s">
        <v>150</v>
      </c>
      <c r="F2014" s="5" t="s">
        <v>2559</v>
      </c>
      <c r="G2014" s="5" t="s">
        <v>148</v>
      </c>
      <c r="H2014" s="5" t="s">
        <v>3</v>
      </c>
      <c r="I2014" s="5"/>
      <c r="J2014" s="5" t="s">
        <v>2562</v>
      </c>
    </row>
    <row r="2015" spans="1:10" x14ac:dyDescent="0.2">
      <c r="A2015" s="5" t="s">
        <v>2561</v>
      </c>
      <c r="B2015" s="5" t="s">
        <v>83</v>
      </c>
      <c r="C2015" s="5"/>
      <c r="D2015" s="5" t="s">
        <v>2560</v>
      </c>
      <c r="E2015" s="5" t="s">
        <v>150</v>
      </c>
      <c r="F2015" s="5" t="s">
        <v>2559</v>
      </c>
      <c r="G2015" s="5" t="s">
        <v>148</v>
      </c>
      <c r="H2015" s="5" t="s">
        <v>3</v>
      </c>
      <c r="I2015" s="5"/>
      <c r="J2015" s="5" t="s">
        <v>2558</v>
      </c>
    </row>
    <row r="2016" spans="1:10" ht="25.5" x14ac:dyDescent="0.2">
      <c r="A2016" s="5" t="s">
        <v>2557</v>
      </c>
      <c r="B2016" s="5" t="s">
        <v>83</v>
      </c>
      <c r="C2016" s="5"/>
      <c r="D2016" s="5" t="s">
        <v>2556</v>
      </c>
      <c r="E2016" s="5" t="s">
        <v>150</v>
      </c>
      <c r="F2016" s="5" t="s">
        <v>424</v>
      </c>
      <c r="G2016" s="5" t="s">
        <v>148</v>
      </c>
      <c r="H2016" s="5" t="s">
        <v>137</v>
      </c>
      <c r="I2016" s="5" t="s">
        <v>2552</v>
      </c>
      <c r="J2016" s="5" t="s">
        <v>2555</v>
      </c>
    </row>
    <row r="2017" spans="1:10" ht="25.5" x14ac:dyDescent="0.2">
      <c r="A2017" s="5" t="s">
        <v>2554</v>
      </c>
      <c r="B2017" s="5" t="s">
        <v>83</v>
      </c>
      <c r="C2017" s="5"/>
      <c r="D2017" s="5" t="s">
        <v>2553</v>
      </c>
      <c r="E2017" s="5"/>
      <c r="F2017" s="5" t="s">
        <v>424</v>
      </c>
      <c r="G2017" s="5" t="s">
        <v>170</v>
      </c>
      <c r="H2017" s="5" t="s">
        <v>137</v>
      </c>
      <c r="I2017" s="5" t="s">
        <v>2552</v>
      </c>
      <c r="J2017" s="5" t="s">
        <v>2551</v>
      </c>
    </row>
    <row r="2018" spans="1:10" ht="25.5" x14ac:dyDescent="0.2">
      <c r="A2018" s="5" t="s">
        <v>2550</v>
      </c>
      <c r="B2018" s="5" t="s">
        <v>83</v>
      </c>
      <c r="C2018" s="5"/>
      <c r="D2018" s="5" t="s">
        <v>2549</v>
      </c>
      <c r="E2018" s="5"/>
      <c r="F2018" s="5" t="s">
        <v>2535</v>
      </c>
      <c r="G2018" s="5" t="s">
        <v>382</v>
      </c>
      <c r="H2018" s="5" t="s">
        <v>3</v>
      </c>
      <c r="I2018" s="5"/>
      <c r="J2018" s="5" t="s">
        <v>2548</v>
      </c>
    </row>
    <row r="2019" spans="1:10" x14ac:dyDescent="0.2">
      <c r="A2019" s="5" t="s">
        <v>2547</v>
      </c>
      <c r="B2019" s="5" t="s">
        <v>83</v>
      </c>
      <c r="C2019" s="5"/>
      <c r="D2019" s="5" t="s">
        <v>2546</v>
      </c>
      <c r="E2019" s="5"/>
      <c r="F2019" s="5" t="s">
        <v>2535</v>
      </c>
      <c r="G2019" s="5" t="s">
        <v>382</v>
      </c>
      <c r="H2019" s="5" t="s">
        <v>137</v>
      </c>
      <c r="I2019" s="5" t="s">
        <v>2542</v>
      </c>
      <c r="J2019" s="5" t="s">
        <v>2545</v>
      </c>
    </row>
    <row r="2020" spans="1:10" x14ac:dyDescent="0.2">
      <c r="A2020" s="5" t="s">
        <v>2544</v>
      </c>
      <c r="B2020" s="5" t="s">
        <v>83</v>
      </c>
      <c r="C2020" s="5"/>
      <c r="D2020" s="5" t="s">
        <v>2543</v>
      </c>
      <c r="E2020" s="5" t="s">
        <v>150</v>
      </c>
      <c r="F2020" s="5" t="s">
        <v>2535</v>
      </c>
      <c r="G2020" s="5" t="s">
        <v>148</v>
      </c>
      <c r="H2020" s="5" t="s">
        <v>137</v>
      </c>
      <c r="I2020" s="5" t="s">
        <v>2542</v>
      </c>
      <c r="J2020" s="5" t="s">
        <v>2541</v>
      </c>
    </row>
    <row r="2021" spans="1:10" x14ac:dyDescent="0.2">
      <c r="A2021" s="5" t="s">
        <v>2540</v>
      </c>
      <c r="B2021" s="5" t="s">
        <v>83</v>
      </c>
      <c r="C2021" s="5"/>
      <c r="D2021" s="5" t="s">
        <v>2539</v>
      </c>
      <c r="E2021" s="5" t="s">
        <v>150</v>
      </c>
      <c r="F2021" s="5" t="s">
        <v>2535</v>
      </c>
      <c r="G2021" s="5" t="s">
        <v>148</v>
      </c>
      <c r="H2021" s="5" t="s">
        <v>3</v>
      </c>
      <c r="I2021" s="5"/>
      <c r="J2021" s="5" t="s">
        <v>2538</v>
      </c>
    </row>
    <row r="2022" spans="1:10" x14ac:dyDescent="0.2">
      <c r="A2022" s="5" t="s">
        <v>2537</v>
      </c>
      <c r="B2022" s="5" t="s">
        <v>83</v>
      </c>
      <c r="C2022" s="5"/>
      <c r="D2022" s="5" t="s">
        <v>2536</v>
      </c>
      <c r="E2022" s="5" t="s">
        <v>150</v>
      </c>
      <c r="F2022" s="5" t="s">
        <v>2535</v>
      </c>
      <c r="G2022" s="5" t="s">
        <v>148</v>
      </c>
      <c r="H2022" s="5" t="s">
        <v>3</v>
      </c>
      <c r="I2022" s="5"/>
      <c r="J2022" s="5" t="s">
        <v>2534</v>
      </c>
    </row>
    <row r="2023" spans="1:10" ht="25.5" x14ac:dyDescent="0.2">
      <c r="A2023" s="5" t="s">
        <v>2533</v>
      </c>
      <c r="B2023" s="5" t="s">
        <v>83</v>
      </c>
      <c r="C2023" s="5"/>
      <c r="D2023" s="5" t="s">
        <v>2532</v>
      </c>
      <c r="E2023" s="5" t="s">
        <v>150</v>
      </c>
      <c r="F2023" s="5" t="s">
        <v>424</v>
      </c>
      <c r="G2023" s="5" t="s">
        <v>148</v>
      </c>
      <c r="H2023" s="5" t="s">
        <v>137</v>
      </c>
      <c r="I2023" s="5" t="s">
        <v>2528</v>
      </c>
      <c r="J2023" s="5" t="s">
        <v>2531</v>
      </c>
    </row>
    <row r="2024" spans="1:10" ht="25.5" x14ac:dyDescent="0.2">
      <c r="A2024" s="5" t="s">
        <v>2530</v>
      </c>
      <c r="B2024" s="5" t="s">
        <v>83</v>
      </c>
      <c r="C2024" s="5"/>
      <c r="D2024" s="5" t="s">
        <v>2529</v>
      </c>
      <c r="E2024" s="5"/>
      <c r="F2024" s="5" t="s">
        <v>424</v>
      </c>
      <c r="G2024" s="5" t="s">
        <v>170</v>
      </c>
      <c r="H2024" s="5" t="s">
        <v>137</v>
      </c>
      <c r="I2024" s="5" t="s">
        <v>2528</v>
      </c>
      <c r="J2024" s="5" t="s">
        <v>2527</v>
      </c>
    </row>
    <row r="2025" spans="1:10" ht="25.5" x14ac:dyDescent="0.2">
      <c r="A2025" s="5" t="s">
        <v>2526</v>
      </c>
      <c r="B2025" s="5" t="s">
        <v>83</v>
      </c>
      <c r="C2025" s="5"/>
      <c r="D2025" s="5" t="s">
        <v>2525</v>
      </c>
      <c r="E2025" s="5"/>
      <c r="F2025" s="5" t="s">
        <v>2511</v>
      </c>
      <c r="G2025" s="5" t="s">
        <v>382</v>
      </c>
      <c r="H2025" s="5" t="s">
        <v>3</v>
      </c>
      <c r="I2025" s="5"/>
      <c r="J2025" s="5" t="s">
        <v>2524</v>
      </c>
    </row>
    <row r="2026" spans="1:10" ht="25.5" x14ac:dyDescent="0.2">
      <c r="A2026" s="5" t="s">
        <v>2523</v>
      </c>
      <c r="B2026" s="5" t="s">
        <v>83</v>
      </c>
      <c r="C2026" s="5"/>
      <c r="D2026" s="5" t="s">
        <v>2522</v>
      </c>
      <c r="E2026" s="5"/>
      <c r="F2026" s="5" t="s">
        <v>2511</v>
      </c>
      <c r="G2026" s="5" t="s">
        <v>382</v>
      </c>
      <c r="H2026" s="5" t="s">
        <v>137</v>
      </c>
      <c r="I2026" s="5" t="s">
        <v>2518</v>
      </c>
      <c r="J2026" s="5" t="s">
        <v>2521</v>
      </c>
    </row>
    <row r="2027" spans="1:10" ht="25.5" x14ac:dyDescent="0.2">
      <c r="A2027" s="5" t="s">
        <v>2520</v>
      </c>
      <c r="B2027" s="5" t="s">
        <v>83</v>
      </c>
      <c r="C2027" s="5"/>
      <c r="D2027" s="5" t="s">
        <v>2519</v>
      </c>
      <c r="E2027" s="5" t="s">
        <v>150</v>
      </c>
      <c r="F2027" s="5" t="s">
        <v>2511</v>
      </c>
      <c r="G2027" s="5" t="s">
        <v>148</v>
      </c>
      <c r="H2027" s="5" t="s">
        <v>137</v>
      </c>
      <c r="I2027" s="5" t="s">
        <v>2518</v>
      </c>
      <c r="J2027" s="5" t="s">
        <v>2517</v>
      </c>
    </row>
    <row r="2028" spans="1:10" x14ac:dyDescent="0.2">
      <c r="A2028" s="5" t="s">
        <v>2516</v>
      </c>
      <c r="B2028" s="5" t="s">
        <v>83</v>
      </c>
      <c r="C2028" s="5"/>
      <c r="D2028" s="5" t="s">
        <v>2515</v>
      </c>
      <c r="E2028" s="5" t="s">
        <v>150</v>
      </c>
      <c r="F2028" s="5" t="s">
        <v>2511</v>
      </c>
      <c r="G2028" s="5" t="s">
        <v>148</v>
      </c>
      <c r="H2028" s="5" t="s">
        <v>3</v>
      </c>
      <c r="I2028" s="5"/>
      <c r="J2028" s="5" t="s">
        <v>2514</v>
      </c>
    </row>
    <row r="2029" spans="1:10" x14ac:dyDescent="0.2">
      <c r="A2029" s="5" t="s">
        <v>2513</v>
      </c>
      <c r="B2029" s="5" t="s">
        <v>83</v>
      </c>
      <c r="C2029" s="5"/>
      <c r="D2029" s="5" t="s">
        <v>2512</v>
      </c>
      <c r="E2029" s="5" t="s">
        <v>150</v>
      </c>
      <c r="F2029" s="5" t="s">
        <v>2511</v>
      </c>
      <c r="G2029" s="5" t="s">
        <v>148</v>
      </c>
      <c r="H2029" s="5" t="s">
        <v>3</v>
      </c>
      <c r="I2029" s="5"/>
      <c r="J2029" s="5" t="s">
        <v>2510</v>
      </c>
    </row>
    <row r="2030" spans="1:10" ht="25.5" x14ac:dyDescent="0.2">
      <c r="A2030" s="5" t="s">
        <v>2509</v>
      </c>
      <c r="B2030" s="5" t="s">
        <v>83</v>
      </c>
      <c r="C2030" s="5"/>
      <c r="D2030" s="5" t="s">
        <v>2508</v>
      </c>
      <c r="E2030" s="5" t="s">
        <v>150</v>
      </c>
      <c r="F2030" s="5" t="s">
        <v>424</v>
      </c>
      <c r="G2030" s="5" t="s">
        <v>148</v>
      </c>
      <c r="H2030" s="5" t="s">
        <v>137</v>
      </c>
      <c r="I2030" s="5" t="s">
        <v>2504</v>
      </c>
      <c r="J2030" s="5" t="s">
        <v>2507</v>
      </c>
    </row>
    <row r="2031" spans="1:10" ht="25.5" x14ac:dyDescent="0.2">
      <c r="A2031" s="5" t="s">
        <v>2506</v>
      </c>
      <c r="B2031" s="5" t="s">
        <v>83</v>
      </c>
      <c r="C2031" s="5"/>
      <c r="D2031" s="5" t="s">
        <v>2505</v>
      </c>
      <c r="E2031" s="5"/>
      <c r="F2031" s="5" t="s">
        <v>424</v>
      </c>
      <c r="G2031" s="5" t="s">
        <v>170</v>
      </c>
      <c r="H2031" s="5" t="s">
        <v>137</v>
      </c>
      <c r="I2031" s="5" t="s">
        <v>2504</v>
      </c>
      <c r="J2031" s="5" t="s">
        <v>2503</v>
      </c>
    </row>
    <row r="2032" spans="1:10" ht="25.5" x14ac:dyDescent="0.2">
      <c r="A2032" s="5" t="s">
        <v>2502</v>
      </c>
      <c r="B2032" s="5" t="s">
        <v>83</v>
      </c>
      <c r="C2032" s="5"/>
      <c r="D2032" s="5" t="s">
        <v>2501</v>
      </c>
      <c r="E2032" s="5"/>
      <c r="F2032" s="5" t="s">
        <v>2487</v>
      </c>
      <c r="G2032" s="5" t="s">
        <v>382</v>
      </c>
      <c r="H2032" s="5" t="s">
        <v>3</v>
      </c>
      <c r="I2032" s="5"/>
      <c r="J2032" s="5" t="s">
        <v>2500</v>
      </c>
    </row>
    <row r="2033" spans="1:10" ht="25.5" x14ac:dyDescent="0.2">
      <c r="A2033" s="5" t="s">
        <v>2499</v>
      </c>
      <c r="B2033" s="5" t="s">
        <v>83</v>
      </c>
      <c r="C2033" s="5"/>
      <c r="D2033" s="5" t="s">
        <v>2498</v>
      </c>
      <c r="E2033" s="5"/>
      <c r="F2033" s="5" t="s">
        <v>2487</v>
      </c>
      <c r="G2033" s="5" t="s">
        <v>382</v>
      </c>
      <c r="H2033" s="5" t="s">
        <v>137</v>
      </c>
      <c r="I2033" s="5" t="s">
        <v>2494</v>
      </c>
      <c r="J2033" s="5" t="s">
        <v>2497</v>
      </c>
    </row>
    <row r="2034" spans="1:10" ht="25.5" x14ac:dyDescent="0.2">
      <c r="A2034" s="5" t="s">
        <v>2496</v>
      </c>
      <c r="B2034" s="5" t="s">
        <v>83</v>
      </c>
      <c r="C2034" s="5"/>
      <c r="D2034" s="5" t="s">
        <v>2495</v>
      </c>
      <c r="E2034" s="5" t="s">
        <v>150</v>
      </c>
      <c r="F2034" s="5" t="s">
        <v>2487</v>
      </c>
      <c r="G2034" s="5" t="s">
        <v>148</v>
      </c>
      <c r="H2034" s="5" t="s">
        <v>137</v>
      </c>
      <c r="I2034" s="5" t="s">
        <v>2494</v>
      </c>
      <c r="J2034" s="5" t="s">
        <v>2493</v>
      </c>
    </row>
    <row r="2035" spans="1:10" x14ac:dyDescent="0.2">
      <c r="A2035" s="5" t="s">
        <v>2492</v>
      </c>
      <c r="B2035" s="5" t="s">
        <v>83</v>
      </c>
      <c r="C2035" s="5"/>
      <c r="D2035" s="5" t="s">
        <v>2491</v>
      </c>
      <c r="E2035" s="5" t="s">
        <v>150</v>
      </c>
      <c r="F2035" s="5" t="s">
        <v>2487</v>
      </c>
      <c r="G2035" s="5" t="s">
        <v>148</v>
      </c>
      <c r="H2035" s="5" t="s">
        <v>3</v>
      </c>
      <c r="I2035" s="5"/>
      <c r="J2035" s="5" t="s">
        <v>2490</v>
      </c>
    </row>
    <row r="2036" spans="1:10" x14ac:dyDescent="0.2">
      <c r="A2036" s="5" t="s">
        <v>2489</v>
      </c>
      <c r="B2036" s="5" t="s">
        <v>83</v>
      </c>
      <c r="C2036" s="5"/>
      <c r="D2036" s="5" t="s">
        <v>2488</v>
      </c>
      <c r="E2036" s="5" t="s">
        <v>150</v>
      </c>
      <c r="F2036" s="5" t="s">
        <v>2487</v>
      </c>
      <c r="G2036" s="5" t="s">
        <v>148</v>
      </c>
      <c r="H2036" s="5" t="s">
        <v>3</v>
      </c>
      <c r="I2036" s="5"/>
      <c r="J2036" s="5" t="s">
        <v>2486</v>
      </c>
    </row>
    <row r="2037" spans="1:10" ht="25.5" x14ac:dyDescent="0.2">
      <c r="A2037" s="5" t="s">
        <v>2485</v>
      </c>
      <c r="B2037" s="5" t="s">
        <v>83</v>
      </c>
      <c r="C2037" s="5"/>
      <c r="D2037" s="5" t="s">
        <v>2484</v>
      </c>
      <c r="E2037" s="5" t="s">
        <v>150</v>
      </c>
      <c r="F2037" s="5" t="s">
        <v>424</v>
      </c>
      <c r="G2037" s="5" t="s">
        <v>148</v>
      </c>
      <c r="H2037" s="5" t="s">
        <v>137</v>
      </c>
      <c r="I2037" s="5" t="s">
        <v>2480</v>
      </c>
      <c r="J2037" s="5" t="s">
        <v>2483</v>
      </c>
    </row>
    <row r="2038" spans="1:10" ht="25.5" x14ac:dyDescent="0.2">
      <c r="A2038" s="5" t="s">
        <v>2482</v>
      </c>
      <c r="B2038" s="5" t="s">
        <v>83</v>
      </c>
      <c r="C2038" s="5"/>
      <c r="D2038" s="5" t="s">
        <v>2481</v>
      </c>
      <c r="E2038" s="5"/>
      <c r="F2038" s="5" t="s">
        <v>424</v>
      </c>
      <c r="G2038" s="5" t="s">
        <v>170</v>
      </c>
      <c r="H2038" s="5" t="s">
        <v>137</v>
      </c>
      <c r="I2038" s="5" t="s">
        <v>2480</v>
      </c>
      <c r="J2038" s="5" t="s">
        <v>2479</v>
      </c>
    </row>
    <row r="2039" spans="1:10" ht="25.5" x14ac:dyDescent="0.2">
      <c r="A2039" s="5" t="s">
        <v>2478</v>
      </c>
      <c r="B2039" s="5" t="s">
        <v>83</v>
      </c>
      <c r="C2039" s="5"/>
      <c r="D2039" s="5" t="s">
        <v>2477</v>
      </c>
      <c r="E2039" s="5"/>
      <c r="F2039" s="5" t="s">
        <v>2463</v>
      </c>
      <c r="G2039" s="5" t="s">
        <v>382</v>
      </c>
      <c r="H2039" s="5" t="s">
        <v>3</v>
      </c>
      <c r="I2039" s="5"/>
      <c r="J2039" s="5" t="s">
        <v>2476</v>
      </c>
    </row>
    <row r="2040" spans="1:10" ht="25.5" x14ac:dyDescent="0.2">
      <c r="A2040" s="5" t="s">
        <v>2475</v>
      </c>
      <c r="B2040" s="5" t="s">
        <v>83</v>
      </c>
      <c r="C2040" s="5"/>
      <c r="D2040" s="5" t="s">
        <v>2474</v>
      </c>
      <c r="E2040" s="5"/>
      <c r="F2040" s="5" t="s">
        <v>2463</v>
      </c>
      <c r="G2040" s="5" t="s">
        <v>382</v>
      </c>
      <c r="H2040" s="5" t="s">
        <v>137</v>
      </c>
      <c r="I2040" s="5" t="s">
        <v>2470</v>
      </c>
      <c r="J2040" s="5" t="s">
        <v>2473</v>
      </c>
    </row>
    <row r="2041" spans="1:10" ht="25.5" x14ac:dyDescent="0.2">
      <c r="A2041" s="5" t="s">
        <v>2472</v>
      </c>
      <c r="B2041" s="5" t="s">
        <v>83</v>
      </c>
      <c r="C2041" s="5"/>
      <c r="D2041" s="5" t="s">
        <v>2471</v>
      </c>
      <c r="E2041" s="5" t="s">
        <v>150</v>
      </c>
      <c r="F2041" s="5" t="s">
        <v>2463</v>
      </c>
      <c r="G2041" s="5" t="s">
        <v>148</v>
      </c>
      <c r="H2041" s="5" t="s">
        <v>137</v>
      </c>
      <c r="I2041" s="5" t="s">
        <v>2470</v>
      </c>
      <c r="J2041" s="5" t="s">
        <v>2469</v>
      </c>
    </row>
    <row r="2042" spans="1:10" x14ac:dyDescent="0.2">
      <c r="A2042" s="5" t="s">
        <v>2468</v>
      </c>
      <c r="B2042" s="5" t="s">
        <v>83</v>
      </c>
      <c r="C2042" s="5"/>
      <c r="D2042" s="5" t="s">
        <v>2467</v>
      </c>
      <c r="E2042" s="5" t="s">
        <v>150</v>
      </c>
      <c r="F2042" s="5" t="s">
        <v>2463</v>
      </c>
      <c r="G2042" s="5" t="s">
        <v>148</v>
      </c>
      <c r="H2042" s="5" t="s">
        <v>3</v>
      </c>
      <c r="I2042" s="5"/>
      <c r="J2042" s="5" t="s">
        <v>2466</v>
      </c>
    </row>
    <row r="2043" spans="1:10" x14ac:dyDescent="0.2">
      <c r="A2043" s="5" t="s">
        <v>2465</v>
      </c>
      <c r="B2043" s="5" t="s">
        <v>83</v>
      </c>
      <c r="C2043" s="5"/>
      <c r="D2043" s="5" t="s">
        <v>2464</v>
      </c>
      <c r="E2043" s="5" t="s">
        <v>150</v>
      </c>
      <c r="F2043" s="5" t="s">
        <v>2463</v>
      </c>
      <c r="G2043" s="5" t="s">
        <v>148</v>
      </c>
      <c r="H2043" s="5" t="s">
        <v>3</v>
      </c>
      <c r="I2043" s="5"/>
      <c r="J2043" s="5" t="s">
        <v>2462</v>
      </c>
    </row>
    <row r="2044" spans="1:10" ht="25.5" x14ac:dyDescent="0.2">
      <c r="A2044" s="5" t="s">
        <v>2461</v>
      </c>
      <c r="B2044" s="5" t="s">
        <v>83</v>
      </c>
      <c r="C2044" s="5"/>
      <c r="D2044" s="5" t="s">
        <v>2460</v>
      </c>
      <c r="E2044" s="5" t="s">
        <v>150</v>
      </c>
      <c r="F2044" s="5" t="s">
        <v>424</v>
      </c>
      <c r="G2044" s="5" t="s">
        <v>148</v>
      </c>
      <c r="H2044" s="5" t="s">
        <v>137</v>
      </c>
      <c r="I2044" s="5" t="s">
        <v>2456</v>
      </c>
      <c r="J2044" s="5" t="s">
        <v>2459</v>
      </c>
    </row>
    <row r="2045" spans="1:10" ht="25.5" x14ac:dyDescent="0.2">
      <c r="A2045" s="5" t="s">
        <v>2458</v>
      </c>
      <c r="B2045" s="5" t="s">
        <v>83</v>
      </c>
      <c r="C2045" s="5"/>
      <c r="D2045" s="5" t="s">
        <v>2457</v>
      </c>
      <c r="E2045" s="5"/>
      <c r="F2045" s="5" t="s">
        <v>424</v>
      </c>
      <c r="G2045" s="5" t="s">
        <v>170</v>
      </c>
      <c r="H2045" s="5" t="s">
        <v>137</v>
      </c>
      <c r="I2045" s="5" t="s">
        <v>2456</v>
      </c>
      <c r="J2045" s="5" t="s">
        <v>2455</v>
      </c>
    </row>
    <row r="2046" spans="1:10" ht="38.25" x14ac:dyDescent="0.2">
      <c r="A2046" s="5" t="s">
        <v>2454</v>
      </c>
      <c r="B2046" s="5" t="s">
        <v>83</v>
      </c>
      <c r="C2046" s="5"/>
      <c r="D2046" s="5" t="s">
        <v>2453</v>
      </c>
      <c r="E2046" s="5"/>
      <c r="F2046" s="5" t="s">
        <v>2452</v>
      </c>
      <c r="G2046" s="5" t="s">
        <v>148</v>
      </c>
      <c r="H2046" s="5" t="s">
        <v>3</v>
      </c>
      <c r="I2046" s="5"/>
      <c r="J2046" s="5" t="s">
        <v>2451</v>
      </c>
    </row>
    <row r="2047" spans="1:10" x14ac:dyDescent="0.2">
      <c r="A2047" s="5" t="s">
        <v>2450</v>
      </c>
      <c r="B2047" s="5" t="s">
        <v>83</v>
      </c>
      <c r="C2047" s="5"/>
      <c r="D2047" s="5" t="s">
        <v>2449</v>
      </c>
      <c r="E2047" s="5"/>
      <c r="F2047" s="5" t="s">
        <v>2387</v>
      </c>
      <c r="G2047" s="5" t="s">
        <v>382</v>
      </c>
      <c r="H2047" s="5" t="s">
        <v>3</v>
      </c>
      <c r="I2047" s="5"/>
      <c r="J2047" s="5" t="s">
        <v>2448</v>
      </c>
    </row>
    <row r="2048" spans="1:10" x14ac:dyDescent="0.2">
      <c r="A2048" s="5" t="s">
        <v>2447</v>
      </c>
      <c r="B2048" s="5" t="s">
        <v>83</v>
      </c>
      <c r="C2048" s="5"/>
      <c r="D2048" s="5" t="s">
        <v>2446</v>
      </c>
      <c r="E2048" s="5"/>
      <c r="F2048" s="5" t="s">
        <v>2408</v>
      </c>
      <c r="G2048" s="5" t="s">
        <v>382</v>
      </c>
      <c r="H2048" s="5" t="s">
        <v>3</v>
      </c>
      <c r="I2048" s="5"/>
      <c r="J2048" s="5" t="s">
        <v>2445</v>
      </c>
    </row>
    <row r="2049" spans="1:10" x14ac:dyDescent="0.2">
      <c r="A2049" s="5" t="s">
        <v>2444</v>
      </c>
      <c r="B2049" s="5" t="s">
        <v>83</v>
      </c>
      <c r="C2049" s="5"/>
      <c r="D2049" s="5" t="s">
        <v>2443</v>
      </c>
      <c r="E2049" s="5"/>
      <c r="F2049" s="5" t="s">
        <v>2408</v>
      </c>
      <c r="G2049" s="5" t="s">
        <v>382</v>
      </c>
      <c r="H2049" s="5" t="s">
        <v>137</v>
      </c>
      <c r="I2049" s="5" t="s">
        <v>2415</v>
      </c>
      <c r="J2049" s="5" t="s">
        <v>2442</v>
      </c>
    </row>
    <row r="2050" spans="1:10" ht="25.5" x14ac:dyDescent="0.2">
      <c r="A2050" s="5" t="s">
        <v>2441</v>
      </c>
      <c r="B2050" s="5" t="s">
        <v>83</v>
      </c>
      <c r="C2050" s="5"/>
      <c r="D2050" s="5" t="s">
        <v>2440</v>
      </c>
      <c r="E2050" s="5"/>
      <c r="F2050" s="5" t="s">
        <v>2426</v>
      </c>
      <c r="G2050" s="5" t="s">
        <v>382</v>
      </c>
      <c r="H2050" s="5" t="s">
        <v>3</v>
      </c>
      <c r="I2050" s="5"/>
      <c r="J2050" s="5" t="s">
        <v>2439</v>
      </c>
    </row>
    <row r="2051" spans="1:10" ht="25.5" x14ac:dyDescent="0.2">
      <c r="A2051" s="5" t="s">
        <v>2438</v>
      </c>
      <c r="B2051" s="5" t="s">
        <v>83</v>
      </c>
      <c r="C2051" s="5"/>
      <c r="D2051" s="5" t="s">
        <v>2437</v>
      </c>
      <c r="E2051" s="5"/>
      <c r="F2051" s="5" t="s">
        <v>2426</v>
      </c>
      <c r="G2051" s="5" t="s">
        <v>382</v>
      </c>
      <c r="H2051" s="5" t="s">
        <v>137</v>
      </c>
      <c r="I2051" s="5" t="s">
        <v>2433</v>
      </c>
      <c r="J2051" s="5" t="s">
        <v>2436</v>
      </c>
    </row>
    <row r="2052" spans="1:10" ht="25.5" x14ac:dyDescent="0.2">
      <c r="A2052" s="5" t="s">
        <v>2435</v>
      </c>
      <c r="B2052" s="5" t="s">
        <v>83</v>
      </c>
      <c r="C2052" s="5"/>
      <c r="D2052" s="5" t="s">
        <v>2434</v>
      </c>
      <c r="E2052" s="5" t="s">
        <v>150</v>
      </c>
      <c r="F2052" s="5" t="s">
        <v>2426</v>
      </c>
      <c r="G2052" s="5" t="s">
        <v>148</v>
      </c>
      <c r="H2052" s="5" t="s">
        <v>137</v>
      </c>
      <c r="I2052" s="5" t="s">
        <v>2433</v>
      </c>
      <c r="J2052" s="5" t="s">
        <v>2432</v>
      </c>
    </row>
    <row r="2053" spans="1:10" x14ac:dyDescent="0.2">
      <c r="A2053" s="5" t="s">
        <v>2431</v>
      </c>
      <c r="B2053" s="5" t="s">
        <v>83</v>
      </c>
      <c r="C2053" s="5"/>
      <c r="D2053" s="5" t="s">
        <v>2430</v>
      </c>
      <c r="E2053" s="5" t="s">
        <v>150</v>
      </c>
      <c r="F2053" s="5" t="s">
        <v>2426</v>
      </c>
      <c r="G2053" s="5" t="s">
        <v>148</v>
      </c>
      <c r="H2053" s="5" t="s">
        <v>3</v>
      </c>
      <c r="I2053" s="5"/>
      <c r="J2053" s="5" t="s">
        <v>2429</v>
      </c>
    </row>
    <row r="2054" spans="1:10" x14ac:dyDescent="0.2">
      <c r="A2054" s="5" t="s">
        <v>2428</v>
      </c>
      <c r="B2054" s="5" t="s">
        <v>83</v>
      </c>
      <c r="C2054" s="5"/>
      <c r="D2054" s="5" t="s">
        <v>2427</v>
      </c>
      <c r="E2054" s="5" t="s">
        <v>150</v>
      </c>
      <c r="F2054" s="5" t="s">
        <v>2426</v>
      </c>
      <c r="G2054" s="5" t="s">
        <v>148</v>
      </c>
      <c r="H2054" s="5" t="s">
        <v>3</v>
      </c>
      <c r="I2054" s="5"/>
      <c r="J2054" s="5" t="s">
        <v>2425</v>
      </c>
    </row>
    <row r="2055" spans="1:10" ht="25.5" x14ac:dyDescent="0.2">
      <c r="A2055" s="5" t="s">
        <v>2424</v>
      </c>
      <c r="B2055" s="5" t="s">
        <v>83</v>
      </c>
      <c r="C2055" s="5"/>
      <c r="D2055" s="5" t="s">
        <v>2423</v>
      </c>
      <c r="E2055" s="5" t="s">
        <v>150</v>
      </c>
      <c r="F2055" s="5" t="s">
        <v>424</v>
      </c>
      <c r="G2055" s="5" t="s">
        <v>148</v>
      </c>
      <c r="H2055" s="5" t="s">
        <v>137</v>
      </c>
      <c r="I2055" s="5" t="s">
        <v>2419</v>
      </c>
      <c r="J2055" s="5" t="s">
        <v>2422</v>
      </c>
    </row>
    <row r="2056" spans="1:10" ht="25.5" x14ac:dyDescent="0.2">
      <c r="A2056" s="5" t="s">
        <v>2421</v>
      </c>
      <c r="B2056" s="5" t="s">
        <v>83</v>
      </c>
      <c r="C2056" s="5"/>
      <c r="D2056" s="5" t="s">
        <v>2420</v>
      </c>
      <c r="E2056" s="5"/>
      <c r="F2056" s="5" t="s">
        <v>424</v>
      </c>
      <c r="G2056" s="5" t="s">
        <v>170</v>
      </c>
      <c r="H2056" s="5" t="s">
        <v>137</v>
      </c>
      <c r="I2056" s="5" t="s">
        <v>2419</v>
      </c>
      <c r="J2056" s="5" t="s">
        <v>2418</v>
      </c>
    </row>
    <row r="2057" spans="1:10" x14ac:dyDescent="0.2">
      <c r="A2057" s="5" t="s">
        <v>2417</v>
      </c>
      <c r="B2057" s="5" t="s">
        <v>83</v>
      </c>
      <c r="C2057" s="5"/>
      <c r="D2057" s="5" t="s">
        <v>2416</v>
      </c>
      <c r="E2057" s="5" t="s">
        <v>150</v>
      </c>
      <c r="F2057" s="5" t="s">
        <v>2408</v>
      </c>
      <c r="G2057" s="5" t="s">
        <v>148</v>
      </c>
      <c r="H2057" s="5" t="s">
        <v>137</v>
      </c>
      <c r="I2057" s="5" t="s">
        <v>2415</v>
      </c>
      <c r="J2057" s="5" t="s">
        <v>2414</v>
      </c>
    </row>
    <row r="2058" spans="1:10" x14ac:dyDescent="0.2">
      <c r="A2058" s="5" t="s">
        <v>2413</v>
      </c>
      <c r="B2058" s="5" t="s">
        <v>83</v>
      </c>
      <c r="C2058" s="5"/>
      <c r="D2058" s="5" t="s">
        <v>2412</v>
      </c>
      <c r="E2058" s="5" t="s">
        <v>150</v>
      </c>
      <c r="F2058" s="5" t="s">
        <v>2408</v>
      </c>
      <c r="G2058" s="5" t="s">
        <v>148</v>
      </c>
      <c r="H2058" s="5" t="s">
        <v>3</v>
      </c>
      <c r="I2058" s="5"/>
      <c r="J2058" s="5" t="s">
        <v>2411</v>
      </c>
    </row>
    <row r="2059" spans="1:10" x14ac:dyDescent="0.2">
      <c r="A2059" s="5" t="s">
        <v>2410</v>
      </c>
      <c r="B2059" s="5" t="s">
        <v>83</v>
      </c>
      <c r="C2059" s="5"/>
      <c r="D2059" s="5" t="s">
        <v>2409</v>
      </c>
      <c r="E2059" s="5" t="s">
        <v>150</v>
      </c>
      <c r="F2059" s="5" t="s">
        <v>2408</v>
      </c>
      <c r="G2059" s="5" t="s">
        <v>148</v>
      </c>
      <c r="H2059" s="5" t="s">
        <v>3</v>
      </c>
      <c r="I2059" s="5"/>
      <c r="J2059" s="5" t="s">
        <v>2407</v>
      </c>
    </row>
    <row r="2060" spans="1:10" ht="25.5" x14ac:dyDescent="0.2">
      <c r="A2060" s="5" t="s">
        <v>2406</v>
      </c>
      <c r="B2060" s="5" t="s">
        <v>83</v>
      </c>
      <c r="C2060" s="5"/>
      <c r="D2060" s="5" t="s">
        <v>2405</v>
      </c>
      <c r="E2060" s="5" t="s">
        <v>150</v>
      </c>
      <c r="F2060" s="5" t="s">
        <v>424</v>
      </c>
      <c r="G2060" s="5" t="s">
        <v>148</v>
      </c>
      <c r="H2060" s="5" t="s">
        <v>137</v>
      </c>
      <c r="I2060" s="5" t="s">
        <v>2401</v>
      </c>
      <c r="J2060" s="5" t="s">
        <v>2404</v>
      </c>
    </row>
    <row r="2061" spans="1:10" ht="25.5" x14ac:dyDescent="0.2">
      <c r="A2061" s="5" t="s">
        <v>2403</v>
      </c>
      <c r="B2061" s="5" t="s">
        <v>83</v>
      </c>
      <c r="C2061" s="5"/>
      <c r="D2061" s="5" t="s">
        <v>2402</v>
      </c>
      <c r="E2061" s="5"/>
      <c r="F2061" s="5" t="s">
        <v>424</v>
      </c>
      <c r="G2061" s="5" t="s">
        <v>170</v>
      </c>
      <c r="H2061" s="5" t="s">
        <v>137</v>
      </c>
      <c r="I2061" s="5" t="s">
        <v>2401</v>
      </c>
      <c r="J2061" s="5" t="s">
        <v>2400</v>
      </c>
    </row>
    <row r="2062" spans="1:10" x14ac:dyDescent="0.2">
      <c r="A2062" s="5" t="s">
        <v>2399</v>
      </c>
      <c r="B2062" s="5" t="s">
        <v>83</v>
      </c>
      <c r="C2062" s="5"/>
      <c r="D2062" s="5" t="s">
        <v>2398</v>
      </c>
      <c r="E2062" s="5"/>
      <c r="F2062" s="5" t="s">
        <v>2387</v>
      </c>
      <c r="G2062" s="5" t="s">
        <v>382</v>
      </c>
      <c r="H2062" s="5" t="s">
        <v>137</v>
      </c>
      <c r="I2062" s="5" t="s">
        <v>2394</v>
      </c>
      <c r="J2062" s="5" t="s">
        <v>2397</v>
      </c>
    </row>
    <row r="2063" spans="1:10" x14ac:dyDescent="0.2">
      <c r="A2063" s="5" t="s">
        <v>2396</v>
      </c>
      <c r="B2063" s="5" t="s">
        <v>83</v>
      </c>
      <c r="C2063" s="5"/>
      <c r="D2063" s="5" t="s">
        <v>2395</v>
      </c>
      <c r="E2063" s="5" t="s">
        <v>150</v>
      </c>
      <c r="F2063" s="5" t="s">
        <v>2387</v>
      </c>
      <c r="G2063" s="5" t="s">
        <v>148</v>
      </c>
      <c r="H2063" s="5" t="s">
        <v>137</v>
      </c>
      <c r="I2063" s="5" t="s">
        <v>2394</v>
      </c>
      <c r="J2063" s="5" t="s">
        <v>2393</v>
      </c>
    </row>
    <row r="2064" spans="1:10" x14ac:dyDescent="0.2">
      <c r="A2064" s="5" t="s">
        <v>2392</v>
      </c>
      <c r="B2064" s="5" t="s">
        <v>83</v>
      </c>
      <c r="C2064" s="5"/>
      <c r="D2064" s="5" t="s">
        <v>2391</v>
      </c>
      <c r="E2064" s="5" t="s">
        <v>150</v>
      </c>
      <c r="F2064" s="5" t="s">
        <v>2387</v>
      </c>
      <c r="G2064" s="5" t="s">
        <v>148</v>
      </c>
      <c r="H2064" s="5" t="s">
        <v>3</v>
      </c>
      <c r="I2064" s="5"/>
      <c r="J2064" s="5" t="s">
        <v>2390</v>
      </c>
    </row>
    <row r="2065" spans="1:10" x14ac:dyDescent="0.2">
      <c r="A2065" s="5" t="s">
        <v>2389</v>
      </c>
      <c r="B2065" s="5" t="s">
        <v>83</v>
      </c>
      <c r="C2065" s="5"/>
      <c r="D2065" s="5" t="s">
        <v>2388</v>
      </c>
      <c r="E2065" s="5" t="s">
        <v>150</v>
      </c>
      <c r="F2065" s="5" t="s">
        <v>2387</v>
      </c>
      <c r="G2065" s="5" t="s">
        <v>148</v>
      </c>
      <c r="H2065" s="5" t="s">
        <v>3</v>
      </c>
      <c r="I2065" s="5"/>
      <c r="J2065" s="5" t="s">
        <v>2386</v>
      </c>
    </row>
    <row r="2066" spans="1:10" ht="25.5" x14ac:dyDescent="0.2">
      <c r="A2066" s="5" t="s">
        <v>2385</v>
      </c>
      <c r="B2066" s="5" t="s">
        <v>83</v>
      </c>
      <c r="C2066" s="5"/>
      <c r="D2066" s="5" t="s">
        <v>2384</v>
      </c>
      <c r="E2066" s="5" t="s">
        <v>150</v>
      </c>
      <c r="F2066" s="5" t="s">
        <v>424</v>
      </c>
      <c r="G2066" s="5" t="s">
        <v>148</v>
      </c>
      <c r="H2066" s="5" t="s">
        <v>137</v>
      </c>
      <c r="I2066" s="5" t="s">
        <v>2304</v>
      </c>
      <c r="J2066" s="5" t="s">
        <v>2383</v>
      </c>
    </row>
    <row r="2067" spans="1:10" ht="25.5" x14ac:dyDescent="0.2">
      <c r="A2067" s="5" t="s">
        <v>2382</v>
      </c>
      <c r="B2067" s="5" t="s">
        <v>83</v>
      </c>
      <c r="C2067" s="5"/>
      <c r="D2067" s="5" t="s">
        <v>2381</v>
      </c>
      <c r="E2067" s="5"/>
      <c r="F2067" s="5" t="s">
        <v>2367</v>
      </c>
      <c r="G2067" s="5" t="s">
        <v>382</v>
      </c>
      <c r="H2067" s="5" t="s">
        <v>3</v>
      </c>
      <c r="I2067" s="5"/>
      <c r="J2067" s="5" t="s">
        <v>2380</v>
      </c>
    </row>
    <row r="2068" spans="1:10" ht="25.5" x14ac:dyDescent="0.2">
      <c r="A2068" s="5" t="s">
        <v>2379</v>
      </c>
      <c r="B2068" s="5" t="s">
        <v>83</v>
      </c>
      <c r="C2068" s="5"/>
      <c r="D2068" s="5" t="s">
        <v>2378</v>
      </c>
      <c r="E2068" s="5"/>
      <c r="F2068" s="5" t="s">
        <v>2367</v>
      </c>
      <c r="G2068" s="5" t="s">
        <v>382</v>
      </c>
      <c r="H2068" s="5" t="s">
        <v>137</v>
      </c>
      <c r="I2068" s="5" t="s">
        <v>2374</v>
      </c>
      <c r="J2068" s="5" t="s">
        <v>2377</v>
      </c>
    </row>
    <row r="2069" spans="1:10" ht="25.5" x14ac:dyDescent="0.2">
      <c r="A2069" s="5" t="s">
        <v>2376</v>
      </c>
      <c r="B2069" s="5" t="s">
        <v>83</v>
      </c>
      <c r="C2069" s="5"/>
      <c r="D2069" s="5" t="s">
        <v>2375</v>
      </c>
      <c r="E2069" s="5" t="s">
        <v>150</v>
      </c>
      <c r="F2069" s="5" t="s">
        <v>2367</v>
      </c>
      <c r="G2069" s="5" t="s">
        <v>148</v>
      </c>
      <c r="H2069" s="5" t="s">
        <v>137</v>
      </c>
      <c r="I2069" s="5" t="s">
        <v>2374</v>
      </c>
      <c r="J2069" s="5" t="s">
        <v>2373</v>
      </c>
    </row>
    <row r="2070" spans="1:10" x14ac:dyDescent="0.2">
      <c r="A2070" s="5" t="s">
        <v>2372</v>
      </c>
      <c r="B2070" s="5" t="s">
        <v>83</v>
      </c>
      <c r="C2070" s="5"/>
      <c r="D2070" s="5" t="s">
        <v>2371</v>
      </c>
      <c r="E2070" s="5" t="s">
        <v>150</v>
      </c>
      <c r="F2070" s="5" t="s">
        <v>2367</v>
      </c>
      <c r="G2070" s="5" t="s">
        <v>148</v>
      </c>
      <c r="H2070" s="5" t="s">
        <v>3</v>
      </c>
      <c r="I2070" s="5"/>
      <c r="J2070" s="5" t="s">
        <v>2370</v>
      </c>
    </row>
    <row r="2071" spans="1:10" x14ac:dyDescent="0.2">
      <c r="A2071" s="5" t="s">
        <v>2369</v>
      </c>
      <c r="B2071" s="5" t="s">
        <v>83</v>
      </c>
      <c r="C2071" s="5"/>
      <c r="D2071" s="5" t="s">
        <v>2368</v>
      </c>
      <c r="E2071" s="5" t="s">
        <v>150</v>
      </c>
      <c r="F2071" s="5" t="s">
        <v>2367</v>
      </c>
      <c r="G2071" s="5" t="s">
        <v>148</v>
      </c>
      <c r="H2071" s="5" t="s">
        <v>3</v>
      </c>
      <c r="I2071" s="5"/>
      <c r="J2071" s="5" t="s">
        <v>2366</v>
      </c>
    </row>
    <row r="2072" spans="1:10" ht="25.5" x14ac:dyDescent="0.2">
      <c r="A2072" s="5" t="s">
        <v>2365</v>
      </c>
      <c r="B2072" s="5" t="s">
        <v>83</v>
      </c>
      <c r="C2072" s="5"/>
      <c r="D2072" s="5" t="s">
        <v>2364</v>
      </c>
      <c r="E2072" s="5" t="s">
        <v>150</v>
      </c>
      <c r="F2072" s="5" t="s">
        <v>424</v>
      </c>
      <c r="G2072" s="5" t="s">
        <v>148</v>
      </c>
      <c r="H2072" s="5" t="s">
        <v>137</v>
      </c>
      <c r="I2072" s="5" t="s">
        <v>2360</v>
      </c>
      <c r="J2072" s="5" t="s">
        <v>2363</v>
      </c>
    </row>
    <row r="2073" spans="1:10" ht="25.5" x14ac:dyDescent="0.2">
      <c r="A2073" s="5" t="s">
        <v>2362</v>
      </c>
      <c r="B2073" s="5" t="s">
        <v>83</v>
      </c>
      <c r="C2073" s="5"/>
      <c r="D2073" s="5" t="s">
        <v>2361</v>
      </c>
      <c r="E2073" s="5"/>
      <c r="F2073" s="5" t="s">
        <v>424</v>
      </c>
      <c r="G2073" s="5" t="s">
        <v>170</v>
      </c>
      <c r="H2073" s="5" t="s">
        <v>137</v>
      </c>
      <c r="I2073" s="5" t="s">
        <v>2360</v>
      </c>
      <c r="J2073" s="5" t="s">
        <v>2359</v>
      </c>
    </row>
    <row r="2074" spans="1:10" ht="25.5" x14ac:dyDescent="0.2">
      <c r="A2074" s="5" t="s">
        <v>2358</v>
      </c>
      <c r="B2074" s="5" t="s">
        <v>83</v>
      </c>
      <c r="C2074" s="5"/>
      <c r="D2074" s="5" t="s">
        <v>2357</v>
      </c>
      <c r="E2074" s="5"/>
      <c r="F2074" s="5" t="s">
        <v>2343</v>
      </c>
      <c r="G2074" s="5" t="s">
        <v>382</v>
      </c>
      <c r="H2074" s="5" t="s">
        <v>3</v>
      </c>
      <c r="I2074" s="5"/>
      <c r="J2074" s="5" t="s">
        <v>2356</v>
      </c>
    </row>
    <row r="2075" spans="1:10" ht="25.5" x14ac:dyDescent="0.2">
      <c r="A2075" s="5" t="s">
        <v>2355</v>
      </c>
      <c r="B2075" s="5" t="s">
        <v>83</v>
      </c>
      <c r="C2075" s="5"/>
      <c r="D2075" s="5" t="s">
        <v>2354</v>
      </c>
      <c r="E2075" s="5"/>
      <c r="F2075" s="5" t="s">
        <v>2343</v>
      </c>
      <c r="G2075" s="5" t="s">
        <v>382</v>
      </c>
      <c r="H2075" s="5" t="s">
        <v>137</v>
      </c>
      <c r="I2075" s="5" t="s">
        <v>2350</v>
      </c>
      <c r="J2075" s="5" t="s">
        <v>2353</v>
      </c>
    </row>
    <row r="2076" spans="1:10" ht="25.5" x14ac:dyDescent="0.2">
      <c r="A2076" s="5" t="s">
        <v>2352</v>
      </c>
      <c r="B2076" s="5" t="s">
        <v>83</v>
      </c>
      <c r="C2076" s="5"/>
      <c r="D2076" s="5" t="s">
        <v>2351</v>
      </c>
      <c r="E2076" s="5" t="s">
        <v>150</v>
      </c>
      <c r="F2076" s="5" t="s">
        <v>2343</v>
      </c>
      <c r="G2076" s="5" t="s">
        <v>148</v>
      </c>
      <c r="H2076" s="5" t="s">
        <v>137</v>
      </c>
      <c r="I2076" s="5" t="s">
        <v>2350</v>
      </c>
      <c r="J2076" s="5" t="s">
        <v>2349</v>
      </c>
    </row>
    <row r="2077" spans="1:10" x14ac:dyDescent="0.2">
      <c r="A2077" s="5" t="s">
        <v>2348</v>
      </c>
      <c r="B2077" s="5" t="s">
        <v>83</v>
      </c>
      <c r="C2077" s="5"/>
      <c r="D2077" s="5" t="s">
        <v>2347</v>
      </c>
      <c r="E2077" s="5" t="s">
        <v>150</v>
      </c>
      <c r="F2077" s="5" t="s">
        <v>2343</v>
      </c>
      <c r="G2077" s="5" t="s">
        <v>148</v>
      </c>
      <c r="H2077" s="5" t="s">
        <v>3</v>
      </c>
      <c r="I2077" s="5"/>
      <c r="J2077" s="5" t="s">
        <v>2346</v>
      </c>
    </row>
    <row r="2078" spans="1:10" x14ac:dyDescent="0.2">
      <c r="A2078" s="5" t="s">
        <v>2345</v>
      </c>
      <c r="B2078" s="5" t="s">
        <v>83</v>
      </c>
      <c r="C2078" s="5"/>
      <c r="D2078" s="5" t="s">
        <v>2344</v>
      </c>
      <c r="E2078" s="5" t="s">
        <v>150</v>
      </c>
      <c r="F2078" s="5" t="s">
        <v>2343</v>
      </c>
      <c r="G2078" s="5" t="s">
        <v>148</v>
      </c>
      <c r="H2078" s="5" t="s">
        <v>3</v>
      </c>
      <c r="I2078" s="5"/>
      <c r="J2078" s="5" t="s">
        <v>2342</v>
      </c>
    </row>
    <row r="2079" spans="1:10" ht="25.5" x14ac:dyDescent="0.2">
      <c r="A2079" s="5" t="s">
        <v>2341</v>
      </c>
      <c r="B2079" s="5" t="s">
        <v>83</v>
      </c>
      <c r="C2079" s="5"/>
      <c r="D2079" s="5" t="s">
        <v>2340</v>
      </c>
      <c r="E2079" s="5" t="s">
        <v>150</v>
      </c>
      <c r="F2079" s="5" t="s">
        <v>424</v>
      </c>
      <c r="G2079" s="5" t="s">
        <v>148</v>
      </c>
      <c r="H2079" s="5" t="s">
        <v>137</v>
      </c>
      <c r="I2079" s="5" t="s">
        <v>2336</v>
      </c>
      <c r="J2079" s="5" t="s">
        <v>2339</v>
      </c>
    </row>
    <row r="2080" spans="1:10" ht="25.5" x14ac:dyDescent="0.2">
      <c r="A2080" s="5" t="s">
        <v>2338</v>
      </c>
      <c r="B2080" s="5" t="s">
        <v>83</v>
      </c>
      <c r="C2080" s="5"/>
      <c r="D2080" s="5" t="s">
        <v>2337</v>
      </c>
      <c r="E2080" s="5"/>
      <c r="F2080" s="5" t="s">
        <v>424</v>
      </c>
      <c r="G2080" s="5" t="s">
        <v>170</v>
      </c>
      <c r="H2080" s="5" t="s">
        <v>137</v>
      </c>
      <c r="I2080" s="5" t="s">
        <v>2336</v>
      </c>
      <c r="J2080" s="5" t="s">
        <v>2335</v>
      </c>
    </row>
    <row r="2081" spans="1:10" ht="25.5" x14ac:dyDescent="0.2">
      <c r="A2081" s="5" t="s">
        <v>2334</v>
      </c>
      <c r="B2081" s="5" t="s">
        <v>83</v>
      </c>
      <c r="C2081" s="5"/>
      <c r="D2081" s="5" t="s">
        <v>2333</v>
      </c>
      <c r="E2081" s="5"/>
      <c r="F2081" s="5" t="s">
        <v>2319</v>
      </c>
      <c r="G2081" s="5" t="s">
        <v>382</v>
      </c>
      <c r="H2081" s="5" t="s">
        <v>3</v>
      </c>
      <c r="I2081" s="5"/>
      <c r="J2081" s="5" t="s">
        <v>2332</v>
      </c>
    </row>
    <row r="2082" spans="1:10" ht="25.5" x14ac:dyDescent="0.2">
      <c r="A2082" s="5" t="s">
        <v>2331</v>
      </c>
      <c r="B2082" s="5" t="s">
        <v>83</v>
      </c>
      <c r="C2082" s="5"/>
      <c r="D2082" s="5" t="s">
        <v>2330</v>
      </c>
      <c r="E2082" s="5"/>
      <c r="F2082" s="5" t="s">
        <v>2319</v>
      </c>
      <c r="G2082" s="5" t="s">
        <v>382</v>
      </c>
      <c r="H2082" s="5" t="s">
        <v>137</v>
      </c>
      <c r="I2082" s="5" t="s">
        <v>2326</v>
      </c>
      <c r="J2082" s="5" t="s">
        <v>2329</v>
      </c>
    </row>
    <row r="2083" spans="1:10" ht="25.5" x14ac:dyDescent="0.2">
      <c r="A2083" s="5" t="s">
        <v>2328</v>
      </c>
      <c r="B2083" s="5" t="s">
        <v>83</v>
      </c>
      <c r="C2083" s="5"/>
      <c r="D2083" s="5" t="s">
        <v>2327</v>
      </c>
      <c r="E2083" s="5" t="s">
        <v>150</v>
      </c>
      <c r="F2083" s="5" t="s">
        <v>2319</v>
      </c>
      <c r="G2083" s="5" t="s">
        <v>148</v>
      </c>
      <c r="H2083" s="5" t="s">
        <v>137</v>
      </c>
      <c r="I2083" s="5" t="s">
        <v>2326</v>
      </c>
      <c r="J2083" s="5" t="s">
        <v>2325</v>
      </c>
    </row>
    <row r="2084" spans="1:10" x14ac:dyDescent="0.2">
      <c r="A2084" s="5" t="s">
        <v>2324</v>
      </c>
      <c r="B2084" s="5" t="s">
        <v>83</v>
      </c>
      <c r="C2084" s="5"/>
      <c r="D2084" s="5" t="s">
        <v>2323</v>
      </c>
      <c r="E2084" s="5" t="s">
        <v>150</v>
      </c>
      <c r="F2084" s="5" t="s">
        <v>2319</v>
      </c>
      <c r="G2084" s="5" t="s">
        <v>148</v>
      </c>
      <c r="H2084" s="5" t="s">
        <v>3</v>
      </c>
      <c r="I2084" s="5"/>
      <c r="J2084" s="5" t="s">
        <v>2322</v>
      </c>
    </row>
    <row r="2085" spans="1:10" x14ac:dyDescent="0.2">
      <c r="A2085" s="5" t="s">
        <v>2321</v>
      </c>
      <c r="B2085" s="5" t="s">
        <v>83</v>
      </c>
      <c r="C2085" s="5"/>
      <c r="D2085" s="5" t="s">
        <v>2320</v>
      </c>
      <c r="E2085" s="5" t="s">
        <v>150</v>
      </c>
      <c r="F2085" s="5" t="s">
        <v>2319</v>
      </c>
      <c r="G2085" s="5" t="s">
        <v>148</v>
      </c>
      <c r="H2085" s="5" t="s">
        <v>3</v>
      </c>
      <c r="I2085" s="5"/>
      <c r="J2085" s="5" t="s">
        <v>2318</v>
      </c>
    </row>
    <row r="2086" spans="1:10" ht="25.5" x14ac:dyDescent="0.2">
      <c r="A2086" s="5" t="s">
        <v>2317</v>
      </c>
      <c r="B2086" s="5" t="s">
        <v>83</v>
      </c>
      <c r="C2086" s="5"/>
      <c r="D2086" s="5" t="s">
        <v>2316</v>
      </c>
      <c r="E2086" s="5" t="s">
        <v>150</v>
      </c>
      <c r="F2086" s="5" t="s">
        <v>424</v>
      </c>
      <c r="G2086" s="5" t="s">
        <v>148</v>
      </c>
      <c r="H2086" s="5" t="s">
        <v>137</v>
      </c>
      <c r="I2086" s="5" t="s">
        <v>2312</v>
      </c>
      <c r="J2086" s="5" t="s">
        <v>2315</v>
      </c>
    </row>
    <row r="2087" spans="1:10" ht="25.5" x14ac:dyDescent="0.2">
      <c r="A2087" s="5" t="s">
        <v>2314</v>
      </c>
      <c r="B2087" s="5" t="s">
        <v>83</v>
      </c>
      <c r="C2087" s="5"/>
      <c r="D2087" s="5" t="s">
        <v>2313</v>
      </c>
      <c r="E2087" s="5"/>
      <c r="F2087" s="5" t="s">
        <v>424</v>
      </c>
      <c r="G2087" s="5" t="s">
        <v>170</v>
      </c>
      <c r="H2087" s="5" t="s">
        <v>137</v>
      </c>
      <c r="I2087" s="5" t="s">
        <v>2312</v>
      </c>
      <c r="J2087" s="5" t="s">
        <v>2311</v>
      </c>
    </row>
    <row r="2088" spans="1:10" ht="25.5" x14ac:dyDescent="0.2">
      <c r="A2088" s="5" t="s">
        <v>2310</v>
      </c>
      <c r="B2088" s="5" t="s">
        <v>83</v>
      </c>
      <c r="C2088" s="5"/>
      <c r="D2088" s="5" t="s">
        <v>2309</v>
      </c>
      <c r="E2088" s="5"/>
      <c r="F2088" s="5" t="s">
        <v>106</v>
      </c>
      <c r="G2088" s="5" t="s">
        <v>2308</v>
      </c>
      <c r="H2088" s="5"/>
      <c r="I2088" s="5"/>
      <c r="J2088" s="5" t="s">
        <v>2307</v>
      </c>
    </row>
    <row r="2089" spans="1:10" ht="25.5" x14ac:dyDescent="0.2">
      <c r="A2089" s="5" t="s">
        <v>2306</v>
      </c>
      <c r="B2089" s="5" t="s">
        <v>83</v>
      </c>
      <c r="C2089" s="5"/>
      <c r="D2089" s="5" t="s">
        <v>2305</v>
      </c>
      <c r="E2089" s="5"/>
      <c r="F2089" s="5" t="s">
        <v>424</v>
      </c>
      <c r="G2089" s="5" t="s">
        <v>170</v>
      </c>
      <c r="H2089" s="5" t="s">
        <v>137</v>
      </c>
      <c r="I2089" s="5" t="s">
        <v>2304</v>
      </c>
      <c r="J2089" s="5" t="s">
        <v>2303</v>
      </c>
    </row>
    <row r="2090" spans="1:10" ht="25.5" x14ac:dyDescent="0.2">
      <c r="A2090" s="5" t="s">
        <v>2302</v>
      </c>
      <c r="B2090" s="5" t="s">
        <v>83</v>
      </c>
      <c r="C2090" s="5"/>
      <c r="D2090" s="5" t="s">
        <v>2301</v>
      </c>
      <c r="E2090" s="5"/>
      <c r="F2090" s="5" t="s">
        <v>2287</v>
      </c>
      <c r="G2090" s="5" t="s">
        <v>382</v>
      </c>
      <c r="H2090" s="5" t="s">
        <v>3</v>
      </c>
      <c r="I2090" s="5"/>
      <c r="J2090" s="5" t="s">
        <v>2300</v>
      </c>
    </row>
    <row r="2091" spans="1:10" ht="25.5" x14ac:dyDescent="0.2">
      <c r="A2091" s="5" t="s">
        <v>2299</v>
      </c>
      <c r="B2091" s="5" t="s">
        <v>83</v>
      </c>
      <c r="C2091" s="5"/>
      <c r="D2091" s="5" t="s">
        <v>2298</v>
      </c>
      <c r="E2091" s="5"/>
      <c r="F2091" s="5" t="s">
        <v>2287</v>
      </c>
      <c r="G2091" s="5" t="s">
        <v>382</v>
      </c>
      <c r="H2091" s="5" t="s">
        <v>137</v>
      </c>
      <c r="I2091" s="5" t="s">
        <v>2294</v>
      </c>
      <c r="J2091" s="5" t="s">
        <v>2297</v>
      </c>
    </row>
    <row r="2092" spans="1:10" ht="25.5" x14ac:dyDescent="0.2">
      <c r="A2092" s="5" t="s">
        <v>2296</v>
      </c>
      <c r="B2092" s="5" t="s">
        <v>83</v>
      </c>
      <c r="C2092" s="5"/>
      <c r="D2092" s="5" t="s">
        <v>2295</v>
      </c>
      <c r="E2092" s="5" t="s">
        <v>150</v>
      </c>
      <c r="F2092" s="5" t="s">
        <v>2287</v>
      </c>
      <c r="G2092" s="5" t="s">
        <v>148</v>
      </c>
      <c r="H2092" s="5" t="s">
        <v>137</v>
      </c>
      <c r="I2092" s="5" t="s">
        <v>2294</v>
      </c>
      <c r="J2092" s="5" t="s">
        <v>2293</v>
      </c>
    </row>
    <row r="2093" spans="1:10" x14ac:dyDescent="0.2">
      <c r="A2093" s="5" t="s">
        <v>2292</v>
      </c>
      <c r="B2093" s="5" t="s">
        <v>83</v>
      </c>
      <c r="C2093" s="5"/>
      <c r="D2093" s="5" t="s">
        <v>2291</v>
      </c>
      <c r="E2093" s="5" t="s">
        <v>150</v>
      </c>
      <c r="F2093" s="5" t="s">
        <v>2287</v>
      </c>
      <c r="G2093" s="5" t="s">
        <v>148</v>
      </c>
      <c r="H2093" s="5" t="s">
        <v>3</v>
      </c>
      <c r="I2093" s="5"/>
      <c r="J2093" s="5" t="s">
        <v>2290</v>
      </c>
    </row>
    <row r="2094" spans="1:10" x14ac:dyDescent="0.2">
      <c r="A2094" s="5" t="s">
        <v>2289</v>
      </c>
      <c r="B2094" s="5" t="s">
        <v>83</v>
      </c>
      <c r="C2094" s="5"/>
      <c r="D2094" s="5" t="s">
        <v>2288</v>
      </c>
      <c r="E2094" s="5" t="s">
        <v>150</v>
      </c>
      <c r="F2094" s="5" t="s">
        <v>2287</v>
      </c>
      <c r="G2094" s="5" t="s">
        <v>148</v>
      </c>
      <c r="H2094" s="5" t="s">
        <v>3</v>
      </c>
      <c r="I2094" s="5"/>
      <c r="J2094" s="5" t="s">
        <v>2286</v>
      </c>
    </row>
    <row r="2095" spans="1:10" ht="25.5" x14ac:dyDescent="0.2">
      <c r="A2095" s="5" t="s">
        <v>2285</v>
      </c>
      <c r="B2095" s="5" t="s">
        <v>83</v>
      </c>
      <c r="C2095" s="5"/>
      <c r="D2095" s="5" t="s">
        <v>2284</v>
      </c>
      <c r="E2095" s="5" t="s">
        <v>150</v>
      </c>
      <c r="F2095" s="5" t="s">
        <v>424</v>
      </c>
      <c r="G2095" s="5" t="s">
        <v>148</v>
      </c>
      <c r="H2095" s="5" t="s">
        <v>137</v>
      </c>
      <c r="I2095" s="5" t="s">
        <v>2280</v>
      </c>
      <c r="J2095" s="5" t="s">
        <v>2283</v>
      </c>
    </row>
    <row r="2096" spans="1:10" ht="25.5" x14ac:dyDescent="0.2">
      <c r="A2096" s="5" t="s">
        <v>2282</v>
      </c>
      <c r="B2096" s="5" t="s">
        <v>83</v>
      </c>
      <c r="C2096" s="5"/>
      <c r="D2096" s="5" t="s">
        <v>2281</v>
      </c>
      <c r="E2096" s="5"/>
      <c r="F2096" s="5" t="s">
        <v>424</v>
      </c>
      <c r="G2096" s="5" t="s">
        <v>170</v>
      </c>
      <c r="H2096" s="5" t="s">
        <v>137</v>
      </c>
      <c r="I2096" s="5" t="s">
        <v>2280</v>
      </c>
      <c r="J2096" s="5" t="s">
        <v>2279</v>
      </c>
    </row>
    <row r="2097" spans="1:10" x14ac:dyDescent="0.2">
      <c r="A2097" s="5" t="s">
        <v>2278</v>
      </c>
      <c r="B2097" s="5" t="s">
        <v>83</v>
      </c>
      <c r="C2097" s="5"/>
      <c r="D2097" s="5" t="s">
        <v>2277</v>
      </c>
      <c r="E2097" s="5"/>
      <c r="F2097" s="5" t="s">
        <v>106</v>
      </c>
      <c r="G2097" s="5" t="s">
        <v>91</v>
      </c>
      <c r="H2097" s="5" t="s">
        <v>137</v>
      </c>
      <c r="I2097" s="5" t="s">
        <v>154</v>
      </c>
      <c r="J2097" s="5" t="s">
        <v>2276</v>
      </c>
    </row>
    <row r="2098" spans="1:10" ht="25.5" x14ac:dyDescent="0.2">
      <c r="A2098" s="5" t="s">
        <v>2275</v>
      </c>
      <c r="B2098" s="5" t="s">
        <v>83</v>
      </c>
      <c r="C2098" s="5"/>
      <c r="D2098" s="5" t="s">
        <v>2274</v>
      </c>
      <c r="E2098" s="5"/>
      <c r="F2098" s="5" t="s">
        <v>2260</v>
      </c>
      <c r="G2098" s="5" t="s">
        <v>382</v>
      </c>
      <c r="H2098" s="5" t="s">
        <v>3</v>
      </c>
      <c r="I2098" s="5"/>
      <c r="J2098" s="5" t="s">
        <v>2273</v>
      </c>
    </row>
    <row r="2099" spans="1:10" ht="25.5" x14ac:dyDescent="0.2">
      <c r="A2099" s="5" t="s">
        <v>2272</v>
      </c>
      <c r="B2099" s="5" t="s">
        <v>83</v>
      </c>
      <c r="C2099" s="5"/>
      <c r="D2099" s="5" t="s">
        <v>2271</v>
      </c>
      <c r="E2099" s="5"/>
      <c r="F2099" s="5" t="s">
        <v>2260</v>
      </c>
      <c r="G2099" s="5" t="s">
        <v>382</v>
      </c>
      <c r="H2099" s="5" t="s">
        <v>137</v>
      </c>
      <c r="I2099" s="5" t="s">
        <v>2267</v>
      </c>
      <c r="J2099" s="5" t="s">
        <v>2270</v>
      </c>
    </row>
    <row r="2100" spans="1:10" ht="25.5" x14ac:dyDescent="0.2">
      <c r="A2100" s="5" t="s">
        <v>2269</v>
      </c>
      <c r="B2100" s="5" t="s">
        <v>83</v>
      </c>
      <c r="C2100" s="5"/>
      <c r="D2100" s="5" t="s">
        <v>2268</v>
      </c>
      <c r="E2100" s="5" t="s">
        <v>150</v>
      </c>
      <c r="F2100" s="5" t="s">
        <v>2260</v>
      </c>
      <c r="G2100" s="5" t="s">
        <v>148</v>
      </c>
      <c r="H2100" s="5" t="s">
        <v>137</v>
      </c>
      <c r="I2100" s="5" t="s">
        <v>2267</v>
      </c>
      <c r="J2100" s="5" t="s">
        <v>2266</v>
      </c>
    </row>
    <row r="2101" spans="1:10" x14ac:dyDescent="0.2">
      <c r="A2101" s="5" t="s">
        <v>2265</v>
      </c>
      <c r="B2101" s="5" t="s">
        <v>83</v>
      </c>
      <c r="C2101" s="5"/>
      <c r="D2101" s="5" t="s">
        <v>2264</v>
      </c>
      <c r="E2101" s="5" t="s">
        <v>150</v>
      </c>
      <c r="F2101" s="5" t="s">
        <v>2260</v>
      </c>
      <c r="G2101" s="5" t="s">
        <v>148</v>
      </c>
      <c r="H2101" s="5" t="s">
        <v>3</v>
      </c>
      <c r="I2101" s="5"/>
      <c r="J2101" s="5" t="s">
        <v>2263</v>
      </c>
    </row>
    <row r="2102" spans="1:10" x14ac:dyDescent="0.2">
      <c r="A2102" s="5" t="s">
        <v>2262</v>
      </c>
      <c r="B2102" s="5" t="s">
        <v>83</v>
      </c>
      <c r="C2102" s="5"/>
      <c r="D2102" s="5" t="s">
        <v>2261</v>
      </c>
      <c r="E2102" s="5" t="s">
        <v>150</v>
      </c>
      <c r="F2102" s="5" t="s">
        <v>2260</v>
      </c>
      <c r="G2102" s="5" t="s">
        <v>148</v>
      </c>
      <c r="H2102" s="5" t="s">
        <v>3</v>
      </c>
      <c r="I2102" s="5"/>
      <c r="J2102" s="5" t="s">
        <v>2259</v>
      </c>
    </row>
    <row r="2103" spans="1:10" ht="38.25" x14ac:dyDescent="0.2">
      <c r="A2103" s="5" t="s">
        <v>2258</v>
      </c>
      <c r="B2103" s="5" t="s">
        <v>83</v>
      </c>
      <c r="C2103" s="5"/>
      <c r="D2103" s="5" t="s">
        <v>2257</v>
      </c>
      <c r="E2103" s="5" t="s">
        <v>150</v>
      </c>
      <c r="F2103" s="5" t="s">
        <v>424</v>
      </c>
      <c r="G2103" s="5" t="s">
        <v>148</v>
      </c>
      <c r="H2103" s="5" t="s">
        <v>137</v>
      </c>
      <c r="I2103" s="5" t="s">
        <v>2253</v>
      </c>
      <c r="J2103" s="5" t="s">
        <v>2256</v>
      </c>
    </row>
    <row r="2104" spans="1:10" ht="38.25" x14ac:dyDescent="0.2">
      <c r="A2104" s="5" t="s">
        <v>2255</v>
      </c>
      <c r="B2104" s="5" t="s">
        <v>83</v>
      </c>
      <c r="C2104" s="5"/>
      <c r="D2104" s="5" t="s">
        <v>2254</v>
      </c>
      <c r="E2104" s="5"/>
      <c r="F2104" s="5" t="s">
        <v>424</v>
      </c>
      <c r="G2104" s="5" t="s">
        <v>170</v>
      </c>
      <c r="H2104" s="5" t="s">
        <v>137</v>
      </c>
      <c r="I2104" s="5" t="s">
        <v>2253</v>
      </c>
      <c r="J2104" s="5" t="s">
        <v>2252</v>
      </c>
    </row>
    <row r="2105" spans="1:10" ht="25.5" x14ac:dyDescent="0.2">
      <c r="A2105" s="5" t="s">
        <v>2251</v>
      </c>
      <c r="B2105" s="5" t="s">
        <v>83</v>
      </c>
      <c r="C2105" s="5"/>
      <c r="D2105" s="5" t="s">
        <v>2250</v>
      </c>
      <c r="E2105" s="5"/>
      <c r="F2105" s="5" t="s">
        <v>2249</v>
      </c>
      <c r="G2105" s="5" t="s">
        <v>148</v>
      </c>
      <c r="H2105" s="5" t="s">
        <v>3</v>
      </c>
      <c r="I2105" s="5"/>
      <c r="J2105" s="5" t="s">
        <v>2248</v>
      </c>
    </row>
    <row r="2106" spans="1:10" ht="25.5" x14ac:dyDescent="0.2">
      <c r="A2106" s="5" t="s">
        <v>2247</v>
      </c>
      <c r="B2106" s="5" t="s">
        <v>83</v>
      </c>
      <c r="C2106" s="5"/>
      <c r="D2106" s="5" t="s">
        <v>2246</v>
      </c>
      <c r="E2106" s="5"/>
      <c r="F2106" s="5" t="s">
        <v>2245</v>
      </c>
      <c r="G2106" s="5" t="s">
        <v>224</v>
      </c>
      <c r="H2106" s="5" t="s">
        <v>3</v>
      </c>
      <c r="I2106" s="5"/>
      <c r="J2106" s="5" t="s">
        <v>2244</v>
      </c>
    </row>
    <row r="2107" spans="1:10" x14ac:dyDescent="0.2">
      <c r="A2107" s="5" t="s">
        <v>2243</v>
      </c>
      <c r="B2107" s="5" t="s">
        <v>83</v>
      </c>
      <c r="C2107" s="5"/>
      <c r="D2107" s="5" t="s">
        <v>2242</v>
      </c>
      <c r="E2107" s="5" t="s">
        <v>213</v>
      </c>
      <c r="F2107" s="5" t="s">
        <v>2238</v>
      </c>
      <c r="G2107" s="5" t="s">
        <v>148</v>
      </c>
      <c r="H2107" s="5" t="s">
        <v>3</v>
      </c>
      <c r="I2107" s="5"/>
      <c r="J2107" s="5" t="s">
        <v>2241</v>
      </c>
    </row>
    <row r="2108" spans="1:10" x14ac:dyDescent="0.2">
      <c r="A2108" s="5" t="s">
        <v>2240</v>
      </c>
      <c r="B2108" s="5" t="s">
        <v>83</v>
      </c>
      <c r="C2108" s="5"/>
      <c r="D2108" s="5" t="s">
        <v>2239</v>
      </c>
      <c r="E2108" s="5" t="s">
        <v>93</v>
      </c>
      <c r="F2108" s="5" t="s">
        <v>2238</v>
      </c>
      <c r="G2108" s="5" t="s">
        <v>173</v>
      </c>
      <c r="H2108" s="5" t="s">
        <v>3</v>
      </c>
      <c r="I2108" s="5"/>
      <c r="J2108" s="5" t="s">
        <v>2237</v>
      </c>
    </row>
    <row r="2109" spans="1:10" x14ac:dyDescent="0.2">
      <c r="A2109" s="5" t="s">
        <v>2236</v>
      </c>
      <c r="B2109" s="5" t="s">
        <v>83</v>
      </c>
      <c r="C2109" s="5"/>
      <c r="D2109" s="5" t="s">
        <v>2235</v>
      </c>
      <c r="E2109" s="5" t="s">
        <v>138</v>
      </c>
      <c r="F2109" s="5"/>
      <c r="G2109" s="5" t="s">
        <v>91</v>
      </c>
      <c r="H2109" s="5" t="s">
        <v>3</v>
      </c>
      <c r="I2109" s="5"/>
      <c r="J2109" s="5"/>
    </row>
    <row r="2110" spans="1:10" x14ac:dyDescent="0.2">
      <c r="A2110" s="5" t="s">
        <v>2234</v>
      </c>
      <c r="B2110" s="5" t="s">
        <v>83</v>
      </c>
      <c r="C2110" s="5"/>
      <c r="D2110" s="5" t="s">
        <v>2233</v>
      </c>
      <c r="E2110" s="5" t="s">
        <v>247</v>
      </c>
      <c r="F2110" s="5" t="s">
        <v>2232</v>
      </c>
      <c r="G2110" s="5" t="s">
        <v>382</v>
      </c>
      <c r="H2110" s="5" t="s">
        <v>137</v>
      </c>
      <c r="I2110" s="5" t="s">
        <v>2231</v>
      </c>
      <c r="J2110" s="5" t="s">
        <v>2230</v>
      </c>
    </row>
    <row r="2111" spans="1:10" ht="25.5" x14ac:dyDescent="0.2">
      <c r="A2111" s="5" t="s">
        <v>2229</v>
      </c>
      <c r="B2111" s="5" t="s">
        <v>83</v>
      </c>
      <c r="C2111" s="5"/>
      <c r="D2111" s="5" t="s">
        <v>2228</v>
      </c>
      <c r="E2111" s="5"/>
      <c r="F2111" s="5" t="s">
        <v>2227</v>
      </c>
      <c r="G2111" s="5" t="s">
        <v>114</v>
      </c>
      <c r="H2111" s="5" t="s">
        <v>3</v>
      </c>
      <c r="I2111" s="5"/>
      <c r="J2111" s="5" t="s">
        <v>2226</v>
      </c>
    </row>
    <row r="2112" spans="1:10" x14ac:dyDescent="0.2">
      <c r="A2112" s="5" t="s">
        <v>2225</v>
      </c>
      <c r="B2112" s="5" t="s">
        <v>83</v>
      </c>
      <c r="C2112" s="5"/>
      <c r="D2112" s="5" t="s">
        <v>2224</v>
      </c>
      <c r="E2112" s="5"/>
      <c r="F2112" s="5"/>
      <c r="G2112" s="5" t="s">
        <v>91</v>
      </c>
      <c r="H2112" s="5" t="s">
        <v>137</v>
      </c>
      <c r="I2112" s="5"/>
      <c r="J2112" s="5"/>
    </row>
    <row r="2113" spans="1:10" x14ac:dyDescent="0.2">
      <c r="A2113" s="5" t="s">
        <v>2223</v>
      </c>
      <c r="B2113" s="5" t="s">
        <v>83</v>
      </c>
      <c r="C2113" s="5"/>
      <c r="D2113" s="5" t="s">
        <v>2216</v>
      </c>
      <c r="E2113" s="5" t="s">
        <v>138</v>
      </c>
      <c r="F2113" s="5" t="s">
        <v>2215</v>
      </c>
      <c r="G2113" s="5" t="s">
        <v>91</v>
      </c>
      <c r="H2113" s="5" t="s">
        <v>3</v>
      </c>
      <c r="I2113" s="5"/>
      <c r="J2113" s="5" t="s">
        <v>2222</v>
      </c>
    </row>
    <row r="2114" spans="1:10" ht="25.5" x14ac:dyDescent="0.2">
      <c r="A2114" s="5" t="s">
        <v>2221</v>
      </c>
      <c r="B2114" s="5" t="s">
        <v>83</v>
      </c>
      <c r="C2114" s="5"/>
      <c r="D2114" s="5" t="s">
        <v>2220</v>
      </c>
      <c r="E2114" s="5"/>
      <c r="F2114" s="5" t="s">
        <v>2219</v>
      </c>
      <c r="G2114" s="5" t="s">
        <v>148</v>
      </c>
      <c r="H2114" s="5" t="s">
        <v>137</v>
      </c>
      <c r="I2114" s="5" t="s">
        <v>263</v>
      </c>
      <c r="J2114" s="5" t="s">
        <v>2218</v>
      </c>
    </row>
    <row r="2115" spans="1:10" x14ac:dyDescent="0.2">
      <c r="A2115" s="5" t="s">
        <v>2217</v>
      </c>
      <c r="B2115" s="5" t="s">
        <v>83</v>
      </c>
      <c r="C2115" s="5"/>
      <c r="D2115" s="5" t="s">
        <v>2216</v>
      </c>
      <c r="E2115" s="5"/>
      <c r="F2115" s="5" t="s">
        <v>2215</v>
      </c>
      <c r="G2115" s="5" t="s">
        <v>148</v>
      </c>
      <c r="H2115" s="5" t="s">
        <v>3</v>
      </c>
      <c r="I2115" s="5"/>
      <c r="J2115" s="5" t="s">
        <v>2214</v>
      </c>
    </row>
    <row r="2116" spans="1:10" x14ac:dyDescent="0.2">
      <c r="A2116" s="5" t="s">
        <v>2213</v>
      </c>
      <c r="B2116" s="5" t="s">
        <v>83</v>
      </c>
      <c r="C2116" s="5"/>
      <c r="D2116" s="5" t="s">
        <v>2212</v>
      </c>
      <c r="E2116" s="5"/>
      <c r="F2116" s="5" t="s">
        <v>2126</v>
      </c>
      <c r="G2116" s="5" t="s">
        <v>382</v>
      </c>
      <c r="H2116" s="5" t="s">
        <v>3</v>
      </c>
      <c r="I2116" s="5"/>
      <c r="J2116" s="5" t="s">
        <v>2211</v>
      </c>
    </row>
    <row r="2117" spans="1:10" ht="25.5" x14ac:dyDescent="0.2">
      <c r="A2117" s="5" t="s">
        <v>2210</v>
      </c>
      <c r="B2117" s="5" t="s">
        <v>83</v>
      </c>
      <c r="C2117" s="5"/>
      <c r="D2117" s="5" t="s">
        <v>2209</v>
      </c>
      <c r="E2117" s="5"/>
      <c r="F2117" s="5" t="s">
        <v>2195</v>
      </c>
      <c r="G2117" s="5" t="s">
        <v>382</v>
      </c>
      <c r="H2117" s="5" t="s">
        <v>3</v>
      </c>
      <c r="I2117" s="5"/>
      <c r="J2117" s="5" t="s">
        <v>2208</v>
      </c>
    </row>
    <row r="2118" spans="1:10" ht="25.5" x14ac:dyDescent="0.2">
      <c r="A2118" s="5" t="s">
        <v>2207</v>
      </c>
      <c r="B2118" s="5" t="s">
        <v>83</v>
      </c>
      <c r="C2118" s="5"/>
      <c r="D2118" s="5" t="s">
        <v>2206</v>
      </c>
      <c r="E2118" s="5"/>
      <c r="F2118" s="5" t="s">
        <v>2195</v>
      </c>
      <c r="G2118" s="5" t="s">
        <v>382</v>
      </c>
      <c r="H2118" s="5" t="s">
        <v>137</v>
      </c>
      <c r="I2118" s="5" t="s">
        <v>2202</v>
      </c>
      <c r="J2118" s="5" t="s">
        <v>2205</v>
      </c>
    </row>
    <row r="2119" spans="1:10" ht="25.5" x14ac:dyDescent="0.2">
      <c r="A2119" s="5" t="s">
        <v>2204</v>
      </c>
      <c r="B2119" s="5" t="s">
        <v>83</v>
      </c>
      <c r="C2119" s="5"/>
      <c r="D2119" s="5" t="s">
        <v>2203</v>
      </c>
      <c r="E2119" s="5" t="s">
        <v>150</v>
      </c>
      <c r="F2119" s="5" t="s">
        <v>2195</v>
      </c>
      <c r="G2119" s="5" t="s">
        <v>148</v>
      </c>
      <c r="H2119" s="5" t="s">
        <v>137</v>
      </c>
      <c r="I2119" s="5" t="s">
        <v>2202</v>
      </c>
      <c r="J2119" s="5" t="s">
        <v>2201</v>
      </c>
    </row>
    <row r="2120" spans="1:10" x14ac:dyDescent="0.2">
      <c r="A2120" s="5" t="s">
        <v>2200</v>
      </c>
      <c r="B2120" s="5" t="s">
        <v>83</v>
      </c>
      <c r="C2120" s="5"/>
      <c r="D2120" s="5" t="s">
        <v>2199</v>
      </c>
      <c r="E2120" s="5" t="s">
        <v>150</v>
      </c>
      <c r="F2120" s="5" t="s">
        <v>2195</v>
      </c>
      <c r="G2120" s="5" t="s">
        <v>148</v>
      </c>
      <c r="H2120" s="5" t="s">
        <v>3</v>
      </c>
      <c r="I2120" s="5"/>
      <c r="J2120" s="5" t="s">
        <v>2198</v>
      </c>
    </row>
    <row r="2121" spans="1:10" x14ac:dyDescent="0.2">
      <c r="A2121" s="5" t="s">
        <v>2197</v>
      </c>
      <c r="B2121" s="5" t="s">
        <v>83</v>
      </c>
      <c r="C2121" s="5"/>
      <c r="D2121" s="5" t="s">
        <v>2196</v>
      </c>
      <c r="E2121" s="5" t="s">
        <v>150</v>
      </c>
      <c r="F2121" s="5" t="s">
        <v>2195</v>
      </c>
      <c r="G2121" s="5" t="s">
        <v>148</v>
      </c>
      <c r="H2121" s="5" t="s">
        <v>3</v>
      </c>
      <c r="I2121" s="5"/>
      <c r="J2121" s="5" t="s">
        <v>2194</v>
      </c>
    </row>
    <row r="2122" spans="1:10" ht="25.5" x14ac:dyDescent="0.2">
      <c r="A2122" s="5" t="s">
        <v>2193</v>
      </c>
      <c r="B2122" s="5" t="s">
        <v>83</v>
      </c>
      <c r="C2122" s="5"/>
      <c r="D2122" s="5" t="s">
        <v>2192</v>
      </c>
      <c r="E2122" s="5" t="s">
        <v>150</v>
      </c>
      <c r="F2122" s="5" t="s">
        <v>424</v>
      </c>
      <c r="G2122" s="5" t="s">
        <v>148</v>
      </c>
      <c r="H2122" s="5" t="s">
        <v>137</v>
      </c>
      <c r="I2122" s="5" t="s">
        <v>2188</v>
      </c>
      <c r="J2122" s="5" t="s">
        <v>2191</v>
      </c>
    </row>
    <row r="2123" spans="1:10" ht="25.5" x14ac:dyDescent="0.2">
      <c r="A2123" s="5" t="s">
        <v>2190</v>
      </c>
      <c r="B2123" s="5" t="s">
        <v>83</v>
      </c>
      <c r="C2123" s="5"/>
      <c r="D2123" s="5" t="s">
        <v>2189</v>
      </c>
      <c r="E2123" s="5"/>
      <c r="F2123" s="5" t="s">
        <v>424</v>
      </c>
      <c r="G2123" s="5" t="s">
        <v>170</v>
      </c>
      <c r="H2123" s="5" t="s">
        <v>137</v>
      </c>
      <c r="I2123" s="5" t="s">
        <v>2188</v>
      </c>
      <c r="J2123" s="5" t="s">
        <v>2187</v>
      </c>
    </row>
    <row r="2124" spans="1:10" ht="25.5" x14ac:dyDescent="0.2">
      <c r="A2124" s="5" t="s">
        <v>2186</v>
      </c>
      <c r="B2124" s="5" t="s">
        <v>83</v>
      </c>
      <c r="C2124" s="5"/>
      <c r="D2124" s="5" t="s">
        <v>2185</v>
      </c>
      <c r="E2124" s="5"/>
      <c r="F2124" s="5" t="s">
        <v>2171</v>
      </c>
      <c r="G2124" s="5" t="s">
        <v>382</v>
      </c>
      <c r="H2124" s="5" t="s">
        <v>3</v>
      </c>
      <c r="I2124" s="5"/>
      <c r="J2124" s="5" t="s">
        <v>2184</v>
      </c>
    </row>
    <row r="2125" spans="1:10" ht="25.5" x14ac:dyDescent="0.2">
      <c r="A2125" s="5" t="s">
        <v>2183</v>
      </c>
      <c r="B2125" s="5" t="s">
        <v>83</v>
      </c>
      <c r="C2125" s="5"/>
      <c r="D2125" s="5" t="s">
        <v>2182</v>
      </c>
      <c r="E2125" s="5"/>
      <c r="F2125" s="5" t="s">
        <v>2171</v>
      </c>
      <c r="G2125" s="5" t="s">
        <v>382</v>
      </c>
      <c r="H2125" s="5" t="s">
        <v>137</v>
      </c>
      <c r="I2125" s="5" t="s">
        <v>2178</v>
      </c>
      <c r="J2125" s="5" t="s">
        <v>2181</v>
      </c>
    </row>
    <row r="2126" spans="1:10" ht="25.5" x14ac:dyDescent="0.2">
      <c r="A2126" s="5" t="s">
        <v>2180</v>
      </c>
      <c r="B2126" s="5" t="s">
        <v>83</v>
      </c>
      <c r="C2126" s="5"/>
      <c r="D2126" s="5" t="s">
        <v>2179</v>
      </c>
      <c r="E2126" s="5" t="s">
        <v>150</v>
      </c>
      <c r="F2126" s="5" t="s">
        <v>2171</v>
      </c>
      <c r="G2126" s="5" t="s">
        <v>148</v>
      </c>
      <c r="H2126" s="5" t="s">
        <v>137</v>
      </c>
      <c r="I2126" s="5" t="s">
        <v>2178</v>
      </c>
      <c r="J2126" s="5" t="s">
        <v>2177</v>
      </c>
    </row>
    <row r="2127" spans="1:10" x14ac:dyDescent="0.2">
      <c r="A2127" s="5" t="s">
        <v>2176</v>
      </c>
      <c r="B2127" s="5" t="s">
        <v>83</v>
      </c>
      <c r="C2127" s="5"/>
      <c r="D2127" s="5" t="s">
        <v>2175</v>
      </c>
      <c r="E2127" s="5" t="s">
        <v>150</v>
      </c>
      <c r="F2127" s="5" t="s">
        <v>2171</v>
      </c>
      <c r="G2127" s="5" t="s">
        <v>148</v>
      </c>
      <c r="H2127" s="5" t="s">
        <v>3</v>
      </c>
      <c r="I2127" s="5"/>
      <c r="J2127" s="5" t="s">
        <v>2174</v>
      </c>
    </row>
    <row r="2128" spans="1:10" x14ac:dyDescent="0.2">
      <c r="A2128" s="5" t="s">
        <v>2173</v>
      </c>
      <c r="B2128" s="5" t="s">
        <v>83</v>
      </c>
      <c r="C2128" s="5"/>
      <c r="D2128" s="5" t="s">
        <v>2172</v>
      </c>
      <c r="E2128" s="5" t="s">
        <v>150</v>
      </c>
      <c r="F2128" s="5" t="s">
        <v>2171</v>
      </c>
      <c r="G2128" s="5" t="s">
        <v>148</v>
      </c>
      <c r="H2128" s="5" t="s">
        <v>3</v>
      </c>
      <c r="I2128" s="5"/>
      <c r="J2128" s="5" t="s">
        <v>2170</v>
      </c>
    </row>
    <row r="2129" spans="1:10" ht="25.5" x14ac:dyDescent="0.2">
      <c r="A2129" s="5" t="s">
        <v>2169</v>
      </c>
      <c r="B2129" s="5" t="s">
        <v>83</v>
      </c>
      <c r="C2129" s="5"/>
      <c r="D2129" s="5" t="s">
        <v>2168</v>
      </c>
      <c r="E2129" s="5" t="s">
        <v>150</v>
      </c>
      <c r="F2129" s="5" t="s">
        <v>424</v>
      </c>
      <c r="G2129" s="5" t="s">
        <v>148</v>
      </c>
      <c r="H2129" s="5" t="s">
        <v>137</v>
      </c>
      <c r="I2129" s="5" t="s">
        <v>2164</v>
      </c>
      <c r="J2129" s="5" t="s">
        <v>2167</v>
      </c>
    </row>
    <row r="2130" spans="1:10" ht="25.5" x14ac:dyDescent="0.2">
      <c r="A2130" s="5" t="s">
        <v>2166</v>
      </c>
      <c r="B2130" s="5" t="s">
        <v>83</v>
      </c>
      <c r="C2130" s="5"/>
      <c r="D2130" s="5" t="s">
        <v>2165</v>
      </c>
      <c r="E2130" s="5"/>
      <c r="F2130" s="5" t="s">
        <v>424</v>
      </c>
      <c r="G2130" s="5" t="s">
        <v>170</v>
      </c>
      <c r="H2130" s="5" t="s">
        <v>137</v>
      </c>
      <c r="I2130" s="5" t="s">
        <v>2164</v>
      </c>
      <c r="J2130" s="5" t="s">
        <v>2163</v>
      </c>
    </row>
    <row r="2131" spans="1:10" x14ac:dyDescent="0.2">
      <c r="A2131" s="5" t="s">
        <v>2162</v>
      </c>
      <c r="B2131" s="5" t="s">
        <v>83</v>
      </c>
      <c r="C2131" s="5"/>
      <c r="D2131" s="5" t="s">
        <v>2161</v>
      </c>
      <c r="E2131" s="5"/>
      <c r="F2131" s="5" t="s">
        <v>2126</v>
      </c>
      <c r="G2131" s="5" t="s">
        <v>382</v>
      </c>
      <c r="H2131" s="5" t="s">
        <v>137</v>
      </c>
      <c r="I2131" s="5" t="s">
        <v>2133</v>
      </c>
      <c r="J2131" s="5" t="s">
        <v>2160</v>
      </c>
    </row>
    <row r="2132" spans="1:10" x14ac:dyDescent="0.2">
      <c r="A2132" s="5" t="s">
        <v>2159</v>
      </c>
      <c r="B2132" s="5" t="s">
        <v>83</v>
      </c>
      <c r="C2132" s="5"/>
      <c r="D2132" s="5" t="s">
        <v>2158</v>
      </c>
      <c r="E2132" s="5"/>
      <c r="F2132" s="5" t="s">
        <v>2144</v>
      </c>
      <c r="G2132" s="5" t="s">
        <v>382</v>
      </c>
      <c r="H2132" s="5" t="s">
        <v>3</v>
      </c>
      <c r="I2132" s="5"/>
      <c r="J2132" s="5" t="s">
        <v>2157</v>
      </c>
    </row>
    <row r="2133" spans="1:10" x14ac:dyDescent="0.2">
      <c r="A2133" s="5" t="s">
        <v>2156</v>
      </c>
      <c r="B2133" s="5" t="s">
        <v>83</v>
      </c>
      <c r="C2133" s="5"/>
      <c r="D2133" s="5" t="s">
        <v>2155</v>
      </c>
      <c r="E2133" s="5"/>
      <c r="F2133" s="5" t="s">
        <v>2144</v>
      </c>
      <c r="G2133" s="5" t="s">
        <v>382</v>
      </c>
      <c r="H2133" s="5" t="s">
        <v>137</v>
      </c>
      <c r="I2133" s="5" t="s">
        <v>2151</v>
      </c>
      <c r="J2133" s="5" t="s">
        <v>2154</v>
      </c>
    </row>
    <row r="2134" spans="1:10" x14ac:dyDescent="0.2">
      <c r="A2134" s="5" t="s">
        <v>2153</v>
      </c>
      <c r="B2134" s="5" t="s">
        <v>83</v>
      </c>
      <c r="C2134" s="5"/>
      <c r="D2134" s="5" t="s">
        <v>2152</v>
      </c>
      <c r="E2134" s="5" t="s">
        <v>150</v>
      </c>
      <c r="F2134" s="5" t="s">
        <v>2144</v>
      </c>
      <c r="G2134" s="5" t="s">
        <v>148</v>
      </c>
      <c r="H2134" s="5" t="s">
        <v>137</v>
      </c>
      <c r="I2134" s="5" t="s">
        <v>2151</v>
      </c>
      <c r="J2134" s="5" t="s">
        <v>2150</v>
      </c>
    </row>
    <row r="2135" spans="1:10" x14ac:dyDescent="0.2">
      <c r="A2135" s="5" t="s">
        <v>2149</v>
      </c>
      <c r="B2135" s="5" t="s">
        <v>83</v>
      </c>
      <c r="C2135" s="5"/>
      <c r="D2135" s="5" t="s">
        <v>2148</v>
      </c>
      <c r="E2135" s="5" t="s">
        <v>150</v>
      </c>
      <c r="F2135" s="5" t="s">
        <v>2144</v>
      </c>
      <c r="G2135" s="5" t="s">
        <v>148</v>
      </c>
      <c r="H2135" s="5" t="s">
        <v>3</v>
      </c>
      <c r="I2135" s="5"/>
      <c r="J2135" s="5" t="s">
        <v>2147</v>
      </c>
    </row>
    <row r="2136" spans="1:10" x14ac:dyDescent="0.2">
      <c r="A2136" s="5" t="s">
        <v>2146</v>
      </c>
      <c r="B2136" s="5" t="s">
        <v>83</v>
      </c>
      <c r="C2136" s="5"/>
      <c r="D2136" s="5" t="s">
        <v>2145</v>
      </c>
      <c r="E2136" s="5" t="s">
        <v>150</v>
      </c>
      <c r="F2136" s="5" t="s">
        <v>2144</v>
      </c>
      <c r="G2136" s="5" t="s">
        <v>148</v>
      </c>
      <c r="H2136" s="5" t="s">
        <v>3</v>
      </c>
      <c r="I2136" s="5"/>
      <c r="J2136" s="5" t="s">
        <v>2143</v>
      </c>
    </row>
    <row r="2137" spans="1:10" ht="25.5" x14ac:dyDescent="0.2">
      <c r="A2137" s="5" t="s">
        <v>2142</v>
      </c>
      <c r="B2137" s="5" t="s">
        <v>83</v>
      </c>
      <c r="C2137" s="5"/>
      <c r="D2137" s="5" t="s">
        <v>2141</v>
      </c>
      <c r="E2137" s="5" t="s">
        <v>150</v>
      </c>
      <c r="F2137" s="5" t="s">
        <v>424</v>
      </c>
      <c r="G2137" s="5" t="s">
        <v>148</v>
      </c>
      <c r="H2137" s="5" t="s">
        <v>137</v>
      </c>
      <c r="I2137" s="5" t="s">
        <v>2137</v>
      </c>
      <c r="J2137" s="5" t="s">
        <v>2140</v>
      </c>
    </row>
    <row r="2138" spans="1:10" ht="25.5" x14ac:dyDescent="0.2">
      <c r="A2138" s="5" t="s">
        <v>2139</v>
      </c>
      <c r="B2138" s="5" t="s">
        <v>83</v>
      </c>
      <c r="C2138" s="5"/>
      <c r="D2138" s="5" t="s">
        <v>2138</v>
      </c>
      <c r="E2138" s="5"/>
      <c r="F2138" s="5" t="s">
        <v>424</v>
      </c>
      <c r="G2138" s="5" t="s">
        <v>170</v>
      </c>
      <c r="H2138" s="5" t="s">
        <v>137</v>
      </c>
      <c r="I2138" s="5" t="s">
        <v>2137</v>
      </c>
      <c r="J2138" s="5" t="s">
        <v>2136</v>
      </c>
    </row>
    <row r="2139" spans="1:10" x14ac:dyDescent="0.2">
      <c r="A2139" s="5" t="s">
        <v>2135</v>
      </c>
      <c r="B2139" s="5" t="s">
        <v>83</v>
      </c>
      <c r="C2139" s="5"/>
      <c r="D2139" s="5" t="s">
        <v>2134</v>
      </c>
      <c r="E2139" s="5" t="s">
        <v>150</v>
      </c>
      <c r="F2139" s="5" t="s">
        <v>2126</v>
      </c>
      <c r="G2139" s="5" t="s">
        <v>148</v>
      </c>
      <c r="H2139" s="5" t="s">
        <v>137</v>
      </c>
      <c r="I2139" s="5" t="s">
        <v>2133</v>
      </c>
      <c r="J2139" s="5" t="s">
        <v>2132</v>
      </c>
    </row>
    <row r="2140" spans="1:10" x14ac:dyDescent="0.2">
      <c r="A2140" s="5" t="s">
        <v>2131</v>
      </c>
      <c r="B2140" s="5" t="s">
        <v>83</v>
      </c>
      <c r="C2140" s="5"/>
      <c r="D2140" s="5" t="s">
        <v>2130</v>
      </c>
      <c r="E2140" s="5" t="s">
        <v>150</v>
      </c>
      <c r="F2140" s="5" t="s">
        <v>2126</v>
      </c>
      <c r="G2140" s="5" t="s">
        <v>148</v>
      </c>
      <c r="H2140" s="5" t="s">
        <v>3</v>
      </c>
      <c r="I2140" s="5"/>
      <c r="J2140" s="5" t="s">
        <v>2129</v>
      </c>
    </row>
    <row r="2141" spans="1:10" x14ac:dyDescent="0.2">
      <c r="A2141" s="5" t="s">
        <v>2128</v>
      </c>
      <c r="B2141" s="5" t="s">
        <v>83</v>
      </c>
      <c r="C2141" s="5"/>
      <c r="D2141" s="5" t="s">
        <v>2127</v>
      </c>
      <c r="E2141" s="5" t="s">
        <v>150</v>
      </c>
      <c r="F2141" s="5" t="s">
        <v>2126</v>
      </c>
      <c r="G2141" s="5" t="s">
        <v>148</v>
      </c>
      <c r="H2141" s="5" t="s">
        <v>3</v>
      </c>
      <c r="I2141" s="5"/>
      <c r="J2141" s="5" t="s">
        <v>2125</v>
      </c>
    </row>
    <row r="2142" spans="1:10" x14ac:dyDescent="0.2">
      <c r="A2142" s="5" t="s">
        <v>2124</v>
      </c>
      <c r="B2142" s="5" t="s">
        <v>83</v>
      </c>
      <c r="C2142" s="5"/>
      <c r="D2142" s="5" t="s">
        <v>2123</v>
      </c>
      <c r="E2142" s="5" t="s">
        <v>150</v>
      </c>
      <c r="F2142" s="5" t="s">
        <v>424</v>
      </c>
      <c r="G2142" s="5" t="s">
        <v>148</v>
      </c>
      <c r="H2142" s="5" t="s">
        <v>137</v>
      </c>
      <c r="I2142" s="5" t="s">
        <v>1887</v>
      </c>
      <c r="J2142" s="5" t="s">
        <v>2122</v>
      </c>
    </row>
    <row r="2143" spans="1:10" ht="25.5" x14ac:dyDescent="0.2">
      <c r="A2143" s="5" t="s">
        <v>2121</v>
      </c>
      <c r="B2143" s="5" t="s">
        <v>83</v>
      </c>
      <c r="C2143" s="5"/>
      <c r="D2143" s="5" t="s">
        <v>2120</v>
      </c>
      <c r="E2143" s="5"/>
      <c r="F2143" s="5" t="s">
        <v>2106</v>
      </c>
      <c r="G2143" s="5" t="s">
        <v>382</v>
      </c>
      <c r="H2143" s="5" t="s">
        <v>3</v>
      </c>
      <c r="I2143" s="5"/>
      <c r="J2143" s="5" t="s">
        <v>2119</v>
      </c>
    </row>
    <row r="2144" spans="1:10" ht="25.5" x14ac:dyDescent="0.2">
      <c r="A2144" s="5" t="s">
        <v>2118</v>
      </c>
      <c r="B2144" s="5" t="s">
        <v>83</v>
      </c>
      <c r="C2144" s="5"/>
      <c r="D2144" s="5" t="s">
        <v>2117</v>
      </c>
      <c r="E2144" s="5"/>
      <c r="F2144" s="5" t="s">
        <v>2106</v>
      </c>
      <c r="G2144" s="5" t="s">
        <v>382</v>
      </c>
      <c r="H2144" s="5" t="s">
        <v>137</v>
      </c>
      <c r="I2144" s="5" t="s">
        <v>2113</v>
      </c>
      <c r="J2144" s="5" t="s">
        <v>2116</v>
      </c>
    </row>
    <row r="2145" spans="1:10" ht="25.5" x14ac:dyDescent="0.2">
      <c r="A2145" s="5" t="s">
        <v>2115</v>
      </c>
      <c r="B2145" s="5" t="s">
        <v>83</v>
      </c>
      <c r="C2145" s="5"/>
      <c r="D2145" s="5" t="s">
        <v>2114</v>
      </c>
      <c r="E2145" s="5" t="s">
        <v>150</v>
      </c>
      <c r="F2145" s="5" t="s">
        <v>2106</v>
      </c>
      <c r="G2145" s="5" t="s">
        <v>148</v>
      </c>
      <c r="H2145" s="5" t="s">
        <v>137</v>
      </c>
      <c r="I2145" s="5" t="s">
        <v>2113</v>
      </c>
      <c r="J2145" s="5" t="s">
        <v>2112</v>
      </c>
    </row>
    <row r="2146" spans="1:10" x14ac:dyDescent="0.2">
      <c r="A2146" s="5" t="s">
        <v>2111</v>
      </c>
      <c r="B2146" s="5" t="s">
        <v>83</v>
      </c>
      <c r="C2146" s="5"/>
      <c r="D2146" s="5" t="s">
        <v>2110</v>
      </c>
      <c r="E2146" s="5" t="s">
        <v>150</v>
      </c>
      <c r="F2146" s="5" t="s">
        <v>2106</v>
      </c>
      <c r="G2146" s="5" t="s">
        <v>148</v>
      </c>
      <c r="H2146" s="5" t="s">
        <v>3</v>
      </c>
      <c r="I2146" s="5"/>
      <c r="J2146" s="5" t="s">
        <v>2109</v>
      </c>
    </row>
    <row r="2147" spans="1:10" x14ac:dyDescent="0.2">
      <c r="A2147" s="5" t="s">
        <v>2108</v>
      </c>
      <c r="B2147" s="5" t="s">
        <v>83</v>
      </c>
      <c r="C2147" s="5"/>
      <c r="D2147" s="5" t="s">
        <v>2107</v>
      </c>
      <c r="E2147" s="5" t="s">
        <v>150</v>
      </c>
      <c r="F2147" s="5" t="s">
        <v>2106</v>
      </c>
      <c r="G2147" s="5" t="s">
        <v>148</v>
      </c>
      <c r="H2147" s="5" t="s">
        <v>3</v>
      </c>
      <c r="I2147" s="5"/>
      <c r="J2147" s="5" t="s">
        <v>2105</v>
      </c>
    </row>
    <row r="2148" spans="1:10" ht="25.5" x14ac:dyDescent="0.2">
      <c r="A2148" s="5" t="s">
        <v>2104</v>
      </c>
      <c r="B2148" s="5" t="s">
        <v>83</v>
      </c>
      <c r="C2148" s="5"/>
      <c r="D2148" s="5" t="s">
        <v>2103</v>
      </c>
      <c r="E2148" s="5" t="s">
        <v>150</v>
      </c>
      <c r="F2148" s="5" t="s">
        <v>424</v>
      </c>
      <c r="G2148" s="5" t="s">
        <v>148</v>
      </c>
      <c r="H2148" s="5" t="s">
        <v>137</v>
      </c>
      <c r="I2148" s="5" t="s">
        <v>2099</v>
      </c>
      <c r="J2148" s="5" t="s">
        <v>2102</v>
      </c>
    </row>
    <row r="2149" spans="1:10" ht="25.5" x14ac:dyDescent="0.2">
      <c r="A2149" s="5" t="s">
        <v>2101</v>
      </c>
      <c r="B2149" s="5" t="s">
        <v>83</v>
      </c>
      <c r="C2149" s="5"/>
      <c r="D2149" s="5" t="s">
        <v>2100</v>
      </c>
      <c r="E2149" s="5"/>
      <c r="F2149" s="5" t="s">
        <v>424</v>
      </c>
      <c r="G2149" s="5" t="s">
        <v>170</v>
      </c>
      <c r="H2149" s="5" t="s">
        <v>137</v>
      </c>
      <c r="I2149" s="5" t="s">
        <v>2099</v>
      </c>
      <c r="J2149" s="5" t="s">
        <v>2098</v>
      </c>
    </row>
    <row r="2150" spans="1:10" ht="25.5" x14ac:dyDescent="0.2">
      <c r="A2150" s="5" t="s">
        <v>2097</v>
      </c>
      <c r="B2150" s="5" t="s">
        <v>83</v>
      </c>
      <c r="C2150" s="5"/>
      <c r="D2150" s="5" t="s">
        <v>2096</v>
      </c>
      <c r="E2150" s="5"/>
      <c r="F2150" s="5" t="s">
        <v>2082</v>
      </c>
      <c r="G2150" s="5" t="s">
        <v>382</v>
      </c>
      <c r="H2150" s="5" t="s">
        <v>3</v>
      </c>
      <c r="I2150" s="5"/>
      <c r="J2150" s="5" t="s">
        <v>2095</v>
      </c>
    </row>
    <row r="2151" spans="1:10" ht="25.5" x14ac:dyDescent="0.2">
      <c r="A2151" s="5" t="s">
        <v>2094</v>
      </c>
      <c r="B2151" s="5" t="s">
        <v>83</v>
      </c>
      <c r="C2151" s="5"/>
      <c r="D2151" s="5" t="s">
        <v>2093</v>
      </c>
      <c r="E2151" s="5"/>
      <c r="F2151" s="5" t="s">
        <v>2082</v>
      </c>
      <c r="G2151" s="5" t="s">
        <v>382</v>
      </c>
      <c r="H2151" s="5" t="s">
        <v>137</v>
      </c>
      <c r="I2151" s="5" t="s">
        <v>2089</v>
      </c>
      <c r="J2151" s="5" t="s">
        <v>2092</v>
      </c>
    </row>
    <row r="2152" spans="1:10" ht="25.5" x14ac:dyDescent="0.2">
      <c r="A2152" s="5" t="s">
        <v>2091</v>
      </c>
      <c r="B2152" s="5" t="s">
        <v>83</v>
      </c>
      <c r="C2152" s="5"/>
      <c r="D2152" s="5" t="s">
        <v>2090</v>
      </c>
      <c r="E2152" s="5" t="s">
        <v>150</v>
      </c>
      <c r="F2152" s="5" t="s">
        <v>2082</v>
      </c>
      <c r="G2152" s="5" t="s">
        <v>148</v>
      </c>
      <c r="H2152" s="5" t="s">
        <v>137</v>
      </c>
      <c r="I2152" s="5" t="s">
        <v>2089</v>
      </c>
      <c r="J2152" s="5" t="s">
        <v>2088</v>
      </c>
    </row>
    <row r="2153" spans="1:10" x14ac:dyDescent="0.2">
      <c r="A2153" s="5" t="s">
        <v>2087</v>
      </c>
      <c r="B2153" s="5" t="s">
        <v>83</v>
      </c>
      <c r="C2153" s="5"/>
      <c r="D2153" s="5" t="s">
        <v>2086</v>
      </c>
      <c r="E2153" s="5" t="s">
        <v>150</v>
      </c>
      <c r="F2153" s="5" t="s">
        <v>2082</v>
      </c>
      <c r="G2153" s="5" t="s">
        <v>148</v>
      </c>
      <c r="H2153" s="5" t="s">
        <v>3</v>
      </c>
      <c r="I2153" s="5"/>
      <c r="J2153" s="5" t="s">
        <v>2085</v>
      </c>
    </row>
    <row r="2154" spans="1:10" x14ac:dyDescent="0.2">
      <c r="A2154" s="5" t="s">
        <v>2084</v>
      </c>
      <c r="B2154" s="5" t="s">
        <v>83</v>
      </c>
      <c r="C2154" s="5"/>
      <c r="D2154" s="5" t="s">
        <v>2083</v>
      </c>
      <c r="E2154" s="5" t="s">
        <v>150</v>
      </c>
      <c r="F2154" s="5" t="s">
        <v>2082</v>
      </c>
      <c r="G2154" s="5" t="s">
        <v>148</v>
      </c>
      <c r="H2154" s="5" t="s">
        <v>3</v>
      </c>
      <c r="I2154" s="5"/>
      <c r="J2154" s="5" t="s">
        <v>2081</v>
      </c>
    </row>
    <row r="2155" spans="1:10" ht="25.5" x14ac:dyDescent="0.2">
      <c r="A2155" s="5" t="s">
        <v>2080</v>
      </c>
      <c r="B2155" s="5" t="s">
        <v>83</v>
      </c>
      <c r="C2155" s="5"/>
      <c r="D2155" s="5" t="s">
        <v>2079</v>
      </c>
      <c r="E2155" s="5" t="s">
        <v>150</v>
      </c>
      <c r="F2155" s="5" t="s">
        <v>424</v>
      </c>
      <c r="G2155" s="5" t="s">
        <v>148</v>
      </c>
      <c r="H2155" s="5" t="s">
        <v>137</v>
      </c>
      <c r="I2155" s="5" t="s">
        <v>2075</v>
      </c>
      <c r="J2155" s="5" t="s">
        <v>2078</v>
      </c>
    </row>
    <row r="2156" spans="1:10" ht="25.5" x14ac:dyDescent="0.2">
      <c r="A2156" s="5" t="s">
        <v>2077</v>
      </c>
      <c r="B2156" s="5" t="s">
        <v>83</v>
      </c>
      <c r="C2156" s="5"/>
      <c r="D2156" s="5" t="s">
        <v>2076</v>
      </c>
      <c r="E2156" s="5"/>
      <c r="F2156" s="5" t="s">
        <v>424</v>
      </c>
      <c r="G2156" s="5" t="s">
        <v>170</v>
      </c>
      <c r="H2156" s="5" t="s">
        <v>137</v>
      </c>
      <c r="I2156" s="5" t="s">
        <v>2075</v>
      </c>
      <c r="J2156" s="5" t="s">
        <v>2074</v>
      </c>
    </row>
    <row r="2157" spans="1:10" x14ac:dyDescent="0.2">
      <c r="A2157" s="5" t="s">
        <v>2073</v>
      </c>
      <c r="B2157" s="5" t="s">
        <v>83</v>
      </c>
      <c r="C2157" s="5"/>
      <c r="D2157" s="5" t="s">
        <v>2072</v>
      </c>
      <c r="E2157" s="5"/>
      <c r="F2157" s="5" t="s">
        <v>1952</v>
      </c>
      <c r="G2157" s="5" t="s">
        <v>382</v>
      </c>
      <c r="H2157" s="5" t="s">
        <v>3</v>
      </c>
      <c r="I2157" s="5"/>
      <c r="J2157" s="5" t="s">
        <v>2071</v>
      </c>
    </row>
    <row r="2158" spans="1:10" ht="25.5" x14ac:dyDescent="0.2">
      <c r="A2158" s="5" t="s">
        <v>2070</v>
      </c>
      <c r="B2158" s="5" t="s">
        <v>83</v>
      </c>
      <c r="C2158" s="5"/>
      <c r="D2158" s="5" t="s">
        <v>2069</v>
      </c>
      <c r="E2158" s="5"/>
      <c r="F2158" s="5" t="s">
        <v>2055</v>
      </c>
      <c r="G2158" s="5" t="s">
        <v>382</v>
      </c>
      <c r="H2158" s="5" t="s">
        <v>3</v>
      </c>
      <c r="I2158" s="5"/>
      <c r="J2158" s="5" t="s">
        <v>2068</v>
      </c>
    </row>
    <row r="2159" spans="1:10" ht="25.5" x14ac:dyDescent="0.2">
      <c r="A2159" s="5" t="s">
        <v>2067</v>
      </c>
      <c r="B2159" s="5" t="s">
        <v>83</v>
      </c>
      <c r="C2159" s="5"/>
      <c r="D2159" s="5" t="s">
        <v>2066</v>
      </c>
      <c r="E2159" s="5"/>
      <c r="F2159" s="5" t="s">
        <v>2055</v>
      </c>
      <c r="G2159" s="5" t="s">
        <v>382</v>
      </c>
      <c r="H2159" s="5" t="s">
        <v>137</v>
      </c>
      <c r="I2159" s="5" t="s">
        <v>2062</v>
      </c>
      <c r="J2159" s="5" t="s">
        <v>2065</v>
      </c>
    </row>
    <row r="2160" spans="1:10" ht="25.5" x14ac:dyDescent="0.2">
      <c r="A2160" s="5" t="s">
        <v>2064</v>
      </c>
      <c r="B2160" s="5" t="s">
        <v>83</v>
      </c>
      <c r="C2160" s="5"/>
      <c r="D2160" s="5" t="s">
        <v>2063</v>
      </c>
      <c r="E2160" s="5" t="s">
        <v>150</v>
      </c>
      <c r="F2160" s="5" t="s">
        <v>2055</v>
      </c>
      <c r="G2160" s="5" t="s">
        <v>148</v>
      </c>
      <c r="H2160" s="5" t="s">
        <v>137</v>
      </c>
      <c r="I2160" s="5" t="s">
        <v>2062</v>
      </c>
      <c r="J2160" s="5" t="s">
        <v>2061</v>
      </c>
    </row>
    <row r="2161" spans="1:10" x14ac:dyDescent="0.2">
      <c r="A2161" s="5" t="s">
        <v>2060</v>
      </c>
      <c r="B2161" s="5" t="s">
        <v>83</v>
      </c>
      <c r="C2161" s="5"/>
      <c r="D2161" s="5" t="s">
        <v>2059</v>
      </c>
      <c r="E2161" s="5" t="s">
        <v>150</v>
      </c>
      <c r="F2161" s="5" t="s">
        <v>2055</v>
      </c>
      <c r="G2161" s="5" t="s">
        <v>148</v>
      </c>
      <c r="H2161" s="5" t="s">
        <v>3</v>
      </c>
      <c r="I2161" s="5"/>
      <c r="J2161" s="5" t="s">
        <v>2058</v>
      </c>
    </row>
    <row r="2162" spans="1:10" x14ac:dyDescent="0.2">
      <c r="A2162" s="5" t="s">
        <v>2057</v>
      </c>
      <c r="B2162" s="5" t="s">
        <v>83</v>
      </c>
      <c r="C2162" s="5"/>
      <c r="D2162" s="5" t="s">
        <v>2056</v>
      </c>
      <c r="E2162" s="5" t="s">
        <v>150</v>
      </c>
      <c r="F2162" s="5" t="s">
        <v>2055</v>
      </c>
      <c r="G2162" s="5" t="s">
        <v>148</v>
      </c>
      <c r="H2162" s="5" t="s">
        <v>3</v>
      </c>
      <c r="I2162" s="5"/>
      <c r="J2162" s="5" t="s">
        <v>2054</v>
      </c>
    </row>
    <row r="2163" spans="1:10" ht="25.5" x14ac:dyDescent="0.2">
      <c r="A2163" s="5" t="s">
        <v>2053</v>
      </c>
      <c r="B2163" s="5" t="s">
        <v>83</v>
      </c>
      <c r="C2163" s="5"/>
      <c r="D2163" s="5" t="s">
        <v>2052</v>
      </c>
      <c r="E2163" s="5" t="s">
        <v>150</v>
      </c>
      <c r="F2163" s="5" t="s">
        <v>424</v>
      </c>
      <c r="G2163" s="5" t="s">
        <v>148</v>
      </c>
      <c r="H2163" s="5" t="s">
        <v>137</v>
      </c>
      <c r="I2163" s="5" t="s">
        <v>2048</v>
      </c>
      <c r="J2163" s="5" t="s">
        <v>2051</v>
      </c>
    </row>
    <row r="2164" spans="1:10" ht="25.5" x14ac:dyDescent="0.2">
      <c r="A2164" s="5" t="s">
        <v>2050</v>
      </c>
      <c r="B2164" s="5" t="s">
        <v>83</v>
      </c>
      <c r="C2164" s="5"/>
      <c r="D2164" s="5" t="s">
        <v>2049</v>
      </c>
      <c r="E2164" s="5"/>
      <c r="F2164" s="5" t="s">
        <v>424</v>
      </c>
      <c r="G2164" s="5" t="s">
        <v>170</v>
      </c>
      <c r="H2164" s="5" t="s">
        <v>137</v>
      </c>
      <c r="I2164" s="5" t="s">
        <v>2048</v>
      </c>
      <c r="J2164" s="5" t="s">
        <v>2047</v>
      </c>
    </row>
    <row r="2165" spans="1:10" ht="25.5" x14ac:dyDescent="0.2">
      <c r="A2165" s="5" t="s">
        <v>2046</v>
      </c>
      <c r="B2165" s="5" t="s">
        <v>83</v>
      </c>
      <c r="C2165" s="5"/>
      <c r="D2165" s="5" t="s">
        <v>2045</v>
      </c>
      <c r="E2165" s="5"/>
      <c r="F2165" s="5" t="s">
        <v>2031</v>
      </c>
      <c r="G2165" s="5" t="s">
        <v>382</v>
      </c>
      <c r="H2165" s="5" t="s">
        <v>3</v>
      </c>
      <c r="I2165" s="5"/>
      <c r="J2165" s="5" t="s">
        <v>2044</v>
      </c>
    </row>
    <row r="2166" spans="1:10" ht="25.5" x14ac:dyDescent="0.2">
      <c r="A2166" s="5" t="s">
        <v>2043</v>
      </c>
      <c r="B2166" s="5" t="s">
        <v>83</v>
      </c>
      <c r="C2166" s="5"/>
      <c r="D2166" s="5" t="s">
        <v>2042</v>
      </c>
      <c r="E2166" s="5"/>
      <c r="F2166" s="5" t="s">
        <v>2031</v>
      </c>
      <c r="G2166" s="5" t="s">
        <v>382</v>
      </c>
      <c r="H2166" s="5" t="s">
        <v>137</v>
      </c>
      <c r="I2166" s="5" t="s">
        <v>2038</v>
      </c>
      <c r="J2166" s="5" t="s">
        <v>2041</v>
      </c>
    </row>
    <row r="2167" spans="1:10" ht="25.5" x14ac:dyDescent="0.2">
      <c r="A2167" s="5" t="s">
        <v>2040</v>
      </c>
      <c r="B2167" s="5" t="s">
        <v>83</v>
      </c>
      <c r="C2167" s="5"/>
      <c r="D2167" s="5" t="s">
        <v>2039</v>
      </c>
      <c r="E2167" s="5" t="s">
        <v>150</v>
      </c>
      <c r="F2167" s="5" t="s">
        <v>2031</v>
      </c>
      <c r="G2167" s="5" t="s">
        <v>148</v>
      </c>
      <c r="H2167" s="5" t="s">
        <v>137</v>
      </c>
      <c r="I2167" s="5" t="s">
        <v>2038</v>
      </c>
      <c r="J2167" s="5" t="s">
        <v>2037</v>
      </c>
    </row>
    <row r="2168" spans="1:10" x14ac:dyDescent="0.2">
      <c r="A2168" s="5" t="s">
        <v>2036</v>
      </c>
      <c r="B2168" s="5" t="s">
        <v>83</v>
      </c>
      <c r="C2168" s="5"/>
      <c r="D2168" s="5" t="s">
        <v>2035</v>
      </c>
      <c r="E2168" s="5" t="s">
        <v>150</v>
      </c>
      <c r="F2168" s="5" t="s">
        <v>2031</v>
      </c>
      <c r="G2168" s="5" t="s">
        <v>148</v>
      </c>
      <c r="H2168" s="5" t="s">
        <v>3</v>
      </c>
      <c r="I2168" s="5"/>
      <c r="J2168" s="5" t="s">
        <v>2034</v>
      </c>
    </row>
    <row r="2169" spans="1:10" x14ac:dyDescent="0.2">
      <c r="A2169" s="5" t="s">
        <v>2033</v>
      </c>
      <c r="B2169" s="5" t="s">
        <v>83</v>
      </c>
      <c r="C2169" s="5"/>
      <c r="D2169" s="5" t="s">
        <v>2032</v>
      </c>
      <c r="E2169" s="5" t="s">
        <v>150</v>
      </c>
      <c r="F2169" s="5" t="s">
        <v>2031</v>
      </c>
      <c r="G2169" s="5" t="s">
        <v>148</v>
      </c>
      <c r="H2169" s="5" t="s">
        <v>3</v>
      </c>
      <c r="I2169" s="5"/>
      <c r="J2169" s="5" t="s">
        <v>2030</v>
      </c>
    </row>
    <row r="2170" spans="1:10" ht="25.5" x14ac:dyDescent="0.2">
      <c r="A2170" s="5" t="s">
        <v>2029</v>
      </c>
      <c r="B2170" s="5" t="s">
        <v>83</v>
      </c>
      <c r="C2170" s="5"/>
      <c r="D2170" s="5" t="s">
        <v>2028</v>
      </c>
      <c r="E2170" s="5" t="s">
        <v>150</v>
      </c>
      <c r="F2170" s="5" t="s">
        <v>424</v>
      </c>
      <c r="G2170" s="5" t="s">
        <v>148</v>
      </c>
      <c r="H2170" s="5" t="s">
        <v>137</v>
      </c>
      <c r="I2170" s="5" t="s">
        <v>2024</v>
      </c>
      <c r="J2170" s="5" t="s">
        <v>2027</v>
      </c>
    </row>
    <row r="2171" spans="1:10" ht="25.5" x14ac:dyDescent="0.2">
      <c r="A2171" s="5" t="s">
        <v>2026</v>
      </c>
      <c r="B2171" s="5" t="s">
        <v>83</v>
      </c>
      <c r="C2171" s="5"/>
      <c r="D2171" s="5" t="s">
        <v>2025</v>
      </c>
      <c r="E2171" s="5"/>
      <c r="F2171" s="5" t="s">
        <v>424</v>
      </c>
      <c r="G2171" s="5" t="s">
        <v>170</v>
      </c>
      <c r="H2171" s="5" t="s">
        <v>137</v>
      </c>
      <c r="I2171" s="5" t="s">
        <v>2024</v>
      </c>
      <c r="J2171" s="5" t="s">
        <v>2023</v>
      </c>
    </row>
    <row r="2172" spans="1:10" x14ac:dyDescent="0.2">
      <c r="A2172" s="5" t="s">
        <v>2022</v>
      </c>
      <c r="B2172" s="5" t="s">
        <v>83</v>
      </c>
      <c r="C2172" s="5"/>
      <c r="D2172" s="5" t="s">
        <v>2021</v>
      </c>
      <c r="E2172" s="5"/>
      <c r="F2172" s="5" t="s">
        <v>1952</v>
      </c>
      <c r="G2172" s="5" t="s">
        <v>382</v>
      </c>
      <c r="H2172" s="5" t="s">
        <v>137</v>
      </c>
      <c r="I2172" s="5" t="s">
        <v>1962</v>
      </c>
      <c r="J2172" s="5" t="s">
        <v>2020</v>
      </c>
    </row>
    <row r="2173" spans="1:10" x14ac:dyDescent="0.2">
      <c r="A2173" s="5" t="s">
        <v>2019</v>
      </c>
      <c r="B2173" s="5" t="s">
        <v>83</v>
      </c>
      <c r="C2173" s="5"/>
      <c r="D2173" s="5" t="s">
        <v>2018</v>
      </c>
      <c r="E2173" s="5" t="s">
        <v>665</v>
      </c>
      <c r="F2173" s="5" t="s">
        <v>2017</v>
      </c>
      <c r="G2173" s="5" t="s">
        <v>148</v>
      </c>
      <c r="H2173" s="5" t="s">
        <v>137</v>
      </c>
      <c r="I2173" s="5" t="s">
        <v>1962</v>
      </c>
      <c r="J2173" s="5" t="s">
        <v>2016</v>
      </c>
    </row>
    <row r="2174" spans="1:10" ht="25.5" x14ac:dyDescent="0.2">
      <c r="A2174" s="5" t="s">
        <v>2015</v>
      </c>
      <c r="B2174" s="5" t="s">
        <v>83</v>
      </c>
      <c r="C2174" s="5"/>
      <c r="D2174" s="5" t="s">
        <v>2014</v>
      </c>
      <c r="E2174" s="5"/>
      <c r="F2174" s="5" t="s">
        <v>424</v>
      </c>
      <c r="G2174" s="5" t="s">
        <v>896</v>
      </c>
      <c r="H2174" s="5" t="s">
        <v>137</v>
      </c>
      <c r="I2174" s="5" t="s">
        <v>1915</v>
      </c>
      <c r="J2174" s="5" t="s">
        <v>2013</v>
      </c>
    </row>
    <row r="2175" spans="1:10" ht="25.5" x14ac:dyDescent="0.2">
      <c r="A2175" s="5" t="s">
        <v>2012</v>
      </c>
      <c r="B2175" s="5" t="s">
        <v>83</v>
      </c>
      <c r="C2175" s="5"/>
      <c r="D2175" s="5" t="s">
        <v>2011</v>
      </c>
      <c r="E2175" s="5"/>
      <c r="F2175" s="5" t="s">
        <v>1997</v>
      </c>
      <c r="G2175" s="5" t="s">
        <v>382</v>
      </c>
      <c r="H2175" s="5" t="s">
        <v>3</v>
      </c>
      <c r="I2175" s="5"/>
      <c r="J2175" s="5" t="s">
        <v>2010</v>
      </c>
    </row>
    <row r="2176" spans="1:10" ht="25.5" x14ac:dyDescent="0.2">
      <c r="A2176" s="5" t="s">
        <v>2009</v>
      </c>
      <c r="B2176" s="5" t="s">
        <v>83</v>
      </c>
      <c r="C2176" s="5"/>
      <c r="D2176" s="5" t="s">
        <v>2008</v>
      </c>
      <c r="E2176" s="5"/>
      <c r="F2176" s="5" t="s">
        <v>1997</v>
      </c>
      <c r="G2176" s="5" t="s">
        <v>382</v>
      </c>
      <c r="H2176" s="5" t="s">
        <v>137</v>
      </c>
      <c r="I2176" s="5" t="s">
        <v>2004</v>
      </c>
      <c r="J2176" s="5" t="s">
        <v>2007</v>
      </c>
    </row>
    <row r="2177" spans="1:10" ht="25.5" x14ac:dyDescent="0.2">
      <c r="A2177" s="5" t="s">
        <v>2006</v>
      </c>
      <c r="B2177" s="5" t="s">
        <v>83</v>
      </c>
      <c r="C2177" s="5"/>
      <c r="D2177" s="5" t="s">
        <v>2005</v>
      </c>
      <c r="E2177" s="5" t="s">
        <v>150</v>
      </c>
      <c r="F2177" s="5" t="s">
        <v>1997</v>
      </c>
      <c r="G2177" s="5" t="s">
        <v>148</v>
      </c>
      <c r="H2177" s="5" t="s">
        <v>137</v>
      </c>
      <c r="I2177" s="5" t="s">
        <v>2004</v>
      </c>
      <c r="J2177" s="5" t="s">
        <v>2003</v>
      </c>
    </row>
    <row r="2178" spans="1:10" x14ac:dyDescent="0.2">
      <c r="A2178" s="5" t="s">
        <v>2002</v>
      </c>
      <c r="B2178" s="5" t="s">
        <v>83</v>
      </c>
      <c r="C2178" s="5"/>
      <c r="D2178" s="5" t="s">
        <v>2001</v>
      </c>
      <c r="E2178" s="5" t="s">
        <v>150</v>
      </c>
      <c r="F2178" s="5" t="s">
        <v>1997</v>
      </c>
      <c r="G2178" s="5" t="s">
        <v>148</v>
      </c>
      <c r="H2178" s="5" t="s">
        <v>3</v>
      </c>
      <c r="I2178" s="5"/>
      <c r="J2178" s="5" t="s">
        <v>2000</v>
      </c>
    </row>
    <row r="2179" spans="1:10" x14ac:dyDescent="0.2">
      <c r="A2179" s="5" t="s">
        <v>1999</v>
      </c>
      <c r="B2179" s="5" t="s">
        <v>83</v>
      </c>
      <c r="C2179" s="5"/>
      <c r="D2179" s="5" t="s">
        <v>1998</v>
      </c>
      <c r="E2179" s="5" t="s">
        <v>150</v>
      </c>
      <c r="F2179" s="5" t="s">
        <v>1997</v>
      </c>
      <c r="G2179" s="5" t="s">
        <v>148</v>
      </c>
      <c r="H2179" s="5" t="s">
        <v>3</v>
      </c>
      <c r="I2179" s="5"/>
      <c r="J2179" s="5" t="s">
        <v>1996</v>
      </c>
    </row>
    <row r="2180" spans="1:10" ht="38.25" x14ac:dyDescent="0.2">
      <c r="A2180" s="5" t="s">
        <v>1995</v>
      </c>
      <c r="B2180" s="5" t="s">
        <v>83</v>
      </c>
      <c r="C2180" s="5"/>
      <c r="D2180" s="5" t="s">
        <v>1994</v>
      </c>
      <c r="E2180" s="5" t="s">
        <v>150</v>
      </c>
      <c r="F2180" s="5" t="s">
        <v>424</v>
      </c>
      <c r="G2180" s="5" t="s">
        <v>148</v>
      </c>
      <c r="H2180" s="5" t="s">
        <v>137</v>
      </c>
      <c r="I2180" s="5" t="s">
        <v>1990</v>
      </c>
      <c r="J2180" s="5" t="s">
        <v>1993</v>
      </c>
    </row>
    <row r="2181" spans="1:10" ht="38.25" x14ac:dyDescent="0.2">
      <c r="A2181" s="5" t="s">
        <v>1992</v>
      </c>
      <c r="B2181" s="5" t="s">
        <v>83</v>
      </c>
      <c r="C2181" s="5"/>
      <c r="D2181" s="5" t="s">
        <v>1991</v>
      </c>
      <c r="E2181" s="5"/>
      <c r="F2181" s="5" t="s">
        <v>424</v>
      </c>
      <c r="G2181" s="5" t="s">
        <v>170</v>
      </c>
      <c r="H2181" s="5" t="s">
        <v>137</v>
      </c>
      <c r="I2181" s="5" t="s">
        <v>1990</v>
      </c>
      <c r="J2181" s="5" t="s">
        <v>1989</v>
      </c>
    </row>
    <row r="2182" spans="1:10" ht="25.5" x14ac:dyDescent="0.2">
      <c r="A2182" s="5" t="s">
        <v>1988</v>
      </c>
      <c r="B2182" s="5" t="s">
        <v>83</v>
      </c>
      <c r="C2182" s="5"/>
      <c r="D2182" s="5" t="s">
        <v>1987</v>
      </c>
      <c r="E2182" s="5"/>
      <c r="F2182" s="5" t="s">
        <v>1973</v>
      </c>
      <c r="G2182" s="5" t="s">
        <v>382</v>
      </c>
      <c r="H2182" s="5" t="s">
        <v>3</v>
      </c>
      <c r="I2182" s="5"/>
      <c r="J2182" s="5" t="s">
        <v>1986</v>
      </c>
    </row>
    <row r="2183" spans="1:10" ht="25.5" x14ac:dyDescent="0.2">
      <c r="A2183" s="5" t="s">
        <v>1985</v>
      </c>
      <c r="B2183" s="5" t="s">
        <v>83</v>
      </c>
      <c r="C2183" s="5"/>
      <c r="D2183" s="5" t="s">
        <v>1984</v>
      </c>
      <c r="E2183" s="5"/>
      <c r="F2183" s="5" t="s">
        <v>1973</v>
      </c>
      <c r="G2183" s="5" t="s">
        <v>382</v>
      </c>
      <c r="H2183" s="5" t="s">
        <v>137</v>
      </c>
      <c r="I2183" s="5" t="s">
        <v>1980</v>
      </c>
      <c r="J2183" s="5" t="s">
        <v>1983</v>
      </c>
    </row>
    <row r="2184" spans="1:10" ht="25.5" x14ac:dyDescent="0.2">
      <c r="A2184" s="5" t="s">
        <v>1982</v>
      </c>
      <c r="B2184" s="5" t="s">
        <v>83</v>
      </c>
      <c r="C2184" s="5"/>
      <c r="D2184" s="5" t="s">
        <v>1981</v>
      </c>
      <c r="E2184" s="5" t="s">
        <v>150</v>
      </c>
      <c r="F2184" s="5" t="s">
        <v>1973</v>
      </c>
      <c r="G2184" s="5" t="s">
        <v>148</v>
      </c>
      <c r="H2184" s="5" t="s">
        <v>137</v>
      </c>
      <c r="I2184" s="5" t="s">
        <v>1980</v>
      </c>
      <c r="J2184" s="5" t="s">
        <v>1979</v>
      </c>
    </row>
    <row r="2185" spans="1:10" x14ac:dyDescent="0.2">
      <c r="A2185" s="5" t="s">
        <v>1978</v>
      </c>
      <c r="B2185" s="5" t="s">
        <v>83</v>
      </c>
      <c r="C2185" s="5"/>
      <c r="D2185" s="5" t="s">
        <v>1977</v>
      </c>
      <c r="E2185" s="5" t="s">
        <v>150</v>
      </c>
      <c r="F2185" s="5" t="s">
        <v>1973</v>
      </c>
      <c r="G2185" s="5" t="s">
        <v>148</v>
      </c>
      <c r="H2185" s="5" t="s">
        <v>3</v>
      </c>
      <c r="I2185" s="5"/>
      <c r="J2185" s="5" t="s">
        <v>1976</v>
      </c>
    </row>
    <row r="2186" spans="1:10" x14ac:dyDescent="0.2">
      <c r="A2186" s="5" t="s">
        <v>1975</v>
      </c>
      <c r="B2186" s="5" t="s">
        <v>83</v>
      </c>
      <c r="C2186" s="5"/>
      <c r="D2186" s="5" t="s">
        <v>1974</v>
      </c>
      <c r="E2186" s="5" t="s">
        <v>150</v>
      </c>
      <c r="F2186" s="5" t="s">
        <v>1973</v>
      </c>
      <c r="G2186" s="5" t="s">
        <v>148</v>
      </c>
      <c r="H2186" s="5" t="s">
        <v>3</v>
      </c>
      <c r="I2186" s="5"/>
      <c r="J2186" s="5" t="s">
        <v>1972</v>
      </c>
    </row>
    <row r="2187" spans="1:10" ht="25.5" x14ac:dyDescent="0.2">
      <c r="A2187" s="5" t="s">
        <v>1971</v>
      </c>
      <c r="B2187" s="5" t="s">
        <v>83</v>
      </c>
      <c r="C2187" s="5"/>
      <c r="D2187" s="5" t="s">
        <v>1970</v>
      </c>
      <c r="E2187" s="5" t="s">
        <v>150</v>
      </c>
      <c r="F2187" s="5" t="s">
        <v>424</v>
      </c>
      <c r="G2187" s="5" t="s">
        <v>148</v>
      </c>
      <c r="H2187" s="5" t="s">
        <v>137</v>
      </c>
      <c r="I2187" s="5" t="s">
        <v>1966</v>
      </c>
      <c r="J2187" s="5" t="s">
        <v>1969</v>
      </c>
    </row>
    <row r="2188" spans="1:10" ht="25.5" x14ac:dyDescent="0.2">
      <c r="A2188" s="5" t="s">
        <v>1968</v>
      </c>
      <c r="B2188" s="5" t="s">
        <v>83</v>
      </c>
      <c r="C2188" s="5"/>
      <c r="D2188" s="5" t="s">
        <v>1967</v>
      </c>
      <c r="E2188" s="5"/>
      <c r="F2188" s="5" t="s">
        <v>424</v>
      </c>
      <c r="G2188" s="5" t="s">
        <v>170</v>
      </c>
      <c r="H2188" s="5" t="s">
        <v>137</v>
      </c>
      <c r="I2188" s="5" t="s">
        <v>1966</v>
      </c>
      <c r="J2188" s="5" t="s">
        <v>1965</v>
      </c>
    </row>
    <row r="2189" spans="1:10" x14ac:dyDescent="0.2">
      <c r="A2189" s="5" t="s">
        <v>1964</v>
      </c>
      <c r="B2189" s="5" t="s">
        <v>83</v>
      </c>
      <c r="C2189" s="5"/>
      <c r="D2189" s="5" t="s">
        <v>1963</v>
      </c>
      <c r="E2189" s="5" t="s">
        <v>150</v>
      </c>
      <c r="F2189" s="5" t="s">
        <v>1952</v>
      </c>
      <c r="G2189" s="5" t="s">
        <v>148</v>
      </c>
      <c r="H2189" s="5" t="s">
        <v>137</v>
      </c>
      <c r="I2189" s="5" t="s">
        <v>1962</v>
      </c>
      <c r="J2189" s="5" t="s">
        <v>1961</v>
      </c>
    </row>
    <row r="2190" spans="1:10" x14ac:dyDescent="0.2">
      <c r="A2190" s="5" t="s">
        <v>1960</v>
      </c>
      <c r="B2190" s="5" t="s">
        <v>83</v>
      </c>
      <c r="C2190" s="5"/>
      <c r="D2190" s="5" t="s">
        <v>1959</v>
      </c>
      <c r="E2190" s="5" t="s">
        <v>150</v>
      </c>
      <c r="F2190" s="5" t="s">
        <v>1952</v>
      </c>
      <c r="G2190" s="5" t="s">
        <v>148</v>
      </c>
      <c r="H2190" s="5" t="s">
        <v>3</v>
      </c>
      <c r="I2190" s="5"/>
      <c r="J2190" s="5" t="s">
        <v>1958</v>
      </c>
    </row>
    <row r="2191" spans="1:10" x14ac:dyDescent="0.2">
      <c r="A2191" s="5" t="s">
        <v>1957</v>
      </c>
      <c r="B2191" s="5" t="s">
        <v>83</v>
      </c>
      <c r="C2191" s="5"/>
      <c r="D2191" s="5" t="s">
        <v>1956</v>
      </c>
      <c r="E2191" s="5" t="s">
        <v>150</v>
      </c>
      <c r="F2191" s="5" t="s">
        <v>8</v>
      </c>
      <c r="G2191" s="5" t="s">
        <v>148</v>
      </c>
      <c r="H2191" s="5" t="s">
        <v>3</v>
      </c>
      <c r="I2191" s="5"/>
      <c r="J2191" s="5" t="s">
        <v>1955</v>
      </c>
    </row>
    <row r="2192" spans="1:10" x14ac:dyDescent="0.2">
      <c r="A2192" s="5" t="s">
        <v>1954</v>
      </c>
      <c r="B2192" s="5" t="s">
        <v>83</v>
      </c>
      <c r="C2192" s="5"/>
      <c r="D2192" s="5" t="s">
        <v>1953</v>
      </c>
      <c r="E2192" s="5" t="s">
        <v>150</v>
      </c>
      <c r="F2192" s="5" t="s">
        <v>1952</v>
      </c>
      <c r="G2192" s="5" t="s">
        <v>148</v>
      </c>
      <c r="H2192" s="5" t="s">
        <v>3</v>
      </c>
      <c r="I2192" s="5"/>
      <c r="J2192" s="5" t="s">
        <v>1951</v>
      </c>
    </row>
    <row r="2193" spans="1:10" ht="25.5" x14ac:dyDescent="0.2">
      <c r="A2193" s="5" t="s">
        <v>1950</v>
      </c>
      <c r="B2193" s="5" t="s">
        <v>83</v>
      </c>
      <c r="C2193" s="5"/>
      <c r="D2193" s="5" t="s">
        <v>1949</v>
      </c>
      <c r="E2193" s="5" t="s">
        <v>150</v>
      </c>
      <c r="F2193" s="5" t="s">
        <v>424</v>
      </c>
      <c r="G2193" s="5" t="s">
        <v>148</v>
      </c>
      <c r="H2193" s="5" t="s">
        <v>137</v>
      </c>
      <c r="I2193" s="5" t="s">
        <v>1915</v>
      </c>
      <c r="J2193" s="5" t="s">
        <v>1948</v>
      </c>
    </row>
    <row r="2194" spans="1:10" ht="25.5" x14ac:dyDescent="0.2">
      <c r="A2194" s="5" t="s">
        <v>1947</v>
      </c>
      <c r="B2194" s="5" t="s">
        <v>83</v>
      </c>
      <c r="C2194" s="5"/>
      <c r="D2194" s="5" t="s">
        <v>1946</v>
      </c>
      <c r="E2194" s="5"/>
      <c r="F2194" s="5" t="s">
        <v>1932</v>
      </c>
      <c r="G2194" s="5" t="s">
        <v>382</v>
      </c>
      <c r="H2194" s="5" t="s">
        <v>3</v>
      </c>
      <c r="I2194" s="5"/>
      <c r="J2194" s="5" t="s">
        <v>1945</v>
      </c>
    </row>
    <row r="2195" spans="1:10" ht="25.5" x14ac:dyDescent="0.2">
      <c r="A2195" s="5" t="s">
        <v>1944</v>
      </c>
      <c r="B2195" s="5" t="s">
        <v>83</v>
      </c>
      <c r="C2195" s="5"/>
      <c r="D2195" s="5" t="s">
        <v>1943</v>
      </c>
      <c r="E2195" s="5"/>
      <c r="F2195" s="5" t="s">
        <v>1932</v>
      </c>
      <c r="G2195" s="5" t="s">
        <v>382</v>
      </c>
      <c r="H2195" s="5" t="s">
        <v>137</v>
      </c>
      <c r="I2195" s="5" t="s">
        <v>1939</v>
      </c>
      <c r="J2195" s="5" t="s">
        <v>1942</v>
      </c>
    </row>
    <row r="2196" spans="1:10" ht="25.5" x14ac:dyDescent="0.2">
      <c r="A2196" s="5" t="s">
        <v>1941</v>
      </c>
      <c r="B2196" s="5" t="s">
        <v>83</v>
      </c>
      <c r="C2196" s="5"/>
      <c r="D2196" s="5" t="s">
        <v>1940</v>
      </c>
      <c r="E2196" s="5" t="s">
        <v>150</v>
      </c>
      <c r="F2196" s="5" t="s">
        <v>1932</v>
      </c>
      <c r="G2196" s="5" t="s">
        <v>148</v>
      </c>
      <c r="H2196" s="5" t="s">
        <v>137</v>
      </c>
      <c r="I2196" s="5" t="s">
        <v>1939</v>
      </c>
      <c r="J2196" s="5" t="s">
        <v>1938</v>
      </c>
    </row>
    <row r="2197" spans="1:10" x14ac:dyDescent="0.2">
      <c r="A2197" s="5" t="s">
        <v>1937</v>
      </c>
      <c r="B2197" s="5" t="s">
        <v>83</v>
      </c>
      <c r="C2197" s="5"/>
      <c r="D2197" s="5" t="s">
        <v>1936</v>
      </c>
      <c r="E2197" s="5" t="s">
        <v>150</v>
      </c>
      <c r="F2197" s="5" t="s">
        <v>1932</v>
      </c>
      <c r="G2197" s="5" t="s">
        <v>148</v>
      </c>
      <c r="H2197" s="5" t="s">
        <v>3</v>
      </c>
      <c r="I2197" s="5"/>
      <c r="J2197" s="5" t="s">
        <v>1935</v>
      </c>
    </row>
    <row r="2198" spans="1:10" x14ac:dyDescent="0.2">
      <c r="A2198" s="5" t="s">
        <v>1934</v>
      </c>
      <c r="B2198" s="5" t="s">
        <v>83</v>
      </c>
      <c r="C2198" s="5"/>
      <c r="D2198" s="5" t="s">
        <v>1933</v>
      </c>
      <c r="E2198" s="5" t="s">
        <v>150</v>
      </c>
      <c r="F2198" s="5" t="s">
        <v>1932</v>
      </c>
      <c r="G2198" s="5" t="s">
        <v>148</v>
      </c>
      <c r="H2198" s="5" t="s">
        <v>3</v>
      </c>
      <c r="I2198" s="5"/>
      <c r="J2198" s="5" t="s">
        <v>1931</v>
      </c>
    </row>
    <row r="2199" spans="1:10" ht="25.5" x14ac:dyDescent="0.2">
      <c r="A2199" s="5" t="s">
        <v>1930</v>
      </c>
      <c r="B2199" s="5" t="s">
        <v>83</v>
      </c>
      <c r="C2199" s="5"/>
      <c r="D2199" s="5" t="s">
        <v>1929</v>
      </c>
      <c r="E2199" s="5" t="s">
        <v>150</v>
      </c>
      <c r="F2199" s="5" t="s">
        <v>424</v>
      </c>
      <c r="G2199" s="5" t="s">
        <v>148</v>
      </c>
      <c r="H2199" s="5" t="s">
        <v>137</v>
      </c>
      <c r="I2199" s="5" t="s">
        <v>1925</v>
      </c>
      <c r="J2199" s="5" t="s">
        <v>1928</v>
      </c>
    </row>
    <row r="2200" spans="1:10" ht="25.5" x14ac:dyDescent="0.2">
      <c r="A2200" s="5" t="s">
        <v>1927</v>
      </c>
      <c r="B2200" s="5" t="s">
        <v>83</v>
      </c>
      <c r="C2200" s="5"/>
      <c r="D2200" s="5" t="s">
        <v>1926</v>
      </c>
      <c r="E2200" s="5"/>
      <c r="F2200" s="5" t="s">
        <v>424</v>
      </c>
      <c r="G2200" s="5" t="s">
        <v>170</v>
      </c>
      <c r="H2200" s="5" t="s">
        <v>137</v>
      </c>
      <c r="I2200" s="5" t="s">
        <v>1925</v>
      </c>
      <c r="J2200" s="5" t="s">
        <v>1924</v>
      </c>
    </row>
    <row r="2201" spans="1:10" ht="25.5" x14ac:dyDescent="0.2">
      <c r="A2201" s="5" t="s">
        <v>1923</v>
      </c>
      <c r="B2201" s="5" t="s">
        <v>83</v>
      </c>
      <c r="C2201" s="5"/>
      <c r="D2201" s="5" t="s">
        <v>1922</v>
      </c>
      <c r="E2201" s="5"/>
      <c r="F2201" s="5" t="s">
        <v>424</v>
      </c>
      <c r="G2201" s="5" t="s">
        <v>170</v>
      </c>
      <c r="H2201" s="5" t="s">
        <v>137</v>
      </c>
      <c r="I2201" s="5" t="s">
        <v>1915</v>
      </c>
      <c r="J2201" s="5" t="s">
        <v>1921</v>
      </c>
    </row>
    <row r="2202" spans="1:10" ht="25.5" x14ac:dyDescent="0.2">
      <c r="A2202" s="5" t="s">
        <v>1920</v>
      </c>
      <c r="B2202" s="5" t="s">
        <v>83</v>
      </c>
      <c r="C2202" s="5"/>
      <c r="D2202" s="5" t="s">
        <v>1919</v>
      </c>
      <c r="E2202" s="5"/>
      <c r="F2202" s="5" t="s">
        <v>424</v>
      </c>
      <c r="G2202" s="5" t="s">
        <v>882</v>
      </c>
      <c r="H2202" s="5" t="s">
        <v>137</v>
      </c>
      <c r="I2202" s="5" t="s">
        <v>1915</v>
      </c>
      <c r="J2202" s="5" t="s">
        <v>1918</v>
      </c>
    </row>
    <row r="2203" spans="1:10" ht="25.5" x14ac:dyDescent="0.2">
      <c r="A2203" s="5" t="s">
        <v>1917</v>
      </c>
      <c r="B2203" s="5" t="s">
        <v>83</v>
      </c>
      <c r="C2203" s="5"/>
      <c r="D2203" s="5" t="s">
        <v>1916</v>
      </c>
      <c r="E2203" s="5" t="s">
        <v>665</v>
      </c>
      <c r="F2203" s="5" t="s">
        <v>424</v>
      </c>
      <c r="G2203" s="5" t="s">
        <v>148</v>
      </c>
      <c r="H2203" s="5" t="s">
        <v>137</v>
      </c>
      <c r="I2203" s="5" t="s">
        <v>1915</v>
      </c>
      <c r="J2203" s="5" t="s">
        <v>1914</v>
      </c>
    </row>
    <row r="2204" spans="1:10" ht="25.5" x14ac:dyDescent="0.2">
      <c r="A2204" s="5" t="s">
        <v>1913</v>
      </c>
      <c r="B2204" s="5" t="s">
        <v>83</v>
      </c>
      <c r="C2204" s="5"/>
      <c r="D2204" s="5" t="s">
        <v>1912</v>
      </c>
      <c r="E2204" s="5"/>
      <c r="F2204" s="5" t="s">
        <v>1898</v>
      </c>
      <c r="G2204" s="5" t="s">
        <v>382</v>
      </c>
      <c r="H2204" s="5" t="s">
        <v>3</v>
      </c>
      <c r="I2204" s="5"/>
      <c r="J2204" s="5" t="s">
        <v>1911</v>
      </c>
    </row>
    <row r="2205" spans="1:10" ht="25.5" x14ac:dyDescent="0.2">
      <c r="A2205" s="5" t="s">
        <v>1910</v>
      </c>
      <c r="B2205" s="5" t="s">
        <v>83</v>
      </c>
      <c r="C2205" s="5"/>
      <c r="D2205" s="5" t="s">
        <v>1909</v>
      </c>
      <c r="E2205" s="5"/>
      <c r="F2205" s="5" t="s">
        <v>1898</v>
      </c>
      <c r="G2205" s="5" t="s">
        <v>382</v>
      </c>
      <c r="H2205" s="5" t="s">
        <v>137</v>
      </c>
      <c r="I2205" s="5" t="s">
        <v>1905</v>
      </c>
      <c r="J2205" s="5" t="s">
        <v>1908</v>
      </c>
    </row>
    <row r="2206" spans="1:10" ht="25.5" x14ac:dyDescent="0.2">
      <c r="A2206" s="5" t="s">
        <v>1907</v>
      </c>
      <c r="B2206" s="5" t="s">
        <v>83</v>
      </c>
      <c r="C2206" s="5"/>
      <c r="D2206" s="5" t="s">
        <v>1906</v>
      </c>
      <c r="E2206" s="5" t="s">
        <v>150</v>
      </c>
      <c r="F2206" s="5" t="s">
        <v>1898</v>
      </c>
      <c r="G2206" s="5" t="s">
        <v>148</v>
      </c>
      <c r="H2206" s="5" t="s">
        <v>137</v>
      </c>
      <c r="I2206" s="5" t="s">
        <v>1905</v>
      </c>
      <c r="J2206" s="5" t="s">
        <v>1904</v>
      </c>
    </row>
    <row r="2207" spans="1:10" x14ac:dyDescent="0.2">
      <c r="A2207" s="5" t="s">
        <v>1903</v>
      </c>
      <c r="B2207" s="5" t="s">
        <v>83</v>
      </c>
      <c r="C2207" s="5"/>
      <c r="D2207" s="5" t="s">
        <v>1902</v>
      </c>
      <c r="E2207" s="5" t="s">
        <v>150</v>
      </c>
      <c r="F2207" s="5" t="s">
        <v>1898</v>
      </c>
      <c r="G2207" s="5" t="s">
        <v>148</v>
      </c>
      <c r="H2207" s="5" t="s">
        <v>3</v>
      </c>
      <c r="I2207" s="5"/>
      <c r="J2207" s="5" t="s">
        <v>1901</v>
      </c>
    </row>
    <row r="2208" spans="1:10" x14ac:dyDescent="0.2">
      <c r="A2208" s="5" t="s">
        <v>1900</v>
      </c>
      <c r="B2208" s="5" t="s">
        <v>83</v>
      </c>
      <c r="C2208" s="5"/>
      <c r="D2208" s="5" t="s">
        <v>1899</v>
      </c>
      <c r="E2208" s="5" t="s">
        <v>150</v>
      </c>
      <c r="F2208" s="5" t="s">
        <v>1898</v>
      </c>
      <c r="G2208" s="5" t="s">
        <v>148</v>
      </c>
      <c r="H2208" s="5" t="s">
        <v>3</v>
      </c>
      <c r="I2208" s="5"/>
      <c r="J2208" s="5" t="s">
        <v>1897</v>
      </c>
    </row>
    <row r="2209" spans="1:10" ht="25.5" x14ac:dyDescent="0.2">
      <c r="A2209" s="5" t="s">
        <v>1896</v>
      </c>
      <c r="B2209" s="5" t="s">
        <v>83</v>
      </c>
      <c r="C2209" s="5"/>
      <c r="D2209" s="5" t="s">
        <v>1895</v>
      </c>
      <c r="E2209" s="5" t="s">
        <v>150</v>
      </c>
      <c r="F2209" s="5" t="s">
        <v>424</v>
      </c>
      <c r="G2209" s="5" t="s">
        <v>148</v>
      </c>
      <c r="H2209" s="5" t="s">
        <v>137</v>
      </c>
      <c r="I2209" s="5" t="s">
        <v>1891</v>
      </c>
      <c r="J2209" s="5" t="s">
        <v>1894</v>
      </c>
    </row>
    <row r="2210" spans="1:10" ht="25.5" x14ac:dyDescent="0.2">
      <c r="A2210" s="5" t="s">
        <v>1893</v>
      </c>
      <c r="B2210" s="5" t="s">
        <v>83</v>
      </c>
      <c r="C2210" s="5"/>
      <c r="D2210" s="5" t="s">
        <v>1892</v>
      </c>
      <c r="E2210" s="5"/>
      <c r="F2210" s="5" t="s">
        <v>424</v>
      </c>
      <c r="G2210" s="5" t="s">
        <v>170</v>
      </c>
      <c r="H2210" s="5" t="s">
        <v>137</v>
      </c>
      <c r="I2210" s="5" t="s">
        <v>1891</v>
      </c>
      <c r="J2210" s="5" t="s">
        <v>1890</v>
      </c>
    </row>
    <row r="2211" spans="1:10" x14ac:dyDescent="0.2">
      <c r="A2211" s="5" t="s">
        <v>1889</v>
      </c>
      <c r="B2211" s="5" t="s">
        <v>83</v>
      </c>
      <c r="C2211" s="5"/>
      <c r="D2211" s="5" t="s">
        <v>1888</v>
      </c>
      <c r="E2211" s="5"/>
      <c r="F2211" s="5" t="s">
        <v>424</v>
      </c>
      <c r="G2211" s="5" t="s">
        <v>170</v>
      </c>
      <c r="H2211" s="5" t="s">
        <v>137</v>
      </c>
      <c r="I2211" s="5" t="s">
        <v>1887</v>
      </c>
      <c r="J2211" s="5" t="s">
        <v>1886</v>
      </c>
    </row>
    <row r="2212" spans="1:10" ht="25.5" x14ac:dyDescent="0.2">
      <c r="A2212" s="5" t="s">
        <v>1885</v>
      </c>
      <c r="B2212" s="5" t="s">
        <v>83</v>
      </c>
      <c r="C2212" s="5"/>
      <c r="D2212" s="5" t="s">
        <v>1884</v>
      </c>
      <c r="E2212" s="5"/>
      <c r="F2212" s="5" t="s">
        <v>1846</v>
      </c>
      <c r="G2212" s="5" t="s">
        <v>382</v>
      </c>
      <c r="H2212" s="5" t="s">
        <v>3</v>
      </c>
      <c r="I2212" s="5"/>
      <c r="J2212" s="5" t="s">
        <v>1883</v>
      </c>
    </row>
    <row r="2213" spans="1:10" ht="25.5" x14ac:dyDescent="0.2">
      <c r="A2213" s="5" t="s">
        <v>1882</v>
      </c>
      <c r="B2213" s="5" t="s">
        <v>83</v>
      </c>
      <c r="C2213" s="5"/>
      <c r="D2213" s="5" t="s">
        <v>1881</v>
      </c>
      <c r="E2213" s="5"/>
      <c r="F2213" s="5" t="s">
        <v>1867</v>
      </c>
      <c r="G2213" s="5" t="s">
        <v>382</v>
      </c>
      <c r="H2213" s="5" t="s">
        <v>3</v>
      </c>
      <c r="I2213" s="5"/>
      <c r="J2213" s="5" t="s">
        <v>1880</v>
      </c>
    </row>
    <row r="2214" spans="1:10" ht="25.5" x14ac:dyDescent="0.2">
      <c r="A2214" s="5" t="s">
        <v>1879</v>
      </c>
      <c r="B2214" s="5" t="s">
        <v>83</v>
      </c>
      <c r="C2214" s="5"/>
      <c r="D2214" s="5" t="s">
        <v>1878</v>
      </c>
      <c r="E2214" s="5"/>
      <c r="F2214" s="5" t="s">
        <v>1867</v>
      </c>
      <c r="G2214" s="5" t="s">
        <v>382</v>
      </c>
      <c r="H2214" s="5" t="s">
        <v>137</v>
      </c>
      <c r="I2214" s="5" t="s">
        <v>1874</v>
      </c>
      <c r="J2214" s="5" t="s">
        <v>1877</v>
      </c>
    </row>
    <row r="2215" spans="1:10" ht="25.5" x14ac:dyDescent="0.2">
      <c r="A2215" s="5" t="s">
        <v>1876</v>
      </c>
      <c r="B2215" s="5" t="s">
        <v>83</v>
      </c>
      <c r="C2215" s="5"/>
      <c r="D2215" s="5" t="s">
        <v>1875</v>
      </c>
      <c r="E2215" s="5" t="s">
        <v>150</v>
      </c>
      <c r="F2215" s="5" t="s">
        <v>1867</v>
      </c>
      <c r="G2215" s="5" t="s">
        <v>148</v>
      </c>
      <c r="H2215" s="5" t="s">
        <v>137</v>
      </c>
      <c r="I2215" s="5" t="s">
        <v>1874</v>
      </c>
      <c r="J2215" s="5" t="s">
        <v>1873</v>
      </c>
    </row>
    <row r="2216" spans="1:10" x14ac:dyDescent="0.2">
      <c r="A2216" s="5" t="s">
        <v>1872</v>
      </c>
      <c r="B2216" s="5" t="s">
        <v>83</v>
      </c>
      <c r="C2216" s="5"/>
      <c r="D2216" s="5" t="s">
        <v>1871</v>
      </c>
      <c r="E2216" s="5" t="s">
        <v>150</v>
      </c>
      <c r="F2216" s="5" t="s">
        <v>1867</v>
      </c>
      <c r="G2216" s="5" t="s">
        <v>148</v>
      </c>
      <c r="H2216" s="5" t="s">
        <v>3</v>
      </c>
      <c r="I2216" s="5"/>
      <c r="J2216" s="5" t="s">
        <v>1870</v>
      </c>
    </row>
    <row r="2217" spans="1:10" x14ac:dyDescent="0.2">
      <c r="A2217" s="5" t="s">
        <v>1869</v>
      </c>
      <c r="B2217" s="5" t="s">
        <v>83</v>
      </c>
      <c r="C2217" s="5"/>
      <c r="D2217" s="5" t="s">
        <v>1868</v>
      </c>
      <c r="E2217" s="5" t="s">
        <v>150</v>
      </c>
      <c r="F2217" s="5" t="s">
        <v>1867</v>
      </c>
      <c r="G2217" s="5" t="s">
        <v>148</v>
      </c>
      <c r="H2217" s="5" t="s">
        <v>3</v>
      </c>
      <c r="I2217" s="5"/>
      <c r="J2217" s="5" t="s">
        <v>1866</v>
      </c>
    </row>
    <row r="2218" spans="1:10" ht="25.5" x14ac:dyDescent="0.2">
      <c r="A2218" s="5" t="s">
        <v>1865</v>
      </c>
      <c r="B2218" s="5" t="s">
        <v>83</v>
      </c>
      <c r="C2218" s="5"/>
      <c r="D2218" s="5" t="s">
        <v>1864</v>
      </c>
      <c r="E2218" s="5" t="s">
        <v>150</v>
      </c>
      <c r="F2218" s="5" t="s">
        <v>424</v>
      </c>
      <c r="G2218" s="5" t="s">
        <v>148</v>
      </c>
      <c r="H2218" s="5" t="s">
        <v>137</v>
      </c>
      <c r="I2218" s="5" t="s">
        <v>1860</v>
      </c>
      <c r="J2218" s="5" t="s">
        <v>1863</v>
      </c>
    </row>
    <row r="2219" spans="1:10" ht="25.5" x14ac:dyDescent="0.2">
      <c r="A2219" s="5" t="s">
        <v>1862</v>
      </c>
      <c r="B2219" s="5" t="s">
        <v>83</v>
      </c>
      <c r="C2219" s="5"/>
      <c r="D2219" s="5" t="s">
        <v>1861</v>
      </c>
      <c r="E2219" s="5"/>
      <c r="F2219" s="5" t="s">
        <v>424</v>
      </c>
      <c r="G2219" s="5" t="s">
        <v>170</v>
      </c>
      <c r="H2219" s="5" t="s">
        <v>137</v>
      </c>
      <c r="I2219" s="5" t="s">
        <v>1860</v>
      </c>
      <c r="J2219" s="5" t="s">
        <v>1859</v>
      </c>
    </row>
    <row r="2220" spans="1:10" ht="25.5" x14ac:dyDescent="0.2">
      <c r="A2220" s="5" t="s">
        <v>1858</v>
      </c>
      <c r="B2220" s="5" t="s">
        <v>83</v>
      </c>
      <c r="C2220" s="5"/>
      <c r="D2220" s="5" t="s">
        <v>1857</v>
      </c>
      <c r="E2220" s="5"/>
      <c r="F2220" s="5" t="s">
        <v>1846</v>
      </c>
      <c r="G2220" s="5" t="s">
        <v>382</v>
      </c>
      <c r="H2220" s="5" t="s">
        <v>137</v>
      </c>
      <c r="I2220" s="5" t="s">
        <v>1853</v>
      </c>
      <c r="J2220" s="5" t="s">
        <v>1856</v>
      </c>
    </row>
    <row r="2221" spans="1:10" ht="25.5" x14ac:dyDescent="0.2">
      <c r="A2221" s="5" t="s">
        <v>1855</v>
      </c>
      <c r="B2221" s="5" t="s">
        <v>83</v>
      </c>
      <c r="C2221" s="5"/>
      <c r="D2221" s="5" t="s">
        <v>1854</v>
      </c>
      <c r="E2221" s="5" t="s">
        <v>150</v>
      </c>
      <c r="F2221" s="5" t="s">
        <v>1846</v>
      </c>
      <c r="G2221" s="5" t="s">
        <v>148</v>
      </c>
      <c r="H2221" s="5" t="s">
        <v>137</v>
      </c>
      <c r="I2221" s="5" t="s">
        <v>1853</v>
      </c>
      <c r="J2221" s="5" t="s">
        <v>1852</v>
      </c>
    </row>
    <row r="2222" spans="1:10" x14ac:dyDescent="0.2">
      <c r="A2222" s="5" t="s">
        <v>1851</v>
      </c>
      <c r="B2222" s="5" t="s">
        <v>83</v>
      </c>
      <c r="C2222" s="5"/>
      <c r="D2222" s="5" t="s">
        <v>1850</v>
      </c>
      <c r="E2222" s="5" t="s">
        <v>150</v>
      </c>
      <c r="F2222" s="5" t="s">
        <v>1846</v>
      </c>
      <c r="G2222" s="5" t="s">
        <v>148</v>
      </c>
      <c r="H2222" s="5" t="s">
        <v>3</v>
      </c>
      <c r="I2222" s="5"/>
      <c r="J2222" s="5" t="s">
        <v>1849</v>
      </c>
    </row>
    <row r="2223" spans="1:10" x14ac:dyDescent="0.2">
      <c r="A2223" s="5" t="s">
        <v>1848</v>
      </c>
      <c r="B2223" s="5" t="s">
        <v>83</v>
      </c>
      <c r="C2223" s="5"/>
      <c r="D2223" s="5" t="s">
        <v>1847</v>
      </c>
      <c r="E2223" s="5" t="s">
        <v>150</v>
      </c>
      <c r="F2223" s="5" t="s">
        <v>1846</v>
      </c>
      <c r="G2223" s="5" t="s">
        <v>148</v>
      </c>
      <c r="H2223" s="5" t="s">
        <v>3</v>
      </c>
      <c r="I2223" s="5"/>
      <c r="J2223" s="5" t="s">
        <v>1845</v>
      </c>
    </row>
    <row r="2224" spans="1:10" ht="25.5" x14ac:dyDescent="0.2">
      <c r="A2224" s="5" t="s">
        <v>1844</v>
      </c>
      <c r="B2224" s="5" t="s">
        <v>83</v>
      </c>
      <c r="C2224" s="5"/>
      <c r="D2224" s="5" t="s">
        <v>1843</v>
      </c>
      <c r="E2224" s="5" t="s">
        <v>150</v>
      </c>
      <c r="F2224" s="5" t="s">
        <v>424</v>
      </c>
      <c r="G2224" s="5" t="s">
        <v>148</v>
      </c>
      <c r="H2224" s="5" t="s">
        <v>137</v>
      </c>
      <c r="I2224" s="5" t="s">
        <v>1839</v>
      </c>
      <c r="J2224" s="5" t="s">
        <v>1842</v>
      </c>
    </row>
    <row r="2225" spans="1:10" ht="25.5" x14ac:dyDescent="0.2">
      <c r="A2225" s="5" t="s">
        <v>1841</v>
      </c>
      <c r="B2225" s="5" t="s">
        <v>83</v>
      </c>
      <c r="C2225" s="5"/>
      <c r="D2225" s="5" t="s">
        <v>1840</v>
      </c>
      <c r="E2225" s="5"/>
      <c r="F2225" s="5" t="s">
        <v>424</v>
      </c>
      <c r="G2225" s="5" t="s">
        <v>170</v>
      </c>
      <c r="H2225" s="5" t="s">
        <v>137</v>
      </c>
      <c r="I2225" s="5" t="s">
        <v>1839</v>
      </c>
      <c r="J2225" s="5" t="s">
        <v>1838</v>
      </c>
    </row>
    <row r="2226" spans="1:10" ht="25.5" x14ac:dyDescent="0.2">
      <c r="A2226" s="5" t="s">
        <v>1837</v>
      </c>
      <c r="B2226" s="5" t="s">
        <v>83</v>
      </c>
      <c r="C2226" s="5"/>
      <c r="D2226" s="5" t="s">
        <v>1836</v>
      </c>
      <c r="E2226" s="5"/>
      <c r="F2226" s="5" t="s">
        <v>1822</v>
      </c>
      <c r="G2226" s="5" t="s">
        <v>382</v>
      </c>
      <c r="H2226" s="5" t="s">
        <v>3</v>
      </c>
      <c r="I2226" s="5"/>
      <c r="J2226" s="5" t="s">
        <v>1835</v>
      </c>
    </row>
    <row r="2227" spans="1:10" ht="25.5" x14ac:dyDescent="0.2">
      <c r="A2227" s="5" t="s">
        <v>1834</v>
      </c>
      <c r="B2227" s="5" t="s">
        <v>83</v>
      </c>
      <c r="C2227" s="5"/>
      <c r="D2227" s="5" t="s">
        <v>1833</v>
      </c>
      <c r="E2227" s="5"/>
      <c r="F2227" s="5" t="s">
        <v>1822</v>
      </c>
      <c r="G2227" s="5" t="s">
        <v>382</v>
      </c>
      <c r="H2227" s="5" t="s">
        <v>137</v>
      </c>
      <c r="I2227" s="5" t="s">
        <v>1829</v>
      </c>
      <c r="J2227" s="5" t="s">
        <v>1832</v>
      </c>
    </row>
    <row r="2228" spans="1:10" ht="25.5" x14ac:dyDescent="0.2">
      <c r="A2228" s="5" t="s">
        <v>1831</v>
      </c>
      <c r="B2228" s="5" t="s">
        <v>83</v>
      </c>
      <c r="C2228" s="5"/>
      <c r="D2228" s="5" t="s">
        <v>1830</v>
      </c>
      <c r="E2228" s="5" t="s">
        <v>150</v>
      </c>
      <c r="F2228" s="5" t="s">
        <v>1822</v>
      </c>
      <c r="G2228" s="5" t="s">
        <v>148</v>
      </c>
      <c r="H2228" s="5" t="s">
        <v>137</v>
      </c>
      <c r="I2228" s="5" t="s">
        <v>1829</v>
      </c>
      <c r="J2228" s="5" t="s">
        <v>1828</v>
      </c>
    </row>
    <row r="2229" spans="1:10" x14ac:dyDescent="0.2">
      <c r="A2229" s="5" t="s">
        <v>1827</v>
      </c>
      <c r="B2229" s="5" t="s">
        <v>83</v>
      </c>
      <c r="C2229" s="5"/>
      <c r="D2229" s="5" t="s">
        <v>1826</v>
      </c>
      <c r="E2229" s="5" t="s">
        <v>150</v>
      </c>
      <c r="F2229" s="5" t="s">
        <v>1822</v>
      </c>
      <c r="G2229" s="5" t="s">
        <v>148</v>
      </c>
      <c r="H2229" s="5" t="s">
        <v>3</v>
      </c>
      <c r="I2229" s="5"/>
      <c r="J2229" s="5" t="s">
        <v>1825</v>
      </c>
    </row>
    <row r="2230" spans="1:10" x14ac:dyDescent="0.2">
      <c r="A2230" s="5" t="s">
        <v>1824</v>
      </c>
      <c r="B2230" s="5" t="s">
        <v>83</v>
      </c>
      <c r="C2230" s="5"/>
      <c r="D2230" s="5" t="s">
        <v>1823</v>
      </c>
      <c r="E2230" s="5" t="s">
        <v>150</v>
      </c>
      <c r="F2230" s="5" t="s">
        <v>1822</v>
      </c>
      <c r="G2230" s="5" t="s">
        <v>148</v>
      </c>
      <c r="H2230" s="5" t="s">
        <v>3</v>
      </c>
      <c r="I2230" s="5"/>
      <c r="J2230" s="5" t="s">
        <v>1821</v>
      </c>
    </row>
    <row r="2231" spans="1:10" ht="25.5" x14ac:dyDescent="0.2">
      <c r="A2231" s="5" t="s">
        <v>1820</v>
      </c>
      <c r="B2231" s="5" t="s">
        <v>83</v>
      </c>
      <c r="C2231" s="5"/>
      <c r="D2231" s="5" t="s">
        <v>1819</v>
      </c>
      <c r="E2231" s="5" t="s">
        <v>150</v>
      </c>
      <c r="F2231" s="5" t="s">
        <v>424</v>
      </c>
      <c r="G2231" s="5" t="s">
        <v>148</v>
      </c>
      <c r="H2231" s="5" t="s">
        <v>137</v>
      </c>
      <c r="I2231" s="5" t="s">
        <v>1815</v>
      </c>
      <c r="J2231" s="5" t="s">
        <v>1818</v>
      </c>
    </row>
    <row r="2232" spans="1:10" ht="25.5" x14ac:dyDescent="0.2">
      <c r="A2232" s="5" t="s">
        <v>1817</v>
      </c>
      <c r="B2232" s="5" t="s">
        <v>83</v>
      </c>
      <c r="C2232" s="5"/>
      <c r="D2232" s="5" t="s">
        <v>1816</v>
      </c>
      <c r="E2232" s="5"/>
      <c r="F2232" s="5" t="s">
        <v>424</v>
      </c>
      <c r="G2232" s="5" t="s">
        <v>170</v>
      </c>
      <c r="H2232" s="5" t="s">
        <v>137</v>
      </c>
      <c r="I2232" s="5" t="s">
        <v>1815</v>
      </c>
      <c r="J2232" s="5" t="s">
        <v>1814</v>
      </c>
    </row>
    <row r="2233" spans="1:10" ht="25.5" x14ac:dyDescent="0.2">
      <c r="A2233" s="5" t="s">
        <v>1813</v>
      </c>
      <c r="B2233" s="5" t="s">
        <v>83</v>
      </c>
      <c r="C2233" s="5"/>
      <c r="D2233" s="5" t="s">
        <v>1812</v>
      </c>
      <c r="E2233" s="5"/>
      <c r="F2233" s="5" t="s">
        <v>1811</v>
      </c>
      <c r="G2233" s="5" t="s">
        <v>382</v>
      </c>
      <c r="H2233" s="5" t="s">
        <v>3</v>
      </c>
      <c r="I2233" s="5"/>
      <c r="J2233" s="5" t="s">
        <v>1810</v>
      </c>
    </row>
    <row r="2234" spans="1:10" x14ac:dyDescent="0.2">
      <c r="A2234" s="5" t="s">
        <v>1809</v>
      </c>
      <c r="B2234" s="5" t="s">
        <v>83</v>
      </c>
      <c r="C2234" s="5"/>
      <c r="D2234" s="5" t="s">
        <v>1808</v>
      </c>
      <c r="E2234" s="5"/>
      <c r="F2234" s="5" t="s">
        <v>1794</v>
      </c>
      <c r="G2234" s="5" t="s">
        <v>382</v>
      </c>
      <c r="H2234" s="5" t="s">
        <v>3</v>
      </c>
      <c r="I2234" s="5"/>
      <c r="J2234" s="5" t="s">
        <v>1807</v>
      </c>
    </row>
    <row r="2235" spans="1:10" ht="25.5" x14ac:dyDescent="0.2">
      <c r="A2235" s="5" t="s">
        <v>1806</v>
      </c>
      <c r="B2235" s="5" t="s">
        <v>83</v>
      </c>
      <c r="C2235" s="5"/>
      <c r="D2235" s="5" t="s">
        <v>1805</v>
      </c>
      <c r="E2235" s="5"/>
      <c r="F2235" s="5" t="s">
        <v>1794</v>
      </c>
      <c r="G2235" s="5" t="s">
        <v>382</v>
      </c>
      <c r="H2235" s="5" t="s">
        <v>137</v>
      </c>
      <c r="I2235" s="5" t="s">
        <v>1801</v>
      </c>
      <c r="J2235" s="5" t="s">
        <v>1804</v>
      </c>
    </row>
    <row r="2236" spans="1:10" ht="25.5" x14ac:dyDescent="0.2">
      <c r="A2236" s="5" t="s">
        <v>1803</v>
      </c>
      <c r="B2236" s="5" t="s">
        <v>83</v>
      </c>
      <c r="C2236" s="5"/>
      <c r="D2236" s="5" t="s">
        <v>1802</v>
      </c>
      <c r="E2236" s="5" t="s">
        <v>150</v>
      </c>
      <c r="F2236" s="5" t="s">
        <v>1794</v>
      </c>
      <c r="G2236" s="5" t="s">
        <v>148</v>
      </c>
      <c r="H2236" s="5" t="s">
        <v>137</v>
      </c>
      <c r="I2236" s="5" t="s">
        <v>1801</v>
      </c>
      <c r="J2236" s="5" t="s">
        <v>1800</v>
      </c>
    </row>
    <row r="2237" spans="1:10" x14ac:dyDescent="0.2">
      <c r="A2237" s="5" t="s">
        <v>1799</v>
      </c>
      <c r="B2237" s="5" t="s">
        <v>83</v>
      </c>
      <c r="C2237" s="5"/>
      <c r="D2237" s="5" t="s">
        <v>1798</v>
      </c>
      <c r="E2237" s="5" t="s">
        <v>150</v>
      </c>
      <c r="F2237" s="5" t="s">
        <v>1794</v>
      </c>
      <c r="G2237" s="5" t="s">
        <v>148</v>
      </c>
      <c r="H2237" s="5" t="s">
        <v>3</v>
      </c>
      <c r="I2237" s="5"/>
      <c r="J2237" s="5" t="s">
        <v>1797</v>
      </c>
    </row>
    <row r="2238" spans="1:10" x14ac:dyDescent="0.2">
      <c r="A2238" s="5" t="s">
        <v>1796</v>
      </c>
      <c r="B2238" s="5" t="s">
        <v>83</v>
      </c>
      <c r="C2238" s="5"/>
      <c r="D2238" s="5" t="s">
        <v>1795</v>
      </c>
      <c r="E2238" s="5" t="s">
        <v>150</v>
      </c>
      <c r="F2238" s="5" t="s">
        <v>1794</v>
      </c>
      <c r="G2238" s="5" t="s">
        <v>148</v>
      </c>
      <c r="H2238" s="5" t="s">
        <v>3</v>
      </c>
      <c r="I2238" s="5"/>
      <c r="J2238" s="5" t="s">
        <v>1793</v>
      </c>
    </row>
    <row r="2239" spans="1:10" ht="25.5" x14ac:dyDescent="0.2">
      <c r="A2239" s="5" t="s">
        <v>1792</v>
      </c>
      <c r="B2239" s="5" t="s">
        <v>83</v>
      </c>
      <c r="C2239" s="5"/>
      <c r="D2239" s="5" t="s">
        <v>1791</v>
      </c>
      <c r="E2239" s="5" t="s">
        <v>150</v>
      </c>
      <c r="F2239" s="5" t="s">
        <v>424</v>
      </c>
      <c r="G2239" s="5" t="s">
        <v>148</v>
      </c>
      <c r="H2239" s="5" t="s">
        <v>137</v>
      </c>
      <c r="I2239" s="5" t="s">
        <v>1787</v>
      </c>
      <c r="J2239" s="5" t="s">
        <v>1790</v>
      </c>
    </row>
    <row r="2240" spans="1:10" ht="25.5" x14ac:dyDescent="0.2">
      <c r="A2240" s="5" t="s">
        <v>1789</v>
      </c>
      <c r="B2240" s="5" t="s">
        <v>83</v>
      </c>
      <c r="C2240" s="5"/>
      <c r="D2240" s="5" t="s">
        <v>1788</v>
      </c>
      <c r="E2240" s="5"/>
      <c r="F2240" s="5" t="s">
        <v>424</v>
      </c>
      <c r="G2240" s="5" t="s">
        <v>170</v>
      </c>
      <c r="H2240" s="5" t="s">
        <v>137</v>
      </c>
      <c r="I2240" s="5" t="s">
        <v>1787</v>
      </c>
      <c r="J2240" s="5" t="s">
        <v>1786</v>
      </c>
    </row>
    <row r="2241" spans="1:10" x14ac:dyDescent="0.2">
      <c r="A2241" s="5" t="s">
        <v>1785</v>
      </c>
      <c r="B2241" s="5" t="s">
        <v>83</v>
      </c>
      <c r="C2241" s="5"/>
      <c r="D2241" s="5" t="s">
        <v>1784</v>
      </c>
      <c r="E2241" s="5" t="s">
        <v>1783</v>
      </c>
      <c r="F2241" s="5" t="s">
        <v>1782</v>
      </c>
      <c r="G2241" s="5" t="s">
        <v>91</v>
      </c>
      <c r="H2241" s="5" t="s">
        <v>137</v>
      </c>
      <c r="I2241" s="5" t="s">
        <v>1781</v>
      </c>
      <c r="J2241" s="5" t="s">
        <v>1780</v>
      </c>
    </row>
    <row r="2242" spans="1:10" ht="25.5" x14ac:dyDescent="0.2">
      <c r="A2242" s="5" t="s">
        <v>1779</v>
      </c>
      <c r="B2242" s="5" t="s">
        <v>83</v>
      </c>
      <c r="C2242" s="5"/>
      <c r="D2242" s="5" t="s">
        <v>1778</v>
      </c>
      <c r="E2242" s="5" t="s">
        <v>150</v>
      </c>
      <c r="F2242" s="5" t="s">
        <v>1777</v>
      </c>
      <c r="G2242" s="5" t="s">
        <v>148</v>
      </c>
      <c r="H2242" s="5" t="s">
        <v>137</v>
      </c>
      <c r="I2242" s="5" t="s">
        <v>15</v>
      </c>
      <c r="J2242" s="5" t="s">
        <v>1776</v>
      </c>
    </row>
    <row r="2243" spans="1:10" x14ac:dyDescent="0.2">
      <c r="A2243" s="5" t="s">
        <v>1775</v>
      </c>
      <c r="B2243" s="5" t="s">
        <v>83</v>
      </c>
      <c r="C2243" s="5"/>
      <c r="D2243" s="5" t="s">
        <v>1774</v>
      </c>
      <c r="E2243" s="5"/>
      <c r="F2243" s="5" t="s">
        <v>1770</v>
      </c>
      <c r="G2243" s="5" t="s">
        <v>229</v>
      </c>
      <c r="H2243" s="5" t="s">
        <v>137</v>
      </c>
      <c r="I2243" s="5" t="s">
        <v>15</v>
      </c>
      <c r="J2243" s="5" t="s">
        <v>1773</v>
      </c>
    </row>
    <row r="2244" spans="1:10" x14ac:dyDescent="0.2">
      <c r="A2244" s="5" t="s">
        <v>1772</v>
      </c>
      <c r="B2244" s="5" t="s">
        <v>83</v>
      </c>
      <c r="C2244" s="5"/>
      <c r="D2244" s="5" t="s">
        <v>1771</v>
      </c>
      <c r="E2244" s="5"/>
      <c r="F2244" s="5" t="s">
        <v>1770</v>
      </c>
      <c r="G2244" s="5" t="s">
        <v>229</v>
      </c>
      <c r="H2244" s="5" t="s">
        <v>137</v>
      </c>
      <c r="I2244" s="5" t="s">
        <v>15</v>
      </c>
      <c r="J2244" s="5" t="s">
        <v>1769</v>
      </c>
    </row>
    <row r="2245" spans="1:10" ht="25.5" x14ac:dyDescent="0.2">
      <c r="A2245" s="5" t="s">
        <v>1768</v>
      </c>
      <c r="B2245" s="5" t="s">
        <v>83</v>
      </c>
      <c r="C2245" s="5"/>
      <c r="D2245" s="5" t="s">
        <v>1767</v>
      </c>
      <c r="E2245" s="5"/>
      <c r="F2245" s="5" t="s">
        <v>1753</v>
      </c>
      <c r="G2245" s="5" t="s">
        <v>382</v>
      </c>
      <c r="H2245" s="5" t="s">
        <v>3</v>
      </c>
      <c r="I2245" s="5"/>
      <c r="J2245" s="5" t="s">
        <v>1766</v>
      </c>
    </row>
    <row r="2246" spans="1:10" ht="25.5" x14ac:dyDescent="0.2">
      <c r="A2246" s="5" t="s">
        <v>1765</v>
      </c>
      <c r="B2246" s="5" t="s">
        <v>83</v>
      </c>
      <c r="C2246" s="5"/>
      <c r="D2246" s="5" t="s">
        <v>1764</v>
      </c>
      <c r="E2246" s="5"/>
      <c r="F2246" s="5" t="s">
        <v>1753</v>
      </c>
      <c r="G2246" s="5" t="s">
        <v>382</v>
      </c>
      <c r="H2246" s="5" t="s">
        <v>137</v>
      </c>
      <c r="I2246" s="5" t="s">
        <v>1760</v>
      </c>
      <c r="J2246" s="5" t="s">
        <v>1763</v>
      </c>
    </row>
    <row r="2247" spans="1:10" ht="25.5" x14ac:dyDescent="0.2">
      <c r="A2247" s="5" t="s">
        <v>1762</v>
      </c>
      <c r="B2247" s="5" t="s">
        <v>83</v>
      </c>
      <c r="C2247" s="5"/>
      <c r="D2247" s="5" t="s">
        <v>1761</v>
      </c>
      <c r="E2247" s="5" t="s">
        <v>150</v>
      </c>
      <c r="F2247" s="5" t="s">
        <v>1753</v>
      </c>
      <c r="G2247" s="5" t="s">
        <v>148</v>
      </c>
      <c r="H2247" s="5" t="s">
        <v>137</v>
      </c>
      <c r="I2247" s="5" t="s">
        <v>1760</v>
      </c>
      <c r="J2247" s="5" t="s">
        <v>1759</v>
      </c>
    </row>
    <row r="2248" spans="1:10" x14ac:dyDescent="0.2">
      <c r="A2248" s="5" t="s">
        <v>1758</v>
      </c>
      <c r="B2248" s="5" t="s">
        <v>83</v>
      </c>
      <c r="C2248" s="5"/>
      <c r="D2248" s="5" t="s">
        <v>1757</v>
      </c>
      <c r="E2248" s="5" t="s">
        <v>150</v>
      </c>
      <c r="F2248" s="5" t="s">
        <v>1753</v>
      </c>
      <c r="G2248" s="5" t="s">
        <v>148</v>
      </c>
      <c r="H2248" s="5" t="s">
        <v>3</v>
      </c>
      <c r="I2248" s="5"/>
      <c r="J2248" s="5" t="s">
        <v>1756</v>
      </c>
    </row>
    <row r="2249" spans="1:10" x14ac:dyDescent="0.2">
      <c r="A2249" s="5" t="s">
        <v>1755</v>
      </c>
      <c r="B2249" s="5" t="s">
        <v>83</v>
      </c>
      <c r="C2249" s="5"/>
      <c r="D2249" s="5" t="s">
        <v>1754</v>
      </c>
      <c r="E2249" s="5" t="s">
        <v>150</v>
      </c>
      <c r="F2249" s="5" t="s">
        <v>1753</v>
      </c>
      <c r="G2249" s="5" t="s">
        <v>148</v>
      </c>
      <c r="H2249" s="5" t="s">
        <v>3</v>
      </c>
      <c r="I2249" s="5"/>
      <c r="J2249" s="5" t="s">
        <v>1752</v>
      </c>
    </row>
    <row r="2250" spans="1:10" ht="25.5" x14ac:dyDescent="0.2">
      <c r="A2250" s="5" t="s">
        <v>1751</v>
      </c>
      <c r="B2250" s="5" t="s">
        <v>83</v>
      </c>
      <c r="C2250" s="5"/>
      <c r="D2250" s="5" t="s">
        <v>1750</v>
      </c>
      <c r="E2250" s="5" t="s">
        <v>150</v>
      </c>
      <c r="F2250" s="5" t="s">
        <v>424</v>
      </c>
      <c r="G2250" s="5" t="s">
        <v>148</v>
      </c>
      <c r="H2250" s="5" t="s">
        <v>137</v>
      </c>
      <c r="I2250" s="5" t="s">
        <v>1746</v>
      </c>
      <c r="J2250" s="5" t="s">
        <v>1749</v>
      </c>
    </row>
    <row r="2251" spans="1:10" ht="25.5" x14ac:dyDescent="0.2">
      <c r="A2251" s="5" t="s">
        <v>1748</v>
      </c>
      <c r="B2251" s="5" t="s">
        <v>83</v>
      </c>
      <c r="C2251" s="5"/>
      <c r="D2251" s="5" t="s">
        <v>1747</v>
      </c>
      <c r="E2251" s="5"/>
      <c r="F2251" s="5" t="s">
        <v>424</v>
      </c>
      <c r="G2251" s="5" t="s">
        <v>170</v>
      </c>
      <c r="H2251" s="5" t="s">
        <v>137</v>
      </c>
      <c r="I2251" s="5" t="s">
        <v>1746</v>
      </c>
      <c r="J2251" s="5" t="s">
        <v>1745</v>
      </c>
    </row>
    <row r="2252" spans="1:10" ht="25.5" x14ac:dyDescent="0.2">
      <c r="A2252" s="5" t="s">
        <v>1744</v>
      </c>
      <c r="B2252" s="5" t="s">
        <v>83</v>
      </c>
      <c r="C2252" s="5"/>
      <c r="D2252" s="5" t="s">
        <v>1743</v>
      </c>
      <c r="E2252" s="5"/>
      <c r="F2252" s="5" t="s">
        <v>1729</v>
      </c>
      <c r="G2252" s="5" t="s">
        <v>382</v>
      </c>
      <c r="H2252" s="5" t="s">
        <v>3</v>
      </c>
      <c r="I2252" s="5"/>
      <c r="J2252" s="5" t="s">
        <v>1742</v>
      </c>
    </row>
    <row r="2253" spans="1:10" ht="25.5" x14ac:dyDescent="0.2">
      <c r="A2253" s="5" t="s">
        <v>1741</v>
      </c>
      <c r="B2253" s="5" t="s">
        <v>83</v>
      </c>
      <c r="C2253" s="5"/>
      <c r="D2253" s="5" t="s">
        <v>1740</v>
      </c>
      <c r="E2253" s="5"/>
      <c r="F2253" s="5" t="s">
        <v>1729</v>
      </c>
      <c r="G2253" s="5" t="s">
        <v>382</v>
      </c>
      <c r="H2253" s="5" t="s">
        <v>137</v>
      </c>
      <c r="I2253" s="5" t="s">
        <v>1736</v>
      </c>
      <c r="J2253" s="5" t="s">
        <v>1739</v>
      </c>
    </row>
    <row r="2254" spans="1:10" ht="25.5" x14ac:dyDescent="0.2">
      <c r="A2254" s="5" t="s">
        <v>1738</v>
      </c>
      <c r="B2254" s="5" t="s">
        <v>83</v>
      </c>
      <c r="C2254" s="5"/>
      <c r="D2254" s="5" t="s">
        <v>1737</v>
      </c>
      <c r="E2254" s="5" t="s">
        <v>150</v>
      </c>
      <c r="F2254" s="5" t="s">
        <v>1729</v>
      </c>
      <c r="G2254" s="5" t="s">
        <v>148</v>
      </c>
      <c r="H2254" s="5" t="s">
        <v>137</v>
      </c>
      <c r="I2254" s="5" t="s">
        <v>1736</v>
      </c>
      <c r="J2254" s="5" t="s">
        <v>1735</v>
      </c>
    </row>
    <row r="2255" spans="1:10" x14ac:dyDescent="0.2">
      <c r="A2255" s="5" t="s">
        <v>1734</v>
      </c>
      <c r="B2255" s="5" t="s">
        <v>83</v>
      </c>
      <c r="C2255" s="5"/>
      <c r="D2255" s="5" t="s">
        <v>1733</v>
      </c>
      <c r="E2255" s="5" t="s">
        <v>150</v>
      </c>
      <c r="F2255" s="5" t="s">
        <v>1729</v>
      </c>
      <c r="G2255" s="5" t="s">
        <v>148</v>
      </c>
      <c r="H2255" s="5" t="s">
        <v>3</v>
      </c>
      <c r="I2255" s="5"/>
      <c r="J2255" s="5" t="s">
        <v>1732</v>
      </c>
    </row>
    <row r="2256" spans="1:10" x14ac:dyDescent="0.2">
      <c r="A2256" s="5" t="s">
        <v>1731</v>
      </c>
      <c r="B2256" s="5" t="s">
        <v>83</v>
      </c>
      <c r="C2256" s="5"/>
      <c r="D2256" s="5" t="s">
        <v>1730</v>
      </c>
      <c r="E2256" s="5" t="s">
        <v>150</v>
      </c>
      <c r="F2256" s="5" t="s">
        <v>1729</v>
      </c>
      <c r="G2256" s="5" t="s">
        <v>148</v>
      </c>
      <c r="H2256" s="5" t="s">
        <v>3</v>
      </c>
      <c r="I2256" s="5"/>
      <c r="J2256" s="5" t="s">
        <v>1728</v>
      </c>
    </row>
    <row r="2257" spans="1:10" ht="25.5" x14ac:dyDescent="0.2">
      <c r="A2257" s="5" t="s">
        <v>1727</v>
      </c>
      <c r="B2257" s="5" t="s">
        <v>83</v>
      </c>
      <c r="C2257" s="5"/>
      <c r="D2257" s="5" t="s">
        <v>1726</v>
      </c>
      <c r="E2257" s="5" t="s">
        <v>150</v>
      </c>
      <c r="F2257" s="5" t="s">
        <v>424</v>
      </c>
      <c r="G2257" s="5" t="s">
        <v>148</v>
      </c>
      <c r="H2257" s="5" t="s">
        <v>137</v>
      </c>
      <c r="I2257" s="5" t="s">
        <v>1722</v>
      </c>
      <c r="J2257" s="5" t="s">
        <v>1725</v>
      </c>
    </row>
    <row r="2258" spans="1:10" ht="25.5" x14ac:dyDescent="0.2">
      <c r="A2258" s="5" t="s">
        <v>1724</v>
      </c>
      <c r="B2258" s="5" t="s">
        <v>83</v>
      </c>
      <c r="C2258" s="5"/>
      <c r="D2258" s="5" t="s">
        <v>1723</v>
      </c>
      <c r="E2258" s="5"/>
      <c r="F2258" s="5" t="s">
        <v>424</v>
      </c>
      <c r="G2258" s="5" t="s">
        <v>170</v>
      </c>
      <c r="H2258" s="5" t="s">
        <v>137</v>
      </c>
      <c r="I2258" s="5" t="s">
        <v>1722</v>
      </c>
      <c r="J2258" s="5" t="s">
        <v>1721</v>
      </c>
    </row>
    <row r="2259" spans="1:10" x14ac:dyDescent="0.2">
      <c r="A2259" s="5" t="s">
        <v>1720</v>
      </c>
      <c r="B2259" s="5" t="s">
        <v>83</v>
      </c>
      <c r="C2259" s="5"/>
      <c r="D2259" s="5" t="s">
        <v>1719</v>
      </c>
      <c r="E2259" s="5"/>
      <c r="F2259" s="5" t="s">
        <v>1699</v>
      </c>
      <c r="G2259" s="5" t="s">
        <v>382</v>
      </c>
      <c r="H2259" s="5" t="s">
        <v>3</v>
      </c>
      <c r="I2259" s="5"/>
      <c r="J2259" s="5" t="s">
        <v>1718</v>
      </c>
    </row>
    <row r="2260" spans="1:10" x14ac:dyDescent="0.2">
      <c r="A2260" s="5" t="s">
        <v>1717</v>
      </c>
      <c r="B2260" s="5" t="s">
        <v>83</v>
      </c>
      <c r="C2260" s="5"/>
      <c r="D2260" s="5" t="s">
        <v>1716</v>
      </c>
      <c r="E2260" s="5"/>
      <c r="F2260" s="5" t="s">
        <v>1699</v>
      </c>
      <c r="G2260" s="5" t="s">
        <v>382</v>
      </c>
      <c r="H2260" s="5" t="s">
        <v>137</v>
      </c>
      <c r="I2260" s="5" t="s">
        <v>1706</v>
      </c>
      <c r="J2260" s="5" t="s">
        <v>1715</v>
      </c>
    </row>
    <row r="2261" spans="1:10" x14ac:dyDescent="0.2">
      <c r="A2261" s="5" t="s">
        <v>1714</v>
      </c>
      <c r="B2261" s="5" t="s">
        <v>83</v>
      </c>
      <c r="C2261" s="5"/>
      <c r="D2261" s="5" t="s">
        <v>1713</v>
      </c>
      <c r="E2261" s="5" t="s">
        <v>665</v>
      </c>
      <c r="F2261" s="5" t="s">
        <v>1699</v>
      </c>
      <c r="G2261" s="5" t="s">
        <v>148</v>
      </c>
      <c r="H2261" s="5" t="s">
        <v>137</v>
      </c>
      <c r="I2261" s="5" t="s">
        <v>1706</v>
      </c>
      <c r="J2261" s="5" t="s">
        <v>1712</v>
      </c>
    </row>
    <row r="2262" spans="1:10" ht="25.5" x14ac:dyDescent="0.2">
      <c r="A2262" s="5" t="s">
        <v>1711</v>
      </c>
      <c r="B2262" s="5" t="s">
        <v>83</v>
      </c>
      <c r="C2262" s="5"/>
      <c r="D2262" s="5" t="s">
        <v>1710</v>
      </c>
      <c r="E2262" s="5"/>
      <c r="F2262" s="5" t="s">
        <v>424</v>
      </c>
      <c r="G2262" s="5" t="s">
        <v>896</v>
      </c>
      <c r="H2262" s="5" t="s">
        <v>137</v>
      </c>
      <c r="I2262" s="5" t="s">
        <v>1686</v>
      </c>
      <c r="J2262" s="5" t="s">
        <v>1709</v>
      </c>
    </row>
    <row r="2263" spans="1:10" x14ac:dyDescent="0.2">
      <c r="A2263" s="5" t="s">
        <v>1708</v>
      </c>
      <c r="B2263" s="5" t="s">
        <v>83</v>
      </c>
      <c r="C2263" s="5"/>
      <c r="D2263" s="5" t="s">
        <v>1707</v>
      </c>
      <c r="E2263" s="5" t="s">
        <v>150</v>
      </c>
      <c r="F2263" s="5" t="s">
        <v>1699</v>
      </c>
      <c r="G2263" s="5" t="s">
        <v>148</v>
      </c>
      <c r="H2263" s="5" t="s">
        <v>137</v>
      </c>
      <c r="I2263" s="5" t="s">
        <v>1706</v>
      </c>
      <c r="J2263" s="5" t="s">
        <v>1705</v>
      </c>
    </row>
    <row r="2264" spans="1:10" x14ac:dyDescent="0.2">
      <c r="A2264" s="5" t="s">
        <v>1704</v>
      </c>
      <c r="B2264" s="5" t="s">
        <v>83</v>
      </c>
      <c r="C2264" s="5"/>
      <c r="D2264" s="5" t="s">
        <v>1703</v>
      </c>
      <c r="E2264" s="5" t="s">
        <v>150</v>
      </c>
      <c r="F2264" s="5" t="s">
        <v>1699</v>
      </c>
      <c r="G2264" s="5" t="s">
        <v>148</v>
      </c>
      <c r="H2264" s="5" t="s">
        <v>3</v>
      </c>
      <c r="I2264" s="5"/>
      <c r="J2264" s="5" t="s">
        <v>1702</v>
      </c>
    </row>
    <row r="2265" spans="1:10" x14ac:dyDescent="0.2">
      <c r="A2265" s="5" t="s">
        <v>1701</v>
      </c>
      <c r="B2265" s="5" t="s">
        <v>83</v>
      </c>
      <c r="C2265" s="5"/>
      <c r="D2265" s="5" t="s">
        <v>1700</v>
      </c>
      <c r="E2265" s="5" t="s">
        <v>150</v>
      </c>
      <c r="F2265" s="5" t="s">
        <v>1699</v>
      </c>
      <c r="G2265" s="5" t="s">
        <v>148</v>
      </c>
      <c r="H2265" s="5" t="s">
        <v>3</v>
      </c>
      <c r="I2265" s="5"/>
      <c r="J2265" s="5" t="s">
        <v>1698</v>
      </c>
    </row>
    <row r="2266" spans="1:10" ht="25.5" x14ac:dyDescent="0.2">
      <c r="A2266" s="5" t="s">
        <v>1697</v>
      </c>
      <c r="B2266" s="5" t="s">
        <v>83</v>
      </c>
      <c r="C2266" s="5"/>
      <c r="D2266" s="5" t="s">
        <v>1696</v>
      </c>
      <c r="E2266" s="5" t="s">
        <v>150</v>
      </c>
      <c r="F2266" s="5" t="s">
        <v>424</v>
      </c>
      <c r="G2266" s="5" t="s">
        <v>148</v>
      </c>
      <c r="H2266" s="5" t="s">
        <v>137</v>
      </c>
      <c r="I2266" s="5" t="s">
        <v>1686</v>
      </c>
      <c r="J2266" s="5" t="s">
        <v>1695</v>
      </c>
    </row>
    <row r="2267" spans="1:10" ht="25.5" x14ac:dyDescent="0.2">
      <c r="A2267" s="5" t="s">
        <v>1694</v>
      </c>
      <c r="B2267" s="5" t="s">
        <v>83</v>
      </c>
      <c r="C2267" s="5"/>
      <c r="D2267" s="5" t="s">
        <v>1693</v>
      </c>
      <c r="E2267" s="5"/>
      <c r="F2267" s="5" t="s">
        <v>424</v>
      </c>
      <c r="G2267" s="5" t="s">
        <v>170</v>
      </c>
      <c r="H2267" s="5" t="s">
        <v>137</v>
      </c>
      <c r="I2267" s="5" t="s">
        <v>1686</v>
      </c>
      <c r="J2267" s="5" t="s">
        <v>1692</v>
      </c>
    </row>
    <row r="2268" spans="1:10" ht="25.5" x14ac:dyDescent="0.2">
      <c r="A2268" s="5" t="s">
        <v>1691</v>
      </c>
      <c r="B2268" s="5" t="s">
        <v>83</v>
      </c>
      <c r="C2268" s="5"/>
      <c r="D2268" s="5" t="s">
        <v>1690</v>
      </c>
      <c r="E2268" s="5"/>
      <c r="F2268" s="5" t="s">
        <v>424</v>
      </c>
      <c r="G2268" s="5" t="s">
        <v>882</v>
      </c>
      <c r="H2268" s="5" t="s">
        <v>137</v>
      </c>
      <c r="I2268" s="5" t="s">
        <v>1686</v>
      </c>
      <c r="J2268" s="5" t="s">
        <v>1689</v>
      </c>
    </row>
    <row r="2269" spans="1:10" ht="25.5" x14ac:dyDescent="0.2">
      <c r="A2269" s="5" t="s">
        <v>1688</v>
      </c>
      <c r="B2269" s="5" t="s">
        <v>83</v>
      </c>
      <c r="C2269" s="5"/>
      <c r="D2269" s="5" t="s">
        <v>1687</v>
      </c>
      <c r="E2269" s="5" t="s">
        <v>665</v>
      </c>
      <c r="F2269" s="5" t="s">
        <v>424</v>
      </c>
      <c r="G2269" s="5" t="s">
        <v>148</v>
      </c>
      <c r="H2269" s="5" t="s">
        <v>137</v>
      </c>
      <c r="I2269" s="5" t="s">
        <v>1686</v>
      </c>
      <c r="J2269" s="5" t="s">
        <v>1685</v>
      </c>
    </row>
    <row r="2270" spans="1:10" ht="25.5" x14ac:dyDescent="0.2">
      <c r="A2270" s="5" t="s">
        <v>1684</v>
      </c>
      <c r="B2270" s="5" t="s">
        <v>83</v>
      </c>
      <c r="C2270" s="5"/>
      <c r="D2270" s="5" t="s">
        <v>1683</v>
      </c>
      <c r="E2270" s="5"/>
      <c r="F2270" s="5" t="s">
        <v>1669</v>
      </c>
      <c r="G2270" s="5" t="s">
        <v>382</v>
      </c>
      <c r="H2270" s="5" t="s">
        <v>3</v>
      </c>
      <c r="I2270" s="5"/>
      <c r="J2270" s="5" t="s">
        <v>1682</v>
      </c>
    </row>
    <row r="2271" spans="1:10" ht="25.5" x14ac:dyDescent="0.2">
      <c r="A2271" s="5" t="s">
        <v>1681</v>
      </c>
      <c r="B2271" s="5" t="s">
        <v>83</v>
      </c>
      <c r="C2271" s="5"/>
      <c r="D2271" s="5" t="s">
        <v>1680</v>
      </c>
      <c r="E2271" s="5"/>
      <c r="F2271" s="5" t="s">
        <v>1669</v>
      </c>
      <c r="G2271" s="5" t="s">
        <v>382</v>
      </c>
      <c r="H2271" s="5" t="s">
        <v>137</v>
      </c>
      <c r="I2271" s="5" t="s">
        <v>1676</v>
      </c>
      <c r="J2271" s="5" t="s">
        <v>1679</v>
      </c>
    </row>
    <row r="2272" spans="1:10" ht="25.5" x14ac:dyDescent="0.2">
      <c r="A2272" s="5" t="s">
        <v>1678</v>
      </c>
      <c r="B2272" s="5" t="s">
        <v>83</v>
      </c>
      <c r="C2272" s="5"/>
      <c r="D2272" s="5" t="s">
        <v>1677</v>
      </c>
      <c r="E2272" s="5" t="s">
        <v>150</v>
      </c>
      <c r="F2272" s="5" t="s">
        <v>1669</v>
      </c>
      <c r="G2272" s="5" t="s">
        <v>148</v>
      </c>
      <c r="H2272" s="5" t="s">
        <v>137</v>
      </c>
      <c r="I2272" s="5" t="s">
        <v>1676</v>
      </c>
      <c r="J2272" s="5" t="s">
        <v>1675</v>
      </c>
    </row>
    <row r="2273" spans="1:10" x14ac:dyDescent="0.2">
      <c r="A2273" s="5" t="s">
        <v>1674</v>
      </c>
      <c r="B2273" s="5" t="s">
        <v>83</v>
      </c>
      <c r="C2273" s="5"/>
      <c r="D2273" s="5" t="s">
        <v>1673</v>
      </c>
      <c r="E2273" s="5" t="s">
        <v>150</v>
      </c>
      <c r="F2273" s="5" t="s">
        <v>1669</v>
      </c>
      <c r="G2273" s="5" t="s">
        <v>148</v>
      </c>
      <c r="H2273" s="5" t="s">
        <v>3</v>
      </c>
      <c r="I2273" s="5"/>
      <c r="J2273" s="5" t="s">
        <v>1672</v>
      </c>
    </row>
    <row r="2274" spans="1:10" x14ac:dyDescent="0.2">
      <c r="A2274" s="5" t="s">
        <v>1671</v>
      </c>
      <c r="B2274" s="5" t="s">
        <v>83</v>
      </c>
      <c r="C2274" s="5"/>
      <c r="D2274" s="5" t="s">
        <v>1670</v>
      </c>
      <c r="E2274" s="5" t="s">
        <v>150</v>
      </c>
      <c r="F2274" s="5" t="s">
        <v>1669</v>
      </c>
      <c r="G2274" s="5" t="s">
        <v>148</v>
      </c>
      <c r="H2274" s="5" t="s">
        <v>3</v>
      </c>
      <c r="I2274" s="5"/>
      <c r="J2274" s="5" t="s">
        <v>1668</v>
      </c>
    </row>
    <row r="2275" spans="1:10" ht="25.5" x14ac:dyDescent="0.2">
      <c r="A2275" s="5" t="s">
        <v>1667</v>
      </c>
      <c r="B2275" s="5" t="s">
        <v>83</v>
      </c>
      <c r="C2275" s="5"/>
      <c r="D2275" s="5" t="s">
        <v>1666</v>
      </c>
      <c r="E2275" s="5" t="s">
        <v>150</v>
      </c>
      <c r="F2275" s="5" t="s">
        <v>424</v>
      </c>
      <c r="G2275" s="5" t="s">
        <v>148</v>
      </c>
      <c r="H2275" s="5" t="s">
        <v>137</v>
      </c>
      <c r="I2275" s="5" t="s">
        <v>1662</v>
      </c>
      <c r="J2275" s="5" t="s">
        <v>1665</v>
      </c>
    </row>
    <row r="2276" spans="1:10" ht="25.5" x14ac:dyDescent="0.2">
      <c r="A2276" s="5" t="s">
        <v>1664</v>
      </c>
      <c r="B2276" s="5" t="s">
        <v>83</v>
      </c>
      <c r="C2276" s="5"/>
      <c r="D2276" s="5" t="s">
        <v>1663</v>
      </c>
      <c r="E2276" s="5"/>
      <c r="F2276" s="5" t="s">
        <v>424</v>
      </c>
      <c r="G2276" s="5" t="s">
        <v>170</v>
      </c>
      <c r="H2276" s="5" t="s">
        <v>137</v>
      </c>
      <c r="I2276" s="5" t="s">
        <v>1662</v>
      </c>
      <c r="J2276" s="5" t="s">
        <v>1661</v>
      </c>
    </row>
    <row r="2277" spans="1:10" x14ac:dyDescent="0.2">
      <c r="A2277" s="5" t="s">
        <v>1660</v>
      </c>
      <c r="B2277" s="5" t="s">
        <v>83</v>
      </c>
      <c r="C2277" s="5"/>
      <c r="D2277" s="5" t="s">
        <v>1659</v>
      </c>
      <c r="E2277" s="5"/>
      <c r="F2277" s="5" t="s">
        <v>1658</v>
      </c>
      <c r="G2277" s="5" t="s">
        <v>199</v>
      </c>
      <c r="H2277" s="5" t="s">
        <v>3</v>
      </c>
      <c r="I2277" s="5"/>
      <c r="J2277" s="5"/>
    </row>
    <row r="2278" spans="1:10" ht="25.5" x14ac:dyDescent="0.2">
      <c r="A2278" s="5" t="s">
        <v>1657</v>
      </c>
      <c r="B2278" s="5" t="s">
        <v>83</v>
      </c>
      <c r="C2278" s="5"/>
      <c r="D2278" s="5" t="s">
        <v>1656</v>
      </c>
      <c r="E2278" s="5"/>
      <c r="F2278" s="5" t="s">
        <v>1642</v>
      </c>
      <c r="G2278" s="5" t="s">
        <v>382</v>
      </c>
      <c r="H2278" s="5" t="s">
        <v>3</v>
      </c>
      <c r="I2278" s="5"/>
      <c r="J2278" s="5" t="s">
        <v>1655</v>
      </c>
    </row>
    <row r="2279" spans="1:10" ht="25.5" x14ac:dyDescent="0.2">
      <c r="A2279" s="5" t="s">
        <v>1654</v>
      </c>
      <c r="B2279" s="5" t="s">
        <v>83</v>
      </c>
      <c r="C2279" s="5"/>
      <c r="D2279" s="5" t="s">
        <v>1653</v>
      </c>
      <c r="E2279" s="5"/>
      <c r="F2279" s="5" t="s">
        <v>1642</v>
      </c>
      <c r="G2279" s="5" t="s">
        <v>382</v>
      </c>
      <c r="H2279" s="5" t="s">
        <v>137</v>
      </c>
      <c r="I2279" s="5" t="s">
        <v>1649</v>
      </c>
      <c r="J2279" s="5" t="s">
        <v>1652</v>
      </c>
    </row>
    <row r="2280" spans="1:10" ht="25.5" x14ac:dyDescent="0.2">
      <c r="A2280" s="5" t="s">
        <v>1651</v>
      </c>
      <c r="B2280" s="5" t="s">
        <v>83</v>
      </c>
      <c r="C2280" s="5"/>
      <c r="D2280" s="5" t="s">
        <v>1650</v>
      </c>
      <c r="E2280" s="5" t="s">
        <v>150</v>
      </c>
      <c r="F2280" s="5" t="s">
        <v>1642</v>
      </c>
      <c r="G2280" s="5" t="s">
        <v>148</v>
      </c>
      <c r="H2280" s="5" t="s">
        <v>137</v>
      </c>
      <c r="I2280" s="5" t="s">
        <v>1649</v>
      </c>
      <c r="J2280" s="5" t="s">
        <v>1648</v>
      </c>
    </row>
    <row r="2281" spans="1:10" x14ac:dyDescent="0.2">
      <c r="A2281" s="5" t="s">
        <v>1647</v>
      </c>
      <c r="B2281" s="5" t="s">
        <v>83</v>
      </c>
      <c r="C2281" s="5"/>
      <c r="D2281" s="5" t="s">
        <v>1646</v>
      </c>
      <c r="E2281" s="5" t="s">
        <v>150</v>
      </c>
      <c r="F2281" s="5" t="s">
        <v>1642</v>
      </c>
      <c r="G2281" s="5" t="s">
        <v>148</v>
      </c>
      <c r="H2281" s="5" t="s">
        <v>3</v>
      </c>
      <c r="I2281" s="5"/>
      <c r="J2281" s="5" t="s">
        <v>1645</v>
      </c>
    </row>
    <row r="2282" spans="1:10" x14ac:dyDescent="0.2">
      <c r="A2282" s="5" t="s">
        <v>1644</v>
      </c>
      <c r="B2282" s="5" t="s">
        <v>83</v>
      </c>
      <c r="C2282" s="5"/>
      <c r="D2282" s="5" t="s">
        <v>1643</v>
      </c>
      <c r="E2282" s="5" t="s">
        <v>150</v>
      </c>
      <c r="F2282" s="5" t="s">
        <v>1642</v>
      </c>
      <c r="G2282" s="5" t="s">
        <v>148</v>
      </c>
      <c r="H2282" s="5" t="s">
        <v>3</v>
      </c>
      <c r="I2282" s="5"/>
      <c r="J2282" s="5" t="s">
        <v>1641</v>
      </c>
    </row>
    <row r="2283" spans="1:10" ht="25.5" x14ac:dyDescent="0.2">
      <c r="A2283" s="5" t="s">
        <v>1640</v>
      </c>
      <c r="B2283" s="5" t="s">
        <v>83</v>
      </c>
      <c r="C2283" s="5"/>
      <c r="D2283" s="5" t="s">
        <v>1639</v>
      </c>
      <c r="E2283" s="5" t="s">
        <v>150</v>
      </c>
      <c r="F2283" s="5" t="s">
        <v>424</v>
      </c>
      <c r="G2283" s="5" t="s">
        <v>148</v>
      </c>
      <c r="H2283" s="5" t="s">
        <v>137</v>
      </c>
      <c r="I2283" s="5" t="s">
        <v>1635</v>
      </c>
      <c r="J2283" s="5" t="s">
        <v>1638</v>
      </c>
    </row>
    <row r="2284" spans="1:10" ht="25.5" x14ac:dyDescent="0.2">
      <c r="A2284" s="5" t="s">
        <v>1637</v>
      </c>
      <c r="B2284" s="5" t="s">
        <v>83</v>
      </c>
      <c r="C2284" s="5"/>
      <c r="D2284" s="5" t="s">
        <v>1636</v>
      </c>
      <c r="E2284" s="5"/>
      <c r="F2284" s="5" t="s">
        <v>424</v>
      </c>
      <c r="G2284" s="5" t="s">
        <v>170</v>
      </c>
      <c r="H2284" s="5" t="s">
        <v>137</v>
      </c>
      <c r="I2284" s="5" t="s">
        <v>1635</v>
      </c>
      <c r="J2284" s="5" t="s">
        <v>1634</v>
      </c>
    </row>
    <row r="2285" spans="1:10" ht="25.5" x14ac:dyDescent="0.2">
      <c r="A2285" s="5" t="s">
        <v>910</v>
      </c>
      <c r="B2285" s="5" t="s">
        <v>83</v>
      </c>
      <c r="C2285" s="5"/>
      <c r="D2285" s="5" t="s">
        <v>1633</v>
      </c>
      <c r="E2285" s="5"/>
      <c r="F2285" s="5" t="s">
        <v>1630</v>
      </c>
      <c r="G2285" s="5" t="s">
        <v>382</v>
      </c>
      <c r="H2285" s="5" t="s">
        <v>3</v>
      </c>
      <c r="I2285" s="5"/>
      <c r="J2285" s="5" t="s">
        <v>1632</v>
      </c>
    </row>
    <row r="2286" spans="1:10" x14ac:dyDescent="0.2">
      <c r="A2286" s="5" t="s">
        <v>1631</v>
      </c>
      <c r="B2286" s="5" t="s">
        <v>83</v>
      </c>
      <c r="C2286" s="5"/>
      <c r="D2286" s="5" t="s">
        <v>914</v>
      </c>
      <c r="E2286" s="5" t="s">
        <v>150</v>
      </c>
      <c r="F2286" s="5" t="s">
        <v>1630</v>
      </c>
      <c r="G2286" s="5" t="s">
        <v>148</v>
      </c>
      <c r="H2286" s="5" t="s">
        <v>3</v>
      </c>
      <c r="I2286" s="5"/>
      <c r="J2286" s="5" t="s">
        <v>1629</v>
      </c>
    </row>
    <row r="2287" spans="1:10" x14ac:dyDescent="0.2">
      <c r="A2287" s="5" t="s">
        <v>1628</v>
      </c>
      <c r="B2287" s="5" t="s">
        <v>83</v>
      </c>
      <c r="C2287" s="5"/>
      <c r="D2287" s="5" t="s">
        <v>1627</v>
      </c>
      <c r="E2287" s="5"/>
      <c r="F2287" s="5" t="s">
        <v>1613</v>
      </c>
      <c r="G2287" s="5" t="s">
        <v>382</v>
      </c>
      <c r="H2287" s="5" t="s">
        <v>3</v>
      </c>
      <c r="I2287" s="5"/>
      <c r="J2287" s="5" t="s">
        <v>1626</v>
      </c>
    </row>
    <row r="2288" spans="1:10" x14ac:dyDescent="0.2">
      <c r="A2288" s="5" t="s">
        <v>1625</v>
      </c>
      <c r="B2288" s="5" t="s">
        <v>83</v>
      </c>
      <c r="C2288" s="5"/>
      <c r="D2288" s="5" t="s">
        <v>1624</v>
      </c>
      <c r="E2288" s="5"/>
      <c r="F2288" s="5" t="s">
        <v>1613</v>
      </c>
      <c r="G2288" s="5" t="s">
        <v>382</v>
      </c>
      <c r="H2288" s="5" t="s">
        <v>137</v>
      </c>
      <c r="I2288" s="5" t="s">
        <v>1620</v>
      </c>
      <c r="J2288" s="5" t="s">
        <v>1623</v>
      </c>
    </row>
    <row r="2289" spans="1:10" x14ac:dyDescent="0.2">
      <c r="A2289" s="5" t="s">
        <v>1622</v>
      </c>
      <c r="B2289" s="5" t="s">
        <v>83</v>
      </c>
      <c r="C2289" s="5"/>
      <c r="D2289" s="5" t="s">
        <v>1621</v>
      </c>
      <c r="E2289" s="5" t="s">
        <v>150</v>
      </c>
      <c r="F2289" s="5" t="s">
        <v>1613</v>
      </c>
      <c r="G2289" s="5" t="s">
        <v>148</v>
      </c>
      <c r="H2289" s="5" t="s">
        <v>137</v>
      </c>
      <c r="I2289" s="5" t="s">
        <v>1620</v>
      </c>
      <c r="J2289" s="5" t="s">
        <v>1619</v>
      </c>
    </row>
    <row r="2290" spans="1:10" x14ac:dyDescent="0.2">
      <c r="A2290" s="5" t="s">
        <v>1618</v>
      </c>
      <c r="B2290" s="5" t="s">
        <v>83</v>
      </c>
      <c r="C2290" s="5"/>
      <c r="D2290" s="5" t="s">
        <v>1617</v>
      </c>
      <c r="E2290" s="5" t="s">
        <v>150</v>
      </c>
      <c r="F2290" s="5" t="s">
        <v>1613</v>
      </c>
      <c r="G2290" s="5" t="s">
        <v>148</v>
      </c>
      <c r="H2290" s="5" t="s">
        <v>3</v>
      </c>
      <c r="I2290" s="5"/>
      <c r="J2290" s="5" t="s">
        <v>1616</v>
      </c>
    </row>
    <row r="2291" spans="1:10" x14ac:dyDescent="0.2">
      <c r="A2291" s="5" t="s">
        <v>1615</v>
      </c>
      <c r="B2291" s="5" t="s">
        <v>83</v>
      </c>
      <c r="C2291" s="5"/>
      <c r="D2291" s="5" t="s">
        <v>1614</v>
      </c>
      <c r="E2291" s="5" t="s">
        <v>150</v>
      </c>
      <c r="F2291" s="5" t="s">
        <v>1613</v>
      </c>
      <c r="G2291" s="5" t="s">
        <v>148</v>
      </c>
      <c r="H2291" s="5" t="s">
        <v>3</v>
      </c>
      <c r="I2291" s="5"/>
      <c r="J2291" s="5" t="s">
        <v>1612</v>
      </c>
    </row>
    <row r="2292" spans="1:10" ht="25.5" x14ac:dyDescent="0.2">
      <c r="A2292" s="5" t="s">
        <v>1611</v>
      </c>
      <c r="B2292" s="5" t="s">
        <v>83</v>
      </c>
      <c r="C2292" s="5"/>
      <c r="D2292" s="5" t="s">
        <v>1610</v>
      </c>
      <c r="E2292" s="5" t="s">
        <v>150</v>
      </c>
      <c r="F2292" s="5" t="s">
        <v>424</v>
      </c>
      <c r="G2292" s="5" t="s">
        <v>148</v>
      </c>
      <c r="H2292" s="5" t="s">
        <v>137</v>
      </c>
      <c r="I2292" s="5" t="s">
        <v>1606</v>
      </c>
      <c r="J2292" s="5" t="s">
        <v>1609</v>
      </c>
    </row>
    <row r="2293" spans="1:10" ht="25.5" x14ac:dyDescent="0.2">
      <c r="A2293" s="5" t="s">
        <v>1608</v>
      </c>
      <c r="B2293" s="5" t="s">
        <v>83</v>
      </c>
      <c r="C2293" s="5"/>
      <c r="D2293" s="5" t="s">
        <v>1607</v>
      </c>
      <c r="E2293" s="5"/>
      <c r="F2293" s="5" t="s">
        <v>424</v>
      </c>
      <c r="G2293" s="5" t="s">
        <v>170</v>
      </c>
      <c r="H2293" s="5" t="s">
        <v>137</v>
      </c>
      <c r="I2293" s="5" t="s">
        <v>1606</v>
      </c>
      <c r="J2293" s="5" t="s">
        <v>1605</v>
      </c>
    </row>
    <row r="2294" spans="1:10" ht="25.5" x14ac:dyDescent="0.2">
      <c r="A2294" s="5" t="s">
        <v>1604</v>
      </c>
      <c r="B2294" s="5" t="s">
        <v>83</v>
      </c>
      <c r="C2294" s="5"/>
      <c r="D2294" s="5" t="s">
        <v>1603</v>
      </c>
      <c r="E2294" s="5"/>
      <c r="F2294" s="5" t="s">
        <v>1589</v>
      </c>
      <c r="G2294" s="5" t="s">
        <v>382</v>
      </c>
      <c r="H2294" s="5" t="s">
        <v>3</v>
      </c>
      <c r="I2294" s="5"/>
      <c r="J2294" s="5" t="s">
        <v>1602</v>
      </c>
    </row>
    <row r="2295" spans="1:10" ht="25.5" x14ac:dyDescent="0.2">
      <c r="A2295" s="5" t="s">
        <v>1601</v>
      </c>
      <c r="B2295" s="5" t="s">
        <v>83</v>
      </c>
      <c r="C2295" s="5"/>
      <c r="D2295" s="5" t="s">
        <v>1600</v>
      </c>
      <c r="E2295" s="5"/>
      <c r="F2295" s="5" t="s">
        <v>1589</v>
      </c>
      <c r="G2295" s="5" t="s">
        <v>382</v>
      </c>
      <c r="H2295" s="5" t="s">
        <v>137</v>
      </c>
      <c r="I2295" s="5" t="s">
        <v>1596</v>
      </c>
      <c r="J2295" s="5" t="s">
        <v>1599</v>
      </c>
    </row>
    <row r="2296" spans="1:10" ht="25.5" x14ac:dyDescent="0.2">
      <c r="A2296" s="5" t="s">
        <v>1598</v>
      </c>
      <c r="B2296" s="5" t="s">
        <v>83</v>
      </c>
      <c r="C2296" s="5"/>
      <c r="D2296" s="5" t="s">
        <v>1597</v>
      </c>
      <c r="E2296" s="5" t="s">
        <v>150</v>
      </c>
      <c r="F2296" s="5" t="s">
        <v>1589</v>
      </c>
      <c r="G2296" s="5" t="s">
        <v>148</v>
      </c>
      <c r="H2296" s="5" t="s">
        <v>137</v>
      </c>
      <c r="I2296" s="5" t="s">
        <v>1596</v>
      </c>
      <c r="J2296" s="5" t="s">
        <v>1595</v>
      </c>
    </row>
    <row r="2297" spans="1:10" x14ac:dyDescent="0.2">
      <c r="A2297" s="5" t="s">
        <v>1594</v>
      </c>
      <c r="B2297" s="5" t="s">
        <v>83</v>
      </c>
      <c r="C2297" s="5"/>
      <c r="D2297" s="5" t="s">
        <v>1593</v>
      </c>
      <c r="E2297" s="5" t="s">
        <v>150</v>
      </c>
      <c r="F2297" s="5" t="s">
        <v>1589</v>
      </c>
      <c r="G2297" s="5" t="s">
        <v>148</v>
      </c>
      <c r="H2297" s="5" t="s">
        <v>3</v>
      </c>
      <c r="I2297" s="5"/>
      <c r="J2297" s="5" t="s">
        <v>1592</v>
      </c>
    </row>
    <row r="2298" spans="1:10" x14ac:dyDescent="0.2">
      <c r="A2298" s="5" t="s">
        <v>1591</v>
      </c>
      <c r="B2298" s="5" t="s">
        <v>83</v>
      </c>
      <c r="C2298" s="5"/>
      <c r="D2298" s="5" t="s">
        <v>1590</v>
      </c>
      <c r="E2298" s="5" t="s">
        <v>150</v>
      </c>
      <c r="F2298" s="5" t="s">
        <v>1589</v>
      </c>
      <c r="G2298" s="5" t="s">
        <v>148</v>
      </c>
      <c r="H2298" s="5" t="s">
        <v>3</v>
      </c>
      <c r="I2298" s="5"/>
      <c r="J2298" s="5" t="s">
        <v>1588</v>
      </c>
    </row>
    <row r="2299" spans="1:10" ht="25.5" x14ac:dyDescent="0.2">
      <c r="A2299" s="5" t="s">
        <v>1587</v>
      </c>
      <c r="B2299" s="5" t="s">
        <v>83</v>
      </c>
      <c r="C2299" s="5"/>
      <c r="D2299" s="5" t="s">
        <v>1586</v>
      </c>
      <c r="E2299" s="5" t="s">
        <v>150</v>
      </c>
      <c r="F2299" s="5" t="s">
        <v>424</v>
      </c>
      <c r="G2299" s="5" t="s">
        <v>148</v>
      </c>
      <c r="H2299" s="5" t="s">
        <v>137</v>
      </c>
      <c r="I2299" s="5" t="s">
        <v>1582</v>
      </c>
      <c r="J2299" s="5" t="s">
        <v>1585</v>
      </c>
    </row>
    <row r="2300" spans="1:10" ht="25.5" x14ac:dyDescent="0.2">
      <c r="A2300" s="5" t="s">
        <v>1584</v>
      </c>
      <c r="B2300" s="5" t="s">
        <v>83</v>
      </c>
      <c r="C2300" s="5"/>
      <c r="D2300" s="5" t="s">
        <v>1583</v>
      </c>
      <c r="E2300" s="5"/>
      <c r="F2300" s="5" t="s">
        <v>424</v>
      </c>
      <c r="G2300" s="5" t="s">
        <v>170</v>
      </c>
      <c r="H2300" s="5" t="s">
        <v>137</v>
      </c>
      <c r="I2300" s="5" t="s">
        <v>1582</v>
      </c>
      <c r="J2300" s="5" t="s">
        <v>1581</v>
      </c>
    </row>
    <row r="2301" spans="1:10" ht="25.5" x14ac:dyDescent="0.2">
      <c r="A2301" s="5" t="s">
        <v>1580</v>
      </c>
      <c r="B2301" s="5" t="s">
        <v>83</v>
      </c>
      <c r="C2301" s="5"/>
      <c r="D2301" s="5" t="s">
        <v>1579</v>
      </c>
      <c r="E2301" s="5"/>
      <c r="F2301" s="5" t="s">
        <v>1565</v>
      </c>
      <c r="G2301" s="5" t="s">
        <v>382</v>
      </c>
      <c r="H2301" s="5" t="s">
        <v>3</v>
      </c>
      <c r="I2301" s="5"/>
      <c r="J2301" s="5" t="s">
        <v>1578</v>
      </c>
    </row>
    <row r="2302" spans="1:10" ht="25.5" x14ac:dyDescent="0.2">
      <c r="A2302" s="5" t="s">
        <v>1577</v>
      </c>
      <c r="B2302" s="5" t="s">
        <v>83</v>
      </c>
      <c r="C2302" s="5"/>
      <c r="D2302" s="5" t="s">
        <v>1576</v>
      </c>
      <c r="E2302" s="5"/>
      <c r="F2302" s="5" t="s">
        <v>1565</v>
      </c>
      <c r="G2302" s="5" t="s">
        <v>382</v>
      </c>
      <c r="H2302" s="5" t="s">
        <v>137</v>
      </c>
      <c r="I2302" s="5" t="s">
        <v>1572</v>
      </c>
      <c r="J2302" s="5" t="s">
        <v>1575</v>
      </c>
    </row>
    <row r="2303" spans="1:10" ht="25.5" x14ac:dyDescent="0.2">
      <c r="A2303" s="5" t="s">
        <v>1574</v>
      </c>
      <c r="B2303" s="5" t="s">
        <v>83</v>
      </c>
      <c r="C2303" s="5"/>
      <c r="D2303" s="5" t="s">
        <v>1573</v>
      </c>
      <c r="E2303" s="5" t="s">
        <v>150</v>
      </c>
      <c r="F2303" s="5" t="s">
        <v>1565</v>
      </c>
      <c r="G2303" s="5" t="s">
        <v>148</v>
      </c>
      <c r="H2303" s="5" t="s">
        <v>137</v>
      </c>
      <c r="I2303" s="5" t="s">
        <v>1572</v>
      </c>
      <c r="J2303" s="5" t="s">
        <v>1571</v>
      </c>
    </row>
    <row r="2304" spans="1:10" x14ac:dyDescent="0.2">
      <c r="A2304" s="5" t="s">
        <v>1570</v>
      </c>
      <c r="B2304" s="5" t="s">
        <v>83</v>
      </c>
      <c r="C2304" s="5"/>
      <c r="D2304" s="5" t="s">
        <v>1569</v>
      </c>
      <c r="E2304" s="5" t="s">
        <v>150</v>
      </c>
      <c r="F2304" s="5" t="s">
        <v>1565</v>
      </c>
      <c r="G2304" s="5" t="s">
        <v>148</v>
      </c>
      <c r="H2304" s="5" t="s">
        <v>3</v>
      </c>
      <c r="I2304" s="5"/>
      <c r="J2304" s="5" t="s">
        <v>1568</v>
      </c>
    </row>
    <row r="2305" spans="1:10" x14ac:dyDescent="0.2">
      <c r="A2305" s="5" t="s">
        <v>1567</v>
      </c>
      <c r="B2305" s="5" t="s">
        <v>83</v>
      </c>
      <c r="C2305" s="5"/>
      <c r="D2305" s="5" t="s">
        <v>1566</v>
      </c>
      <c r="E2305" s="5" t="s">
        <v>150</v>
      </c>
      <c r="F2305" s="5" t="s">
        <v>1565</v>
      </c>
      <c r="G2305" s="5" t="s">
        <v>148</v>
      </c>
      <c r="H2305" s="5" t="s">
        <v>3</v>
      </c>
      <c r="I2305" s="5"/>
      <c r="J2305" s="5" t="s">
        <v>1564</v>
      </c>
    </row>
    <row r="2306" spans="1:10" ht="25.5" x14ac:dyDescent="0.2">
      <c r="A2306" s="5" t="s">
        <v>1563</v>
      </c>
      <c r="B2306" s="5" t="s">
        <v>83</v>
      </c>
      <c r="C2306" s="5"/>
      <c r="D2306" s="5" t="s">
        <v>1562</v>
      </c>
      <c r="E2306" s="5" t="s">
        <v>150</v>
      </c>
      <c r="F2306" s="5" t="s">
        <v>424</v>
      </c>
      <c r="G2306" s="5" t="s">
        <v>148</v>
      </c>
      <c r="H2306" s="5" t="s">
        <v>137</v>
      </c>
      <c r="I2306" s="5" t="s">
        <v>1558</v>
      </c>
      <c r="J2306" s="5" t="s">
        <v>1561</v>
      </c>
    </row>
    <row r="2307" spans="1:10" ht="25.5" x14ac:dyDescent="0.2">
      <c r="A2307" s="5" t="s">
        <v>1560</v>
      </c>
      <c r="B2307" s="5" t="s">
        <v>83</v>
      </c>
      <c r="C2307" s="5"/>
      <c r="D2307" s="5" t="s">
        <v>1559</v>
      </c>
      <c r="E2307" s="5"/>
      <c r="F2307" s="5" t="s">
        <v>424</v>
      </c>
      <c r="G2307" s="5" t="s">
        <v>170</v>
      </c>
      <c r="H2307" s="5" t="s">
        <v>137</v>
      </c>
      <c r="I2307" s="5" t="s">
        <v>1558</v>
      </c>
      <c r="J2307" s="5" t="s">
        <v>1557</v>
      </c>
    </row>
    <row r="2308" spans="1:10" x14ac:dyDescent="0.2">
      <c r="A2308" s="5" t="s">
        <v>1556</v>
      </c>
      <c r="B2308" s="5" t="s">
        <v>83</v>
      </c>
      <c r="C2308" s="5"/>
      <c r="D2308" s="5" t="s">
        <v>1555</v>
      </c>
      <c r="E2308" s="5"/>
      <c r="F2308" s="5" t="s">
        <v>1554</v>
      </c>
      <c r="G2308" s="5" t="s">
        <v>118</v>
      </c>
      <c r="H2308" s="5" t="s">
        <v>3</v>
      </c>
      <c r="I2308" s="5"/>
      <c r="J2308" s="5" t="s">
        <v>1553</v>
      </c>
    </row>
    <row r="2309" spans="1:10" ht="25.5" x14ac:dyDescent="0.2">
      <c r="A2309" s="5" t="s">
        <v>1552</v>
      </c>
      <c r="B2309" s="5" t="s">
        <v>83</v>
      </c>
      <c r="C2309" s="5"/>
      <c r="D2309" s="5" t="s">
        <v>576</v>
      </c>
      <c r="E2309" s="5"/>
      <c r="F2309" s="5" t="s">
        <v>1547</v>
      </c>
      <c r="G2309" s="5" t="s">
        <v>382</v>
      </c>
      <c r="H2309" s="5" t="s">
        <v>3</v>
      </c>
      <c r="I2309" s="5"/>
      <c r="J2309" s="5" t="s">
        <v>1551</v>
      </c>
    </row>
    <row r="2310" spans="1:10" x14ac:dyDescent="0.2">
      <c r="A2310" s="5" t="s">
        <v>1550</v>
      </c>
      <c r="B2310" s="5" t="s">
        <v>83</v>
      </c>
      <c r="C2310" s="5"/>
      <c r="D2310" s="5" t="s">
        <v>566</v>
      </c>
      <c r="E2310" s="5" t="s">
        <v>150</v>
      </c>
      <c r="F2310" s="5" t="s">
        <v>1547</v>
      </c>
      <c r="G2310" s="5" t="s">
        <v>148</v>
      </c>
      <c r="H2310" s="5" t="s">
        <v>3</v>
      </c>
      <c r="I2310" s="5"/>
      <c r="J2310" s="5" t="s">
        <v>1549</v>
      </c>
    </row>
    <row r="2311" spans="1:10" x14ac:dyDescent="0.2">
      <c r="A2311" s="5" t="s">
        <v>1548</v>
      </c>
      <c r="B2311" s="5" t="s">
        <v>83</v>
      </c>
      <c r="C2311" s="5"/>
      <c r="D2311" s="5" t="s">
        <v>563</v>
      </c>
      <c r="E2311" s="5" t="s">
        <v>150</v>
      </c>
      <c r="F2311" s="5" t="s">
        <v>1547</v>
      </c>
      <c r="G2311" s="5" t="s">
        <v>148</v>
      </c>
      <c r="H2311" s="5" t="s">
        <v>3</v>
      </c>
      <c r="I2311" s="5"/>
      <c r="J2311" s="5" t="s">
        <v>1546</v>
      </c>
    </row>
    <row r="2312" spans="1:10" ht="38.25" x14ac:dyDescent="0.2">
      <c r="A2312" s="5" t="s">
        <v>1545</v>
      </c>
      <c r="B2312" s="5" t="s">
        <v>83</v>
      </c>
      <c r="C2312" s="5"/>
      <c r="D2312" s="5" t="s">
        <v>1544</v>
      </c>
      <c r="E2312" s="5"/>
      <c r="F2312" s="5" t="s">
        <v>1543</v>
      </c>
      <c r="G2312" s="5" t="s">
        <v>1542</v>
      </c>
      <c r="H2312" s="5" t="s">
        <v>3</v>
      </c>
      <c r="I2312" s="5"/>
      <c r="J2312" s="5" t="s">
        <v>1541</v>
      </c>
    </row>
    <row r="2313" spans="1:10" x14ac:dyDescent="0.2">
      <c r="A2313" s="5" t="s">
        <v>1540</v>
      </c>
      <c r="B2313" s="5" t="s">
        <v>83</v>
      </c>
      <c r="C2313" s="5"/>
      <c r="D2313" s="5" t="s">
        <v>1500</v>
      </c>
      <c r="E2313" s="5"/>
      <c r="F2313" s="5" t="s">
        <v>1528</v>
      </c>
      <c r="G2313" s="5" t="s">
        <v>207</v>
      </c>
      <c r="H2313" s="5" t="s">
        <v>3</v>
      </c>
      <c r="I2313" s="5"/>
      <c r="J2313" s="5" t="s">
        <v>1539</v>
      </c>
    </row>
    <row r="2314" spans="1:10" x14ac:dyDescent="0.2">
      <c r="A2314" s="5" t="s">
        <v>1538</v>
      </c>
      <c r="B2314" s="5" t="s">
        <v>83</v>
      </c>
      <c r="C2314" s="5"/>
      <c r="D2314" s="5" t="s">
        <v>1537</v>
      </c>
      <c r="E2314" s="5"/>
      <c r="F2314" s="5" t="s">
        <v>1533</v>
      </c>
      <c r="G2314" s="5" t="s">
        <v>224</v>
      </c>
      <c r="H2314" s="5" t="s">
        <v>3</v>
      </c>
      <c r="I2314" s="5"/>
      <c r="J2314" s="5" t="s">
        <v>1536</v>
      </c>
    </row>
    <row r="2315" spans="1:10" ht="25.5" x14ac:dyDescent="0.2">
      <c r="A2315" s="5" t="s">
        <v>1535</v>
      </c>
      <c r="B2315" s="5" t="s">
        <v>83</v>
      </c>
      <c r="C2315" s="5"/>
      <c r="D2315" s="5" t="s">
        <v>1534</v>
      </c>
      <c r="E2315" s="5"/>
      <c r="F2315" s="5" t="s">
        <v>1533</v>
      </c>
      <c r="G2315" s="5" t="s">
        <v>224</v>
      </c>
      <c r="H2315" s="5" t="s">
        <v>137</v>
      </c>
      <c r="I2315" s="5" t="s">
        <v>1532</v>
      </c>
      <c r="J2315" s="5" t="s">
        <v>1531</v>
      </c>
    </row>
    <row r="2316" spans="1:10" ht="25.5" x14ac:dyDescent="0.2">
      <c r="A2316" s="5" t="s">
        <v>1530</v>
      </c>
      <c r="B2316" s="5" t="s">
        <v>83</v>
      </c>
      <c r="C2316" s="5"/>
      <c r="D2316" s="5" t="s">
        <v>1529</v>
      </c>
      <c r="E2316" s="5"/>
      <c r="F2316" s="5" t="s">
        <v>1528</v>
      </c>
      <c r="G2316" s="5" t="s">
        <v>1527</v>
      </c>
      <c r="H2316" s="5" t="s">
        <v>3</v>
      </c>
      <c r="I2316" s="5"/>
      <c r="J2316" s="5" t="s">
        <v>1526</v>
      </c>
    </row>
    <row r="2317" spans="1:10" ht="25.5" x14ac:dyDescent="0.2">
      <c r="A2317" s="5" t="s">
        <v>1525</v>
      </c>
      <c r="B2317" s="5" t="s">
        <v>83</v>
      </c>
      <c r="C2317" s="5"/>
      <c r="D2317" s="5" t="s">
        <v>1524</v>
      </c>
      <c r="E2317" s="5"/>
      <c r="F2317" s="5" t="s">
        <v>1510</v>
      </c>
      <c r="G2317" s="5" t="s">
        <v>382</v>
      </c>
      <c r="H2317" s="5" t="s">
        <v>3</v>
      </c>
      <c r="I2317" s="5"/>
      <c r="J2317" s="5" t="s">
        <v>1523</v>
      </c>
    </row>
    <row r="2318" spans="1:10" ht="25.5" x14ac:dyDescent="0.2">
      <c r="A2318" s="5" t="s">
        <v>1522</v>
      </c>
      <c r="B2318" s="5" t="s">
        <v>83</v>
      </c>
      <c r="C2318" s="5"/>
      <c r="D2318" s="5" t="s">
        <v>1521</v>
      </c>
      <c r="E2318" s="5"/>
      <c r="F2318" s="5" t="s">
        <v>1510</v>
      </c>
      <c r="G2318" s="5" t="s">
        <v>382</v>
      </c>
      <c r="H2318" s="5" t="s">
        <v>137</v>
      </c>
      <c r="I2318" s="5" t="s">
        <v>1517</v>
      </c>
      <c r="J2318" s="5" t="s">
        <v>1520</v>
      </c>
    </row>
    <row r="2319" spans="1:10" ht="25.5" x14ac:dyDescent="0.2">
      <c r="A2319" s="5" t="s">
        <v>1519</v>
      </c>
      <c r="B2319" s="5" t="s">
        <v>83</v>
      </c>
      <c r="C2319" s="5"/>
      <c r="D2319" s="5" t="s">
        <v>1518</v>
      </c>
      <c r="E2319" s="5" t="s">
        <v>150</v>
      </c>
      <c r="F2319" s="5" t="s">
        <v>1510</v>
      </c>
      <c r="G2319" s="5" t="s">
        <v>148</v>
      </c>
      <c r="H2319" s="5" t="s">
        <v>137</v>
      </c>
      <c r="I2319" s="5" t="s">
        <v>1517</v>
      </c>
      <c r="J2319" s="5" t="s">
        <v>1516</v>
      </c>
    </row>
    <row r="2320" spans="1:10" x14ac:dyDescent="0.2">
      <c r="A2320" s="5" t="s">
        <v>1515</v>
      </c>
      <c r="B2320" s="5" t="s">
        <v>83</v>
      </c>
      <c r="C2320" s="5"/>
      <c r="D2320" s="5" t="s">
        <v>1514</v>
      </c>
      <c r="E2320" s="5" t="s">
        <v>150</v>
      </c>
      <c r="F2320" s="5" t="s">
        <v>1510</v>
      </c>
      <c r="G2320" s="5" t="s">
        <v>148</v>
      </c>
      <c r="H2320" s="5" t="s">
        <v>3</v>
      </c>
      <c r="I2320" s="5"/>
      <c r="J2320" s="5" t="s">
        <v>1513</v>
      </c>
    </row>
    <row r="2321" spans="1:10" x14ac:dyDescent="0.2">
      <c r="A2321" s="5" t="s">
        <v>1512</v>
      </c>
      <c r="B2321" s="5" t="s">
        <v>83</v>
      </c>
      <c r="C2321" s="5"/>
      <c r="D2321" s="5" t="s">
        <v>1511</v>
      </c>
      <c r="E2321" s="5" t="s">
        <v>150</v>
      </c>
      <c r="F2321" s="5" t="s">
        <v>1510</v>
      </c>
      <c r="G2321" s="5" t="s">
        <v>148</v>
      </c>
      <c r="H2321" s="5" t="s">
        <v>3</v>
      </c>
      <c r="I2321" s="5"/>
      <c r="J2321" s="5" t="s">
        <v>1509</v>
      </c>
    </row>
    <row r="2322" spans="1:10" ht="25.5" x14ac:dyDescent="0.2">
      <c r="A2322" s="5" t="s">
        <v>1508</v>
      </c>
      <c r="B2322" s="5" t="s">
        <v>83</v>
      </c>
      <c r="C2322" s="5"/>
      <c r="D2322" s="5" t="s">
        <v>1507</v>
      </c>
      <c r="E2322" s="5" t="s">
        <v>150</v>
      </c>
      <c r="F2322" s="5" t="s">
        <v>424</v>
      </c>
      <c r="G2322" s="5" t="s">
        <v>148</v>
      </c>
      <c r="H2322" s="5" t="s">
        <v>137</v>
      </c>
      <c r="I2322" s="5" t="s">
        <v>1503</v>
      </c>
      <c r="J2322" s="5" t="s">
        <v>1506</v>
      </c>
    </row>
    <row r="2323" spans="1:10" ht="25.5" x14ac:dyDescent="0.2">
      <c r="A2323" s="5" t="s">
        <v>1505</v>
      </c>
      <c r="B2323" s="5" t="s">
        <v>83</v>
      </c>
      <c r="C2323" s="5"/>
      <c r="D2323" s="5" t="s">
        <v>1504</v>
      </c>
      <c r="E2323" s="5"/>
      <c r="F2323" s="5" t="s">
        <v>424</v>
      </c>
      <c r="G2323" s="5" t="s">
        <v>170</v>
      </c>
      <c r="H2323" s="5" t="s">
        <v>137</v>
      </c>
      <c r="I2323" s="5" t="s">
        <v>1503</v>
      </c>
      <c r="J2323" s="5" t="s">
        <v>1502</v>
      </c>
    </row>
    <row r="2324" spans="1:10" ht="25.5" x14ac:dyDescent="0.2">
      <c r="A2324" s="5" t="s">
        <v>1501</v>
      </c>
      <c r="B2324" s="5" t="s">
        <v>83</v>
      </c>
      <c r="C2324" s="5"/>
      <c r="D2324" s="5" t="s">
        <v>1500</v>
      </c>
      <c r="E2324" s="5"/>
      <c r="F2324" s="5" t="s">
        <v>1499</v>
      </c>
      <c r="G2324" s="5" t="s">
        <v>173</v>
      </c>
      <c r="H2324" s="5" t="s">
        <v>3</v>
      </c>
      <c r="I2324" s="5"/>
      <c r="J2324" s="5" t="s">
        <v>1498</v>
      </c>
    </row>
    <row r="2325" spans="1:10" x14ac:dyDescent="0.2">
      <c r="A2325" s="5" t="s">
        <v>1497</v>
      </c>
      <c r="B2325" s="5" t="s">
        <v>83</v>
      </c>
      <c r="C2325" s="5"/>
      <c r="D2325" s="5" t="s">
        <v>1496</v>
      </c>
      <c r="E2325" s="5" t="s">
        <v>150</v>
      </c>
      <c r="F2325" s="5" t="s">
        <v>1495</v>
      </c>
      <c r="G2325" s="5" t="s">
        <v>148</v>
      </c>
      <c r="H2325" s="5" t="s">
        <v>3</v>
      </c>
      <c r="I2325" s="5"/>
      <c r="J2325" s="5" t="s">
        <v>1494</v>
      </c>
    </row>
    <row r="2326" spans="1:10" ht="25.5" x14ac:dyDescent="0.2">
      <c r="A2326" s="5" t="s">
        <v>1493</v>
      </c>
      <c r="B2326" s="5" t="s">
        <v>83</v>
      </c>
      <c r="C2326" s="5"/>
      <c r="D2326" s="5" t="s">
        <v>1492</v>
      </c>
      <c r="E2326" s="5"/>
      <c r="F2326" s="5" t="s">
        <v>1478</v>
      </c>
      <c r="G2326" s="5" t="s">
        <v>382</v>
      </c>
      <c r="H2326" s="5" t="s">
        <v>3</v>
      </c>
      <c r="I2326" s="5"/>
      <c r="J2326" s="5" t="s">
        <v>1491</v>
      </c>
    </row>
    <row r="2327" spans="1:10" ht="25.5" x14ac:dyDescent="0.2">
      <c r="A2327" s="5" t="s">
        <v>1490</v>
      </c>
      <c r="B2327" s="5" t="s">
        <v>83</v>
      </c>
      <c r="C2327" s="5"/>
      <c r="D2327" s="5" t="s">
        <v>1489</v>
      </c>
      <c r="E2327" s="5"/>
      <c r="F2327" s="5" t="s">
        <v>1478</v>
      </c>
      <c r="G2327" s="5" t="s">
        <v>382</v>
      </c>
      <c r="H2327" s="5" t="s">
        <v>137</v>
      </c>
      <c r="I2327" s="5" t="s">
        <v>1485</v>
      </c>
      <c r="J2327" s="5" t="s">
        <v>1488</v>
      </c>
    </row>
    <row r="2328" spans="1:10" ht="25.5" x14ac:dyDescent="0.2">
      <c r="A2328" s="5" t="s">
        <v>1487</v>
      </c>
      <c r="B2328" s="5" t="s">
        <v>83</v>
      </c>
      <c r="C2328" s="5"/>
      <c r="D2328" s="5" t="s">
        <v>1486</v>
      </c>
      <c r="E2328" s="5" t="s">
        <v>150</v>
      </c>
      <c r="F2328" s="5" t="s">
        <v>1478</v>
      </c>
      <c r="G2328" s="5" t="s">
        <v>148</v>
      </c>
      <c r="H2328" s="5" t="s">
        <v>137</v>
      </c>
      <c r="I2328" s="5" t="s">
        <v>1485</v>
      </c>
      <c r="J2328" s="5" t="s">
        <v>1484</v>
      </c>
    </row>
    <row r="2329" spans="1:10" x14ac:dyDescent="0.2">
      <c r="A2329" s="5" t="s">
        <v>1483</v>
      </c>
      <c r="B2329" s="5" t="s">
        <v>83</v>
      </c>
      <c r="C2329" s="5"/>
      <c r="D2329" s="5" t="s">
        <v>1482</v>
      </c>
      <c r="E2329" s="5" t="s">
        <v>150</v>
      </c>
      <c r="F2329" s="5" t="s">
        <v>1478</v>
      </c>
      <c r="G2329" s="5" t="s">
        <v>148</v>
      </c>
      <c r="H2329" s="5" t="s">
        <v>3</v>
      </c>
      <c r="I2329" s="5"/>
      <c r="J2329" s="5" t="s">
        <v>1481</v>
      </c>
    </row>
    <row r="2330" spans="1:10" x14ac:dyDescent="0.2">
      <c r="A2330" s="5" t="s">
        <v>1480</v>
      </c>
      <c r="B2330" s="5" t="s">
        <v>83</v>
      </c>
      <c r="C2330" s="5"/>
      <c r="D2330" s="5" t="s">
        <v>1479</v>
      </c>
      <c r="E2330" s="5" t="s">
        <v>150</v>
      </c>
      <c r="F2330" s="5" t="s">
        <v>1478</v>
      </c>
      <c r="G2330" s="5" t="s">
        <v>148</v>
      </c>
      <c r="H2330" s="5" t="s">
        <v>3</v>
      </c>
      <c r="I2330" s="5"/>
      <c r="J2330" s="5" t="s">
        <v>1477</v>
      </c>
    </row>
    <row r="2331" spans="1:10" ht="25.5" x14ac:dyDescent="0.2">
      <c r="A2331" s="5" t="s">
        <v>1476</v>
      </c>
      <c r="B2331" s="5" t="s">
        <v>83</v>
      </c>
      <c r="C2331" s="5"/>
      <c r="D2331" s="5" t="s">
        <v>1475</v>
      </c>
      <c r="E2331" s="5" t="s">
        <v>150</v>
      </c>
      <c r="F2331" s="5" t="s">
        <v>424</v>
      </c>
      <c r="G2331" s="5" t="s">
        <v>148</v>
      </c>
      <c r="H2331" s="5" t="s">
        <v>137</v>
      </c>
      <c r="I2331" s="5" t="s">
        <v>1471</v>
      </c>
      <c r="J2331" s="5" t="s">
        <v>1474</v>
      </c>
    </row>
    <row r="2332" spans="1:10" ht="25.5" x14ac:dyDescent="0.2">
      <c r="A2332" s="5" t="s">
        <v>1473</v>
      </c>
      <c r="B2332" s="5" t="s">
        <v>83</v>
      </c>
      <c r="C2332" s="5"/>
      <c r="D2332" s="5" t="s">
        <v>1472</v>
      </c>
      <c r="E2332" s="5"/>
      <c r="F2332" s="5" t="s">
        <v>424</v>
      </c>
      <c r="G2332" s="5" t="s">
        <v>170</v>
      </c>
      <c r="H2332" s="5" t="s">
        <v>137</v>
      </c>
      <c r="I2332" s="5" t="s">
        <v>1471</v>
      </c>
      <c r="J2332" s="5" t="s">
        <v>1470</v>
      </c>
    </row>
    <row r="2333" spans="1:10" ht="25.5" x14ac:dyDescent="0.2">
      <c r="A2333" s="5" t="s">
        <v>1469</v>
      </c>
      <c r="B2333" s="5" t="s">
        <v>83</v>
      </c>
      <c r="C2333" s="5"/>
      <c r="D2333" s="5" t="s">
        <v>1468</v>
      </c>
      <c r="E2333" s="5"/>
      <c r="F2333" s="5" t="s">
        <v>1454</v>
      </c>
      <c r="G2333" s="5" t="s">
        <v>382</v>
      </c>
      <c r="H2333" s="5" t="s">
        <v>3</v>
      </c>
      <c r="I2333" s="5"/>
      <c r="J2333" s="5" t="s">
        <v>1467</v>
      </c>
    </row>
    <row r="2334" spans="1:10" ht="25.5" x14ac:dyDescent="0.2">
      <c r="A2334" s="5" t="s">
        <v>1466</v>
      </c>
      <c r="B2334" s="5" t="s">
        <v>83</v>
      </c>
      <c r="C2334" s="5"/>
      <c r="D2334" s="5" t="s">
        <v>1465</v>
      </c>
      <c r="E2334" s="5"/>
      <c r="F2334" s="5" t="s">
        <v>1454</v>
      </c>
      <c r="G2334" s="5" t="s">
        <v>382</v>
      </c>
      <c r="H2334" s="5" t="s">
        <v>137</v>
      </c>
      <c r="I2334" s="5" t="s">
        <v>1461</v>
      </c>
      <c r="J2334" s="5" t="s">
        <v>1464</v>
      </c>
    </row>
    <row r="2335" spans="1:10" ht="25.5" x14ac:dyDescent="0.2">
      <c r="A2335" s="5" t="s">
        <v>1463</v>
      </c>
      <c r="B2335" s="5" t="s">
        <v>83</v>
      </c>
      <c r="C2335" s="5"/>
      <c r="D2335" s="5" t="s">
        <v>1462</v>
      </c>
      <c r="E2335" s="5" t="s">
        <v>150</v>
      </c>
      <c r="F2335" s="5" t="s">
        <v>1454</v>
      </c>
      <c r="G2335" s="5" t="s">
        <v>148</v>
      </c>
      <c r="H2335" s="5" t="s">
        <v>137</v>
      </c>
      <c r="I2335" s="5" t="s">
        <v>1461</v>
      </c>
      <c r="J2335" s="5" t="s">
        <v>1460</v>
      </c>
    </row>
    <row r="2336" spans="1:10" x14ac:dyDescent="0.2">
      <c r="A2336" s="5" t="s">
        <v>1459</v>
      </c>
      <c r="B2336" s="5" t="s">
        <v>83</v>
      </c>
      <c r="C2336" s="5"/>
      <c r="D2336" s="5" t="s">
        <v>1458</v>
      </c>
      <c r="E2336" s="5" t="s">
        <v>150</v>
      </c>
      <c r="F2336" s="5" t="s">
        <v>1454</v>
      </c>
      <c r="G2336" s="5" t="s">
        <v>148</v>
      </c>
      <c r="H2336" s="5" t="s">
        <v>3</v>
      </c>
      <c r="I2336" s="5"/>
      <c r="J2336" s="5" t="s">
        <v>1457</v>
      </c>
    </row>
    <row r="2337" spans="1:10" x14ac:dyDescent="0.2">
      <c r="A2337" s="5" t="s">
        <v>1456</v>
      </c>
      <c r="B2337" s="5" t="s">
        <v>83</v>
      </c>
      <c r="C2337" s="5"/>
      <c r="D2337" s="5" t="s">
        <v>1455</v>
      </c>
      <c r="E2337" s="5" t="s">
        <v>150</v>
      </c>
      <c r="F2337" s="5" t="s">
        <v>1454</v>
      </c>
      <c r="G2337" s="5" t="s">
        <v>148</v>
      </c>
      <c r="H2337" s="5" t="s">
        <v>3</v>
      </c>
      <c r="I2337" s="5"/>
      <c r="J2337" s="5" t="s">
        <v>1453</v>
      </c>
    </row>
    <row r="2338" spans="1:10" ht="25.5" x14ac:dyDescent="0.2">
      <c r="A2338" s="5" t="s">
        <v>1452</v>
      </c>
      <c r="B2338" s="5" t="s">
        <v>83</v>
      </c>
      <c r="C2338" s="5"/>
      <c r="D2338" s="5" t="s">
        <v>1451</v>
      </c>
      <c r="E2338" s="5" t="s">
        <v>150</v>
      </c>
      <c r="F2338" s="5" t="s">
        <v>424</v>
      </c>
      <c r="G2338" s="5" t="s">
        <v>148</v>
      </c>
      <c r="H2338" s="5" t="s">
        <v>137</v>
      </c>
      <c r="I2338" s="5" t="s">
        <v>1447</v>
      </c>
      <c r="J2338" s="5" t="s">
        <v>1450</v>
      </c>
    </row>
    <row r="2339" spans="1:10" ht="25.5" x14ac:dyDescent="0.2">
      <c r="A2339" s="5" t="s">
        <v>1449</v>
      </c>
      <c r="B2339" s="5" t="s">
        <v>83</v>
      </c>
      <c r="C2339" s="5"/>
      <c r="D2339" s="5" t="s">
        <v>1448</v>
      </c>
      <c r="E2339" s="5"/>
      <c r="F2339" s="5" t="s">
        <v>424</v>
      </c>
      <c r="G2339" s="5" t="s">
        <v>170</v>
      </c>
      <c r="H2339" s="5" t="s">
        <v>137</v>
      </c>
      <c r="I2339" s="5" t="s">
        <v>1447</v>
      </c>
      <c r="J2339" s="5" t="s">
        <v>1446</v>
      </c>
    </row>
    <row r="2340" spans="1:10" ht="25.5" x14ac:dyDescent="0.2">
      <c r="A2340" s="5" t="s">
        <v>1445</v>
      </c>
      <c r="B2340" s="5" t="s">
        <v>83</v>
      </c>
      <c r="C2340" s="5"/>
      <c r="D2340" s="5" t="s">
        <v>1444</v>
      </c>
      <c r="E2340" s="5"/>
      <c r="F2340" s="5" t="s">
        <v>1437</v>
      </c>
      <c r="G2340" s="5" t="s">
        <v>382</v>
      </c>
      <c r="H2340" s="5" t="s">
        <v>3</v>
      </c>
      <c r="I2340" s="5"/>
      <c r="J2340" s="5" t="s">
        <v>1443</v>
      </c>
    </row>
    <row r="2341" spans="1:10" x14ac:dyDescent="0.2">
      <c r="A2341" s="5" t="s">
        <v>1442</v>
      </c>
      <c r="B2341" s="5" t="s">
        <v>83</v>
      </c>
      <c r="C2341" s="5"/>
      <c r="D2341" s="5" t="s">
        <v>1441</v>
      </c>
      <c r="E2341" s="5" t="s">
        <v>150</v>
      </c>
      <c r="F2341" s="5" t="s">
        <v>1437</v>
      </c>
      <c r="G2341" s="5" t="s">
        <v>148</v>
      </c>
      <c r="H2341" s="5" t="s">
        <v>3</v>
      </c>
      <c r="I2341" s="5"/>
      <c r="J2341" s="5" t="s">
        <v>1440</v>
      </c>
    </row>
    <row r="2342" spans="1:10" x14ac:dyDescent="0.2">
      <c r="A2342" s="5" t="s">
        <v>1439</v>
      </c>
      <c r="B2342" s="5" t="s">
        <v>83</v>
      </c>
      <c r="C2342" s="5"/>
      <c r="D2342" s="5" t="s">
        <v>1438</v>
      </c>
      <c r="E2342" s="5" t="s">
        <v>150</v>
      </c>
      <c r="F2342" s="5" t="s">
        <v>1437</v>
      </c>
      <c r="G2342" s="5" t="s">
        <v>148</v>
      </c>
      <c r="H2342" s="5" t="s">
        <v>3</v>
      </c>
      <c r="I2342" s="5"/>
      <c r="J2342" s="5" t="s">
        <v>1436</v>
      </c>
    </row>
    <row r="2343" spans="1:10" ht="25.5" x14ac:dyDescent="0.2">
      <c r="A2343" s="5" t="s">
        <v>1435</v>
      </c>
      <c r="B2343" s="5" t="s">
        <v>83</v>
      </c>
      <c r="C2343" s="5"/>
      <c r="D2343" s="5" t="s">
        <v>1434</v>
      </c>
      <c r="E2343" s="5"/>
      <c r="F2343" s="5" t="s">
        <v>1420</v>
      </c>
      <c r="G2343" s="5" t="s">
        <v>382</v>
      </c>
      <c r="H2343" s="5" t="s">
        <v>3</v>
      </c>
      <c r="I2343" s="5"/>
      <c r="J2343" s="5" t="s">
        <v>1433</v>
      </c>
    </row>
    <row r="2344" spans="1:10" ht="25.5" x14ac:dyDescent="0.2">
      <c r="A2344" s="5" t="s">
        <v>1432</v>
      </c>
      <c r="B2344" s="5" t="s">
        <v>83</v>
      </c>
      <c r="C2344" s="5"/>
      <c r="D2344" s="5" t="s">
        <v>1431</v>
      </c>
      <c r="E2344" s="5"/>
      <c r="F2344" s="5" t="s">
        <v>1420</v>
      </c>
      <c r="G2344" s="5" t="s">
        <v>382</v>
      </c>
      <c r="H2344" s="5" t="s">
        <v>137</v>
      </c>
      <c r="I2344" s="5" t="s">
        <v>1427</v>
      </c>
      <c r="J2344" s="5" t="s">
        <v>1430</v>
      </c>
    </row>
    <row r="2345" spans="1:10" ht="25.5" x14ac:dyDescent="0.2">
      <c r="A2345" s="5" t="s">
        <v>1429</v>
      </c>
      <c r="B2345" s="5" t="s">
        <v>83</v>
      </c>
      <c r="C2345" s="5"/>
      <c r="D2345" s="5" t="s">
        <v>1428</v>
      </c>
      <c r="E2345" s="5" t="s">
        <v>150</v>
      </c>
      <c r="F2345" s="5" t="s">
        <v>1420</v>
      </c>
      <c r="G2345" s="5" t="s">
        <v>148</v>
      </c>
      <c r="H2345" s="5" t="s">
        <v>137</v>
      </c>
      <c r="I2345" s="5" t="s">
        <v>1427</v>
      </c>
      <c r="J2345" s="5" t="s">
        <v>1426</v>
      </c>
    </row>
    <row r="2346" spans="1:10" x14ac:dyDescent="0.2">
      <c r="A2346" s="5" t="s">
        <v>1425</v>
      </c>
      <c r="B2346" s="5" t="s">
        <v>83</v>
      </c>
      <c r="C2346" s="5"/>
      <c r="D2346" s="5" t="s">
        <v>1424</v>
      </c>
      <c r="E2346" s="5" t="s">
        <v>150</v>
      </c>
      <c r="F2346" s="5" t="s">
        <v>1420</v>
      </c>
      <c r="G2346" s="5" t="s">
        <v>148</v>
      </c>
      <c r="H2346" s="5" t="s">
        <v>3</v>
      </c>
      <c r="I2346" s="5"/>
      <c r="J2346" s="5" t="s">
        <v>1423</v>
      </c>
    </row>
    <row r="2347" spans="1:10" x14ac:dyDescent="0.2">
      <c r="A2347" s="5" t="s">
        <v>1422</v>
      </c>
      <c r="B2347" s="5" t="s">
        <v>83</v>
      </c>
      <c r="C2347" s="5"/>
      <c r="D2347" s="5" t="s">
        <v>1421</v>
      </c>
      <c r="E2347" s="5" t="s">
        <v>150</v>
      </c>
      <c r="F2347" s="5" t="s">
        <v>1420</v>
      </c>
      <c r="G2347" s="5" t="s">
        <v>148</v>
      </c>
      <c r="H2347" s="5" t="s">
        <v>3</v>
      </c>
      <c r="I2347" s="5"/>
      <c r="J2347" s="5" t="s">
        <v>1419</v>
      </c>
    </row>
    <row r="2348" spans="1:10" ht="25.5" x14ac:dyDescent="0.2">
      <c r="A2348" s="5" t="s">
        <v>1418</v>
      </c>
      <c r="B2348" s="5" t="s">
        <v>83</v>
      </c>
      <c r="C2348" s="5"/>
      <c r="D2348" s="5" t="s">
        <v>1417</v>
      </c>
      <c r="E2348" s="5" t="s">
        <v>150</v>
      </c>
      <c r="F2348" s="5" t="s">
        <v>424</v>
      </c>
      <c r="G2348" s="5" t="s">
        <v>148</v>
      </c>
      <c r="H2348" s="5" t="s">
        <v>137</v>
      </c>
      <c r="I2348" s="5" t="s">
        <v>1413</v>
      </c>
      <c r="J2348" s="5" t="s">
        <v>1416</v>
      </c>
    </row>
    <row r="2349" spans="1:10" ht="25.5" x14ac:dyDescent="0.2">
      <c r="A2349" s="5" t="s">
        <v>1415</v>
      </c>
      <c r="B2349" s="5" t="s">
        <v>83</v>
      </c>
      <c r="C2349" s="5"/>
      <c r="D2349" s="5" t="s">
        <v>1414</v>
      </c>
      <c r="E2349" s="5"/>
      <c r="F2349" s="5" t="s">
        <v>424</v>
      </c>
      <c r="G2349" s="5" t="s">
        <v>170</v>
      </c>
      <c r="H2349" s="5" t="s">
        <v>137</v>
      </c>
      <c r="I2349" s="5" t="s">
        <v>1413</v>
      </c>
      <c r="J2349" s="5" t="s">
        <v>1412</v>
      </c>
    </row>
    <row r="2350" spans="1:10" ht="25.5" x14ac:dyDescent="0.2">
      <c r="A2350" s="5" t="s">
        <v>1411</v>
      </c>
      <c r="B2350" s="5" t="s">
        <v>83</v>
      </c>
      <c r="C2350" s="5"/>
      <c r="D2350" s="5" t="s">
        <v>1410</v>
      </c>
      <c r="E2350" s="5"/>
      <c r="F2350" s="5" t="s">
        <v>1396</v>
      </c>
      <c r="G2350" s="5" t="s">
        <v>382</v>
      </c>
      <c r="H2350" s="5" t="s">
        <v>3</v>
      </c>
      <c r="I2350" s="5"/>
      <c r="J2350" s="5" t="s">
        <v>1409</v>
      </c>
    </row>
    <row r="2351" spans="1:10" ht="25.5" x14ac:dyDescent="0.2">
      <c r="A2351" s="5" t="s">
        <v>1408</v>
      </c>
      <c r="B2351" s="5" t="s">
        <v>83</v>
      </c>
      <c r="C2351" s="5"/>
      <c r="D2351" s="5" t="s">
        <v>1407</v>
      </c>
      <c r="E2351" s="5"/>
      <c r="F2351" s="5" t="s">
        <v>1396</v>
      </c>
      <c r="G2351" s="5" t="s">
        <v>382</v>
      </c>
      <c r="H2351" s="5" t="s">
        <v>137</v>
      </c>
      <c r="I2351" s="5" t="s">
        <v>1403</v>
      </c>
      <c r="J2351" s="5" t="s">
        <v>1406</v>
      </c>
    </row>
    <row r="2352" spans="1:10" ht="25.5" x14ac:dyDescent="0.2">
      <c r="A2352" s="5" t="s">
        <v>1405</v>
      </c>
      <c r="B2352" s="5" t="s">
        <v>83</v>
      </c>
      <c r="C2352" s="5"/>
      <c r="D2352" s="5" t="s">
        <v>1404</v>
      </c>
      <c r="E2352" s="5" t="s">
        <v>150</v>
      </c>
      <c r="F2352" s="5" t="s">
        <v>1396</v>
      </c>
      <c r="G2352" s="5" t="s">
        <v>148</v>
      </c>
      <c r="H2352" s="5" t="s">
        <v>137</v>
      </c>
      <c r="I2352" s="5" t="s">
        <v>1403</v>
      </c>
      <c r="J2352" s="5" t="s">
        <v>1402</v>
      </c>
    </row>
    <row r="2353" spans="1:10" x14ac:dyDescent="0.2">
      <c r="A2353" s="5" t="s">
        <v>1401</v>
      </c>
      <c r="B2353" s="5" t="s">
        <v>83</v>
      </c>
      <c r="C2353" s="5"/>
      <c r="D2353" s="5" t="s">
        <v>1400</v>
      </c>
      <c r="E2353" s="5" t="s">
        <v>150</v>
      </c>
      <c r="F2353" s="5" t="s">
        <v>1396</v>
      </c>
      <c r="G2353" s="5" t="s">
        <v>148</v>
      </c>
      <c r="H2353" s="5" t="s">
        <v>3</v>
      </c>
      <c r="I2353" s="5"/>
      <c r="J2353" s="5" t="s">
        <v>1399</v>
      </c>
    </row>
    <row r="2354" spans="1:10" x14ac:dyDescent="0.2">
      <c r="A2354" s="5" t="s">
        <v>1398</v>
      </c>
      <c r="B2354" s="5" t="s">
        <v>83</v>
      </c>
      <c r="C2354" s="5"/>
      <c r="D2354" s="5" t="s">
        <v>1397</v>
      </c>
      <c r="E2354" s="5" t="s">
        <v>150</v>
      </c>
      <c r="F2354" s="5" t="s">
        <v>1396</v>
      </c>
      <c r="G2354" s="5" t="s">
        <v>148</v>
      </c>
      <c r="H2354" s="5" t="s">
        <v>3</v>
      </c>
      <c r="I2354" s="5"/>
      <c r="J2354" s="5" t="s">
        <v>1395</v>
      </c>
    </row>
    <row r="2355" spans="1:10" ht="25.5" x14ac:dyDescent="0.2">
      <c r="A2355" s="5" t="s">
        <v>1394</v>
      </c>
      <c r="B2355" s="5" t="s">
        <v>83</v>
      </c>
      <c r="C2355" s="5"/>
      <c r="D2355" s="5" t="s">
        <v>1393</v>
      </c>
      <c r="E2355" s="5" t="s">
        <v>150</v>
      </c>
      <c r="F2355" s="5" t="s">
        <v>424</v>
      </c>
      <c r="G2355" s="5" t="s">
        <v>148</v>
      </c>
      <c r="H2355" s="5" t="s">
        <v>137</v>
      </c>
      <c r="I2355" s="5" t="s">
        <v>1389</v>
      </c>
      <c r="J2355" s="5" t="s">
        <v>1392</v>
      </c>
    </row>
    <row r="2356" spans="1:10" ht="25.5" x14ac:dyDescent="0.2">
      <c r="A2356" s="5" t="s">
        <v>1391</v>
      </c>
      <c r="B2356" s="5" t="s">
        <v>83</v>
      </c>
      <c r="C2356" s="5"/>
      <c r="D2356" s="5" t="s">
        <v>1390</v>
      </c>
      <c r="E2356" s="5"/>
      <c r="F2356" s="5" t="s">
        <v>424</v>
      </c>
      <c r="G2356" s="5" t="s">
        <v>170</v>
      </c>
      <c r="H2356" s="5" t="s">
        <v>137</v>
      </c>
      <c r="I2356" s="5" t="s">
        <v>1389</v>
      </c>
      <c r="J2356" s="5" t="s">
        <v>1388</v>
      </c>
    </row>
    <row r="2357" spans="1:10" ht="25.5" x14ac:dyDescent="0.2">
      <c r="A2357" s="5" t="s">
        <v>1387</v>
      </c>
      <c r="B2357" s="5" t="s">
        <v>83</v>
      </c>
      <c r="C2357" s="5"/>
      <c r="D2357" s="5" t="s">
        <v>1386</v>
      </c>
      <c r="E2357" s="5"/>
      <c r="F2357" s="5" t="s">
        <v>1372</v>
      </c>
      <c r="G2357" s="5" t="s">
        <v>382</v>
      </c>
      <c r="H2357" s="5" t="s">
        <v>3</v>
      </c>
      <c r="I2357" s="5"/>
      <c r="J2357" s="5" t="s">
        <v>1385</v>
      </c>
    </row>
    <row r="2358" spans="1:10" ht="25.5" x14ac:dyDescent="0.2">
      <c r="A2358" s="5" t="s">
        <v>1384</v>
      </c>
      <c r="B2358" s="5" t="s">
        <v>83</v>
      </c>
      <c r="C2358" s="5"/>
      <c r="D2358" s="5" t="s">
        <v>1383</v>
      </c>
      <c r="E2358" s="5"/>
      <c r="F2358" s="5" t="s">
        <v>1372</v>
      </c>
      <c r="G2358" s="5" t="s">
        <v>382</v>
      </c>
      <c r="H2358" s="5" t="s">
        <v>137</v>
      </c>
      <c r="I2358" s="5" t="s">
        <v>1379</v>
      </c>
      <c r="J2358" s="5" t="s">
        <v>1382</v>
      </c>
    </row>
    <row r="2359" spans="1:10" ht="25.5" x14ac:dyDescent="0.2">
      <c r="A2359" s="5" t="s">
        <v>1381</v>
      </c>
      <c r="B2359" s="5" t="s">
        <v>83</v>
      </c>
      <c r="C2359" s="5"/>
      <c r="D2359" s="5" t="s">
        <v>1380</v>
      </c>
      <c r="E2359" s="5" t="s">
        <v>150</v>
      </c>
      <c r="F2359" s="5" t="s">
        <v>1372</v>
      </c>
      <c r="G2359" s="5" t="s">
        <v>148</v>
      </c>
      <c r="H2359" s="5" t="s">
        <v>137</v>
      </c>
      <c r="I2359" s="5" t="s">
        <v>1379</v>
      </c>
      <c r="J2359" s="5" t="s">
        <v>1378</v>
      </c>
    </row>
    <row r="2360" spans="1:10" x14ac:dyDescent="0.2">
      <c r="A2360" s="5" t="s">
        <v>1377</v>
      </c>
      <c r="B2360" s="5" t="s">
        <v>83</v>
      </c>
      <c r="C2360" s="5"/>
      <c r="D2360" s="5" t="s">
        <v>1376</v>
      </c>
      <c r="E2360" s="5" t="s">
        <v>150</v>
      </c>
      <c r="F2360" s="5" t="s">
        <v>1372</v>
      </c>
      <c r="G2360" s="5" t="s">
        <v>148</v>
      </c>
      <c r="H2360" s="5" t="s">
        <v>3</v>
      </c>
      <c r="I2360" s="5"/>
      <c r="J2360" s="5" t="s">
        <v>1375</v>
      </c>
    </row>
    <row r="2361" spans="1:10" x14ac:dyDescent="0.2">
      <c r="A2361" s="5" t="s">
        <v>1374</v>
      </c>
      <c r="B2361" s="5" t="s">
        <v>83</v>
      </c>
      <c r="C2361" s="5"/>
      <c r="D2361" s="5" t="s">
        <v>1373</v>
      </c>
      <c r="E2361" s="5" t="s">
        <v>150</v>
      </c>
      <c r="F2361" s="5" t="s">
        <v>1372</v>
      </c>
      <c r="G2361" s="5" t="s">
        <v>148</v>
      </c>
      <c r="H2361" s="5" t="s">
        <v>3</v>
      </c>
      <c r="I2361" s="5"/>
      <c r="J2361" s="5" t="s">
        <v>1371</v>
      </c>
    </row>
    <row r="2362" spans="1:10" ht="25.5" x14ac:dyDescent="0.2">
      <c r="A2362" s="5" t="s">
        <v>1370</v>
      </c>
      <c r="B2362" s="5" t="s">
        <v>83</v>
      </c>
      <c r="C2362" s="5"/>
      <c r="D2362" s="5" t="s">
        <v>1369</v>
      </c>
      <c r="E2362" s="5" t="s">
        <v>150</v>
      </c>
      <c r="F2362" s="5" t="s">
        <v>424</v>
      </c>
      <c r="G2362" s="5" t="s">
        <v>148</v>
      </c>
      <c r="H2362" s="5" t="s">
        <v>137</v>
      </c>
      <c r="I2362" s="5" t="s">
        <v>1365</v>
      </c>
      <c r="J2362" s="5" t="s">
        <v>1368</v>
      </c>
    </row>
    <row r="2363" spans="1:10" ht="25.5" x14ac:dyDescent="0.2">
      <c r="A2363" s="5" t="s">
        <v>1367</v>
      </c>
      <c r="B2363" s="5" t="s">
        <v>83</v>
      </c>
      <c r="C2363" s="5"/>
      <c r="D2363" s="5" t="s">
        <v>1366</v>
      </c>
      <c r="E2363" s="5"/>
      <c r="F2363" s="5" t="s">
        <v>424</v>
      </c>
      <c r="G2363" s="5" t="s">
        <v>170</v>
      </c>
      <c r="H2363" s="5" t="s">
        <v>137</v>
      </c>
      <c r="I2363" s="5" t="s">
        <v>1365</v>
      </c>
      <c r="J2363" s="5" t="s">
        <v>1364</v>
      </c>
    </row>
    <row r="2364" spans="1:10" x14ac:dyDescent="0.2">
      <c r="A2364" s="5" t="s">
        <v>1363</v>
      </c>
      <c r="B2364" s="5" t="s">
        <v>83</v>
      </c>
      <c r="C2364" s="5"/>
      <c r="D2364" s="5" t="s">
        <v>1362</v>
      </c>
      <c r="E2364" s="5"/>
      <c r="F2364" s="5" t="s">
        <v>1342</v>
      </c>
      <c r="G2364" s="5" t="s">
        <v>382</v>
      </c>
      <c r="H2364" s="5" t="s">
        <v>3</v>
      </c>
      <c r="I2364" s="5"/>
      <c r="J2364" s="5" t="s">
        <v>1361</v>
      </c>
    </row>
    <row r="2365" spans="1:10" x14ac:dyDescent="0.2">
      <c r="A2365" s="5" t="s">
        <v>1360</v>
      </c>
      <c r="B2365" s="5" t="s">
        <v>83</v>
      </c>
      <c r="C2365" s="5"/>
      <c r="D2365" s="5" t="s">
        <v>1359</v>
      </c>
      <c r="E2365" s="5"/>
      <c r="F2365" s="5" t="s">
        <v>1342</v>
      </c>
      <c r="G2365" s="5" t="s">
        <v>382</v>
      </c>
      <c r="H2365" s="5" t="s">
        <v>137</v>
      </c>
      <c r="I2365" s="5" t="s">
        <v>1349</v>
      </c>
      <c r="J2365" s="5" t="s">
        <v>1358</v>
      </c>
    </row>
    <row r="2366" spans="1:10" x14ac:dyDescent="0.2">
      <c r="A2366" s="5" t="s">
        <v>1357</v>
      </c>
      <c r="B2366" s="5" t="s">
        <v>83</v>
      </c>
      <c r="C2366" s="5"/>
      <c r="D2366" s="5" t="s">
        <v>1356</v>
      </c>
      <c r="E2366" s="5" t="s">
        <v>665</v>
      </c>
      <c r="F2366" s="5" t="s">
        <v>1342</v>
      </c>
      <c r="G2366" s="5" t="s">
        <v>148</v>
      </c>
      <c r="H2366" s="5" t="s">
        <v>137</v>
      </c>
      <c r="I2366" s="5" t="s">
        <v>1349</v>
      </c>
      <c r="J2366" s="5" t="s">
        <v>1355</v>
      </c>
    </row>
    <row r="2367" spans="1:10" ht="25.5" x14ac:dyDescent="0.2">
      <c r="A2367" s="5" t="s">
        <v>1354</v>
      </c>
      <c r="B2367" s="5" t="s">
        <v>83</v>
      </c>
      <c r="C2367" s="5"/>
      <c r="D2367" s="5" t="s">
        <v>1353</v>
      </c>
      <c r="E2367" s="5"/>
      <c r="F2367" s="5" t="s">
        <v>424</v>
      </c>
      <c r="G2367" s="5" t="s">
        <v>896</v>
      </c>
      <c r="H2367" s="5" t="s">
        <v>137</v>
      </c>
      <c r="I2367" s="5" t="s">
        <v>1213</v>
      </c>
      <c r="J2367" s="5" t="s">
        <v>1352</v>
      </c>
    </row>
    <row r="2368" spans="1:10" x14ac:dyDescent="0.2">
      <c r="A2368" s="5" t="s">
        <v>1351</v>
      </c>
      <c r="B2368" s="5" t="s">
        <v>83</v>
      </c>
      <c r="C2368" s="5"/>
      <c r="D2368" s="5" t="s">
        <v>1350</v>
      </c>
      <c r="E2368" s="5" t="s">
        <v>150</v>
      </c>
      <c r="F2368" s="5" t="s">
        <v>1342</v>
      </c>
      <c r="G2368" s="5" t="s">
        <v>148</v>
      </c>
      <c r="H2368" s="5" t="s">
        <v>137</v>
      </c>
      <c r="I2368" s="5" t="s">
        <v>1349</v>
      </c>
      <c r="J2368" s="5" t="s">
        <v>1348</v>
      </c>
    </row>
    <row r="2369" spans="1:10" x14ac:dyDescent="0.2">
      <c r="A2369" s="5" t="s">
        <v>1347</v>
      </c>
      <c r="B2369" s="5" t="s">
        <v>83</v>
      </c>
      <c r="C2369" s="5"/>
      <c r="D2369" s="5" t="s">
        <v>1346</v>
      </c>
      <c r="E2369" s="5" t="s">
        <v>150</v>
      </c>
      <c r="F2369" s="5" t="s">
        <v>1342</v>
      </c>
      <c r="G2369" s="5" t="s">
        <v>148</v>
      </c>
      <c r="H2369" s="5" t="s">
        <v>3</v>
      </c>
      <c r="I2369" s="5"/>
      <c r="J2369" s="5" t="s">
        <v>1345</v>
      </c>
    </row>
    <row r="2370" spans="1:10" x14ac:dyDescent="0.2">
      <c r="A2370" s="5" t="s">
        <v>1344</v>
      </c>
      <c r="B2370" s="5" t="s">
        <v>83</v>
      </c>
      <c r="C2370" s="5"/>
      <c r="D2370" s="5" t="s">
        <v>1343</v>
      </c>
      <c r="E2370" s="5" t="s">
        <v>150</v>
      </c>
      <c r="F2370" s="5" t="s">
        <v>1342</v>
      </c>
      <c r="G2370" s="5" t="s">
        <v>148</v>
      </c>
      <c r="H2370" s="5" t="s">
        <v>3</v>
      </c>
      <c r="I2370" s="5"/>
      <c r="J2370" s="5" t="s">
        <v>1341</v>
      </c>
    </row>
    <row r="2371" spans="1:10" ht="25.5" x14ac:dyDescent="0.2">
      <c r="A2371" s="5" t="s">
        <v>1340</v>
      </c>
      <c r="B2371" s="5" t="s">
        <v>83</v>
      </c>
      <c r="C2371" s="5"/>
      <c r="D2371" s="5" t="s">
        <v>1339</v>
      </c>
      <c r="E2371" s="5" t="s">
        <v>150</v>
      </c>
      <c r="F2371" s="5" t="s">
        <v>424</v>
      </c>
      <c r="G2371" s="5" t="s">
        <v>148</v>
      </c>
      <c r="H2371" s="5" t="s">
        <v>137</v>
      </c>
      <c r="I2371" s="5" t="s">
        <v>1213</v>
      </c>
      <c r="J2371" s="5" t="s">
        <v>1338</v>
      </c>
    </row>
    <row r="2372" spans="1:10" ht="25.5" x14ac:dyDescent="0.2">
      <c r="A2372" s="5" t="s">
        <v>1337</v>
      </c>
      <c r="B2372" s="5" t="s">
        <v>83</v>
      </c>
      <c r="C2372" s="5"/>
      <c r="D2372" s="5" t="s">
        <v>1336</v>
      </c>
      <c r="E2372" s="5"/>
      <c r="F2372" s="5" t="s">
        <v>424</v>
      </c>
      <c r="G2372" s="5" t="s">
        <v>170</v>
      </c>
      <c r="H2372" s="5" t="s">
        <v>137</v>
      </c>
      <c r="I2372" s="5" t="s">
        <v>1213</v>
      </c>
      <c r="J2372" s="5" t="s">
        <v>1335</v>
      </c>
    </row>
    <row r="2373" spans="1:10" ht="25.5" x14ac:dyDescent="0.2">
      <c r="A2373" s="5" t="s">
        <v>1334</v>
      </c>
      <c r="B2373" s="5" t="s">
        <v>83</v>
      </c>
      <c r="C2373" s="5"/>
      <c r="D2373" s="5" t="s">
        <v>1333</v>
      </c>
      <c r="E2373" s="5"/>
      <c r="F2373" s="5" t="s">
        <v>1319</v>
      </c>
      <c r="G2373" s="5" t="s">
        <v>382</v>
      </c>
      <c r="H2373" s="5" t="s">
        <v>3</v>
      </c>
      <c r="I2373" s="5"/>
      <c r="J2373" s="5" t="s">
        <v>1332</v>
      </c>
    </row>
    <row r="2374" spans="1:10" ht="25.5" x14ac:dyDescent="0.2">
      <c r="A2374" s="5" t="s">
        <v>1331</v>
      </c>
      <c r="B2374" s="5" t="s">
        <v>83</v>
      </c>
      <c r="C2374" s="5"/>
      <c r="D2374" s="5" t="s">
        <v>1330</v>
      </c>
      <c r="E2374" s="5"/>
      <c r="F2374" s="5" t="s">
        <v>1319</v>
      </c>
      <c r="G2374" s="5" t="s">
        <v>382</v>
      </c>
      <c r="H2374" s="5" t="s">
        <v>137</v>
      </c>
      <c r="I2374" s="5" t="s">
        <v>1326</v>
      </c>
      <c r="J2374" s="5" t="s">
        <v>1329</v>
      </c>
    </row>
    <row r="2375" spans="1:10" ht="25.5" x14ac:dyDescent="0.2">
      <c r="A2375" s="5" t="s">
        <v>1328</v>
      </c>
      <c r="B2375" s="5" t="s">
        <v>83</v>
      </c>
      <c r="C2375" s="5"/>
      <c r="D2375" s="5" t="s">
        <v>1327</v>
      </c>
      <c r="E2375" s="5" t="s">
        <v>150</v>
      </c>
      <c r="F2375" s="5" t="s">
        <v>1319</v>
      </c>
      <c r="G2375" s="5" t="s">
        <v>148</v>
      </c>
      <c r="H2375" s="5" t="s">
        <v>137</v>
      </c>
      <c r="I2375" s="5" t="s">
        <v>1326</v>
      </c>
      <c r="J2375" s="5" t="s">
        <v>1325</v>
      </c>
    </row>
    <row r="2376" spans="1:10" x14ac:dyDescent="0.2">
      <c r="A2376" s="5" t="s">
        <v>1324</v>
      </c>
      <c r="B2376" s="5" t="s">
        <v>83</v>
      </c>
      <c r="C2376" s="5"/>
      <c r="D2376" s="5" t="s">
        <v>1323</v>
      </c>
      <c r="E2376" s="5" t="s">
        <v>150</v>
      </c>
      <c r="F2376" s="5" t="s">
        <v>1319</v>
      </c>
      <c r="G2376" s="5" t="s">
        <v>148</v>
      </c>
      <c r="H2376" s="5" t="s">
        <v>3</v>
      </c>
      <c r="I2376" s="5"/>
      <c r="J2376" s="5" t="s">
        <v>1322</v>
      </c>
    </row>
    <row r="2377" spans="1:10" x14ac:dyDescent="0.2">
      <c r="A2377" s="5" t="s">
        <v>1321</v>
      </c>
      <c r="B2377" s="5" t="s">
        <v>83</v>
      </c>
      <c r="C2377" s="5"/>
      <c r="D2377" s="5" t="s">
        <v>1320</v>
      </c>
      <c r="E2377" s="5" t="s">
        <v>150</v>
      </c>
      <c r="F2377" s="5" t="s">
        <v>1319</v>
      </c>
      <c r="G2377" s="5" t="s">
        <v>148</v>
      </c>
      <c r="H2377" s="5" t="s">
        <v>3</v>
      </c>
      <c r="I2377" s="5"/>
      <c r="J2377" s="5" t="s">
        <v>1318</v>
      </c>
    </row>
    <row r="2378" spans="1:10" ht="38.25" x14ac:dyDescent="0.2">
      <c r="A2378" s="5" t="s">
        <v>1317</v>
      </c>
      <c r="B2378" s="5" t="s">
        <v>83</v>
      </c>
      <c r="C2378" s="5"/>
      <c r="D2378" s="5" t="s">
        <v>1316</v>
      </c>
      <c r="E2378" s="5" t="s">
        <v>150</v>
      </c>
      <c r="F2378" s="5" t="s">
        <v>424</v>
      </c>
      <c r="G2378" s="5" t="s">
        <v>148</v>
      </c>
      <c r="H2378" s="5" t="s">
        <v>137</v>
      </c>
      <c r="I2378" s="5" t="s">
        <v>1312</v>
      </c>
      <c r="J2378" s="5" t="s">
        <v>1315</v>
      </c>
    </row>
    <row r="2379" spans="1:10" ht="38.25" x14ac:dyDescent="0.2">
      <c r="A2379" s="5" t="s">
        <v>1314</v>
      </c>
      <c r="B2379" s="5" t="s">
        <v>83</v>
      </c>
      <c r="C2379" s="5"/>
      <c r="D2379" s="5" t="s">
        <v>1313</v>
      </c>
      <c r="E2379" s="5"/>
      <c r="F2379" s="5" t="s">
        <v>424</v>
      </c>
      <c r="G2379" s="5" t="s">
        <v>170</v>
      </c>
      <c r="H2379" s="5" t="s">
        <v>137</v>
      </c>
      <c r="I2379" s="5" t="s">
        <v>1312</v>
      </c>
      <c r="J2379" s="5" t="s">
        <v>1311</v>
      </c>
    </row>
    <row r="2380" spans="1:10" ht="25.5" x14ac:dyDescent="0.2">
      <c r="A2380" s="5" t="s">
        <v>1310</v>
      </c>
      <c r="B2380" s="5" t="s">
        <v>83</v>
      </c>
      <c r="C2380" s="5"/>
      <c r="D2380" s="5" t="s">
        <v>1309</v>
      </c>
      <c r="E2380" s="5"/>
      <c r="F2380" s="5" t="s">
        <v>1295</v>
      </c>
      <c r="G2380" s="5" t="s">
        <v>382</v>
      </c>
      <c r="H2380" s="5" t="s">
        <v>3</v>
      </c>
      <c r="I2380" s="5"/>
      <c r="J2380" s="5" t="s">
        <v>1308</v>
      </c>
    </row>
    <row r="2381" spans="1:10" ht="38.25" x14ac:dyDescent="0.2">
      <c r="A2381" s="5" t="s">
        <v>1307</v>
      </c>
      <c r="B2381" s="5" t="s">
        <v>83</v>
      </c>
      <c r="C2381" s="5"/>
      <c r="D2381" s="5" t="s">
        <v>1306</v>
      </c>
      <c r="E2381" s="5"/>
      <c r="F2381" s="5" t="s">
        <v>1295</v>
      </c>
      <c r="G2381" s="5" t="s">
        <v>382</v>
      </c>
      <c r="H2381" s="5" t="s">
        <v>137</v>
      </c>
      <c r="I2381" s="5" t="s">
        <v>1302</v>
      </c>
      <c r="J2381" s="5" t="s">
        <v>1305</v>
      </c>
    </row>
    <row r="2382" spans="1:10" ht="38.25" x14ac:dyDescent="0.2">
      <c r="A2382" s="5" t="s">
        <v>1304</v>
      </c>
      <c r="B2382" s="5" t="s">
        <v>83</v>
      </c>
      <c r="C2382" s="5"/>
      <c r="D2382" s="5" t="s">
        <v>1303</v>
      </c>
      <c r="E2382" s="5" t="s">
        <v>150</v>
      </c>
      <c r="F2382" s="5" t="s">
        <v>1295</v>
      </c>
      <c r="G2382" s="5" t="s">
        <v>148</v>
      </c>
      <c r="H2382" s="5" t="s">
        <v>137</v>
      </c>
      <c r="I2382" s="5" t="s">
        <v>1302</v>
      </c>
      <c r="J2382" s="5" t="s">
        <v>1301</v>
      </c>
    </row>
    <row r="2383" spans="1:10" x14ac:dyDescent="0.2">
      <c r="A2383" s="5" t="s">
        <v>1300</v>
      </c>
      <c r="B2383" s="5" t="s">
        <v>83</v>
      </c>
      <c r="C2383" s="5"/>
      <c r="D2383" s="5" t="s">
        <v>1299</v>
      </c>
      <c r="E2383" s="5" t="s">
        <v>150</v>
      </c>
      <c r="F2383" s="5" t="s">
        <v>1295</v>
      </c>
      <c r="G2383" s="5" t="s">
        <v>148</v>
      </c>
      <c r="H2383" s="5" t="s">
        <v>3</v>
      </c>
      <c r="I2383" s="5"/>
      <c r="J2383" s="5" t="s">
        <v>1298</v>
      </c>
    </row>
    <row r="2384" spans="1:10" x14ac:dyDescent="0.2">
      <c r="A2384" s="5" t="s">
        <v>1297</v>
      </c>
      <c r="B2384" s="5" t="s">
        <v>83</v>
      </c>
      <c r="C2384" s="5"/>
      <c r="D2384" s="5" t="s">
        <v>1296</v>
      </c>
      <c r="E2384" s="5" t="s">
        <v>150</v>
      </c>
      <c r="F2384" s="5" t="s">
        <v>1295</v>
      </c>
      <c r="G2384" s="5" t="s">
        <v>148</v>
      </c>
      <c r="H2384" s="5" t="s">
        <v>3</v>
      </c>
      <c r="I2384" s="5"/>
      <c r="J2384" s="5" t="s">
        <v>1294</v>
      </c>
    </row>
    <row r="2385" spans="1:10" ht="38.25" x14ac:dyDescent="0.2">
      <c r="A2385" s="5" t="s">
        <v>1293</v>
      </c>
      <c r="B2385" s="5" t="s">
        <v>83</v>
      </c>
      <c r="C2385" s="5"/>
      <c r="D2385" s="5" t="s">
        <v>1292</v>
      </c>
      <c r="E2385" s="5" t="s">
        <v>150</v>
      </c>
      <c r="F2385" s="5" t="s">
        <v>424</v>
      </c>
      <c r="G2385" s="5" t="s">
        <v>148</v>
      </c>
      <c r="H2385" s="5" t="s">
        <v>137</v>
      </c>
      <c r="I2385" s="5" t="s">
        <v>1288</v>
      </c>
      <c r="J2385" s="5" t="s">
        <v>1291</v>
      </c>
    </row>
    <row r="2386" spans="1:10" ht="38.25" x14ac:dyDescent="0.2">
      <c r="A2386" s="5" t="s">
        <v>1290</v>
      </c>
      <c r="B2386" s="5" t="s">
        <v>83</v>
      </c>
      <c r="C2386" s="5"/>
      <c r="D2386" s="5" t="s">
        <v>1289</v>
      </c>
      <c r="E2386" s="5"/>
      <c r="F2386" s="5" t="s">
        <v>424</v>
      </c>
      <c r="G2386" s="5" t="s">
        <v>170</v>
      </c>
      <c r="H2386" s="5" t="s">
        <v>137</v>
      </c>
      <c r="I2386" s="5" t="s">
        <v>1288</v>
      </c>
      <c r="J2386" s="5" t="s">
        <v>1287</v>
      </c>
    </row>
    <row r="2387" spans="1:10" ht="25.5" x14ac:dyDescent="0.2">
      <c r="A2387" s="5" t="s">
        <v>1286</v>
      </c>
      <c r="B2387" s="5" t="s">
        <v>83</v>
      </c>
      <c r="C2387" s="5"/>
      <c r="D2387" s="5" t="s">
        <v>1285</v>
      </c>
      <c r="E2387" s="5"/>
      <c r="F2387" s="5" t="s">
        <v>1271</v>
      </c>
      <c r="G2387" s="5" t="s">
        <v>382</v>
      </c>
      <c r="H2387" s="5" t="s">
        <v>3</v>
      </c>
      <c r="I2387" s="5"/>
      <c r="J2387" s="5" t="s">
        <v>1284</v>
      </c>
    </row>
    <row r="2388" spans="1:10" ht="25.5" x14ac:dyDescent="0.2">
      <c r="A2388" s="5" t="s">
        <v>1283</v>
      </c>
      <c r="B2388" s="5" t="s">
        <v>83</v>
      </c>
      <c r="C2388" s="5"/>
      <c r="D2388" s="5" t="s">
        <v>1282</v>
      </c>
      <c r="E2388" s="5"/>
      <c r="F2388" s="5" t="s">
        <v>1271</v>
      </c>
      <c r="G2388" s="5" t="s">
        <v>382</v>
      </c>
      <c r="H2388" s="5" t="s">
        <v>137</v>
      </c>
      <c r="I2388" s="5" t="s">
        <v>1278</v>
      </c>
      <c r="J2388" s="5" t="s">
        <v>1281</v>
      </c>
    </row>
    <row r="2389" spans="1:10" ht="25.5" x14ac:dyDescent="0.2">
      <c r="A2389" s="5" t="s">
        <v>1280</v>
      </c>
      <c r="B2389" s="5" t="s">
        <v>83</v>
      </c>
      <c r="C2389" s="5"/>
      <c r="D2389" s="5" t="s">
        <v>1279</v>
      </c>
      <c r="E2389" s="5" t="s">
        <v>150</v>
      </c>
      <c r="F2389" s="5" t="s">
        <v>1271</v>
      </c>
      <c r="G2389" s="5" t="s">
        <v>148</v>
      </c>
      <c r="H2389" s="5" t="s">
        <v>137</v>
      </c>
      <c r="I2389" s="5" t="s">
        <v>1278</v>
      </c>
      <c r="J2389" s="5" t="s">
        <v>1277</v>
      </c>
    </row>
    <row r="2390" spans="1:10" x14ac:dyDescent="0.2">
      <c r="A2390" s="5" t="s">
        <v>1276</v>
      </c>
      <c r="B2390" s="5" t="s">
        <v>83</v>
      </c>
      <c r="C2390" s="5"/>
      <c r="D2390" s="5" t="s">
        <v>1275</v>
      </c>
      <c r="E2390" s="5" t="s">
        <v>150</v>
      </c>
      <c r="F2390" s="5" t="s">
        <v>1271</v>
      </c>
      <c r="G2390" s="5" t="s">
        <v>148</v>
      </c>
      <c r="H2390" s="5" t="s">
        <v>3</v>
      </c>
      <c r="I2390" s="5"/>
      <c r="J2390" s="5" t="s">
        <v>1274</v>
      </c>
    </row>
    <row r="2391" spans="1:10" x14ac:dyDescent="0.2">
      <c r="A2391" s="5" t="s">
        <v>1273</v>
      </c>
      <c r="B2391" s="5" t="s">
        <v>83</v>
      </c>
      <c r="C2391" s="5"/>
      <c r="D2391" s="5" t="s">
        <v>1272</v>
      </c>
      <c r="E2391" s="5" t="s">
        <v>150</v>
      </c>
      <c r="F2391" s="5" t="s">
        <v>1271</v>
      </c>
      <c r="G2391" s="5" t="s">
        <v>148</v>
      </c>
      <c r="H2391" s="5" t="s">
        <v>3</v>
      </c>
      <c r="I2391" s="5"/>
      <c r="J2391" s="5" t="s">
        <v>1270</v>
      </c>
    </row>
    <row r="2392" spans="1:10" ht="25.5" x14ac:dyDescent="0.2">
      <c r="A2392" s="5" t="s">
        <v>1269</v>
      </c>
      <c r="B2392" s="5" t="s">
        <v>83</v>
      </c>
      <c r="C2392" s="5"/>
      <c r="D2392" s="5" t="s">
        <v>1268</v>
      </c>
      <c r="E2392" s="5" t="s">
        <v>150</v>
      </c>
      <c r="F2392" s="5" t="s">
        <v>424</v>
      </c>
      <c r="G2392" s="5" t="s">
        <v>148</v>
      </c>
      <c r="H2392" s="5" t="s">
        <v>137</v>
      </c>
      <c r="I2392" s="5" t="s">
        <v>1264</v>
      </c>
      <c r="J2392" s="5" t="s">
        <v>1267</v>
      </c>
    </row>
    <row r="2393" spans="1:10" ht="25.5" x14ac:dyDescent="0.2">
      <c r="A2393" s="5" t="s">
        <v>1266</v>
      </c>
      <c r="B2393" s="5" t="s">
        <v>83</v>
      </c>
      <c r="C2393" s="5"/>
      <c r="D2393" s="5" t="s">
        <v>1265</v>
      </c>
      <c r="E2393" s="5"/>
      <c r="F2393" s="5" t="s">
        <v>424</v>
      </c>
      <c r="G2393" s="5" t="s">
        <v>170</v>
      </c>
      <c r="H2393" s="5" t="s">
        <v>137</v>
      </c>
      <c r="I2393" s="5" t="s">
        <v>1264</v>
      </c>
      <c r="J2393" s="5" t="s">
        <v>1263</v>
      </c>
    </row>
    <row r="2394" spans="1:10" ht="25.5" x14ac:dyDescent="0.2">
      <c r="A2394" s="5" t="s">
        <v>1262</v>
      </c>
      <c r="B2394" s="5" t="s">
        <v>83</v>
      </c>
      <c r="C2394" s="5"/>
      <c r="D2394" s="5" t="s">
        <v>1261</v>
      </c>
      <c r="E2394" s="5"/>
      <c r="F2394" s="5" t="s">
        <v>1247</v>
      </c>
      <c r="G2394" s="5" t="s">
        <v>382</v>
      </c>
      <c r="H2394" s="5" t="s">
        <v>3</v>
      </c>
      <c r="I2394" s="5"/>
      <c r="J2394" s="5" t="s">
        <v>1260</v>
      </c>
    </row>
    <row r="2395" spans="1:10" ht="25.5" x14ac:dyDescent="0.2">
      <c r="A2395" s="5" t="s">
        <v>1259</v>
      </c>
      <c r="B2395" s="5" t="s">
        <v>83</v>
      </c>
      <c r="C2395" s="5"/>
      <c r="D2395" s="5" t="s">
        <v>1258</v>
      </c>
      <c r="E2395" s="5"/>
      <c r="F2395" s="5" t="s">
        <v>1247</v>
      </c>
      <c r="G2395" s="5" t="s">
        <v>382</v>
      </c>
      <c r="H2395" s="5" t="s">
        <v>137</v>
      </c>
      <c r="I2395" s="5" t="s">
        <v>1254</v>
      </c>
      <c r="J2395" s="5" t="s">
        <v>1257</v>
      </c>
    </row>
    <row r="2396" spans="1:10" ht="25.5" x14ac:dyDescent="0.2">
      <c r="A2396" s="5" t="s">
        <v>1256</v>
      </c>
      <c r="B2396" s="5" t="s">
        <v>83</v>
      </c>
      <c r="C2396" s="5"/>
      <c r="D2396" s="5" t="s">
        <v>1255</v>
      </c>
      <c r="E2396" s="5" t="s">
        <v>150</v>
      </c>
      <c r="F2396" s="5" t="s">
        <v>1247</v>
      </c>
      <c r="G2396" s="5" t="s">
        <v>148</v>
      </c>
      <c r="H2396" s="5" t="s">
        <v>137</v>
      </c>
      <c r="I2396" s="5" t="s">
        <v>1254</v>
      </c>
      <c r="J2396" s="5" t="s">
        <v>1253</v>
      </c>
    </row>
    <row r="2397" spans="1:10" x14ac:dyDescent="0.2">
      <c r="A2397" s="5" t="s">
        <v>1252</v>
      </c>
      <c r="B2397" s="5" t="s">
        <v>83</v>
      </c>
      <c r="C2397" s="5"/>
      <c r="D2397" s="5" t="s">
        <v>1251</v>
      </c>
      <c r="E2397" s="5" t="s">
        <v>150</v>
      </c>
      <c r="F2397" s="5" t="s">
        <v>1247</v>
      </c>
      <c r="G2397" s="5" t="s">
        <v>148</v>
      </c>
      <c r="H2397" s="5" t="s">
        <v>3</v>
      </c>
      <c r="I2397" s="5"/>
      <c r="J2397" s="5" t="s">
        <v>1250</v>
      </c>
    </row>
    <row r="2398" spans="1:10" x14ac:dyDescent="0.2">
      <c r="A2398" s="5" t="s">
        <v>1249</v>
      </c>
      <c r="B2398" s="5" t="s">
        <v>83</v>
      </c>
      <c r="C2398" s="5"/>
      <c r="D2398" s="5" t="s">
        <v>1248</v>
      </c>
      <c r="E2398" s="5" t="s">
        <v>150</v>
      </c>
      <c r="F2398" s="5" t="s">
        <v>1247</v>
      </c>
      <c r="G2398" s="5" t="s">
        <v>148</v>
      </c>
      <c r="H2398" s="5" t="s">
        <v>3</v>
      </c>
      <c r="I2398" s="5"/>
      <c r="J2398" s="5" t="s">
        <v>1246</v>
      </c>
    </row>
    <row r="2399" spans="1:10" ht="25.5" x14ac:dyDescent="0.2">
      <c r="A2399" s="5" t="s">
        <v>1245</v>
      </c>
      <c r="B2399" s="5" t="s">
        <v>83</v>
      </c>
      <c r="C2399" s="5"/>
      <c r="D2399" s="5" t="s">
        <v>1244</v>
      </c>
      <c r="E2399" s="5" t="s">
        <v>150</v>
      </c>
      <c r="F2399" s="5" t="s">
        <v>424</v>
      </c>
      <c r="G2399" s="5" t="s">
        <v>148</v>
      </c>
      <c r="H2399" s="5" t="s">
        <v>137</v>
      </c>
      <c r="I2399" s="5" t="s">
        <v>1240</v>
      </c>
      <c r="J2399" s="5" t="s">
        <v>1243</v>
      </c>
    </row>
    <row r="2400" spans="1:10" ht="25.5" x14ac:dyDescent="0.2">
      <c r="A2400" s="5" t="s">
        <v>1242</v>
      </c>
      <c r="B2400" s="5" t="s">
        <v>83</v>
      </c>
      <c r="C2400" s="5"/>
      <c r="D2400" s="5" t="s">
        <v>1241</v>
      </c>
      <c r="E2400" s="5"/>
      <c r="F2400" s="5" t="s">
        <v>424</v>
      </c>
      <c r="G2400" s="5" t="s">
        <v>170</v>
      </c>
      <c r="H2400" s="5" t="s">
        <v>137</v>
      </c>
      <c r="I2400" s="5" t="s">
        <v>1240</v>
      </c>
      <c r="J2400" s="5" t="s">
        <v>1239</v>
      </c>
    </row>
    <row r="2401" spans="1:10" ht="25.5" x14ac:dyDescent="0.2">
      <c r="A2401" s="5" t="s">
        <v>1238</v>
      </c>
      <c r="B2401" s="5" t="s">
        <v>83</v>
      </c>
      <c r="C2401" s="5"/>
      <c r="D2401" s="5" t="s">
        <v>1237</v>
      </c>
      <c r="E2401" s="5"/>
      <c r="F2401" s="5" t="s">
        <v>1220</v>
      </c>
      <c r="G2401" s="5" t="s">
        <v>382</v>
      </c>
      <c r="H2401" s="5" t="s">
        <v>3</v>
      </c>
      <c r="I2401" s="5"/>
      <c r="J2401" s="5" t="s">
        <v>1236</v>
      </c>
    </row>
    <row r="2402" spans="1:10" ht="25.5" x14ac:dyDescent="0.2">
      <c r="A2402" s="5" t="s">
        <v>1235</v>
      </c>
      <c r="B2402" s="5" t="s">
        <v>83</v>
      </c>
      <c r="C2402" s="5"/>
      <c r="D2402" s="5" t="s">
        <v>1234</v>
      </c>
      <c r="E2402" s="5"/>
      <c r="F2402" s="5" t="s">
        <v>1220</v>
      </c>
      <c r="G2402" s="5" t="s">
        <v>382</v>
      </c>
      <c r="H2402" s="5" t="s">
        <v>137</v>
      </c>
      <c r="I2402" s="5" t="s">
        <v>1227</v>
      </c>
      <c r="J2402" s="5" t="s">
        <v>1233</v>
      </c>
    </row>
    <row r="2403" spans="1:10" ht="25.5" x14ac:dyDescent="0.2">
      <c r="A2403" s="5" t="s">
        <v>1232</v>
      </c>
      <c r="B2403" s="5" t="s">
        <v>83</v>
      </c>
      <c r="C2403" s="5"/>
      <c r="D2403" s="5" t="s">
        <v>1231</v>
      </c>
      <c r="E2403" s="5"/>
      <c r="F2403" s="5" t="s">
        <v>424</v>
      </c>
      <c r="G2403" s="5" t="s">
        <v>882</v>
      </c>
      <c r="H2403" s="5" t="s">
        <v>137</v>
      </c>
      <c r="I2403" s="5" t="s">
        <v>1213</v>
      </c>
      <c r="J2403" s="5" t="s">
        <v>1230</v>
      </c>
    </row>
    <row r="2404" spans="1:10" ht="25.5" x14ac:dyDescent="0.2">
      <c r="A2404" s="5" t="s">
        <v>1229</v>
      </c>
      <c r="B2404" s="5" t="s">
        <v>83</v>
      </c>
      <c r="C2404" s="5"/>
      <c r="D2404" s="5" t="s">
        <v>1228</v>
      </c>
      <c r="E2404" s="5" t="s">
        <v>150</v>
      </c>
      <c r="F2404" s="5" t="s">
        <v>1220</v>
      </c>
      <c r="G2404" s="5" t="s">
        <v>148</v>
      </c>
      <c r="H2404" s="5" t="s">
        <v>137</v>
      </c>
      <c r="I2404" s="5" t="s">
        <v>1227</v>
      </c>
      <c r="J2404" s="5" t="s">
        <v>1226</v>
      </c>
    </row>
    <row r="2405" spans="1:10" x14ac:dyDescent="0.2">
      <c r="A2405" s="5" t="s">
        <v>1225</v>
      </c>
      <c r="B2405" s="5" t="s">
        <v>83</v>
      </c>
      <c r="C2405" s="5"/>
      <c r="D2405" s="5" t="s">
        <v>1224</v>
      </c>
      <c r="E2405" s="5" t="s">
        <v>150</v>
      </c>
      <c r="F2405" s="5" t="s">
        <v>1220</v>
      </c>
      <c r="G2405" s="5" t="s">
        <v>148</v>
      </c>
      <c r="H2405" s="5" t="s">
        <v>3</v>
      </c>
      <c r="I2405" s="5"/>
      <c r="J2405" s="5" t="s">
        <v>1223</v>
      </c>
    </row>
    <row r="2406" spans="1:10" x14ac:dyDescent="0.2">
      <c r="A2406" s="5" t="s">
        <v>1222</v>
      </c>
      <c r="B2406" s="5" t="s">
        <v>83</v>
      </c>
      <c r="C2406" s="5"/>
      <c r="D2406" s="5" t="s">
        <v>1221</v>
      </c>
      <c r="E2406" s="5" t="s">
        <v>150</v>
      </c>
      <c r="F2406" s="5" t="s">
        <v>1220</v>
      </c>
      <c r="G2406" s="5" t="s">
        <v>148</v>
      </c>
      <c r="H2406" s="5" t="s">
        <v>3</v>
      </c>
      <c r="I2406" s="5"/>
      <c r="J2406" s="5" t="s">
        <v>1219</v>
      </c>
    </row>
    <row r="2407" spans="1:10" ht="25.5" x14ac:dyDescent="0.2">
      <c r="A2407" s="5" t="s">
        <v>1218</v>
      </c>
      <c r="B2407" s="5" t="s">
        <v>83</v>
      </c>
      <c r="C2407" s="5"/>
      <c r="D2407" s="5" t="s">
        <v>1217</v>
      </c>
      <c r="E2407" s="5" t="s">
        <v>150</v>
      </c>
      <c r="F2407" s="5" t="s">
        <v>424</v>
      </c>
      <c r="G2407" s="5" t="s">
        <v>148</v>
      </c>
      <c r="H2407" s="5" t="s">
        <v>137</v>
      </c>
      <c r="I2407" s="5" t="s">
        <v>1209</v>
      </c>
      <c r="J2407" s="5" t="s">
        <v>1216</v>
      </c>
    </row>
    <row r="2408" spans="1:10" ht="25.5" x14ac:dyDescent="0.2">
      <c r="A2408" s="5" t="s">
        <v>1215</v>
      </c>
      <c r="B2408" s="5" t="s">
        <v>83</v>
      </c>
      <c r="C2408" s="5"/>
      <c r="D2408" s="5" t="s">
        <v>1214</v>
      </c>
      <c r="E2408" s="5" t="s">
        <v>665</v>
      </c>
      <c r="F2408" s="5" t="s">
        <v>424</v>
      </c>
      <c r="G2408" s="5" t="s">
        <v>148</v>
      </c>
      <c r="H2408" s="5" t="s">
        <v>137</v>
      </c>
      <c r="I2408" s="5" t="s">
        <v>1213</v>
      </c>
      <c r="J2408" s="5" t="s">
        <v>1212</v>
      </c>
    </row>
    <row r="2409" spans="1:10" ht="25.5" x14ac:dyDescent="0.2">
      <c r="A2409" s="5" t="s">
        <v>1211</v>
      </c>
      <c r="B2409" s="5" t="s">
        <v>83</v>
      </c>
      <c r="C2409" s="5"/>
      <c r="D2409" s="5" t="s">
        <v>1210</v>
      </c>
      <c r="E2409" s="5"/>
      <c r="F2409" s="5" t="s">
        <v>424</v>
      </c>
      <c r="G2409" s="5" t="s">
        <v>170</v>
      </c>
      <c r="H2409" s="5" t="s">
        <v>137</v>
      </c>
      <c r="I2409" s="5" t="s">
        <v>1209</v>
      </c>
      <c r="J2409" s="5" t="s">
        <v>1208</v>
      </c>
    </row>
    <row r="2410" spans="1:10" ht="25.5" x14ac:dyDescent="0.2">
      <c r="A2410" s="5" t="s">
        <v>1207</v>
      </c>
      <c r="B2410" s="5" t="s">
        <v>83</v>
      </c>
      <c r="C2410" s="5"/>
      <c r="D2410" s="5" t="s">
        <v>1206</v>
      </c>
      <c r="E2410" s="5"/>
      <c r="F2410" s="5" t="s">
        <v>1192</v>
      </c>
      <c r="G2410" s="5" t="s">
        <v>382</v>
      </c>
      <c r="H2410" s="5" t="s">
        <v>3</v>
      </c>
      <c r="I2410" s="5"/>
      <c r="J2410" s="5" t="s">
        <v>1205</v>
      </c>
    </row>
    <row r="2411" spans="1:10" ht="25.5" x14ac:dyDescent="0.2">
      <c r="A2411" s="5" t="s">
        <v>1204</v>
      </c>
      <c r="B2411" s="5" t="s">
        <v>83</v>
      </c>
      <c r="C2411" s="5"/>
      <c r="D2411" s="5" t="s">
        <v>1203</v>
      </c>
      <c r="E2411" s="5"/>
      <c r="F2411" s="5" t="s">
        <v>1192</v>
      </c>
      <c r="G2411" s="5" t="s">
        <v>382</v>
      </c>
      <c r="H2411" s="5" t="s">
        <v>137</v>
      </c>
      <c r="I2411" s="5" t="s">
        <v>1199</v>
      </c>
      <c r="J2411" s="5" t="s">
        <v>1202</v>
      </c>
    </row>
    <row r="2412" spans="1:10" ht="25.5" x14ac:dyDescent="0.2">
      <c r="A2412" s="5" t="s">
        <v>1201</v>
      </c>
      <c r="B2412" s="5" t="s">
        <v>83</v>
      </c>
      <c r="C2412" s="5"/>
      <c r="D2412" s="5" t="s">
        <v>1200</v>
      </c>
      <c r="E2412" s="5" t="s">
        <v>150</v>
      </c>
      <c r="F2412" s="5" t="s">
        <v>1192</v>
      </c>
      <c r="G2412" s="5" t="s">
        <v>148</v>
      </c>
      <c r="H2412" s="5" t="s">
        <v>137</v>
      </c>
      <c r="I2412" s="5" t="s">
        <v>1199</v>
      </c>
      <c r="J2412" s="5" t="s">
        <v>1198</v>
      </c>
    </row>
    <row r="2413" spans="1:10" x14ac:dyDescent="0.2">
      <c r="A2413" s="5" t="s">
        <v>1197</v>
      </c>
      <c r="B2413" s="5" t="s">
        <v>83</v>
      </c>
      <c r="C2413" s="5"/>
      <c r="D2413" s="5" t="s">
        <v>1196</v>
      </c>
      <c r="E2413" s="5" t="s">
        <v>150</v>
      </c>
      <c r="F2413" s="5" t="s">
        <v>1192</v>
      </c>
      <c r="G2413" s="5" t="s">
        <v>148</v>
      </c>
      <c r="H2413" s="5" t="s">
        <v>3</v>
      </c>
      <c r="I2413" s="5"/>
      <c r="J2413" s="5" t="s">
        <v>1195</v>
      </c>
    </row>
    <row r="2414" spans="1:10" x14ac:dyDescent="0.2">
      <c r="A2414" s="5" t="s">
        <v>1194</v>
      </c>
      <c r="B2414" s="5" t="s">
        <v>83</v>
      </c>
      <c r="C2414" s="5"/>
      <c r="D2414" s="5" t="s">
        <v>1193</v>
      </c>
      <c r="E2414" s="5" t="s">
        <v>150</v>
      </c>
      <c r="F2414" s="5" t="s">
        <v>1192</v>
      </c>
      <c r="G2414" s="5" t="s">
        <v>148</v>
      </c>
      <c r="H2414" s="5" t="s">
        <v>3</v>
      </c>
      <c r="I2414" s="5"/>
      <c r="J2414" s="5" t="s">
        <v>1191</v>
      </c>
    </row>
    <row r="2415" spans="1:10" ht="25.5" x14ac:dyDescent="0.2">
      <c r="A2415" s="5" t="s">
        <v>1190</v>
      </c>
      <c r="B2415" s="5" t="s">
        <v>83</v>
      </c>
      <c r="C2415" s="5"/>
      <c r="D2415" s="5" t="s">
        <v>1189</v>
      </c>
      <c r="E2415" s="5" t="s">
        <v>150</v>
      </c>
      <c r="F2415" s="5" t="s">
        <v>424</v>
      </c>
      <c r="G2415" s="5" t="s">
        <v>148</v>
      </c>
      <c r="H2415" s="5" t="s">
        <v>137</v>
      </c>
      <c r="I2415" s="5" t="s">
        <v>1185</v>
      </c>
      <c r="J2415" s="5" t="s">
        <v>1188</v>
      </c>
    </row>
    <row r="2416" spans="1:10" ht="25.5" x14ac:dyDescent="0.2">
      <c r="A2416" s="5" t="s">
        <v>1187</v>
      </c>
      <c r="B2416" s="5" t="s">
        <v>83</v>
      </c>
      <c r="C2416" s="5"/>
      <c r="D2416" s="5" t="s">
        <v>1186</v>
      </c>
      <c r="E2416" s="5"/>
      <c r="F2416" s="5" t="s">
        <v>424</v>
      </c>
      <c r="G2416" s="5" t="s">
        <v>170</v>
      </c>
      <c r="H2416" s="5" t="s">
        <v>137</v>
      </c>
      <c r="I2416" s="5" t="s">
        <v>1185</v>
      </c>
      <c r="J2416" s="5" t="s">
        <v>1184</v>
      </c>
    </row>
    <row r="2417" spans="1:10" ht="25.5" x14ac:dyDescent="0.2">
      <c r="A2417" s="5" t="s">
        <v>1183</v>
      </c>
      <c r="B2417" s="5" t="s">
        <v>83</v>
      </c>
      <c r="C2417" s="5"/>
      <c r="D2417" s="5" t="s">
        <v>1182</v>
      </c>
      <c r="E2417" s="5"/>
      <c r="F2417" s="5" t="s">
        <v>1168</v>
      </c>
      <c r="G2417" s="5" t="s">
        <v>382</v>
      </c>
      <c r="H2417" s="5" t="s">
        <v>3</v>
      </c>
      <c r="I2417" s="5"/>
      <c r="J2417" s="5" t="s">
        <v>1181</v>
      </c>
    </row>
    <row r="2418" spans="1:10" ht="25.5" x14ac:dyDescent="0.2">
      <c r="A2418" s="5" t="s">
        <v>1180</v>
      </c>
      <c r="B2418" s="5" t="s">
        <v>83</v>
      </c>
      <c r="C2418" s="5"/>
      <c r="D2418" s="5" t="s">
        <v>1179</v>
      </c>
      <c r="E2418" s="5"/>
      <c r="F2418" s="5" t="s">
        <v>1168</v>
      </c>
      <c r="G2418" s="5" t="s">
        <v>382</v>
      </c>
      <c r="H2418" s="5" t="s">
        <v>137</v>
      </c>
      <c r="I2418" s="5" t="s">
        <v>1175</v>
      </c>
      <c r="J2418" s="5" t="s">
        <v>1178</v>
      </c>
    </row>
    <row r="2419" spans="1:10" ht="25.5" x14ac:dyDescent="0.2">
      <c r="A2419" s="5" t="s">
        <v>1177</v>
      </c>
      <c r="B2419" s="5" t="s">
        <v>83</v>
      </c>
      <c r="C2419" s="5"/>
      <c r="D2419" s="5" t="s">
        <v>1176</v>
      </c>
      <c r="E2419" s="5" t="s">
        <v>150</v>
      </c>
      <c r="F2419" s="5" t="s">
        <v>1168</v>
      </c>
      <c r="G2419" s="5" t="s">
        <v>148</v>
      </c>
      <c r="H2419" s="5" t="s">
        <v>137</v>
      </c>
      <c r="I2419" s="5" t="s">
        <v>1175</v>
      </c>
      <c r="J2419" s="5" t="s">
        <v>1174</v>
      </c>
    </row>
    <row r="2420" spans="1:10" x14ac:dyDescent="0.2">
      <c r="A2420" s="5" t="s">
        <v>1173</v>
      </c>
      <c r="B2420" s="5" t="s">
        <v>83</v>
      </c>
      <c r="C2420" s="5"/>
      <c r="D2420" s="5" t="s">
        <v>1172</v>
      </c>
      <c r="E2420" s="5" t="s">
        <v>150</v>
      </c>
      <c r="F2420" s="5" t="s">
        <v>1168</v>
      </c>
      <c r="G2420" s="5" t="s">
        <v>148</v>
      </c>
      <c r="H2420" s="5" t="s">
        <v>3</v>
      </c>
      <c r="I2420" s="5"/>
      <c r="J2420" s="5" t="s">
        <v>1171</v>
      </c>
    </row>
    <row r="2421" spans="1:10" x14ac:dyDescent="0.2">
      <c r="A2421" s="5" t="s">
        <v>1170</v>
      </c>
      <c r="B2421" s="5" t="s">
        <v>83</v>
      </c>
      <c r="C2421" s="5"/>
      <c r="D2421" s="5" t="s">
        <v>1169</v>
      </c>
      <c r="E2421" s="5" t="s">
        <v>150</v>
      </c>
      <c r="F2421" s="5" t="s">
        <v>1168</v>
      </c>
      <c r="G2421" s="5" t="s">
        <v>148</v>
      </c>
      <c r="H2421" s="5" t="s">
        <v>3</v>
      </c>
      <c r="I2421" s="5"/>
      <c r="J2421" s="5" t="s">
        <v>1167</v>
      </c>
    </row>
    <row r="2422" spans="1:10" ht="25.5" x14ac:dyDescent="0.2">
      <c r="A2422" s="5" t="s">
        <v>1166</v>
      </c>
      <c r="B2422" s="5" t="s">
        <v>83</v>
      </c>
      <c r="C2422" s="5"/>
      <c r="D2422" s="5" t="s">
        <v>1165</v>
      </c>
      <c r="E2422" s="5" t="s">
        <v>150</v>
      </c>
      <c r="F2422" s="5" t="s">
        <v>424</v>
      </c>
      <c r="G2422" s="5" t="s">
        <v>148</v>
      </c>
      <c r="H2422" s="5" t="s">
        <v>137</v>
      </c>
      <c r="I2422" s="5" t="s">
        <v>1161</v>
      </c>
      <c r="J2422" s="5" t="s">
        <v>1164</v>
      </c>
    </row>
    <row r="2423" spans="1:10" ht="25.5" x14ac:dyDescent="0.2">
      <c r="A2423" s="5" t="s">
        <v>1163</v>
      </c>
      <c r="B2423" s="5" t="s">
        <v>83</v>
      </c>
      <c r="C2423" s="5"/>
      <c r="D2423" s="5" t="s">
        <v>1162</v>
      </c>
      <c r="E2423" s="5"/>
      <c r="F2423" s="5" t="s">
        <v>424</v>
      </c>
      <c r="G2423" s="5" t="s">
        <v>170</v>
      </c>
      <c r="H2423" s="5" t="s">
        <v>137</v>
      </c>
      <c r="I2423" s="5" t="s">
        <v>1161</v>
      </c>
      <c r="J2423" s="5" t="s">
        <v>1160</v>
      </c>
    </row>
    <row r="2424" spans="1:10" ht="25.5" x14ac:dyDescent="0.2">
      <c r="A2424" s="5" t="s">
        <v>1159</v>
      </c>
      <c r="B2424" s="5" t="s">
        <v>83</v>
      </c>
      <c r="C2424" s="5"/>
      <c r="D2424" s="5" t="s">
        <v>1158</v>
      </c>
      <c r="E2424" s="5"/>
      <c r="F2424" s="5" t="s">
        <v>1144</v>
      </c>
      <c r="G2424" s="5" t="s">
        <v>382</v>
      </c>
      <c r="H2424" s="5" t="s">
        <v>3</v>
      </c>
      <c r="I2424" s="5"/>
      <c r="J2424" s="5" t="s">
        <v>1157</v>
      </c>
    </row>
    <row r="2425" spans="1:10" ht="25.5" x14ac:dyDescent="0.2">
      <c r="A2425" s="5" t="s">
        <v>1156</v>
      </c>
      <c r="B2425" s="5" t="s">
        <v>83</v>
      </c>
      <c r="C2425" s="5"/>
      <c r="D2425" s="5" t="s">
        <v>1155</v>
      </c>
      <c r="E2425" s="5"/>
      <c r="F2425" s="5" t="s">
        <v>1144</v>
      </c>
      <c r="G2425" s="5" t="s">
        <v>382</v>
      </c>
      <c r="H2425" s="5" t="s">
        <v>137</v>
      </c>
      <c r="I2425" s="5" t="s">
        <v>1151</v>
      </c>
      <c r="J2425" s="5" t="s">
        <v>1154</v>
      </c>
    </row>
    <row r="2426" spans="1:10" ht="25.5" x14ac:dyDescent="0.2">
      <c r="A2426" s="5" t="s">
        <v>1153</v>
      </c>
      <c r="B2426" s="5" t="s">
        <v>83</v>
      </c>
      <c r="C2426" s="5"/>
      <c r="D2426" s="5" t="s">
        <v>1152</v>
      </c>
      <c r="E2426" s="5" t="s">
        <v>150</v>
      </c>
      <c r="F2426" s="5" t="s">
        <v>1144</v>
      </c>
      <c r="G2426" s="5" t="s">
        <v>148</v>
      </c>
      <c r="H2426" s="5" t="s">
        <v>137</v>
      </c>
      <c r="I2426" s="5" t="s">
        <v>1151</v>
      </c>
      <c r="J2426" s="5" t="s">
        <v>1150</v>
      </c>
    </row>
    <row r="2427" spans="1:10" x14ac:dyDescent="0.2">
      <c r="A2427" s="5" t="s">
        <v>1149</v>
      </c>
      <c r="B2427" s="5" t="s">
        <v>83</v>
      </c>
      <c r="C2427" s="5"/>
      <c r="D2427" s="5" t="s">
        <v>1148</v>
      </c>
      <c r="E2427" s="5" t="s">
        <v>150</v>
      </c>
      <c r="F2427" s="5" t="s">
        <v>1144</v>
      </c>
      <c r="G2427" s="5" t="s">
        <v>148</v>
      </c>
      <c r="H2427" s="5" t="s">
        <v>3</v>
      </c>
      <c r="I2427" s="5"/>
      <c r="J2427" s="5" t="s">
        <v>1147</v>
      </c>
    </row>
    <row r="2428" spans="1:10" x14ac:dyDescent="0.2">
      <c r="A2428" s="5" t="s">
        <v>1146</v>
      </c>
      <c r="B2428" s="5" t="s">
        <v>83</v>
      </c>
      <c r="C2428" s="5"/>
      <c r="D2428" s="5" t="s">
        <v>1145</v>
      </c>
      <c r="E2428" s="5" t="s">
        <v>150</v>
      </c>
      <c r="F2428" s="5" t="s">
        <v>1144</v>
      </c>
      <c r="G2428" s="5" t="s">
        <v>148</v>
      </c>
      <c r="H2428" s="5" t="s">
        <v>3</v>
      </c>
      <c r="I2428" s="5"/>
      <c r="J2428" s="5" t="s">
        <v>1143</v>
      </c>
    </row>
    <row r="2429" spans="1:10" ht="25.5" x14ac:dyDescent="0.2">
      <c r="A2429" s="5" t="s">
        <v>1142</v>
      </c>
      <c r="B2429" s="5" t="s">
        <v>83</v>
      </c>
      <c r="C2429" s="5"/>
      <c r="D2429" s="5" t="s">
        <v>1141</v>
      </c>
      <c r="E2429" s="5" t="s">
        <v>150</v>
      </c>
      <c r="F2429" s="5" t="s">
        <v>424</v>
      </c>
      <c r="G2429" s="5" t="s">
        <v>148</v>
      </c>
      <c r="H2429" s="5" t="s">
        <v>137</v>
      </c>
      <c r="I2429" s="5" t="s">
        <v>1137</v>
      </c>
      <c r="J2429" s="5" t="s">
        <v>1140</v>
      </c>
    </row>
    <row r="2430" spans="1:10" ht="25.5" x14ac:dyDescent="0.2">
      <c r="A2430" s="5" t="s">
        <v>1139</v>
      </c>
      <c r="B2430" s="5" t="s">
        <v>83</v>
      </c>
      <c r="C2430" s="5"/>
      <c r="D2430" s="5" t="s">
        <v>1138</v>
      </c>
      <c r="E2430" s="5"/>
      <c r="F2430" s="5" t="s">
        <v>424</v>
      </c>
      <c r="G2430" s="5" t="s">
        <v>170</v>
      </c>
      <c r="H2430" s="5" t="s">
        <v>137</v>
      </c>
      <c r="I2430" s="5" t="s">
        <v>1137</v>
      </c>
      <c r="J2430" s="5" t="s">
        <v>1136</v>
      </c>
    </row>
    <row r="2431" spans="1:10" x14ac:dyDescent="0.2">
      <c r="A2431" s="5" t="s">
        <v>1135</v>
      </c>
      <c r="B2431" s="5" t="s">
        <v>83</v>
      </c>
      <c r="C2431" s="5"/>
      <c r="D2431" s="5" t="s">
        <v>1134</v>
      </c>
      <c r="E2431" s="5"/>
      <c r="F2431" s="5" t="s">
        <v>1105</v>
      </c>
      <c r="G2431" s="5" t="s">
        <v>382</v>
      </c>
      <c r="H2431" s="5" t="s">
        <v>137</v>
      </c>
      <c r="I2431" s="5" t="s">
        <v>1127</v>
      </c>
      <c r="J2431" s="5" t="s">
        <v>1133</v>
      </c>
    </row>
    <row r="2432" spans="1:10" x14ac:dyDescent="0.2">
      <c r="A2432" s="5" t="s">
        <v>1132</v>
      </c>
      <c r="B2432" s="5" t="s">
        <v>83</v>
      </c>
      <c r="C2432" s="5"/>
      <c r="D2432" s="5" t="s">
        <v>1131</v>
      </c>
      <c r="E2432" s="5" t="s">
        <v>665</v>
      </c>
      <c r="F2432" s="5" t="s">
        <v>1105</v>
      </c>
      <c r="G2432" s="5" t="s">
        <v>148</v>
      </c>
      <c r="H2432" s="5" t="s">
        <v>137</v>
      </c>
      <c r="I2432" s="5" t="s">
        <v>1127</v>
      </c>
      <c r="J2432" s="5" t="s">
        <v>1130</v>
      </c>
    </row>
    <row r="2433" spans="1:10" x14ac:dyDescent="0.2">
      <c r="A2433" s="5" t="s">
        <v>1129</v>
      </c>
      <c r="B2433" s="5" t="s">
        <v>83</v>
      </c>
      <c r="C2433" s="5"/>
      <c r="D2433" s="5" t="s">
        <v>1128</v>
      </c>
      <c r="E2433" s="5" t="s">
        <v>150</v>
      </c>
      <c r="F2433" s="5" t="s">
        <v>1105</v>
      </c>
      <c r="G2433" s="5" t="s">
        <v>148</v>
      </c>
      <c r="H2433" s="5" t="s">
        <v>137</v>
      </c>
      <c r="I2433" s="5" t="s">
        <v>1127</v>
      </c>
      <c r="J2433" s="5" t="s">
        <v>1111</v>
      </c>
    </row>
    <row r="2434" spans="1:10" ht="25.5" x14ac:dyDescent="0.2">
      <c r="A2434" s="5" t="s">
        <v>1126</v>
      </c>
      <c r="B2434" s="5" t="s">
        <v>83</v>
      </c>
      <c r="C2434" s="5"/>
      <c r="D2434" s="5" t="s">
        <v>1125</v>
      </c>
      <c r="E2434" s="5" t="s">
        <v>150</v>
      </c>
      <c r="F2434" s="5" t="s">
        <v>424</v>
      </c>
      <c r="G2434" s="5" t="s">
        <v>283</v>
      </c>
      <c r="H2434" s="5" t="s">
        <v>137</v>
      </c>
      <c r="I2434" s="5" t="s">
        <v>1122</v>
      </c>
      <c r="J2434" s="5" t="s">
        <v>1101</v>
      </c>
    </row>
    <row r="2435" spans="1:10" ht="25.5" x14ac:dyDescent="0.2">
      <c r="A2435" s="5" t="s">
        <v>1124</v>
      </c>
      <c r="B2435" s="5" t="s">
        <v>83</v>
      </c>
      <c r="C2435" s="5"/>
      <c r="D2435" s="5" t="s">
        <v>1123</v>
      </c>
      <c r="E2435" s="5"/>
      <c r="F2435" s="5" t="s">
        <v>424</v>
      </c>
      <c r="G2435" s="5" t="s">
        <v>170</v>
      </c>
      <c r="H2435" s="5" t="s">
        <v>137</v>
      </c>
      <c r="I2435" s="5" t="s">
        <v>1122</v>
      </c>
      <c r="J2435" s="5" t="s">
        <v>1121</v>
      </c>
    </row>
    <row r="2436" spans="1:10" ht="25.5" x14ac:dyDescent="0.2">
      <c r="A2436" s="5" t="s">
        <v>1120</v>
      </c>
      <c r="B2436" s="5" t="s">
        <v>83</v>
      </c>
      <c r="C2436" s="5"/>
      <c r="D2436" s="5" t="s">
        <v>1119</v>
      </c>
      <c r="E2436" s="5"/>
      <c r="F2436" s="5" t="s">
        <v>1105</v>
      </c>
      <c r="G2436" s="5" t="s">
        <v>382</v>
      </c>
      <c r="H2436" s="5" t="s">
        <v>3</v>
      </c>
      <c r="I2436" s="5"/>
      <c r="J2436" s="5" t="s">
        <v>1118</v>
      </c>
    </row>
    <row r="2437" spans="1:10" ht="25.5" x14ac:dyDescent="0.2">
      <c r="A2437" s="5" t="s">
        <v>1117</v>
      </c>
      <c r="B2437" s="5" t="s">
        <v>83</v>
      </c>
      <c r="C2437" s="5"/>
      <c r="D2437" s="5" t="s">
        <v>1116</v>
      </c>
      <c r="E2437" s="5"/>
      <c r="F2437" s="5" t="s">
        <v>1105</v>
      </c>
      <c r="G2437" s="5" t="s">
        <v>382</v>
      </c>
      <c r="H2437" s="5" t="s">
        <v>137</v>
      </c>
      <c r="I2437" s="5" t="s">
        <v>1112</v>
      </c>
      <c r="J2437" s="5" t="s">
        <v>1115</v>
      </c>
    </row>
    <row r="2438" spans="1:10" ht="25.5" x14ac:dyDescent="0.2">
      <c r="A2438" s="5" t="s">
        <v>1114</v>
      </c>
      <c r="B2438" s="5" t="s">
        <v>83</v>
      </c>
      <c r="C2438" s="5"/>
      <c r="D2438" s="5" t="s">
        <v>1113</v>
      </c>
      <c r="E2438" s="5" t="s">
        <v>150</v>
      </c>
      <c r="F2438" s="5" t="s">
        <v>1105</v>
      </c>
      <c r="G2438" s="5" t="s">
        <v>148</v>
      </c>
      <c r="H2438" s="5" t="s">
        <v>137</v>
      </c>
      <c r="I2438" s="5" t="s">
        <v>1112</v>
      </c>
      <c r="J2438" s="5" t="s">
        <v>1111</v>
      </c>
    </row>
    <row r="2439" spans="1:10" x14ac:dyDescent="0.2">
      <c r="A2439" s="5" t="s">
        <v>1110</v>
      </c>
      <c r="B2439" s="5" t="s">
        <v>83</v>
      </c>
      <c r="C2439" s="5"/>
      <c r="D2439" s="5" t="s">
        <v>1109</v>
      </c>
      <c r="E2439" s="5" t="s">
        <v>150</v>
      </c>
      <c r="F2439" s="5" t="s">
        <v>1105</v>
      </c>
      <c r="G2439" s="5" t="s">
        <v>148</v>
      </c>
      <c r="H2439" s="5" t="s">
        <v>3</v>
      </c>
      <c r="I2439" s="5"/>
      <c r="J2439" s="5" t="s">
        <v>1108</v>
      </c>
    </row>
    <row r="2440" spans="1:10" x14ac:dyDescent="0.2">
      <c r="A2440" s="5" t="s">
        <v>1107</v>
      </c>
      <c r="B2440" s="5" t="s">
        <v>83</v>
      </c>
      <c r="C2440" s="5"/>
      <c r="D2440" s="5" t="s">
        <v>1106</v>
      </c>
      <c r="E2440" s="5" t="s">
        <v>150</v>
      </c>
      <c r="F2440" s="5" t="s">
        <v>1105</v>
      </c>
      <c r="G2440" s="5" t="s">
        <v>148</v>
      </c>
      <c r="H2440" s="5" t="s">
        <v>3</v>
      </c>
      <c r="I2440" s="5"/>
      <c r="J2440" s="5" t="s">
        <v>1104</v>
      </c>
    </row>
    <row r="2441" spans="1:10" ht="25.5" x14ac:dyDescent="0.2">
      <c r="A2441" s="5" t="s">
        <v>1103</v>
      </c>
      <c r="B2441" s="5" t="s">
        <v>83</v>
      </c>
      <c r="C2441" s="5"/>
      <c r="D2441" s="5" t="s">
        <v>1102</v>
      </c>
      <c r="E2441" s="5" t="s">
        <v>150</v>
      </c>
      <c r="F2441" s="5" t="s">
        <v>424</v>
      </c>
      <c r="G2441" s="5" t="s">
        <v>148</v>
      </c>
      <c r="H2441" s="5" t="s">
        <v>137</v>
      </c>
      <c r="I2441" s="5" t="s">
        <v>1098</v>
      </c>
      <c r="J2441" s="5" t="s">
        <v>1101</v>
      </c>
    </row>
    <row r="2442" spans="1:10" ht="25.5" x14ac:dyDescent="0.2">
      <c r="A2442" s="5" t="s">
        <v>1100</v>
      </c>
      <c r="B2442" s="5" t="s">
        <v>83</v>
      </c>
      <c r="C2442" s="5"/>
      <c r="D2442" s="5" t="s">
        <v>1099</v>
      </c>
      <c r="E2442" s="5"/>
      <c r="F2442" s="5" t="s">
        <v>424</v>
      </c>
      <c r="G2442" s="5" t="s">
        <v>170</v>
      </c>
      <c r="H2442" s="5" t="s">
        <v>137</v>
      </c>
      <c r="I2442" s="5" t="s">
        <v>1098</v>
      </c>
      <c r="J2442" s="5" t="s">
        <v>1097</v>
      </c>
    </row>
    <row r="2443" spans="1:10" ht="25.5" x14ac:dyDescent="0.2">
      <c r="A2443" s="5" t="s">
        <v>1096</v>
      </c>
      <c r="B2443" s="5" t="s">
        <v>83</v>
      </c>
      <c r="C2443" s="5"/>
      <c r="D2443" s="5" t="s">
        <v>1095</v>
      </c>
      <c r="E2443" s="5"/>
      <c r="F2443" s="5" t="s">
        <v>1094</v>
      </c>
      <c r="G2443" s="5" t="s">
        <v>1093</v>
      </c>
      <c r="H2443" s="5" t="s">
        <v>3</v>
      </c>
      <c r="I2443" s="5"/>
      <c r="J2443" s="5" t="s">
        <v>1092</v>
      </c>
    </row>
    <row r="2444" spans="1:10" ht="25.5" x14ac:dyDescent="0.2">
      <c r="A2444" s="5" t="s">
        <v>1091</v>
      </c>
      <c r="B2444" s="5" t="s">
        <v>83</v>
      </c>
      <c r="C2444" s="5"/>
      <c r="D2444" s="5" t="s">
        <v>1090</v>
      </c>
      <c r="E2444" s="5"/>
      <c r="F2444" s="5" t="s">
        <v>1076</v>
      </c>
      <c r="G2444" s="5" t="s">
        <v>382</v>
      </c>
      <c r="H2444" s="5" t="s">
        <v>3</v>
      </c>
      <c r="I2444" s="5"/>
      <c r="J2444" s="5" t="s">
        <v>1089</v>
      </c>
    </row>
    <row r="2445" spans="1:10" ht="25.5" x14ac:dyDescent="0.2">
      <c r="A2445" s="5" t="s">
        <v>1088</v>
      </c>
      <c r="B2445" s="5" t="s">
        <v>83</v>
      </c>
      <c r="C2445" s="5"/>
      <c r="D2445" s="5" t="s">
        <v>1087</v>
      </c>
      <c r="E2445" s="5"/>
      <c r="F2445" s="5" t="s">
        <v>1076</v>
      </c>
      <c r="G2445" s="5" t="s">
        <v>382</v>
      </c>
      <c r="H2445" s="5" t="s">
        <v>137</v>
      </c>
      <c r="I2445" s="5" t="s">
        <v>1083</v>
      </c>
      <c r="J2445" s="5" t="s">
        <v>1086</v>
      </c>
    </row>
    <row r="2446" spans="1:10" ht="25.5" x14ac:dyDescent="0.2">
      <c r="A2446" s="5" t="s">
        <v>1085</v>
      </c>
      <c r="B2446" s="5" t="s">
        <v>83</v>
      </c>
      <c r="C2446" s="5"/>
      <c r="D2446" s="5" t="s">
        <v>1084</v>
      </c>
      <c r="E2446" s="5" t="s">
        <v>150</v>
      </c>
      <c r="F2446" s="5" t="s">
        <v>1076</v>
      </c>
      <c r="G2446" s="5" t="s">
        <v>148</v>
      </c>
      <c r="H2446" s="5" t="s">
        <v>137</v>
      </c>
      <c r="I2446" s="5" t="s">
        <v>1083</v>
      </c>
      <c r="J2446" s="5" t="s">
        <v>1082</v>
      </c>
    </row>
    <row r="2447" spans="1:10" x14ac:dyDescent="0.2">
      <c r="A2447" s="5" t="s">
        <v>1081</v>
      </c>
      <c r="B2447" s="5" t="s">
        <v>83</v>
      </c>
      <c r="C2447" s="5"/>
      <c r="D2447" s="5" t="s">
        <v>1080</v>
      </c>
      <c r="E2447" s="5" t="s">
        <v>150</v>
      </c>
      <c r="F2447" s="5" t="s">
        <v>1076</v>
      </c>
      <c r="G2447" s="5" t="s">
        <v>148</v>
      </c>
      <c r="H2447" s="5" t="s">
        <v>3</v>
      </c>
      <c r="I2447" s="5"/>
      <c r="J2447" s="5" t="s">
        <v>1079</v>
      </c>
    </row>
    <row r="2448" spans="1:10" x14ac:dyDescent="0.2">
      <c r="A2448" s="5" t="s">
        <v>1078</v>
      </c>
      <c r="B2448" s="5" t="s">
        <v>83</v>
      </c>
      <c r="C2448" s="5"/>
      <c r="D2448" s="5" t="s">
        <v>1077</v>
      </c>
      <c r="E2448" s="5" t="s">
        <v>150</v>
      </c>
      <c r="F2448" s="5" t="s">
        <v>1076</v>
      </c>
      <c r="G2448" s="5" t="s">
        <v>148</v>
      </c>
      <c r="H2448" s="5" t="s">
        <v>3</v>
      </c>
      <c r="I2448" s="5"/>
      <c r="J2448" s="5" t="s">
        <v>1075</v>
      </c>
    </row>
    <row r="2449" spans="1:10" ht="25.5" x14ac:dyDescent="0.2">
      <c r="A2449" s="5" t="s">
        <v>1074</v>
      </c>
      <c r="B2449" s="5" t="s">
        <v>83</v>
      </c>
      <c r="C2449" s="5"/>
      <c r="D2449" s="5" t="s">
        <v>1073</v>
      </c>
      <c r="E2449" s="5" t="s">
        <v>150</v>
      </c>
      <c r="F2449" s="5" t="s">
        <v>424</v>
      </c>
      <c r="G2449" s="5" t="s">
        <v>148</v>
      </c>
      <c r="H2449" s="5" t="s">
        <v>137</v>
      </c>
      <c r="I2449" s="5" t="s">
        <v>1069</v>
      </c>
      <c r="J2449" s="5" t="s">
        <v>1072</v>
      </c>
    </row>
    <row r="2450" spans="1:10" ht="25.5" x14ac:dyDescent="0.2">
      <c r="A2450" s="5" t="s">
        <v>1071</v>
      </c>
      <c r="B2450" s="5" t="s">
        <v>83</v>
      </c>
      <c r="C2450" s="5"/>
      <c r="D2450" s="5" t="s">
        <v>1070</v>
      </c>
      <c r="E2450" s="5"/>
      <c r="F2450" s="5" t="s">
        <v>424</v>
      </c>
      <c r="G2450" s="5" t="s">
        <v>170</v>
      </c>
      <c r="H2450" s="5" t="s">
        <v>137</v>
      </c>
      <c r="I2450" s="5" t="s">
        <v>1069</v>
      </c>
      <c r="J2450" s="5" t="s">
        <v>1068</v>
      </c>
    </row>
    <row r="2451" spans="1:10" ht="25.5" x14ac:dyDescent="0.2">
      <c r="A2451" s="5" t="s">
        <v>1067</v>
      </c>
      <c r="B2451" s="5" t="s">
        <v>83</v>
      </c>
      <c r="C2451" s="5"/>
      <c r="D2451" s="5" t="s">
        <v>1066</v>
      </c>
      <c r="E2451" s="5"/>
      <c r="F2451" s="5" t="s">
        <v>1065</v>
      </c>
      <c r="G2451" s="5" t="s">
        <v>1064</v>
      </c>
      <c r="H2451" s="5" t="s">
        <v>3</v>
      </c>
      <c r="I2451" s="5"/>
      <c r="J2451" s="5" t="s">
        <v>1063</v>
      </c>
    </row>
    <row r="2452" spans="1:10" ht="25.5" x14ac:dyDescent="0.2">
      <c r="A2452" s="5" t="s">
        <v>1062</v>
      </c>
      <c r="B2452" s="5" t="s">
        <v>83</v>
      </c>
      <c r="C2452" s="5"/>
      <c r="D2452" s="5" t="s">
        <v>1061</v>
      </c>
      <c r="E2452" s="5"/>
      <c r="F2452" s="5" t="s">
        <v>1047</v>
      </c>
      <c r="G2452" s="5" t="s">
        <v>382</v>
      </c>
      <c r="H2452" s="5" t="s">
        <v>3</v>
      </c>
      <c r="I2452" s="5"/>
      <c r="J2452" s="5" t="s">
        <v>1060</v>
      </c>
    </row>
    <row r="2453" spans="1:10" ht="25.5" x14ac:dyDescent="0.2">
      <c r="A2453" s="5" t="s">
        <v>1059</v>
      </c>
      <c r="B2453" s="5" t="s">
        <v>83</v>
      </c>
      <c r="C2453" s="5"/>
      <c r="D2453" s="5" t="s">
        <v>1058</v>
      </c>
      <c r="E2453" s="5"/>
      <c r="F2453" s="5" t="s">
        <v>1047</v>
      </c>
      <c r="G2453" s="5" t="s">
        <v>382</v>
      </c>
      <c r="H2453" s="5" t="s">
        <v>137</v>
      </c>
      <c r="I2453" s="5" t="s">
        <v>1054</v>
      </c>
      <c r="J2453" s="5" t="s">
        <v>1057</v>
      </c>
    </row>
    <row r="2454" spans="1:10" ht="25.5" x14ac:dyDescent="0.2">
      <c r="A2454" s="5" t="s">
        <v>1056</v>
      </c>
      <c r="B2454" s="5" t="s">
        <v>83</v>
      </c>
      <c r="C2454" s="5"/>
      <c r="D2454" s="5" t="s">
        <v>1055</v>
      </c>
      <c r="E2454" s="5" t="s">
        <v>150</v>
      </c>
      <c r="F2454" s="5" t="s">
        <v>1047</v>
      </c>
      <c r="G2454" s="5" t="s">
        <v>148</v>
      </c>
      <c r="H2454" s="5" t="s">
        <v>137</v>
      </c>
      <c r="I2454" s="5" t="s">
        <v>1054</v>
      </c>
      <c r="J2454" s="5" t="s">
        <v>1053</v>
      </c>
    </row>
    <row r="2455" spans="1:10" x14ac:dyDescent="0.2">
      <c r="A2455" s="5" t="s">
        <v>1052</v>
      </c>
      <c r="B2455" s="5" t="s">
        <v>83</v>
      </c>
      <c r="C2455" s="5"/>
      <c r="D2455" s="5" t="s">
        <v>1051</v>
      </c>
      <c r="E2455" s="5" t="s">
        <v>150</v>
      </c>
      <c r="F2455" s="5" t="s">
        <v>1047</v>
      </c>
      <c r="G2455" s="5" t="s">
        <v>148</v>
      </c>
      <c r="H2455" s="5" t="s">
        <v>3</v>
      </c>
      <c r="I2455" s="5"/>
      <c r="J2455" s="5" t="s">
        <v>1050</v>
      </c>
    </row>
    <row r="2456" spans="1:10" x14ac:dyDescent="0.2">
      <c r="A2456" s="5" t="s">
        <v>1049</v>
      </c>
      <c r="B2456" s="5" t="s">
        <v>83</v>
      </c>
      <c r="C2456" s="5"/>
      <c r="D2456" s="5" t="s">
        <v>1048</v>
      </c>
      <c r="E2456" s="5" t="s">
        <v>150</v>
      </c>
      <c r="F2456" s="5" t="s">
        <v>1047</v>
      </c>
      <c r="G2456" s="5" t="s">
        <v>148</v>
      </c>
      <c r="H2456" s="5" t="s">
        <v>3</v>
      </c>
      <c r="I2456" s="5"/>
      <c r="J2456" s="5" t="s">
        <v>1046</v>
      </c>
    </row>
    <row r="2457" spans="1:10" ht="38.25" x14ac:dyDescent="0.2">
      <c r="A2457" s="5" t="s">
        <v>1045</v>
      </c>
      <c r="B2457" s="5" t="s">
        <v>83</v>
      </c>
      <c r="C2457" s="5"/>
      <c r="D2457" s="5" t="s">
        <v>1044</v>
      </c>
      <c r="E2457" s="5" t="s">
        <v>150</v>
      </c>
      <c r="F2457" s="5" t="s">
        <v>424</v>
      </c>
      <c r="G2457" s="5" t="s">
        <v>148</v>
      </c>
      <c r="H2457" s="5" t="s">
        <v>137</v>
      </c>
      <c r="I2457" s="5" t="s">
        <v>1040</v>
      </c>
      <c r="J2457" s="5" t="s">
        <v>1043</v>
      </c>
    </row>
    <row r="2458" spans="1:10" ht="38.25" x14ac:dyDescent="0.2">
      <c r="A2458" s="5" t="s">
        <v>1042</v>
      </c>
      <c r="B2458" s="5" t="s">
        <v>83</v>
      </c>
      <c r="C2458" s="5"/>
      <c r="D2458" s="5" t="s">
        <v>1041</v>
      </c>
      <c r="E2458" s="5"/>
      <c r="F2458" s="5" t="s">
        <v>424</v>
      </c>
      <c r="G2458" s="5" t="s">
        <v>170</v>
      </c>
      <c r="H2458" s="5" t="s">
        <v>137</v>
      </c>
      <c r="I2458" s="5" t="s">
        <v>1040</v>
      </c>
      <c r="J2458" s="5" t="s">
        <v>1039</v>
      </c>
    </row>
    <row r="2459" spans="1:10" ht="25.5" x14ac:dyDescent="0.2">
      <c r="A2459" s="5" t="s">
        <v>1038</v>
      </c>
      <c r="B2459" s="5" t="s">
        <v>83</v>
      </c>
      <c r="C2459" s="5"/>
      <c r="D2459" s="5" t="s">
        <v>1037</v>
      </c>
      <c r="E2459" s="5"/>
      <c r="F2459" s="5" t="s">
        <v>1023</v>
      </c>
      <c r="G2459" s="5" t="s">
        <v>382</v>
      </c>
      <c r="H2459" s="5" t="s">
        <v>3</v>
      </c>
      <c r="I2459" s="5"/>
      <c r="J2459" s="5" t="s">
        <v>1036</v>
      </c>
    </row>
    <row r="2460" spans="1:10" ht="25.5" x14ac:dyDescent="0.2">
      <c r="A2460" s="5" t="s">
        <v>1035</v>
      </c>
      <c r="B2460" s="5" t="s">
        <v>83</v>
      </c>
      <c r="C2460" s="5"/>
      <c r="D2460" s="5" t="s">
        <v>1034</v>
      </c>
      <c r="E2460" s="5"/>
      <c r="F2460" s="5" t="s">
        <v>1023</v>
      </c>
      <c r="G2460" s="5" t="s">
        <v>382</v>
      </c>
      <c r="H2460" s="5" t="s">
        <v>137</v>
      </c>
      <c r="I2460" s="5" t="s">
        <v>1030</v>
      </c>
      <c r="J2460" s="5" t="s">
        <v>1033</v>
      </c>
    </row>
    <row r="2461" spans="1:10" ht="25.5" x14ac:dyDescent="0.2">
      <c r="A2461" s="5" t="s">
        <v>1032</v>
      </c>
      <c r="B2461" s="5" t="s">
        <v>83</v>
      </c>
      <c r="C2461" s="5"/>
      <c r="D2461" s="5" t="s">
        <v>1031</v>
      </c>
      <c r="E2461" s="5" t="s">
        <v>150</v>
      </c>
      <c r="F2461" s="5" t="s">
        <v>1023</v>
      </c>
      <c r="G2461" s="5" t="s">
        <v>148</v>
      </c>
      <c r="H2461" s="5" t="s">
        <v>137</v>
      </c>
      <c r="I2461" s="5" t="s">
        <v>1030</v>
      </c>
      <c r="J2461" s="5" t="s">
        <v>1029</v>
      </c>
    </row>
    <row r="2462" spans="1:10" x14ac:dyDescent="0.2">
      <c r="A2462" s="5" t="s">
        <v>1028</v>
      </c>
      <c r="B2462" s="5" t="s">
        <v>83</v>
      </c>
      <c r="C2462" s="5"/>
      <c r="D2462" s="5" t="s">
        <v>1027</v>
      </c>
      <c r="E2462" s="5" t="s">
        <v>150</v>
      </c>
      <c r="F2462" s="5" t="s">
        <v>1023</v>
      </c>
      <c r="G2462" s="5" t="s">
        <v>148</v>
      </c>
      <c r="H2462" s="5" t="s">
        <v>3</v>
      </c>
      <c r="I2462" s="5"/>
      <c r="J2462" s="5" t="s">
        <v>1026</v>
      </c>
    </row>
    <row r="2463" spans="1:10" x14ac:dyDescent="0.2">
      <c r="A2463" s="5" t="s">
        <v>1025</v>
      </c>
      <c r="B2463" s="5" t="s">
        <v>83</v>
      </c>
      <c r="C2463" s="5"/>
      <c r="D2463" s="5" t="s">
        <v>1024</v>
      </c>
      <c r="E2463" s="5" t="s">
        <v>150</v>
      </c>
      <c r="F2463" s="5" t="s">
        <v>1023</v>
      </c>
      <c r="G2463" s="5" t="s">
        <v>148</v>
      </c>
      <c r="H2463" s="5" t="s">
        <v>3</v>
      </c>
      <c r="I2463" s="5"/>
      <c r="J2463" s="5" t="s">
        <v>1022</v>
      </c>
    </row>
    <row r="2464" spans="1:10" ht="38.25" x14ac:dyDescent="0.2">
      <c r="A2464" s="5" t="s">
        <v>1021</v>
      </c>
      <c r="B2464" s="5" t="s">
        <v>83</v>
      </c>
      <c r="C2464" s="5"/>
      <c r="D2464" s="5" t="s">
        <v>1020</v>
      </c>
      <c r="E2464" s="5" t="s">
        <v>150</v>
      </c>
      <c r="F2464" s="5" t="s">
        <v>424</v>
      </c>
      <c r="G2464" s="5" t="s">
        <v>148</v>
      </c>
      <c r="H2464" s="5" t="s">
        <v>137</v>
      </c>
      <c r="I2464" s="5" t="s">
        <v>1016</v>
      </c>
      <c r="J2464" s="5" t="s">
        <v>1019</v>
      </c>
    </row>
    <row r="2465" spans="1:10" ht="38.25" x14ac:dyDescent="0.2">
      <c r="A2465" s="5" t="s">
        <v>1018</v>
      </c>
      <c r="B2465" s="5" t="s">
        <v>83</v>
      </c>
      <c r="C2465" s="5"/>
      <c r="D2465" s="5" t="s">
        <v>1017</v>
      </c>
      <c r="E2465" s="5"/>
      <c r="F2465" s="5" t="s">
        <v>424</v>
      </c>
      <c r="G2465" s="5" t="s">
        <v>170</v>
      </c>
      <c r="H2465" s="5" t="s">
        <v>137</v>
      </c>
      <c r="I2465" s="5" t="s">
        <v>1016</v>
      </c>
      <c r="J2465" s="5" t="s">
        <v>1015</v>
      </c>
    </row>
    <row r="2466" spans="1:10" ht="25.5" x14ac:dyDescent="0.2">
      <c r="A2466" s="5" t="s">
        <v>1014</v>
      </c>
      <c r="B2466" s="5" t="s">
        <v>83</v>
      </c>
      <c r="C2466" s="5"/>
      <c r="D2466" s="5" t="s">
        <v>1013</v>
      </c>
      <c r="E2466" s="5"/>
      <c r="F2466" s="5" t="s">
        <v>999</v>
      </c>
      <c r="G2466" s="5" t="s">
        <v>382</v>
      </c>
      <c r="H2466" s="5" t="s">
        <v>3</v>
      </c>
      <c r="I2466" s="5"/>
      <c r="J2466" s="5" t="s">
        <v>1012</v>
      </c>
    </row>
    <row r="2467" spans="1:10" ht="25.5" x14ac:dyDescent="0.2">
      <c r="A2467" s="5" t="s">
        <v>1011</v>
      </c>
      <c r="B2467" s="5" t="s">
        <v>83</v>
      </c>
      <c r="C2467" s="5"/>
      <c r="D2467" s="5" t="s">
        <v>1010</v>
      </c>
      <c r="E2467" s="5"/>
      <c r="F2467" s="5" t="s">
        <v>999</v>
      </c>
      <c r="G2467" s="5" t="s">
        <v>382</v>
      </c>
      <c r="H2467" s="5" t="s">
        <v>137</v>
      </c>
      <c r="I2467" s="5" t="s">
        <v>1006</v>
      </c>
      <c r="J2467" s="5" t="s">
        <v>1009</v>
      </c>
    </row>
    <row r="2468" spans="1:10" ht="25.5" x14ac:dyDescent="0.2">
      <c r="A2468" s="5" t="s">
        <v>1008</v>
      </c>
      <c r="B2468" s="5" t="s">
        <v>83</v>
      </c>
      <c r="C2468" s="5"/>
      <c r="D2468" s="5" t="s">
        <v>1007</v>
      </c>
      <c r="E2468" s="5" t="s">
        <v>150</v>
      </c>
      <c r="F2468" s="5" t="s">
        <v>999</v>
      </c>
      <c r="G2468" s="5" t="s">
        <v>148</v>
      </c>
      <c r="H2468" s="5" t="s">
        <v>137</v>
      </c>
      <c r="I2468" s="5" t="s">
        <v>1006</v>
      </c>
      <c r="J2468" s="5" t="s">
        <v>1005</v>
      </c>
    </row>
    <row r="2469" spans="1:10" x14ac:dyDescent="0.2">
      <c r="A2469" s="5" t="s">
        <v>1004</v>
      </c>
      <c r="B2469" s="5" t="s">
        <v>83</v>
      </c>
      <c r="C2469" s="5"/>
      <c r="D2469" s="5" t="s">
        <v>1003</v>
      </c>
      <c r="E2469" s="5" t="s">
        <v>150</v>
      </c>
      <c r="F2469" s="5" t="s">
        <v>999</v>
      </c>
      <c r="G2469" s="5" t="s">
        <v>148</v>
      </c>
      <c r="H2469" s="5" t="s">
        <v>3</v>
      </c>
      <c r="I2469" s="5"/>
      <c r="J2469" s="5" t="s">
        <v>1002</v>
      </c>
    </row>
    <row r="2470" spans="1:10" x14ac:dyDescent="0.2">
      <c r="A2470" s="5" t="s">
        <v>1001</v>
      </c>
      <c r="B2470" s="5" t="s">
        <v>83</v>
      </c>
      <c r="C2470" s="5"/>
      <c r="D2470" s="5" t="s">
        <v>1000</v>
      </c>
      <c r="E2470" s="5" t="s">
        <v>150</v>
      </c>
      <c r="F2470" s="5" t="s">
        <v>999</v>
      </c>
      <c r="G2470" s="5" t="s">
        <v>148</v>
      </c>
      <c r="H2470" s="5" t="s">
        <v>3</v>
      </c>
      <c r="I2470" s="5"/>
      <c r="J2470" s="5" t="s">
        <v>998</v>
      </c>
    </row>
    <row r="2471" spans="1:10" ht="25.5" x14ac:dyDescent="0.2">
      <c r="A2471" s="5" t="s">
        <v>997</v>
      </c>
      <c r="B2471" s="5" t="s">
        <v>83</v>
      </c>
      <c r="C2471" s="5"/>
      <c r="D2471" s="5" t="s">
        <v>996</v>
      </c>
      <c r="E2471" s="5" t="s">
        <v>150</v>
      </c>
      <c r="F2471" s="5" t="s">
        <v>424</v>
      </c>
      <c r="G2471" s="5" t="s">
        <v>148</v>
      </c>
      <c r="H2471" s="5" t="s">
        <v>137</v>
      </c>
      <c r="I2471" s="5" t="s">
        <v>992</v>
      </c>
      <c r="J2471" s="5" t="s">
        <v>995</v>
      </c>
    </row>
    <row r="2472" spans="1:10" ht="25.5" x14ac:dyDescent="0.2">
      <c r="A2472" s="5" t="s">
        <v>994</v>
      </c>
      <c r="B2472" s="5" t="s">
        <v>83</v>
      </c>
      <c r="C2472" s="5"/>
      <c r="D2472" s="5" t="s">
        <v>993</v>
      </c>
      <c r="E2472" s="5"/>
      <c r="F2472" s="5" t="s">
        <v>424</v>
      </c>
      <c r="G2472" s="5" t="s">
        <v>170</v>
      </c>
      <c r="H2472" s="5" t="s">
        <v>137</v>
      </c>
      <c r="I2472" s="5" t="s">
        <v>992</v>
      </c>
      <c r="J2472" s="5" t="s">
        <v>991</v>
      </c>
    </row>
    <row r="2473" spans="1:10" ht="25.5" x14ac:dyDescent="0.2">
      <c r="A2473" s="5" t="s">
        <v>990</v>
      </c>
      <c r="B2473" s="5" t="s">
        <v>83</v>
      </c>
      <c r="C2473" s="5"/>
      <c r="D2473" s="5" t="s">
        <v>972</v>
      </c>
      <c r="E2473" s="5"/>
      <c r="F2473" s="5" t="s">
        <v>980</v>
      </c>
      <c r="G2473" s="5" t="s">
        <v>382</v>
      </c>
      <c r="H2473" s="5" t="s">
        <v>3</v>
      </c>
      <c r="I2473" s="5"/>
      <c r="J2473" s="5" t="s">
        <v>989</v>
      </c>
    </row>
    <row r="2474" spans="1:10" ht="25.5" x14ac:dyDescent="0.2">
      <c r="A2474" s="5" t="s">
        <v>988</v>
      </c>
      <c r="B2474" s="5" t="s">
        <v>83</v>
      </c>
      <c r="C2474" s="5"/>
      <c r="D2474" s="5" t="s">
        <v>969</v>
      </c>
      <c r="E2474" s="5"/>
      <c r="F2474" s="5" t="s">
        <v>980</v>
      </c>
      <c r="G2474" s="5" t="s">
        <v>382</v>
      </c>
      <c r="H2474" s="5" t="s">
        <v>137</v>
      </c>
      <c r="I2474" s="5" t="s">
        <v>985</v>
      </c>
      <c r="J2474" s="5" t="s">
        <v>987</v>
      </c>
    </row>
    <row r="2475" spans="1:10" ht="25.5" x14ac:dyDescent="0.2">
      <c r="A2475" s="5" t="s">
        <v>986</v>
      </c>
      <c r="B2475" s="5" t="s">
        <v>83</v>
      </c>
      <c r="C2475" s="5"/>
      <c r="D2475" s="5" t="s">
        <v>966</v>
      </c>
      <c r="E2475" s="5" t="s">
        <v>150</v>
      </c>
      <c r="F2475" s="5" t="s">
        <v>980</v>
      </c>
      <c r="G2475" s="5" t="s">
        <v>148</v>
      </c>
      <c r="H2475" s="5" t="s">
        <v>137</v>
      </c>
      <c r="I2475" s="5" t="s">
        <v>985</v>
      </c>
      <c r="J2475" s="5" t="s">
        <v>984</v>
      </c>
    </row>
    <row r="2476" spans="1:10" x14ac:dyDescent="0.2">
      <c r="A2476" s="5" t="s">
        <v>983</v>
      </c>
      <c r="B2476" s="5" t="s">
        <v>83</v>
      </c>
      <c r="C2476" s="5"/>
      <c r="D2476" s="5" t="s">
        <v>962</v>
      </c>
      <c r="E2476" s="5" t="s">
        <v>150</v>
      </c>
      <c r="F2476" s="5" t="s">
        <v>980</v>
      </c>
      <c r="G2476" s="5" t="s">
        <v>148</v>
      </c>
      <c r="H2476" s="5" t="s">
        <v>3</v>
      </c>
      <c r="I2476" s="5"/>
      <c r="J2476" s="5" t="s">
        <v>982</v>
      </c>
    </row>
    <row r="2477" spans="1:10" x14ac:dyDescent="0.2">
      <c r="A2477" s="5" t="s">
        <v>981</v>
      </c>
      <c r="B2477" s="5" t="s">
        <v>83</v>
      </c>
      <c r="C2477" s="5"/>
      <c r="D2477" s="5" t="s">
        <v>959</v>
      </c>
      <c r="E2477" s="5" t="s">
        <v>150</v>
      </c>
      <c r="F2477" s="5" t="s">
        <v>980</v>
      </c>
      <c r="G2477" s="5" t="s">
        <v>148</v>
      </c>
      <c r="H2477" s="5" t="s">
        <v>3</v>
      </c>
      <c r="I2477" s="5"/>
      <c r="J2477" s="5" t="s">
        <v>979</v>
      </c>
    </row>
    <row r="2478" spans="1:10" ht="25.5" x14ac:dyDescent="0.2">
      <c r="A2478" s="5" t="s">
        <v>978</v>
      </c>
      <c r="B2478" s="5" t="s">
        <v>83</v>
      </c>
      <c r="C2478" s="5"/>
      <c r="D2478" s="5" t="s">
        <v>955</v>
      </c>
      <c r="E2478" s="5" t="s">
        <v>150</v>
      </c>
      <c r="F2478" s="5" t="s">
        <v>424</v>
      </c>
      <c r="G2478" s="5" t="s">
        <v>148</v>
      </c>
      <c r="H2478" s="5" t="s">
        <v>137</v>
      </c>
      <c r="I2478" s="5" t="s">
        <v>975</v>
      </c>
      <c r="J2478" s="5" t="s">
        <v>977</v>
      </c>
    </row>
    <row r="2479" spans="1:10" ht="25.5" x14ac:dyDescent="0.2">
      <c r="A2479" s="5" t="s">
        <v>976</v>
      </c>
      <c r="B2479" s="5" t="s">
        <v>83</v>
      </c>
      <c r="C2479" s="5"/>
      <c r="D2479" s="5" t="s">
        <v>952</v>
      </c>
      <c r="E2479" s="5"/>
      <c r="F2479" s="5" t="s">
        <v>424</v>
      </c>
      <c r="G2479" s="5" t="s">
        <v>170</v>
      </c>
      <c r="H2479" s="5" t="s">
        <v>137</v>
      </c>
      <c r="I2479" s="5" t="s">
        <v>975</v>
      </c>
      <c r="J2479" s="5" t="s">
        <v>974</v>
      </c>
    </row>
    <row r="2480" spans="1:10" ht="25.5" x14ac:dyDescent="0.2">
      <c r="A2480" s="5" t="s">
        <v>973</v>
      </c>
      <c r="B2480" s="5" t="s">
        <v>83</v>
      </c>
      <c r="C2480" s="5"/>
      <c r="D2480" s="5" t="s">
        <v>972</v>
      </c>
      <c r="E2480" s="5"/>
      <c r="F2480" s="5" t="s">
        <v>958</v>
      </c>
      <c r="G2480" s="5" t="s">
        <v>382</v>
      </c>
      <c r="H2480" s="5" t="s">
        <v>3</v>
      </c>
      <c r="I2480" s="5"/>
      <c r="J2480" s="5" t="s">
        <v>971</v>
      </c>
    </row>
    <row r="2481" spans="1:10" ht="38.25" x14ac:dyDescent="0.2">
      <c r="A2481" s="5" t="s">
        <v>970</v>
      </c>
      <c r="B2481" s="5" t="s">
        <v>83</v>
      </c>
      <c r="C2481" s="5"/>
      <c r="D2481" s="5" t="s">
        <v>969</v>
      </c>
      <c r="E2481" s="5"/>
      <c r="F2481" s="5" t="s">
        <v>958</v>
      </c>
      <c r="G2481" s="5" t="s">
        <v>382</v>
      </c>
      <c r="H2481" s="5" t="s">
        <v>137</v>
      </c>
      <c r="I2481" s="5" t="s">
        <v>965</v>
      </c>
      <c r="J2481" s="5" t="s">
        <v>968</v>
      </c>
    </row>
    <row r="2482" spans="1:10" ht="38.25" x14ac:dyDescent="0.2">
      <c r="A2482" s="5" t="s">
        <v>967</v>
      </c>
      <c r="B2482" s="5" t="s">
        <v>83</v>
      </c>
      <c r="C2482" s="5"/>
      <c r="D2482" s="5" t="s">
        <v>966</v>
      </c>
      <c r="E2482" s="5" t="s">
        <v>150</v>
      </c>
      <c r="F2482" s="5" t="s">
        <v>958</v>
      </c>
      <c r="G2482" s="5" t="s">
        <v>148</v>
      </c>
      <c r="H2482" s="5" t="s">
        <v>137</v>
      </c>
      <c r="I2482" s="5" t="s">
        <v>965</v>
      </c>
      <c r="J2482" s="5" t="s">
        <v>964</v>
      </c>
    </row>
    <row r="2483" spans="1:10" x14ac:dyDescent="0.2">
      <c r="A2483" s="5" t="s">
        <v>963</v>
      </c>
      <c r="B2483" s="5" t="s">
        <v>83</v>
      </c>
      <c r="C2483" s="5"/>
      <c r="D2483" s="5" t="s">
        <v>962</v>
      </c>
      <c r="E2483" s="5" t="s">
        <v>150</v>
      </c>
      <c r="F2483" s="5" t="s">
        <v>958</v>
      </c>
      <c r="G2483" s="5" t="s">
        <v>148</v>
      </c>
      <c r="H2483" s="5" t="s">
        <v>3</v>
      </c>
      <c r="I2483" s="5"/>
      <c r="J2483" s="5" t="s">
        <v>961</v>
      </c>
    </row>
    <row r="2484" spans="1:10" x14ac:dyDescent="0.2">
      <c r="A2484" s="5" t="s">
        <v>960</v>
      </c>
      <c r="B2484" s="5" t="s">
        <v>83</v>
      </c>
      <c r="C2484" s="5"/>
      <c r="D2484" s="5" t="s">
        <v>959</v>
      </c>
      <c r="E2484" s="5" t="s">
        <v>150</v>
      </c>
      <c r="F2484" s="5" t="s">
        <v>958</v>
      </c>
      <c r="G2484" s="5" t="s">
        <v>148</v>
      </c>
      <c r="H2484" s="5" t="s">
        <v>3</v>
      </c>
      <c r="I2484" s="5"/>
      <c r="J2484" s="5" t="s">
        <v>957</v>
      </c>
    </row>
    <row r="2485" spans="1:10" ht="38.25" x14ac:dyDescent="0.2">
      <c r="A2485" s="5" t="s">
        <v>956</v>
      </c>
      <c r="B2485" s="5" t="s">
        <v>83</v>
      </c>
      <c r="C2485" s="5"/>
      <c r="D2485" s="5" t="s">
        <v>955</v>
      </c>
      <c r="E2485" s="5" t="s">
        <v>150</v>
      </c>
      <c r="F2485" s="5" t="s">
        <v>424</v>
      </c>
      <c r="G2485" s="5" t="s">
        <v>148</v>
      </c>
      <c r="H2485" s="5" t="s">
        <v>137</v>
      </c>
      <c r="I2485" s="5" t="s">
        <v>951</v>
      </c>
      <c r="J2485" s="5" t="s">
        <v>954</v>
      </c>
    </row>
    <row r="2486" spans="1:10" ht="38.25" x14ac:dyDescent="0.2">
      <c r="A2486" s="5" t="s">
        <v>953</v>
      </c>
      <c r="B2486" s="5" t="s">
        <v>83</v>
      </c>
      <c r="C2486" s="5"/>
      <c r="D2486" s="5" t="s">
        <v>952</v>
      </c>
      <c r="E2486" s="5"/>
      <c r="F2486" s="5" t="s">
        <v>424</v>
      </c>
      <c r="G2486" s="5" t="s">
        <v>170</v>
      </c>
      <c r="H2486" s="5" t="s">
        <v>137</v>
      </c>
      <c r="I2486" s="5" t="s">
        <v>951</v>
      </c>
      <c r="J2486" s="5" t="s">
        <v>950</v>
      </c>
    </row>
    <row r="2487" spans="1:10" ht="25.5" x14ac:dyDescent="0.2">
      <c r="A2487" s="5" t="s">
        <v>949</v>
      </c>
      <c r="B2487" s="5" t="s">
        <v>83</v>
      </c>
      <c r="C2487" s="5"/>
      <c r="D2487" s="5" t="s">
        <v>948</v>
      </c>
      <c r="E2487" s="5"/>
      <c r="F2487" s="5" t="s">
        <v>934</v>
      </c>
      <c r="G2487" s="5" t="s">
        <v>382</v>
      </c>
      <c r="H2487" s="5" t="s">
        <v>3</v>
      </c>
      <c r="I2487" s="5"/>
      <c r="J2487" s="5" t="s">
        <v>947</v>
      </c>
    </row>
    <row r="2488" spans="1:10" ht="25.5" x14ac:dyDescent="0.2">
      <c r="A2488" s="5" t="s">
        <v>946</v>
      </c>
      <c r="B2488" s="5" t="s">
        <v>83</v>
      </c>
      <c r="C2488" s="5"/>
      <c r="D2488" s="5" t="s">
        <v>945</v>
      </c>
      <c r="E2488" s="5"/>
      <c r="F2488" s="5" t="s">
        <v>934</v>
      </c>
      <c r="G2488" s="5" t="s">
        <v>382</v>
      </c>
      <c r="H2488" s="5" t="s">
        <v>137</v>
      </c>
      <c r="I2488" s="5" t="s">
        <v>941</v>
      </c>
      <c r="J2488" s="5" t="s">
        <v>944</v>
      </c>
    </row>
    <row r="2489" spans="1:10" ht="25.5" x14ac:dyDescent="0.2">
      <c r="A2489" s="5" t="s">
        <v>943</v>
      </c>
      <c r="B2489" s="5" t="s">
        <v>83</v>
      </c>
      <c r="C2489" s="5"/>
      <c r="D2489" s="5" t="s">
        <v>942</v>
      </c>
      <c r="E2489" s="5" t="s">
        <v>150</v>
      </c>
      <c r="F2489" s="5" t="s">
        <v>934</v>
      </c>
      <c r="G2489" s="5" t="s">
        <v>148</v>
      </c>
      <c r="H2489" s="5" t="s">
        <v>137</v>
      </c>
      <c r="I2489" s="5" t="s">
        <v>941</v>
      </c>
      <c r="J2489" s="5" t="s">
        <v>940</v>
      </c>
    </row>
    <row r="2490" spans="1:10" x14ac:dyDescent="0.2">
      <c r="A2490" s="5" t="s">
        <v>939</v>
      </c>
      <c r="B2490" s="5" t="s">
        <v>83</v>
      </c>
      <c r="C2490" s="5"/>
      <c r="D2490" s="5" t="s">
        <v>938</v>
      </c>
      <c r="E2490" s="5" t="s">
        <v>150</v>
      </c>
      <c r="F2490" s="5" t="s">
        <v>934</v>
      </c>
      <c r="G2490" s="5" t="s">
        <v>148</v>
      </c>
      <c r="H2490" s="5" t="s">
        <v>3</v>
      </c>
      <c r="I2490" s="5"/>
      <c r="J2490" s="5" t="s">
        <v>937</v>
      </c>
    </row>
    <row r="2491" spans="1:10" x14ac:dyDescent="0.2">
      <c r="A2491" s="5" t="s">
        <v>936</v>
      </c>
      <c r="B2491" s="5" t="s">
        <v>83</v>
      </c>
      <c r="C2491" s="5"/>
      <c r="D2491" s="5" t="s">
        <v>935</v>
      </c>
      <c r="E2491" s="5" t="s">
        <v>150</v>
      </c>
      <c r="F2491" s="5" t="s">
        <v>934</v>
      </c>
      <c r="G2491" s="5" t="s">
        <v>148</v>
      </c>
      <c r="H2491" s="5" t="s">
        <v>3</v>
      </c>
      <c r="I2491" s="5"/>
      <c r="J2491" s="5" t="s">
        <v>933</v>
      </c>
    </row>
    <row r="2492" spans="1:10" ht="25.5" x14ac:dyDescent="0.2">
      <c r="A2492" s="5" t="s">
        <v>932</v>
      </c>
      <c r="B2492" s="5" t="s">
        <v>83</v>
      </c>
      <c r="C2492" s="5"/>
      <c r="D2492" s="5" t="s">
        <v>931</v>
      </c>
      <c r="E2492" s="5" t="s">
        <v>150</v>
      </c>
      <c r="F2492" s="5" t="s">
        <v>424</v>
      </c>
      <c r="G2492" s="5" t="s">
        <v>148</v>
      </c>
      <c r="H2492" s="5" t="s">
        <v>137</v>
      </c>
      <c r="I2492" s="5" t="s">
        <v>927</v>
      </c>
      <c r="J2492" s="5" t="s">
        <v>930</v>
      </c>
    </row>
    <row r="2493" spans="1:10" ht="25.5" x14ac:dyDescent="0.2">
      <c r="A2493" s="5" t="s">
        <v>929</v>
      </c>
      <c r="B2493" s="5" t="s">
        <v>83</v>
      </c>
      <c r="C2493" s="5"/>
      <c r="D2493" s="5" t="s">
        <v>928</v>
      </c>
      <c r="E2493" s="5"/>
      <c r="F2493" s="5" t="s">
        <v>424</v>
      </c>
      <c r="G2493" s="5" t="s">
        <v>170</v>
      </c>
      <c r="H2493" s="5" t="s">
        <v>137</v>
      </c>
      <c r="I2493" s="5" t="s">
        <v>927</v>
      </c>
      <c r="J2493" s="5" t="s">
        <v>926</v>
      </c>
    </row>
    <row r="2494" spans="1:10" ht="25.5" x14ac:dyDescent="0.2">
      <c r="A2494" s="5" t="s">
        <v>925</v>
      </c>
      <c r="B2494" s="5" t="s">
        <v>83</v>
      </c>
      <c r="C2494" s="5"/>
      <c r="D2494" s="5" t="s">
        <v>924</v>
      </c>
      <c r="E2494" s="5"/>
      <c r="F2494" s="5" t="s">
        <v>910</v>
      </c>
      <c r="G2494" s="5" t="s">
        <v>382</v>
      </c>
      <c r="H2494" s="5" t="s">
        <v>3</v>
      </c>
      <c r="I2494" s="5"/>
      <c r="J2494" s="5" t="s">
        <v>923</v>
      </c>
    </row>
    <row r="2495" spans="1:10" ht="25.5" x14ac:dyDescent="0.2">
      <c r="A2495" s="5" t="s">
        <v>922</v>
      </c>
      <c r="B2495" s="5" t="s">
        <v>83</v>
      </c>
      <c r="C2495" s="5"/>
      <c r="D2495" s="5" t="s">
        <v>921</v>
      </c>
      <c r="E2495" s="5"/>
      <c r="F2495" s="5" t="s">
        <v>910</v>
      </c>
      <c r="G2495" s="5" t="s">
        <v>382</v>
      </c>
      <c r="H2495" s="5" t="s">
        <v>137</v>
      </c>
      <c r="I2495" s="5" t="s">
        <v>917</v>
      </c>
      <c r="J2495" s="5" t="s">
        <v>920</v>
      </c>
    </row>
    <row r="2496" spans="1:10" ht="25.5" x14ac:dyDescent="0.2">
      <c r="A2496" s="5" t="s">
        <v>919</v>
      </c>
      <c r="B2496" s="5" t="s">
        <v>83</v>
      </c>
      <c r="C2496" s="5"/>
      <c r="D2496" s="5" t="s">
        <v>918</v>
      </c>
      <c r="E2496" s="5" t="s">
        <v>150</v>
      </c>
      <c r="F2496" s="5" t="s">
        <v>910</v>
      </c>
      <c r="G2496" s="5" t="s">
        <v>148</v>
      </c>
      <c r="H2496" s="5" t="s">
        <v>137</v>
      </c>
      <c r="I2496" s="5" t="s">
        <v>917</v>
      </c>
      <c r="J2496" s="5" t="s">
        <v>916</v>
      </c>
    </row>
    <row r="2497" spans="1:10" x14ac:dyDescent="0.2">
      <c r="A2497" s="5" t="s">
        <v>915</v>
      </c>
      <c r="B2497" s="5" t="s">
        <v>83</v>
      </c>
      <c r="C2497" s="5"/>
      <c r="D2497" s="5" t="s">
        <v>914</v>
      </c>
      <c r="E2497" s="5" t="s">
        <v>150</v>
      </c>
      <c r="F2497" s="5" t="s">
        <v>910</v>
      </c>
      <c r="G2497" s="5" t="s">
        <v>148</v>
      </c>
      <c r="H2497" s="5" t="s">
        <v>3</v>
      </c>
      <c r="I2497" s="5"/>
      <c r="J2497" s="5" t="s">
        <v>913</v>
      </c>
    </row>
    <row r="2498" spans="1:10" x14ac:dyDescent="0.2">
      <c r="A2498" s="5" t="s">
        <v>912</v>
      </c>
      <c r="B2498" s="5" t="s">
        <v>83</v>
      </c>
      <c r="C2498" s="5"/>
      <c r="D2498" s="5" t="s">
        <v>911</v>
      </c>
      <c r="E2498" s="5" t="s">
        <v>150</v>
      </c>
      <c r="F2498" s="5" t="s">
        <v>910</v>
      </c>
      <c r="G2498" s="5" t="s">
        <v>148</v>
      </c>
      <c r="H2498" s="5" t="s">
        <v>3</v>
      </c>
      <c r="I2498" s="5"/>
      <c r="J2498" s="5" t="s">
        <v>909</v>
      </c>
    </row>
    <row r="2499" spans="1:10" ht="25.5" x14ac:dyDescent="0.2">
      <c r="A2499" s="5" t="s">
        <v>908</v>
      </c>
      <c r="B2499" s="5" t="s">
        <v>83</v>
      </c>
      <c r="C2499" s="5"/>
      <c r="D2499" s="5" t="s">
        <v>907</v>
      </c>
      <c r="E2499" s="5" t="s">
        <v>150</v>
      </c>
      <c r="F2499" s="5" t="s">
        <v>424</v>
      </c>
      <c r="G2499" s="5" t="s">
        <v>148</v>
      </c>
      <c r="H2499" s="5" t="s">
        <v>137</v>
      </c>
      <c r="I2499" s="5" t="s">
        <v>903</v>
      </c>
      <c r="J2499" s="5" t="s">
        <v>906</v>
      </c>
    </row>
    <row r="2500" spans="1:10" ht="25.5" x14ac:dyDescent="0.2">
      <c r="A2500" s="5" t="s">
        <v>905</v>
      </c>
      <c r="B2500" s="5" t="s">
        <v>83</v>
      </c>
      <c r="C2500" s="5"/>
      <c r="D2500" s="5" t="s">
        <v>904</v>
      </c>
      <c r="E2500" s="5"/>
      <c r="F2500" s="5" t="s">
        <v>424</v>
      </c>
      <c r="G2500" s="5" t="s">
        <v>170</v>
      </c>
      <c r="H2500" s="5" t="s">
        <v>137</v>
      </c>
      <c r="I2500" s="5" t="s">
        <v>903</v>
      </c>
      <c r="J2500" s="5" t="s">
        <v>902</v>
      </c>
    </row>
    <row r="2501" spans="1:10" ht="25.5" x14ac:dyDescent="0.2">
      <c r="A2501" s="5" t="s">
        <v>901</v>
      </c>
      <c r="B2501" s="5" t="s">
        <v>83</v>
      </c>
      <c r="C2501" s="5"/>
      <c r="D2501" s="5" t="s">
        <v>900</v>
      </c>
      <c r="E2501" s="5"/>
      <c r="F2501" s="5" t="s">
        <v>892</v>
      </c>
      <c r="G2501" s="5" t="s">
        <v>207</v>
      </c>
      <c r="H2501" s="5" t="s">
        <v>3</v>
      </c>
      <c r="I2501" s="5"/>
      <c r="J2501" s="5" t="s">
        <v>899</v>
      </c>
    </row>
    <row r="2502" spans="1:10" ht="25.5" x14ac:dyDescent="0.2">
      <c r="A2502" s="5" t="s">
        <v>898</v>
      </c>
      <c r="B2502" s="5" t="s">
        <v>83</v>
      </c>
      <c r="C2502" s="5"/>
      <c r="D2502" s="5" t="s">
        <v>897</v>
      </c>
      <c r="E2502" s="5"/>
      <c r="F2502" s="5" t="s">
        <v>424</v>
      </c>
      <c r="G2502" s="5" t="s">
        <v>896</v>
      </c>
      <c r="H2502" s="5" t="s">
        <v>137</v>
      </c>
      <c r="I2502" s="5" t="s">
        <v>878</v>
      </c>
      <c r="J2502" s="5" t="s">
        <v>895</v>
      </c>
    </row>
    <row r="2503" spans="1:10" x14ac:dyDescent="0.2">
      <c r="A2503" s="5" t="s">
        <v>894</v>
      </c>
      <c r="B2503" s="5" t="s">
        <v>83</v>
      </c>
      <c r="C2503" s="5"/>
      <c r="D2503" s="5" t="s">
        <v>893</v>
      </c>
      <c r="E2503" s="5" t="s">
        <v>150</v>
      </c>
      <c r="F2503" s="5" t="s">
        <v>892</v>
      </c>
      <c r="G2503" s="5" t="s">
        <v>148</v>
      </c>
      <c r="H2503" s="5" t="s">
        <v>3</v>
      </c>
      <c r="I2503" s="5"/>
      <c r="J2503" s="5" t="s">
        <v>891</v>
      </c>
    </row>
    <row r="2504" spans="1:10" ht="25.5" x14ac:dyDescent="0.2">
      <c r="A2504" s="5" t="s">
        <v>890</v>
      </c>
      <c r="B2504" s="5" t="s">
        <v>83</v>
      </c>
      <c r="C2504" s="5"/>
      <c r="D2504" s="5" t="s">
        <v>889</v>
      </c>
      <c r="E2504" s="5" t="s">
        <v>150</v>
      </c>
      <c r="F2504" s="5" t="s">
        <v>424</v>
      </c>
      <c r="G2504" s="5" t="s">
        <v>283</v>
      </c>
      <c r="H2504" s="5" t="s">
        <v>137</v>
      </c>
      <c r="I2504" s="5" t="s">
        <v>878</v>
      </c>
      <c r="J2504" s="5" t="s">
        <v>888</v>
      </c>
    </row>
    <row r="2505" spans="1:10" ht="25.5" x14ac:dyDescent="0.2">
      <c r="A2505" s="5" t="s">
        <v>887</v>
      </c>
      <c r="B2505" s="5" t="s">
        <v>83</v>
      </c>
      <c r="C2505" s="5"/>
      <c r="D2505" s="5" t="s">
        <v>886</v>
      </c>
      <c r="E2505" s="5"/>
      <c r="F2505" s="5" t="s">
        <v>424</v>
      </c>
      <c r="G2505" s="5" t="s">
        <v>170</v>
      </c>
      <c r="H2505" s="5" t="s">
        <v>137</v>
      </c>
      <c r="I2505" s="5" t="s">
        <v>878</v>
      </c>
      <c r="J2505" s="5" t="s">
        <v>885</v>
      </c>
    </row>
    <row r="2506" spans="1:10" ht="25.5" x14ac:dyDescent="0.2">
      <c r="A2506" s="5" t="s">
        <v>884</v>
      </c>
      <c r="B2506" s="5" t="s">
        <v>83</v>
      </c>
      <c r="C2506" s="5"/>
      <c r="D2506" s="5" t="s">
        <v>883</v>
      </c>
      <c r="E2506" s="5"/>
      <c r="F2506" s="5" t="s">
        <v>424</v>
      </c>
      <c r="G2506" s="5" t="s">
        <v>882</v>
      </c>
      <c r="H2506" s="5" t="s">
        <v>137</v>
      </c>
      <c r="I2506" s="5" t="s">
        <v>878</v>
      </c>
      <c r="J2506" s="5" t="s">
        <v>881</v>
      </c>
    </row>
    <row r="2507" spans="1:10" ht="25.5" x14ac:dyDescent="0.2">
      <c r="A2507" s="5" t="s">
        <v>880</v>
      </c>
      <c r="B2507" s="5" t="s">
        <v>83</v>
      </c>
      <c r="C2507" s="5"/>
      <c r="D2507" s="5" t="s">
        <v>879</v>
      </c>
      <c r="E2507" s="5" t="s">
        <v>665</v>
      </c>
      <c r="F2507" s="5" t="s">
        <v>424</v>
      </c>
      <c r="G2507" s="5" t="s">
        <v>148</v>
      </c>
      <c r="H2507" s="5" t="s">
        <v>137</v>
      </c>
      <c r="I2507" s="5" t="s">
        <v>878</v>
      </c>
      <c r="J2507" s="5" t="s">
        <v>877</v>
      </c>
    </row>
    <row r="2508" spans="1:10" ht="25.5" x14ac:dyDescent="0.2">
      <c r="A2508" s="5" t="s">
        <v>876</v>
      </c>
      <c r="B2508" s="5" t="s">
        <v>83</v>
      </c>
      <c r="C2508" s="5"/>
      <c r="D2508" s="5" t="s">
        <v>875</v>
      </c>
      <c r="E2508" s="5"/>
      <c r="F2508" s="5" t="s">
        <v>861</v>
      </c>
      <c r="G2508" s="5" t="s">
        <v>382</v>
      </c>
      <c r="H2508" s="5" t="s">
        <v>3</v>
      </c>
      <c r="I2508" s="5"/>
      <c r="J2508" s="5" t="s">
        <v>874</v>
      </c>
    </row>
    <row r="2509" spans="1:10" ht="25.5" x14ac:dyDescent="0.2">
      <c r="A2509" s="5" t="s">
        <v>873</v>
      </c>
      <c r="B2509" s="5" t="s">
        <v>83</v>
      </c>
      <c r="C2509" s="5"/>
      <c r="D2509" s="5" t="s">
        <v>872</v>
      </c>
      <c r="E2509" s="5"/>
      <c r="F2509" s="5" t="s">
        <v>861</v>
      </c>
      <c r="G2509" s="5" t="s">
        <v>382</v>
      </c>
      <c r="H2509" s="5" t="s">
        <v>137</v>
      </c>
      <c r="I2509" s="5" t="s">
        <v>868</v>
      </c>
      <c r="J2509" s="5" t="s">
        <v>871</v>
      </c>
    </row>
    <row r="2510" spans="1:10" ht="25.5" x14ac:dyDescent="0.2">
      <c r="A2510" s="5" t="s">
        <v>870</v>
      </c>
      <c r="B2510" s="5" t="s">
        <v>83</v>
      </c>
      <c r="C2510" s="5"/>
      <c r="D2510" s="5" t="s">
        <v>869</v>
      </c>
      <c r="E2510" s="5" t="s">
        <v>150</v>
      </c>
      <c r="F2510" s="5" t="s">
        <v>861</v>
      </c>
      <c r="G2510" s="5" t="s">
        <v>148</v>
      </c>
      <c r="H2510" s="5" t="s">
        <v>137</v>
      </c>
      <c r="I2510" s="5" t="s">
        <v>868</v>
      </c>
      <c r="J2510" s="5" t="s">
        <v>867</v>
      </c>
    </row>
    <row r="2511" spans="1:10" x14ac:dyDescent="0.2">
      <c r="A2511" s="5" t="s">
        <v>866</v>
      </c>
      <c r="B2511" s="5" t="s">
        <v>83</v>
      </c>
      <c r="C2511" s="5"/>
      <c r="D2511" s="5" t="s">
        <v>865</v>
      </c>
      <c r="E2511" s="5" t="s">
        <v>150</v>
      </c>
      <c r="F2511" s="5" t="s">
        <v>861</v>
      </c>
      <c r="G2511" s="5" t="s">
        <v>148</v>
      </c>
      <c r="H2511" s="5" t="s">
        <v>3</v>
      </c>
      <c r="I2511" s="5"/>
      <c r="J2511" s="5" t="s">
        <v>864</v>
      </c>
    </row>
    <row r="2512" spans="1:10" x14ac:dyDescent="0.2">
      <c r="A2512" s="5" t="s">
        <v>863</v>
      </c>
      <c r="B2512" s="5" t="s">
        <v>83</v>
      </c>
      <c r="C2512" s="5"/>
      <c r="D2512" s="5" t="s">
        <v>862</v>
      </c>
      <c r="E2512" s="5" t="s">
        <v>150</v>
      </c>
      <c r="F2512" s="5" t="s">
        <v>861</v>
      </c>
      <c r="G2512" s="5" t="s">
        <v>148</v>
      </c>
      <c r="H2512" s="5" t="s">
        <v>3</v>
      </c>
      <c r="I2512" s="5"/>
      <c r="J2512" s="5" t="s">
        <v>860</v>
      </c>
    </row>
    <row r="2513" spans="1:10" ht="25.5" x14ac:dyDescent="0.2">
      <c r="A2513" s="5" t="s">
        <v>859</v>
      </c>
      <c r="B2513" s="5" t="s">
        <v>83</v>
      </c>
      <c r="C2513" s="5"/>
      <c r="D2513" s="5" t="s">
        <v>858</v>
      </c>
      <c r="E2513" s="5" t="s">
        <v>150</v>
      </c>
      <c r="F2513" s="5" t="s">
        <v>424</v>
      </c>
      <c r="G2513" s="5" t="s">
        <v>148</v>
      </c>
      <c r="H2513" s="5" t="s">
        <v>137</v>
      </c>
      <c r="I2513" s="5" t="s">
        <v>854</v>
      </c>
      <c r="J2513" s="5" t="s">
        <v>857</v>
      </c>
    </row>
    <row r="2514" spans="1:10" ht="25.5" x14ac:dyDescent="0.2">
      <c r="A2514" s="5" t="s">
        <v>856</v>
      </c>
      <c r="B2514" s="5" t="s">
        <v>83</v>
      </c>
      <c r="C2514" s="5"/>
      <c r="D2514" s="5" t="s">
        <v>855</v>
      </c>
      <c r="E2514" s="5"/>
      <c r="F2514" s="5" t="s">
        <v>424</v>
      </c>
      <c r="G2514" s="5" t="s">
        <v>170</v>
      </c>
      <c r="H2514" s="5" t="s">
        <v>137</v>
      </c>
      <c r="I2514" s="5" t="s">
        <v>854</v>
      </c>
      <c r="J2514" s="5" t="s">
        <v>853</v>
      </c>
    </row>
    <row r="2515" spans="1:10" ht="25.5" x14ac:dyDescent="0.2">
      <c r="A2515" s="5" t="s">
        <v>852</v>
      </c>
      <c r="B2515" s="5" t="s">
        <v>83</v>
      </c>
      <c r="C2515" s="5"/>
      <c r="D2515" s="5" t="s">
        <v>851</v>
      </c>
      <c r="E2515" s="5"/>
      <c r="F2515" s="5" t="s">
        <v>370</v>
      </c>
      <c r="G2515" s="5" t="s">
        <v>173</v>
      </c>
      <c r="H2515" s="5" t="s">
        <v>3</v>
      </c>
      <c r="I2515" s="5"/>
      <c r="J2515" s="5" t="s">
        <v>850</v>
      </c>
    </row>
    <row r="2516" spans="1:10" x14ac:dyDescent="0.2">
      <c r="A2516" s="5" t="s">
        <v>849</v>
      </c>
      <c r="B2516" s="5" t="s">
        <v>83</v>
      </c>
      <c r="C2516" s="5"/>
      <c r="D2516" s="5" t="s">
        <v>848</v>
      </c>
      <c r="E2516" s="5" t="s">
        <v>150</v>
      </c>
      <c r="F2516" s="5" t="s">
        <v>370</v>
      </c>
      <c r="G2516" s="5" t="s">
        <v>148</v>
      </c>
      <c r="H2516" s="5" t="s">
        <v>3</v>
      </c>
      <c r="I2516" s="5"/>
      <c r="J2516" s="5" t="s">
        <v>825</v>
      </c>
    </row>
    <row r="2517" spans="1:10" ht="25.5" x14ac:dyDescent="0.2">
      <c r="A2517" s="5" t="s">
        <v>847</v>
      </c>
      <c r="B2517" s="5" t="s">
        <v>83</v>
      </c>
      <c r="C2517" s="5"/>
      <c r="D2517" s="5" t="s">
        <v>846</v>
      </c>
      <c r="E2517" s="5" t="s">
        <v>138</v>
      </c>
      <c r="F2517" s="5" t="s">
        <v>97</v>
      </c>
      <c r="G2517" s="5" t="s">
        <v>91</v>
      </c>
      <c r="H2517" s="5" t="s">
        <v>3</v>
      </c>
      <c r="I2517" s="5"/>
      <c r="J2517" s="5" t="s">
        <v>845</v>
      </c>
    </row>
    <row r="2518" spans="1:10" ht="25.5" x14ac:dyDescent="0.2">
      <c r="A2518" s="5" t="s">
        <v>844</v>
      </c>
      <c r="B2518" s="5" t="s">
        <v>83</v>
      </c>
      <c r="C2518" s="5"/>
      <c r="D2518" s="5" t="s">
        <v>843</v>
      </c>
      <c r="E2518" s="5" t="s">
        <v>93</v>
      </c>
      <c r="F2518" s="5" t="s">
        <v>397</v>
      </c>
      <c r="G2518" s="5" t="s">
        <v>181</v>
      </c>
      <c r="H2518" s="5" t="s">
        <v>3</v>
      </c>
      <c r="I2518" s="5"/>
      <c r="J2518" s="5" t="s">
        <v>842</v>
      </c>
    </row>
    <row r="2519" spans="1:10" x14ac:dyDescent="0.2">
      <c r="A2519" s="5" t="s">
        <v>841</v>
      </c>
      <c r="B2519" s="5" t="s">
        <v>83</v>
      </c>
      <c r="C2519" s="5"/>
      <c r="D2519" s="5" t="s">
        <v>840</v>
      </c>
      <c r="E2519" s="5"/>
      <c r="F2519" s="5" t="s">
        <v>370</v>
      </c>
      <c r="G2519" s="5" t="s">
        <v>382</v>
      </c>
      <c r="H2519" s="5" t="s">
        <v>3</v>
      </c>
      <c r="I2519" s="5"/>
      <c r="J2519" s="5" t="s">
        <v>839</v>
      </c>
    </row>
    <row r="2520" spans="1:10" ht="25.5" x14ac:dyDescent="0.2">
      <c r="A2520" s="5" t="s">
        <v>838</v>
      </c>
      <c r="B2520" s="5" t="s">
        <v>83</v>
      </c>
      <c r="C2520" s="5"/>
      <c r="D2520" s="5" t="s">
        <v>837</v>
      </c>
      <c r="E2520" s="5" t="s">
        <v>368</v>
      </c>
      <c r="F2520" s="5" t="s">
        <v>836</v>
      </c>
      <c r="G2520" s="5" t="s">
        <v>207</v>
      </c>
      <c r="H2520" s="5" t="s">
        <v>3</v>
      </c>
      <c r="I2520" s="5"/>
      <c r="J2520" s="5" t="s">
        <v>835</v>
      </c>
    </row>
    <row r="2521" spans="1:10" x14ac:dyDescent="0.2">
      <c r="A2521" s="5" t="s">
        <v>834</v>
      </c>
      <c r="B2521" s="5" t="s">
        <v>83</v>
      </c>
      <c r="C2521" s="5"/>
      <c r="D2521" s="5" t="s">
        <v>833</v>
      </c>
      <c r="E2521" s="5"/>
      <c r="F2521" s="5" t="s">
        <v>370</v>
      </c>
      <c r="G2521" s="5" t="s">
        <v>382</v>
      </c>
      <c r="H2521" s="5" t="s">
        <v>137</v>
      </c>
      <c r="I2521" s="5" t="s">
        <v>829</v>
      </c>
      <c r="J2521" s="5" t="s">
        <v>832</v>
      </c>
    </row>
    <row r="2522" spans="1:10" x14ac:dyDescent="0.2">
      <c r="A2522" s="5" t="s">
        <v>831</v>
      </c>
      <c r="B2522" s="5" t="s">
        <v>83</v>
      </c>
      <c r="C2522" s="5"/>
      <c r="D2522" s="5" t="s">
        <v>830</v>
      </c>
      <c r="E2522" s="5" t="s">
        <v>150</v>
      </c>
      <c r="F2522" s="5" t="s">
        <v>370</v>
      </c>
      <c r="G2522" s="5" t="s">
        <v>148</v>
      </c>
      <c r="H2522" s="5" t="s">
        <v>137</v>
      </c>
      <c r="I2522" s="5" t="s">
        <v>829</v>
      </c>
      <c r="J2522" s="5" t="s">
        <v>828</v>
      </c>
    </row>
    <row r="2523" spans="1:10" x14ac:dyDescent="0.2">
      <c r="A2523" s="5" t="s">
        <v>827</v>
      </c>
      <c r="B2523" s="5" t="s">
        <v>83</v>
      </c>
      <c r="C2523" s="5"/>
      <c r="D2523" s="5" t="s">
        <v>826</v>
      </c>
      <c r="E2523" s="5" t="s">
        <v>150</v>
      </c>
      <c r="F2523" s="5" t="s">
        <v>370</v>
      </c>
      <c r="G2523" s="5" t="s">
        <v>148</v>
      </c>
      <c r="H2523" s="5" t="s">
        <v>3</v>
      </c>
      <c r="I2523" s="5"/>
      <c r="J2523" s="5" t="s">
        <v>825</v>
      </c>
    </row>
    <row r="2524" spans="1:10" x14ac:dyDescent="0.2">
      <c r="A2524" s="5" t="s">
        <v>824</v>
      </c>
      <c r="B2524" s="5" t="s">
        <v>83</v>
      </c>
      <c r="C2524" s="5"/>
      <c r="D2524" s="5" t="s">
        <v>823</v>
      </c>
      <c r="E2524" s="5" t="s">
        <v>150</v>
      </c>
      <c r="F2524" s="5" t="s">
        <v>370</v>
      </c>
      <c r="G2524" s="5" t="s">
        <v>148</v>
      </c>
      <c r="H2524" s="5" t="s">
        <v>3</v>
      </c>
      <c r="I2524" s="5"/>
      <c r="J2524" s="5" t="s">
        <v>822</v>
      </c>
    </row>
    <row r="2525" spans="1:10" ht="25.5" x14ac:dyDescent="0.2">
      <c r="A2525" s="5" t="s">
        <v>821</v>
      </c>
      <c r="B2525" s="5" t="s">
        <v>83</v>
      </c>
      <c r="C2525" s="5"/>
      <c r="D2525" s="5" t="s">
        <v>820</v>
      </c>
      <c r="E2525" s="5" t="s">
        <v>150</v>
      </c>
      <c r="F2525" s="5" t="s">
        <v>424</v>
      </c>
      <c r="G2525" s="5" t="s">
        <v>148</v>
      </c>
      <c r="H2525" s="5" t="s">
        <v>137</v>
      </c>
      <c r="I2525" s="5" t="s">
        <v>816</v>
      </c>
      <c r="J2525" s="5" t="s">
        <v>819</v>
      </c>
    </row>
    <row r="2526" spans="1:10" ht="25.5" x14ac:dyDescent="0.2">
      <c r="A2526" s="5" t="s">
        <v>818</v>
      </c>
      <c r="B2526" s="5" t="s">
        <v>83</v>
      </c>
      <c r="C2526" s="5"/>
      <c r="D2526" s="5" t="s">
        <v>817</v>
      </c>
      <c r="E2526" s="5"/>
      <c r="F2526" s="5" t="s">
        <v>424</v>
      </c>
      <c r="G2526" s="5" t="s">
        <v>170</v>
      </c>
      <c r="H2526" s="5" t="s">
        <v>137</v>
      </c>
      <c r="I2526" s="5" t="s">
        <v>816</v>
      </c>
      <c r="J2526" s="5" t="s">
        <v>815</v>
      </c>
    </row>
    <row r="2527" spans="1:10" ht="25.5" x14ac:dyDescent="0.2">
      <c r="A2527" s="5" t="s">
        <v>814</v>
      </c>
      <c r="B2527" s="5" t="s">
        <v>83</v>
      </c>
      <c r="C2527" s="5"/>
      <c r="D2527" s="5" t="s">
        <v>813</v>
      </c>
      <c r="E2527" s="5"/>
      <c r="F2527" s="5" t="s">
        <v>799</v>
      </c>
      <c r="G2527" s="5" t="s">
        <v>382</v>
      </c>
      <c r="H2527" s="5" t="s">
        <v>3</v>
      </c>
      <c r="I2527" s="5"/>
      <c r="J2527" s="5" t="s">
        <v>812</v>
      </c>
    </row>
    <row r="2528" spans="1:10" ht="25.5" x14ac:dyDescent="0.2">
      <c r="A2528" s="5" t="s">
        <v>811</v>
      </c>
      <c r="B2528" s="5" t="s">
        <v>83</v>
      </c>
      <c r="C2528" s="5"/>
      <c r="D2528" s="5" t="s">
        <v>810</v>
      </c>
      <c r="E2528" s="5"/>
      <c r="F2528" s="5" t="s">
        <v>799</v>
      </c>
      <c r="G2528" s="5" t="s">
        <v>382</v>
      </c>
      <c r="H2528" s="5" t="s">
        <v>137</v>
      </c>
      <c r="I2528" s="5" t="s">
        <v>806</v>
      </c>
      <c r="J2528" s="5" t="s">
        <v>809</v>
      </c>
    </row>
    <row r="2529" spans="1:10" ht="25.5" x14ac:dyDescent="0.2">
      <c r="A2529" s="5" t="s">
        <v>808</v>
      </c>
      <c r="B2529" s="5" t="s">
        <v>83</v>
      </c>
      <c r="C2529" s="5"/>
      <c r="D2529" s="5" t="s">
        <v>807</v>
      </c>
      <c r="E2529" s="5" t="s">
        <v>150</v>
      </c>
      <c r="F2529" s="5" t="s">
        <v>799</v>
      </c>
      <c r="G2529" s="5" t="s">
        <v>148</v>
      </c>
      <c r="H2529" s="5" t="s">
        <v>137</v>
      </c>
      <c r="I2529" s="5" t="s">
        <v>806</v>
      </c>
      <c r="J2529" s="5" t="s">
        <v>805</v>
      </c>
    </row>
    <row r="2530" spans="1:10" x14ac:dyDescent="0.2">
      <c r="A2530" s="5" t="s">
        <v>804</v>
      </c>
      <c r="B2530" s="5" t="s">
        <v>83</v>
      </c>
      <c r="C2530" s="5"/>
      <c r="D2530" s="5" t="s">
        <v>803</v>
      </c>
      <c r="E2530" s="5" t="s">
        <v>150</v>
      </c>
      <c r="F2530" s="5" t="s">
        <v>799</v>
      </c>
      <c r="G2530" s="5" t="s">
        <v>148</v>
      </c>
      <c r="H2530" s="5" t="s">
        <v>3</v>
      </c>
      <c r="I2530" s="5"/>
      <c r="J2530" s="5" t="s">
        <v>802</v>
      </c>
    </row>
    <row r="2531" spans="1:10" x14ac:dyDescent="0.2">
      <c r="A2531" s="5" t="s">
        <v>801</v>
      </c>
      <c r="B2531" s="5" t="s">
        <v>83</v>
      </c>
      <c r="C2531" s="5"/>
      <c r="D2531" s="5" t="s">
        <v>800</v>
      </c>
      <c r="E2531" s="5" t="s">
        <v>150</v>
      </c>
      <c r="F2531" s="5" t="s">
        <v>799</v>
      </c>
      <c r="G2531" s="5" t="s">
        <v>148</v>
      </c>
      <c r="H2531" s="5" t="s">
        <v>3</v>
      </c>
      <c r="I2531" s="5"/>
      <c r="J2531" s="5" t="s">
        <v>798</v>
      </c>
    </row>
    <row r="2532" spans="1:10" ht="38.25" x14ac:dyDescent="0.2">
      <c r="A2532" s="5" t="s">
        <v>797</v>
      </c>
      <c r="B2532" s="5" t="s">
        <v>83</v>
      </c>
      <c r="C2532" s="5"/>
      <c r="D2532" s="5" t="s">
        <v>796</v>
      </c>
      <c r="E2532" s="5" t="s">
        <v>150</v>
      </c>
      <c r="F2532" s="5" t="s">
        <v>424</v>
      </c>
      <c r="G2532" s="5" t="s">
        <v>148</v>
      </c>
      <c r="H2532" s="5" t="s">
        <v>137</v>
      </c>
      <c r="I2532" s="5" t="s">
        <v>792</v>
      </c>
      <c r="J2532" s="5" t="s">
        <v>795</v>
      </c>
    </row>
    <row r="2533" spans="1:10" ht="38.25" x14ac:dyDescent="0.2">
      <c r="A2533" s="5" t="s">
        <v>794</v>
      </c>
      <c r="B2533" s="5" t="s">
        <v>83</v>
      </c>
      <c r="C2533" s="5"/>
      <c r="D2533" s="5" t="s">
        <v>793</v>
      </c>
      <c r="E2533" s="5"/>
      <c r="F2533" s="5" t="s">
        <v>424</v>
      </c>
      <c r="G2533" s="5" t="s">
        <v>170</v>
      </c>
      <c r="H2533" s="5" t="s">
        <v>137</v>
      </c>
      <c r="I2533" s="5" t="s">
        <v>792</v>
      </c>
      <c r="J2533" s="5" t="s">
        <v>791</v>
      </c>
    </row>
    <row r="2534" spans="1:10" x14ac:dyDescent="0.2">
      <c r="A2534" s="5" t="s">
        <v>790</v>
      </c>
      <c r="B2534" s="5" t="s">
        <v>83</v>
      </c>
      <c r="C2534" s="5"/>
      <c r="D2534" s="5" t="s">
        <v>788</v>
      </c>
      <c r="E2534" s="5"/>
      <c r="F2534" s="5" t="s">
        <v>784</v>
      </c>
      <c r="G2534" s="5" t="s">
        <v>118</v>
      </c>
      <c r="H2534" s="5" t="s">
        <v>3</v>
      </c>
      <c r="I2534" s="5"/>
      <c r="J2534" s="5" t="s">
        <v>787</v>
      </c>
    </row>
    <row r="2535" spans="1:10" x14ac:dyDescent="0.2">
      <c r="A2535" s="5" t="s">
        <v>789</v>
      </c>
      <c r="B2535" s="5" t="s">
        <v>83</v>
      </c>
      <c r="C2535" s="5"/>
      <c r="D2535" s="5" t="s">
        <v>788</v>
      </c>
      <c r="E2535" s="5"/>
      <c r="F2535" s="5" t="s">
        <v>784</v>
      </c>
      <c r="G2535" s="5" t="s">
        <v>328</v>
      </c>
      <c r="H2535" s="5" t="s">
        <v>3</v>
      </c>
      <c r="I2535" s="5"/>
      <c r="J2535" s="5" t="s">
        <v>787</v>
      </c>
    </row>
    <row r="2536" spans="1:10" x14ac:dyDescent="0.2">
      <c r="A2536" s="5" t="s">
        <v>786</v>
      </c>
      <c r="B2536" s="5" t="s">
        <v>83</v>
      </c>
      <c r="C2536" s="5"/>
      <c r="D2536" s="5" t="s">
        <v>785</v>
      </c>
      <c r="E2536" s="5"/>
      <c r="F2536" s="5" t="s">
        <v>784</v>
      </c>
      <c r="G2536" s="5" t="s">
        <v>118</v>
      </c>
      <c r="H2536" s="5" t="s">
        <v>3</v>
      </c>
      <c r="I2536" s="5"/>
      <c r="J2536" s="5"/>
    </row>
    <row r="2537" spans="1:10" ht="25.5" x14ac:dyDescent="0.2">
      <c r="A2537" s="5" t="s">
        <v>783</v>
      </c>
      <c r="B2537" s="5" t="s">
        <v>83</v>
      </c>
      <c r="C2537" s="5"/>
      <c r="D2537" s="5" t="s">
        <v>782</v>
      </c>
      <c r="E2537" s="5"/>
      <c r="F2537" s="5" t="s">
        <v>768</v>
      </c>
      <c r="G2537" s="5" t="s">
        <v>382</v>
      </c>
      <c r="H2537" s="5" t="s">
        <v>3</v>
      </c>
      <c r="I2537" s="5"/>
      <c r="J2537" s="5" t="s">
        <v>781</v>
      </c>
    </row>
    <row r="2538" spans="1:10" ht="25.5" x14ac:dyDescent="0.2">
      <c r="A2538" s="5" t="s">
        <v>780</v>
      </c>
      <c r="B2538" s="5" t="s">
        <v>83</v>
      </c>
      <c r="C2538" s="5"/>
      <c r="D2538" s="5" t="s">
        <v>779</v>
      </c>
      <c r="E2538" s="5"/>
      <c r="F2538" s="5" t="s">
        <v>768</v>
      </c>
      <c r="G2538" s="5" t="s">
        <v>382</v>
      </c>
      <c r="H2538" s="5" t="s">
        <v>137</v>
      </c>
      <c r="I2538" s="5" t="s">
        <v>775</v>
      </c>
      <c r="J2538" s="5" t="s">
        <v>778</v>
      </c>
    </row>
    <row r="2539" spans="1:10" ht="25.5" x14ac:dyDescent="0.2">
      <c r="A2539" s="5" t="s">
        <v>777</v>
      </c>
      <c r="B2539" s="5" t="s">
        <v>83</v>
      </c>
      <c r="C2539" s="5"/>
      <c r="D2539" s="5" t="s">
        <v>776</v>
      </c>
      <c r="E2539" s="5" t="s">
        <v>150</v>
      </c>
      <c r="F2539" s="5" t="s">
        <v>768</v>
      </c>
      <c r="G2539" s="5" t="s">
        <v>148</v>
      </c>
      <c r="H2539" s="5" t="s">
        <v>137</v>
      </c>
      <c r="I2539" s="5" t="s">
        <v>775</v>
      </c>
      <c r="J2539" s="5" t="s">
        <v>774</v>
      </c>
    </row>
    <row r="2540" spans="1:10" x14ac:dyDescent="0.2">
      <c r="A2540" s="5" t="s">
        <v>773</v>
      </c>
      <c r="B2540" s="5" t="s">
        <v>83</v>
      </c>
      <c r="C2540" s="5"/>
      <c r="D2540" s="5" t="s">
        <v>772</v>
      </c>
      <c r="E2540" s="5" t="s">
        <v>150</v>
      </c>
      <c r="F2540" s="5" t="s">
        <v>768</v>
      </c>
      <c r="G2540" s="5" t="s">
        <v>148</v>
      </c>
      <c r="H2540" s="5" t="s">
        <v>3</v>
      </c>
      <c r="I2540" s="5"/>
      <c r="J2540" s="5" t="s">
        <v>771</v>
      </c>
    </row>
    <row r="2541" spans="1:10" x14ac:dyDescent="0.2">
      <c r="A2541" s="5" t="s">
        <v>770</v>
      </c>
      <c r="B2541" s="5" t="s">
        <v>83</v>
      </c>
      <c r="C2541" s="5"/>
      <c r="D2541" s="5" t="s">
        <v>769</v>
      </c>
      <c r="E2541" s="5" t="s">
        <v>150</v>
      </c>
      <c r="F2541" s="5" t="s">
        <v>768</v>
      </c>
      <c r="G2541" s="5" t="s">
        <v>148</v>
      </c>
      <c r="H2541" s="5" t="s">
        <v>3</v>
      </c>
      <c r="I2541" s="5"/>
      <c r="J2541" s="5" t="s">
        <v>767</v>
      </c>
    </row>
    <row r="2542" spans="1:10" ht="25.5" x14ac:dyDescent="0.2">
      <c r="A2542" s="5" t="s">
        <v>766</v>
      </c>
      <c r="B2542" s="5" t="s">
        <v>83</v>
      </c>
      <c r="C2542" s="5"/>
      <c r="D2542" s="5" t="s">
        <v>765</v>
      </c>
      <c r="E2542" s="5" t="s">
        <v>150</v>
      </c>
      <c r="F2542" s="5" t="s">
        <v>424</v>
      </c>
      <c r="G2542" s="5" t="s">
        <v>148</v>
      </c>
      <c r="H2542" s="5" t="s">
        <v>137</v>
      </c>
      <c r="I2542" s="5" t="s">
        <v>761</v>
      </c>
      <c r="J2542" s="5" t="s">
        <v>764</v>
      </c>
    </row>
    <row r="2543" spans="1:10" ht="25.5" x14ac:dyDescent="0.2">
      <c r="A2543" s="5" t="s">
        <v>763</v>
      </c>
      <c r="B2543" s="5" t="s">
        <v>83</v>
      </c>
      <c r="C2543" s="5"/>
      <c r="D2543" s="5" t="s">
        <v>762</v>
      </c>
      <c r="E2543" s="5"/>
      <c r="F2543" s="5" t="s">
        <v>424</v>
      </c>
      <c r="G2543" s="5" t="s">
        <v>170</v>
      </c>
      <c r="H2543" s="5" t="s">
        <v>137</v>
      </c>
      <c r="I2543" s="5" t="s">
        <v>761</v>
      </c>
      <c r="J2543" s="5" t="s">
        <v>760</v>
      </c>
    </row>
    <row r="2544" spans="1:10" x14ac:dyDescent="0.2">
      <c r="A2544" s="5" t="s">
        <v>759</v>
      </c>
      <c r="B2544" s="5" t="s">
        <v>83</v>
      </c>
      <c r="C2544" s="5"/>
      <c r="D2544" s="5" t="s">
        <v>758</v>
      </c>
      <c r="E2544" s="5"/>
      <c r="F2544" s="5" t="s">
        <v>354</v>
      </c>
      <c r="G2544" s="5" t="s">
        <v>328</v>
      </c>
      <c r="H2544" s="5" t="s">
        <v>3</v>
      </c>
      <c r="I2544" s="5"/>
      <c r="J2544" s="5" t="s">
        <v>757</v>
      </c>
    </row>
    <row r="2545" spans="1:10" ht="25.5" x14ac:dyDescent="0.2">
      <c r="A2545" s="5" t="s">
        <v>756</v>
      </c>
      <c r="B2545" s="5" t="s">
        <v>83</v>
      </c>
      <c r="C2545" s="5"/>
      <c r="D2545" s="5" t="s">
        <v>755</v>
      </c>
      <c r="E2545" s="5"/>
      <c r="F2545" s="5" t="s">
        <v>741</v>
      </c>
      <c r="G2545" s="5" t="s">
        <v>382</v>
      </c>
      <c r="H2545" s="5" t="s">
        <v>3</v>
      </c>
      <c r="I2545" s="5"/>
      <c r="J2545" s="5" t="s">
        <v>754</v>
      </c>
    </row>
    <row r="2546" spans="1:10" ht="25.5" x14ac:dyDescent="0.2">
      <c r="A2546" s="5" t="s">
        <v>753</v>
      </c>
      <c r="B2546" s="5" t="s">
        <v>83</v>
      </c>
      <c r="C2546" s="5"/>
      <c r="D2546" s="5" t="s">
        <v>752</v>
      </c>
      <c r="E2546" s="5"/>
      <c r="F2546" s="5" t="s">
        <v>741</v>
      </c>
      <c r="G2546" s="5" t="s">
        <v>382</v>
      </c>
      <c r="H2546" s="5" t="s">
        <v>137</v>
      </c>
      <c r="I2546" s="5" t="s">
        <v>748</v>
      </c>
      <c r="J2546" s="5" t="s">
        <v>751</v>
      </c>
    </row>
    <row r="2547" spans="1:10" ht="25.5" x14ac:dyDescent="0.2">
      <c r="A2547" s="5" t="s">
        <v>750</v>
      </c>
      <c r="B2547" s="5" t="s">
        <v>83</v>
      </c>
      <c r="C2547" s="5"/>
      <c r="D2547" s="5" t="s">
        <v>749</v>
      </c>
      <c r="E2547" s="5" t="s">
        <v>150</v>
      </c>
      <c r="F2547" s="5" t="s">
        <v>741</v>
      </c>
      <c r="G2547" s="5" t="s">
        <v>148</v>
      </c>
      <c r="H2547" s="5" t="s">
        <v>137</v>
      </c>
      <c r="I2547" s="5" t="s">
        <v>748</v>
      </c>
      <c r="J2547" s="5" t="s">
        <v>747</v>
      </c>
    </row>
    <row r="2548" spans="1:10" x14ac:dyDescent="0.2">
      <c r="A2548" s="5" t="s">
        <v>746</v>
      </c>
      <c r="B2548" s="5" t="s">
        <v>83</v>
      </c>
      <c r="C2548" s="5"/>
      <c r="D2548" s="5" t="s">
        <v>745</v>
      </c>
      <c r="E2548" s="5" t="s">
        <v>150</v>
      </c>
      <c r="F2548" s="5" t="s">
        <v>741</v>
      </c>
      <c r="G2548" s="5" t="s">
        <v>148</v>
      </c>
      <c r="H2548" s="5" t="s">
        <v>3</v>
      </c>
      <c r="I2548" s="5"/>
      <c r="J2548" s="5" t="s">
        <v>744</v>
      </c>
    </row>
    <row r="2549" spans="1:10" x14ac:dyDescent="0.2">
      <c r="A2549" s="5" t="s">
        <v>743</v>
      </c>
      <c r="B2549" s="5" t="s">
        <v>83</v>
      </c>
      <c r="C2549" s="5"/>
      <c r="D2549" s="5" t="s">
        <v>742</v>
      </c>
      <c r="E2549" s="5" t="s">
        <v>150</v>
      </c>
      <c r="F2549" s="5" t="s">
        <v>741</v>
      </c>
      <c r="G2549" s="5" t="s">
        <v>148</v>
      </c>
      <c r="H2549" s="5" t="s">
        <v>3</v>
      </c>
      <c r="I2549" s="5"/>
      <c r="J2549" s="5" t="s">
        <v>740</v>
      </c>
    </row>
    <row r="2550" spans="1:10" ht="25.5" x14ac:dyDescent="0.2">
      <c r="A2550" s="5" t="s">
        <v>739</v>
      </c>
      <c r="B2550" s="5" t="s">
        <v>83</v>
      </c>
      <c r="C2550" s="5"/>
      <c r="D2550" s="5" t="s">
        <v>738</v>
      </c>
      <c r="E2550" s="5" t="s">
        <v>150</v>
      </c>
      <c r="F2550" s="5" t="s">
        <v>424</v>
      </c>
      <c r="G2550" s="5" t="s">
        <v>148</v>
      </c>
      <c r="H2550" s="5" t="s">
        <v>137</v>
      </c>
      <c r="I2550" s="5" t="s">
        <v>734</v>
      </c>
      <c r="J2550" s="5" t="s">
        <v>737</v>
      </c>
    </row>
    <row r="2551" spans="1:10" ht="25.5" x14ac:dyDescent="0.2">
      <c r="A2551" s="5" t="s">
        <v>736</v>
      </c>
      <c r="B2551" s="5" t="s">
        <v>83</v>
      </c>
      <c r="C2551" s="5"/>
      <c r="D2551" s="5" t="s">
        <v>735</v>
      </c>
      <c r="E2551" s="5"/>
      <c r="F2551" s="5" t="s">
        <v>424</v>
      </c>
      <c r="G2551" s="5" t="s">
        <v>170</v>
      </c>
      <c r="H2551" s="5" t="s">
        <v>137</v>
      </c>
      <c r="I2551" s="5" t="s">
        <v>734</v>
      </c>
      <c r="J2551" s="5" t="s">
        <v>733</v>
      </c>
    </row>
    <row r="2552" spans="1:10" ht="25.5" x14ac:dyDescent="0.2">
      <c r="A2552" s="5" t="s">
        <v>732</v>
      </c>
      <c r="B2552" s="5" t="s">
        <v>83</v>
      </c>
      <c r="C2552" s="5"/>
      <c r="D2552" s="5" t="s">
        <v>731</v>
      </c>
      <c r="E2552" s="5"/>
      <c r="F2552" s="5" t="s">
        <v>717</v>
      </c>
      <c r="G2552" s="5" t="s">
        <v>382</v>
      </c>
      <c r="H2552" s="5" t="s">
        <v>3</v>
      </c>
      <c r="I2552" s="5"/>
      <c r="J2552" s="5" t="s">
        <v>730</v>
      </c>
    </row>
    <row r="2553" spans="1:10" ht="25.5" x14ac:dyDescent="0.2">
      <c r="A2553" s="5" t="s">
        <v>729</v>
      </c>
      <c r="B2553" s="5" t="s">
        <v>83</v>
      </c>
      <c r="C2553" s="5"/>
      <c r="D2553" s="5" t="s">
        <v>728</v>
      </c>
      <c r="E2553" s="5"/>
      <c r="F2553" s="5" t="s">
        <v>717</v>
      </c>
      <c r="G2553" s="5" t="s">
        <v>382</v>
      </c>
      <c r="H2553" s="5" t="s">
        <v>137</v>
      </c>
      <c r="I2553" s="5" t="s">
        <v>724</v>
      </c>
      <c r="J2553" s="5" t="s">
        <v>727</v>
      </c>
    </row>
    <row r="2554" spans="1:10" ht="25.5" x14ac:dyDescent="0.2">
      <c r="A2554" s="5" t="s">
        <v>726</v>
      </c>
      <c r="B2554" s="5" t="s">
        <v>83</v>
      </c>
      <c r="C2554" s="5"/>
      <c r="D2554" s="5" t="s">
        <v>725</v>
      </c>
      <c r="E2554" s="5" t="s">
        <v>150</v>
      </c>
      <c r="F2554" s="5" t="s">
        <v>717</v>
      </c>
      <c r="G2554" s="5" t="s">
        <v>148</v>
      </c>
      <c r="H2554" s="5" t="s">
        <v>137</v>
      </c>
      <c r="I2554" s="5" t="s">
        <v>724</v>
      </c>
      <c r="J2554" s="5" t="s">
        <v>723</v>
      </c>
    </row>
    <row r="2555" spans="1:10" x14ac:dyDescent="0.2">
      <c r="A2555" s="5" t="s">
        <v>722</v>
      </c>
      <c r="B2555" s="5" t="s">
        <v>83</v>
      </c>
      <c r="C2555" s="5"/>
      <c r="D2555" s="5" t="s">
        <v>721</v>
      </c>
      <c r="E2555" s="5" t="s">
        <v>150</v>
      </c>
      <c r="F2555" s="5" t="s">
        <v>717</v>
      </c>
      <c r="G2555" s="5" t="s">
        <v>148</v>
      </c>
      <c r="H2555" s="5" t="s">
        <v>3</v>
      </c>
      <c r="I2555" s="5"/>
      <c r="J2555" s="5" t="s">
        <v>720</v>
      </c>
    </row>
    <row r="2556" spans="1:10" x14ac:dyDescent="0.2">
      <c r="A2556" s="5" t="s">
        <v>719</v>
      </c>
      <c r="B2556" s="5" t="s">
        <v>83</v>
      </c>
      <c r="C2556" s="5"/>
      <c r="D2556" s="5" t="s">
        <v>718</v>
      </c>
      <c r="E2556" s="5" t="s">
        <v>150</v>
      </c>
      <c r="F2556" s="5" t="s">
        <v>717</v>
      </c>
      <c r="G2556" s="5" t="s">
        <v>148</v>
      </c>
      <c r="H2556" s="5" t="s">
        <v>3</v>
      </c>
      <c r="I2556" s="5"/>
      <c r="J2556" s="5" t="s">
        <v>716</v>
      </c>
    </row>
    <row r="2557" spans="1:10" ht="25.5" x14ac:dyDescent="0.2">
      <c r="A2557" s="5" t="s">
        <v>715</v>
      </c>
      <c r="B2557" s="5" t="s">
        <v>83</v>
      </c>
      <c r="C2557" s="5"/>
      <c r="D2557" s="5" t="s">
        <v>714</v>
      </c>
      <c r="E2557" s="5" t="s">
        <v>150</v>
      </c>
      <c r="F2557" s="5" t="s">
        <v>424</v>
      </c>
      <c r="G2557" s="5" t="s">
        <v>148</v>
      </c>
      <c r="H2557" s="5" t="s">
        <v>137</v>
      </c>
      <c r="I2557" s="5" t="s">
        <v>710</v>
      </c>
      <c r="J2557" s="5" t="s">
        <v>713</v>
      </c>
    </row>
    <row r="2558" spans="1:10" ht="25.5" x14ac:dyDescent="0.2">
      <c r="A2558" s="5" t="s">
        <v>712</v>
      </c>
      <c r="B2558" s="5" t="s">
        <v>83</v>
      </c>
      <c r="C2558" s="5"/>
      <c r="D2558" s="5" t="s">
        <v>711</v>
      </c>
      <c r="E2558" s="5"/>
      <c r="F2558" s="5" t="s">
        <v>424</v>
      </c>
      <c r="G2558" s="5" t="s">
        <v>170</v>
      </c>
      <c r="H2558" s="5" t="s">
        <v>137</v>
      </c>
      <c r="I2558" s="5" t="s">
        <v>710</v>
      </c>
      <c r="J2558" s="5" t="s">
        <v>709</v>
      </c>
    </row>
    <row r="2559" spans="1:10" ht="25.5" x14ac:dyDescent="0.2">
      <c r="A2559" s="5" t="s">
        <v>708</v>
      </c>
      <c r="B2559" s="5" t="s">
        <v>83</v>
      </c>
      <c r="C2559" s="5"/>
      <c r="D2559" s="5" t="s">
        <v>94</v>
      </c>
      <c r="E2559" s="5" t="s">
        <v>707</v>
      </c>
      <c r="F2559" s="5" t="s">
        <v>92</v>
      </c>
      <c r="G2559" s="5" t="s">
        <v>403</v>
      </c>
      <c r="H2559" s="5" t="s">
        <v>3</v>
      </c>
      <c r="I2559" s="5"/>
      <c r="J2559" s="5" t="s">
        <v>706</v>
      </c>
    </row>
    <row r="2560" spans="1:10" ht="25.5" x14ac:dyDescent="0.2">
      <c r="A2560" s="5" t="s">
        <v>705</v>
      </c>
      <c r="B2560" s="5" t="s">
        <v>83</v>
      </c>
      <c r="C2560" s="5"/>
      <c r="D2560" s="5" t="s">
        <v>704</v>
      </c>
      <c r="E2560" s="5"/>
      <c r="F2560" s="5" t="s">
        <v>331</v>
      </c>
      <c r="G2560" s="5" t="s">
        <v>181</v>
      </c>
      <c r="H2560" s="5" t="s">
        <v>3</v>
      </c>
      <c r="I2560" s="5"/>
      <c r="J2560" s="5" t="s">
        <v>90</v>
      </c>
    </row>
    <row r="2561" spans="1:10" ht="25.5" x14ac:dyDescent="0.2">
      <c r="A2561" s="5" t="s">
        <v>703</v>
      </c>
      <c r="B2561" s="5" t="s">
        <v>83</v>
      </c>
      <c r="C2561" s="5"/>
      <c r="D2561" s="5" t="s">
        <v>700</v>
      </c>
      <c r="E2561" s="5" t="s">
        <v>138</v>
      </c>
      <c r="F2561" s="5" t="s">
        <v>331</v>
      </c>
      <c r="G2561" s="5" t="s">
        <v>702</v>
      </c>
      <c r="H2561" s="5" t="s">
        <v>3</v>
      </c>
      <c r="I2561" s="5"/>
      <c r="J2561" s="5" t="s">
        <v>90</v>
      </c>
    </row>
    <row r="2562" spans="1:10" ht="25.5" x14ac:dyDescent="0.2">
      <c r="A2562" s="5" t="s">
        <v>701</v>
      </c>
      <c r="B2562" s="5" t="s">
        <v>83</v>
      </c>
      <c r="C2562" s="5"/>
      <c r="D2562" s="5" t="s">
        <v>700</v>
      </c>
      <c r="E2562" s="5" t="s">
        <v>93</v>
      </c>
      <c r="F2562" s="5" t="s">
        <v>331</v>
      </c>
      <c r="G2562" s="5" t="s">
        <v>181</v>
      </c>
      <c r="H2562" s="5" t="s">
        <v>3</v>
      </c>
      <c r="I2562" s="5"/>
      <c r="J2562" s="5" t="s">
        <v>90</v>
      </c>
    </row>
    <row r="2563" spans="1:10" ht="25.5" x14ac:dyDescent="0.2">
      <c r="A2563" s="5" t="s">
        <v>699</v>
      </c>
      <c r="B2563" s="5" t="s">
        <v>83</v>
      </c>
      <c r="C2563" s="5"/>
      <c r="D2563" s="5" t="s">
        <v>698</v>
      </c>
      <c r="E2563" s="5" t="s">
        <v>138</v>
      </c>
      <c r="F2563" s="5" t="s">
        <v>331</v>
      </c>
      <c r="G2563" s="5" t="s">
        <v>403</v>
      </c>
      <c r="H2563" s="5" t="s">
        <v>3</v>
      </c>
      <c r="I2563" s="5"/>
      <c r="J2563" s="5" t="s">
        <v>90</v>
      </c>
    </row>
    <row r="2564" spans="1:10" ht="25.5" x14ac:dyDescent="0.2">
      <c r="A2564" s="5" t="s">
        <v>697</v>
      </c>
      <c r="B2564" s="5" t="s">
        <v>83</v>
      </c>
      <c r="C2564" s="5"/>
      <c r="D2564" s="5" t="s">
        <v>696</v>
      </c>
      <c r="E2564" s="5"/>
      <c r="F2564" s="5" t="s">
        <v>682</v>
      </c>
      <c r="G2564" s="5" t="s">
        <v>382</v>
      </c>
      <c r="H2564" s="5" t="s">
        <v>3</v>
      </c>
      <c r="I2564" s="5"/>
      <c r="J2564" s="5" t="s">
        <v>695</v>
      </c>
    </row>
    <row r="2565" spans="1:10" ht="25.5" x14ac:dyDescent="0.2">
      <c r="A2565" s="5" t="s">
        <v>694</v>
      </c>
      <c r="B2565" s="5" t="s">
        <v>83</v>
      </c>
      <c r="C2565" s="5"/>
      <c r="D2565" s="5" t="s">
        <v>693</v>
      </c>
      <c r="E2565" s="5"/>
      <c r="F2565" s="5" t="s">
        <v>682</v>
      </c>
      <c r="G2565" s="5" t="s">
        <v>382</v>
      </c>
      <c r="H2565" s="5" t="s">
        <v>137</v>
      </c>
      <c r="I2565" s="5" t="s">
        <v>689</v>
      </c>
      <c r="J2565" s="5" t="s">
        <v>692</v>
      </c>
    </row>
    <row r="2566" spans="1:10" ht="25.5" x14ac:dyDescent="0.2">
      <c r="A2566" s="5" t="s">
        <v>691</v>
      </c>
      <c r="B2566" s="5" t="s">
        <v>83</v>
      </c>
      <c r="C2566" s="5"/>
      <c r="D2566" s="5" t="s">
        <v>690</v>
      </c>
      <c r="E2566" s="5" t="s">
        <v>150</v>
      </c>
      <c r="F2566" s="5" t="s">
        <v>682</v>
      </c>
      <c r="G2566" s="5" t="s">
        <v>148</v>
      </c>
      <c r="H2566" s="5" t="s">
        <v>137</v>
      </c>
      <c r="I2566" s="5" t="s">
        <v>689</v>
      </c>
      <c r="J2566" s="5" t="s">
        <v>688</v>
      </c>
    </row>
    <row r="2567" spans="1:10" x14ac:dyDescent="0.2">
      <c r="A2567" s="5" t="s">
        <v>687</v>
      </c>
      <c r="B2567" s="5" t="s">
        <v>83</v>
      </c>
      <c r="C2567" s="5"/>
      <c r="D2567" s="5" t="s">
        <v>686</v>
      </c>
      <c r="E2567" s="5" t="s">
        <v>150</v>
      </c>
      <c r="F2567" s="5" t="s">
        <v>682</v>
      </c>
      <c r="G2567" s="5" t="s">
        <v>148</v>
      </c>
      <c r="H2567" s="5" t="s">
        <v>3</v>
      </c>
      <c r="I2567" s="5"/>
      <c r="J2567" s="5" t="s">
        <v>685</v>
      </c>
    </row>
    <row r="2568" spans="1:10" x14ac:dyDescent="0.2">
      <c r="A2568" s="5" t="s">
        <v>684</v>
      </c>
      <c r="B2568" s="5" t="s">
        <v>83</v>
      </c>
      <c r="C2568" s="5"/>
      <c r="D2568" s="5" t="s">
        <v>683</v>
      </c>
      <c r="E2568" s="5" t="s">
        <v>150</v>
      </c>
      <c r="F2568" s="5" t="s">
        <v>682</v>
      </c>
      <c r="G2568" s="5" t="s">
        <v>148</v>
      </c>
      <c r="H2568" s="5" t="s">
        <v>3</v>
      </c>
      <c r="I2568" s="5"/>
      <c r="J2568" s="5" t="s">
        <v>681</v>
      </c>
    </row>
    <row r="2569" spans="1:10" ht="38.25" x14ac:dyDescent="0.2">
      <c r="A2569" s="5" t="s">
        <v>680</v>
      </c>
      <c r="B2569" s="5" t="s">
        <v>83</v>
      </c>
      <c r="C2569" s="5"/>
      <c r="D2569" s="5" t="s">
        <v>679</v>
      </c>
      <c r="E2569" s="5" t="s">
        <v>150</v>
      </c>
      <c r="F2569" s="5" t="s">
        <v>424</v>
      </c>
      <c r="G2569" s="5" t="s">
        <v>148</v>
      </c>
      <c r="H2569" s="5" t="s">
        <v>137</v>
      </c>
      <c r="I2569" s="5" t="s">
        <v>675</v>
      </c>
      <c r="J2569" s="5" t="s">
        <v>678</v>
      </c>
    </row>
    <row r="2570" spans="1:10" ht="38.25" x14ac:dyDescent="0.2">
      <c r="A2570" s="5" t="s">
        <v>677</v>
      </c>
      <c r="B2570" s="5" t="s">
        <v>83</v>
      </c>
      <c r="C2570" s="5"/>
      <c r="D2570" s="5" t="s">
        <v>676</v>
      </c>
      <c r="E2570" s="5"/>
      <c r="F2570" s="5" t="s">
        <v>424</v>
      </c>
      <c r="G2570" s="5" t="s">
        <v>170</v>
      </c>
      <c r="H2570" s="5" t="s">
        <v>137</v>
      </c>
      <c r="I2570" s="5" t="s">
        <v>675</v>
      </c>
      <c r="J2570" s="5" t="s">
        <v>674</v>
      </c>
    </row>
    <row r="2571" spans="1:10" ht="25.5" x14ac:dyDescent="0.2">
      <c r="A2571" s="5" t="s">
        <v>673</v>
      </c>
      <c r="B2571" s="5" t="s">
        <v>83</v>
      </c>
      <c r="C2571" s="5"/>
      <c r="D2571" s="5" t="s">
        <v>672</v>
      </c>
      <c r="E2571" s="5"/>
      <c r="F2571" s="5" t="s">
        <v>654</v>
      </c>
      <c r="G2571" s="5" t="s">
        <v>382</v>
      </c>
      <c r="H2571" s="5" t="s">
        <v>3</v>
      </c>
      <c r="I2571" s="5"/>
      <c r="J2571" s="5" t="s">
        <v>671</v>
      </c>
    </row>
    <row r="2572" spans="1:10" ht="25.5" x14ac:dyDescent="0.2">
      <c r="A2572" s="5" t="s">
        <v>670</v>
      </c>
      <c r="B2572" s="5" t="s">
        <v>83</v>
      </c>
      <c r="C2572" s="5"/>
      <c r="D2572" s="5" t="s">
        <v>669</v>
      </c>
      <c r="E2572" s="5"/>
      <c r="F2572" s="5" t="s">
        <v>654</v>
      </c>
      <c r="G2572" s="5" t="s">
        <v>382</v>
      </c>
      <c r="H2572" s="5" t="s">
        <v>137</v>
      </c>
      <c r="I2572" s="5" t="s">
        <v>661</v>
      </c>
      <c r="J2572" s="5" t="s">
        <v>668</v>
      </c>
    </row>
    <row r="2573" spans="1:10" ht="25.5" x14ac:dyDescent="0.2">
      <c r="A2573" s="5" t="s">
        <v>667</v>
      </c>
      <c r="B2573" s="5" t="s">
        <v>83</v>
      </c>
      <c r="C2573" s="5"/>
      <c r="D2573" s="5" t="s">
        <v>666</v>
      </c>
      <c r="E2573" s="5" t="s">
        <v>665</v>
      </c>
      <c r="F2573" s="5" t="s">
        <v>654</v>
      </c>
      <c r="G2573" s="5" t="s">
        <v>148</v>
      </c>
      <c r="H2573" s="5" t="s">
        <v>137</v>
      </c>
      <c r="I2573" s="5" t="s">
        <v>661</v>
      </c>
      <c r="J2573" s="5" t="s">
        <v>664</v>
      </c>
    </row>
    <row r="2574" spans="1:10" ht="25.5" x14ac:dyDescent="0.2">
      <c r="A2574" s="5" t="s">
        <v>663</v>
      </c>
      <c r="B2574" s="5" t="s">
        <v>83</v>
      </c>
      <c r="C2574" s="5"/>
      <c r="D2574" s="5" t="s">
        <v>662</v>
      </c>
      <c r="E2574" s="5" t="s">
        <v>150</v>
      </c>
      <c r="F2574" s="5" t="s">
        <v>654</v>
      </c>
      <c r="G2574" s="5" t="s">
        <v>148</v>
      </c>
      <c r="H2574" s="5" t="s">
        <v>137</v>
      </c>
      <c r="I2574" s="5" t="s">
        <v>661</v>
      </c>
      <c r="J2574" s="5" t="s">
        <v>660</v>
      </c>
    </row>
    <row r="2575" spans="1:10" x14ac:dyDescent="0.2">
      <c r="A2575" s="5" t="s">
        <v>659</v>
      </c>
      <c r="B2575" s="5" t="s">
        <v>83</v>
      </c>
      <c r="C2575" s="5"/>
      <c r="D2575" s="5" t="s">
        <v>658</v>
      </c>
      <c r="E2575" s="5" t="s">
        <v>150</v>
      </c>
      <c r="F2575" s="5" t="s">
        <v>654</v>
      </c>
      <c r="G2575" s="5" t="s">
        <v>148</v>
      </c>
      <c r="H2575" s="5" t="s">
        <v>3</v>
      </c>
      <c r="I2575" s="5"/>
      <c r="J2575" s="5" t="s">
        <v>657</v>
      </c>
    </row>
    <row r="2576" spans="1:10" x14ac:dyDescent="0.2">
      <c r="A2576" s="5" t="s">
        <v>656</v>
      </c>
      <c r="B2576" s="5" t="s">
        <v>83</v>
      </c>
      <c r="C2576" s="5"/>
      <c r="D2576" s="5" t="s">
        <v>655</v>
      </c>
      <c r="E2576" s="5" t="s">
        <v>150</v>
      </c>
      <c r="F2576" s="5" t="s">
        <v>654</v>
      </c>
      <c r="G2576" s="5" t="s">
        <v>148</v>
      </c>
      <c r="H2576" s="5" t="s">
        <v>3</v>
      </c>
      <c r="I2576" s="5"/>
      <c r="J2576" s="5" t="s">
        <v>653</v>
      </c>
    </row>
    <row r="2577" spans="1:10" ht="38.25" x14ac:dyDescent="0.2">
      <c r="A2577" s="5" t="s">
        <v>652</v>
      </c>
      <c r="B2577" s="5" t="s">
        <v>83</v>
      </c>
      <c r="C2577" s="5"/>
      <c r="D2577" s="5" t="s">
        <v>651</v>
      </c>
      <c r="E2577" s="5" t="s">
        <v>150</v>
      </c>
      <c r="F2577" s="5" t="s">
        <v>424</v>
      </c>
      <c r="G2577" s="5" t="s">
        <v>148</v>
      </c>
      <c r="H2577" s="5" t="s">
        <v>137</v>
      </c>
      <c r="I2577" s="5" t="s">
        <v>647</v>
      </c>
      <c r="J2577" s="5" t="s">
        <v>650</v>
      </c>
    </row>
    <row r="2578" spans="1:10" ht="38.25" x14ac:dyDescent="0.2">
      <c r="A2578" s="5" t="s">
        <v>649</v>
      </c>
      <c r="B2578" s="5" t="s">
        <v>83</v>
      </c>
      <c r="C2578" s="5"/>
      <c r="D2578" s="5" t="s">
        <v>648</v>
      </c>
      <c r="E2578" s="5"/>
      <c r="F2578" s="5" t="s">
        <v>424</v>
      </c>
      <c r="G2578" s="5" t="s">
        <v>170</v>
      </c>
      <c r="H2578" s="5" t="s">
        <v>137</v>
      </c>
      <c r="I2578" s="5" t="s">
        <v>647</v>
      </c>
      <c r="J2578" s="5" t="s">
        <v>646</v>
      </c>
    </row>
    <row r="2579" spans="1:10" ht="25.5" x14ac:dyDescent="0.2">
      <c r="A2579" s="5" t="s">
        <v>645</v>
      </c>
      <c r="B2579" s="5" t="s">
        <v>83</v>
      </c>
      <c r="C2579" s="5"/>
      <c r="D2579" s="5" t="s">
        <v>644</v>
      </c>
      <c r="E2579" s="5"/>
      <c r="F2579" s="5" t="s">
        <v>630</v>
      </c>
      <c r="G2579" s="5" t="s">
        <v>382</v>
      </c>
      <c r="H2579" s="5" t="s">
        <v>3</v>
      </c>
      <c r="I2579" s="5"/>
      <c r="J2579" s="5" t="s">
        <v>643</v>
      </c>
    </row>
    <row r="2580" spans="1:10" ht="25.5" x14ac:dyDescent="0.2">
      <c r="A2580" s="5" t="s">
        <v>642</v>
      </c>
      <c r="B2580" s="5" t="s">
        <v>83</v>
      </c>
      <c r="C2580" s="5"/>
      <c r="D2580" s="5" t="s">
        <v>641</v>
      </c>
      <c r="E2580" s="5"/>
      <c r="F2580" s="5" t="s">
        <v>630</v>
      </c>
      <c r="G2580" s="5" t="s">
        <v>382</v>
      </c>
      <c r="H2580" s="5" t="s">
        <v>137</v>
      </c>
      <c r="I2580" s="5" t="s">
        <v>637</v>
      </c>
      <c r="J2580" s="5" t="s">
        <v>640</v>
      </c>
    </row>
    <row r="2581" spans="1:10" ht="25.5" x14ac:dyDescent="0.2">
      <c r="A2581" s="5" t="s">
        <v>639</v>
      </c>
      <c r="B2581" s="5" t="s">
        <v>83</v>
      </c>
      <c r="C2581" s="5"/>
      <c r="D2581" s="5" t="s">
        <v>638</v>
      </c>
      <c r="E2581" s="5" t="s">
        <v>150</v>
      </c>
      <c r="F2581" s="5" t="s">
        <v>630</v>
      </c>
      <c r="G2581" s="5" t="s">
        <v>148</v>
      </c>
      <c r="H2581" s="5" t="s">
        <v>137</v>
      </c>
      <c r="I2581" s="5" t="s">
        <v>637</v>
      </c>
      <c r="J2581" s="5" t="s">
        <v>636</v>
      </c>
    </row>
    <row r="2582" spans="1:10" x14ac:dyDescent="0.2">
      <c r="A2582" s="5" t="s">
        <v>635</v>
      </c>
      <c r="B2582" s="5" t="s">
        <v>83</v>
      </c>
      <c r="C2582" s="5"/>
      <c r="D2582" s="5" t="s">
        <v>634</v>
      </c>
      <c r="E2582" s="5" t="s">
        <v>150</v>
      </c>
      <c r="F2582" s="5" t="s">
        <v>630</v>
      </c>
      <c r="G2582" s="5" t="s">
        <v>148</v>
      </c>
      <c r="H2582" s="5" t="s">
        <v>3</v>
      </c>
      <c r="I2582" s="5"/>
      <c r="J2582" s="5" t="s">
        <v>633</v>
      </c>
    </row>
    <row r="2583" spans="1:10" x14ac:dyDescent="0.2">
      <c r="A2583" s="5" t="s">
        <v>632</v>
      </c>
      <c r="B2583" s="5" t="s">
        <v>83</v>
      </c>
      <c r="C2583" s="5"/>
      <c r="D2583" s="5" t="s">
        <v>631</v>
      </c>
      <c r="E2583" s="5" t="s">
        <v>150</v>
      </c>
      <c r="F2583" s="5" t="s">
        <v>630</v>
      </c>
      <c r="G2583" s="5" t="s">
        <v>148</v>
      </c>
      <c r="H2583" s="5" t="s">
        <v>3</v>
      </c>
      <c r="I2583" s="5"/>
      <c r="J2583" s="5" t="s">
        <v>629</v>
      </c>
    </row>
    <row r="2584" spans="1:10" ht="25.5" x14ac:dyDescent="0.2">
      <c r="A2584" s="5" t="s">
        <v>628</v>
      </c>
      <c r="B2584" s="5" t="s">
        <v>83</v>
      </c>
      <c r="C2584" s="5"/>
      <c r="D2584" s="5" t="s">
        <v>627</v>
      </c>
      <c r="E2584" s="5" t="s">
        <v>150</v>
      </c>
      <c r="F2584" s="5" t="s">
        <v>424</v>
      </c>
      <c r="G2584" s="5" t="s">
        <v>148</v>
      </c>
      <c r="H2584" s="5" t="s">
        <v>137</v>
      </c>
      <c r="I2584" s="5" t="s">
        <v>623</v>
      </c>
      <c r="J2584" s="5" t="s">
        <v>626</v>
      </c>
    </row>
    <row r="2585" spans="1:10" ht="25.5" x14ac:dyDescent="0.2">
      <c r="A2585" s="5" t="s">
        <v>625</v>
      </c>
      <c r="B2585" s="5" t="s">
        <v>83</v>
      </c>
      <c r="C2585" s="5"/>
      <c r="D2585" s="5" t="s">
        <v>624</v>
      </c>
      <c r="E2585" s="5"/>
      <c r="F2585" s="5" t="s">
        <v>424</v>
      </c>
      <c r="G2585" s="5" t="s">
        <v>170</v>
      </c>
      <c r="H2585" s="5" t="s">
        <v>137</v>
      </c>
      <c r="I2585" s="5" t="s">
        <v>623</v>
      </c>
      <c r="J2585" s="5" t="s">
        <v>622</v>
      </c>
    </row>
    <row r="2586" spans="1:10" x14ac:dyDescent="0.2">
      <c r="A2586" s="5" t="s">
        <v>621</v>
      </c>
      <c r="B2586" s="5" t="s">
        <v>83</v>
      </c>
      <c r="C2586" s="5"/>
      <c r="D2586" s="5" t="s">
        <v>620</v>
      </c>
      <c r="E2586" s="5"/>
      <c r="F2586" s="5" t="s">
        <v>608</v>
      </c>
      <c r="G2586" s="5" t="s">
        <v>382</v>
      </c>
      <c r="H2586" s="5" t="s">
        <v>3</v>
      </c>
      <c r="I2586" s="5"/>
      <c r="J2586" s="5" t="s">
        <v>619</v>
      </c>
    </row>
    <row r="2587" spans="1:10" x14ac:dyDescent="0.2">
      <c r="A2587" s="5" t="s">
        <v>618</v>
      </c>
      <c r="B2587" s="5" t="s">
        <v>83</v>
      </c>
      <c r="C2587" s="5"/>
      <c r="D2587" s="5" t="s">
        <v>573</v>
      </c>
      <c r="E2587" s="5"/>
      <c r="F2587" s="5" t="s">
        <v>608</v>
      </c>
      <c r="G2587" s="5" t="s">
        <v>382</v>
      </c>
      <c r="H2587" s="5" t="s">
        <v>137</v>
      </c>
      <c r="I2587" s="5" t="s">
        <v>615</v>
      </c>
      <c r="J2587" s="5" t="s">
        <v>617</v>
      </c>
    </row>
    <row r="2588" spans="1:10" x14ac:dyDescent="0.2">
      <c r="A2588" s="5" t="s">
        <v>616</v>
      </c>
      <c r="B2588" s="5" t="s">
        <v>83</v>
      </c>
      <c r="C2588" s="5"/>
      <c r="D2588" s="5" t="s">
        <v>570</v>
      </c>
      <c r="E2588" s="5" t="s">
        <v>150</v>
      </c>
      <c r="F2588" s="5" t="s">
        <v>608</v>
      </c>
      <c r="G2588" s="5" t="s">
        <v>148</v>
      </c>
      <c r="H2588" s="5" t="s">
        <v>137</v>
      </c>
      <c r="I2588" s="5" t="s">
        <v>615</v>
      </c>
      <c r="J2588" s="5" t="s">
        <v>614</v>
      </c>
    </row>
    <row r="2589" spans="1:10" x14ac:dyDescent="0.2">
      <c r="A2589" s="5" t="s">
        <v>613</v>
      </c>
      <c r="B2589" s="5" t="s">
        <v>83</v>
      </c>
      <c r="C2589" s="5"/>
      <c r="D2589" s="5" t="s">
        <v>612</v>
      </c>
      <c r="E2589" s="5" t="s">
        <v>150</v>
      </c>
      <c r="F2589" s="5" t="s">
        <v>608</v>
      </c>
      <c r="G2589" s="5" t="s">
        <v>148</v>
      </c>
      <c r="H2589" s="5" t="s">
        <v>3</v>
      </c>
      <c r="I2589" s="5"/>
      <c r="J2589" s="5" t="s">
        <v>611</v>
      </c>
    </row>
    <row r="2590" spans="1:10" x14ac:dyDescent="0.2">
      <c r="A2590" s="5" t="s">
        <v>610</v>
      </c>
      <c r="B2590" s="5" t="s">
        <v>83</v>
      </c>
      <c r="C2590" s="5"/>
      <c r="D2590" s="5" t="s">
        <v>609</v>
      </c>
      <c r="E2590" s="5" t="s">
        <v>150</v>
      </c>
      <c r="F2590" s="5" t="s">
        <v>608</v>
      </c>
      <c r="G2590" s="5" t="s">
        <v>148</v>
      </c>
      <c r="H2590" s="5" t="s">
        <v>3</v>
      </c>
      <c r="I2590" s="5"/>
      <c r="J2590" s="5" t="s">
        <v>607</v>
      </c>
    </row>
    <row r="2591" spans="1:10" ht="25.5" x14ac:dyDescent="0.2">
      <c r="A2591" s="5" t="s">
        <v>606</v>
      </c>
      <c r="B2591" s="5" t="s">
        <v>83</v>
      </c>
      <c r="C2591" s="5"/>
      <c r="D2591" s="5" t="s">
        <v>559</v>
      </c>
      <c r="E2591" s="5" t="s">
        <v>150</v>
      </c>
      <c r="F2591" s="5" t="s">
        <v>424</v>
      </c>
      <c r="G2591" s="5" t="s">
        <v>148</v>
      </c>
      <c r="H2591" s="5" t="s">
        <v>137</v>
      </c>
      <c r="I2591" s="5" t="s">
        <v>603</v>
      </c>
      <c r="J2591" s="5" t="s">
        <v>605</v>
      </c>
    </row>
    <row r="2592" spans="1:10" ht="25.5" x14ac:dyDescent="0.2">
      <c r="A2592" s="5" t="s">
        <v>604</v>
      </c>
      <c r="B2592" s="5" t="s">
        <v>83</v>
      </c>
      <c r="C2592" s="5"/>
      <c r="D2592" s="5" t="s">
        <v>556</v>
      </c>
      <c r="E2592" s="5"/>
      <c r="F2592" s="5" t="s">
        <v>424</v>
      </c>
      <c r="G2592" s="5" t="s">
        <v>170</v>
      </c>
      <c r="H2592" s="5" t="s">
        <v>137</v>
      </c>
      <c r="I2592" s="5" t="s">
        <v>603</v>
      </c>
      <c r="J2592" s="5" t="s">
        <v>602</v>
      </c>
    </row>
    <row r="2593" spans="1:10" ht="25.5" x14ac:dyDescent="0.2">
      <c r="A2593" s="5" t="s">
        <v>601</v>
      </c>
      <c r="B2593" s="5" t="s">
        <v>83</v>
      </c>
      <c r="C2593" s="5"/>
      <c r="D2593" s="5" t="s">
        <v>600</v>
      </c>
      <c r="E2593" s="5"/>
      <c r="F2593" s="5" t="s">
        <v>586</v>
      </c>
      <c r="G2593" s="5" t="s">
        <v>382</v>
      </c>
      <c r="H2593" s="5" t="s">
        <v>3</v>
      </c>
      <c r="I2593" s="5"/>
      <c r="J2593" s="5" t="s">
        <v>599</v>
      </c>
    </row>
    <row r="2594" spans="1:10" ht="25.5" x14ac:dyDescent="0.2">
      <c r="A2594" s="5" t="s">
        <v>598</v>
      </c>
      <c r="B2594" s="5" t="s">
        <v>83</v>
      </c>
      <c r="C2594" s="5"/>
      <c r="D2594" s="5" t="s">
        <v>597</v>
      </c>
      <c r="E2594" s="5"/>
      <c r="F2594" s="5" t="s">
        <v>586</v>
      </c>
      <c r="G2594" s="5" t="s">
        <v>382</v>
      </c>
      <c r="H2594" s="5" t="s">
        <v>137</v>
      </c>
      <c r="I2594" s="5" t="s">
        <v>593</v>
      </c>
      <c r="J2594" s="5" t="s">
        <v>596</v>
      </c>
    </row>
    <row r="2595" spans="1:10" ht="25.5" x14ac:dyDescent="0.2">
      <c r="A2595" s="5" t="s">
        <v>595</v>
      </c>
      <c r="B2595" s="5" t="s">
        <v>83</v>
      </c>
      <c r="C2595" s="5"/>
      <c r="D2595" s="5" t="s">
        <v>594</v>
      </c>
      <c r="E2595" s="5" t="s">
        <v>150</v>
      </c>
      <c r="F2595" s="5" t="s">
        <v>586</v>
      </c>
      <c r="G2595" s="5" t="s">
        <v>148</v>
      </c>
      <c r="H2595" s="5" t="s">
        <v>137</v>
      </c>
      <c r="I2595" s="5" t="s">
        <v>593</v>
      </c>
      <c r="J2595" s="5" t="s">
        <v>592</v>
      </c>
    </row>
    <row r="2596" spans="1:10" x14ac:dyDescent="0.2">
      <c r="A2596" s="5" t="s">
        <v>591</v>
      </c>
      <c r="B2596" s="5" t="s">
        <v>83</v>
      </c>
      <c r="C2596" s="5"/>
      <c r="D2596" s="5" t="s">
        <v>590</v>
      </c>
      <c r="E2596" s="5" t="s">
        <v>150</v>
      </c>
      <c r="F2596" s="5" t="s">
        <v>586</v>
      </c>
      <c r="G2596" s="5" t="s">
        <v>148</v>
      </c>
      <c r="H2596" s="5" t="s">
        <v>3</v>
      </c>
      <c r="I2596" s="5"/>
      <c r="J2596" s="5" t="s">
        <v>589</v>
      </c>
    </row>
    <row r="2597" spans="1:10" x14ac:dyDescent="0.2">
      <c r="A2597" s="5" t="s">
        <v>588</v>
      </c>
      <c r="B2597" s="5" t="s">
        <v>83</v>
      </c>
      <c r="C2597" s="5"/>
      <c r="D2597" s="5" t="s">
        <v>587</v>
      </c>
      <c r="E2597" s="5" t="s">
        <v>150</v>
      </c>
      <c r="F2597" s="5" t="s">
        <v>586</v>
      </c>
      <c r="G2597" s="5" t="s">
        <v>148</v>
      </c>
      <c r="H2597" s="5" t="s">
        <v>3</v>
      </c>
      <c r="I2597" s="5"/>
      <c r="J2597" s="5" t="s">
        <v>585</v>
      </c>
    </row>
    <row r="2598" spans="1:10" ht="25.5" x14ac:dyDescent="0.2">
      <c r="A2598" s="5" t="s">
        <v>584</v>
      </c>
      <c r="B2598" s="5" t="s">
        <v>83</v>
      </c>
      <c r="C2598" s="5"/>
      <c r="D2598" s="5" t="s">
        <v>583</v>
      </c>
      <c r="E2598" s="5" t="s">
        <v>150</v>
      </c>
      <c r="F2598" s="5" t="s">
        <v>424</v>
      </c>
      <c r="G2598" s="5" t="s">
        <v>148</v>
      </c>
      <c r="H2598" s="5" t="s">
        <v>137</v>
      </c>
      <c r="I2598" s="5" t="s">
        <v>579</v>
      </c>
      <c r="J2598" s="5" t="s">
        <v>582</v>
      </c>
    </row>
    <row r="2599" spans="1:10" ht="25.5" x14ac:dyDescent="0.2">
      <c r="A2599" s="5" t="s">
        <v>581</v>
      </c>
      <c r="B2599" s="5" t="s">
        <v>83</v>
      </c>
      <c r="C2599" s="5"/>
      <c r="D2599" s="5" t="s">
        <v>580</v>
      </c>
      <c r="E2599" s="5"/>
      <c r="F2599" s="5" t="s">
        <v>424</v>
      </c>
      <c r="G2599" s="5" t="s">
        <v>170</v>
      </c>
      <c r="H2599" s="5" t="s">
        <v>137</v>
      </c>
      <c r="I2599" s="5" t="s">
        <v>579</v>
      </c>
      <c r="J2599" s="5" t="s">
        <v>578</v>
      </c>
    </row>
    <row r="2600" spans="1:10" ht="25.5" x14ac:dyDescent="0.2">
      <c r="A2600" s="5" t="s">
        <v>577</v>
      </c>
      <c r="B2600" s="5" t="s">
        <v>83</v>
      </c>
      <c r="C2600" s="5"/>
      <c r="D2600" s="5" t="s">
        <v>576</v>
      </c>
      <c r="E2600" s="5"/>
      <c r="F2600" s="5" t="s">
        <v>562</v>
      </c>
      <c r="G2600" s="5" t="s">
        <v>382</v>
      </c>
      <c r="H2600" s="5" t="s">
        <v>3</v>
      </c>
      <c r="I2600" s="5"/>
      <c r="J2600" s="5" t="s">
        <v>575</v>
      </c>
    </row>
    <row r="2601" spans="1:10" ht="25.5" x14ac:dyDescent="0.2">
      <c r="A2601" s="5" t="s">
        <v>574</v>
      </c>
      <c r="B2601" s="5" t="s">
        <v>83</v>
      </c>
      <c r="C2601" s="5"/>
      <c r="D2601" s="5" t="s">
        <v>573</v>
      </c>
      <c r="E2601" s="5"/>
      <c r="F2601" s="5" t="s">
        <v>562</v>
      </c>
      <c r="G2601" s="5" t="s">
        <v>382</v>
      </c>
      <c r="H2601" s="5" t="s">
        <v>137</v>
      </c>
      <c r="I2601" s="5" t="s">
        <v>569</v>
      </c>
      <c r="J2601" s="5" t="s">
        <v>572</v>
      </c>
    </row>
    <row r="2602" spans="1:10" ht="25.5" x14ac:dyDescent="0.2">
      <c r="A2602" s="5" t="s">
        <v>571</v>
      </c>
      <c r="B2602" s="5" t="s">
        <v>83</v>
      </c>
      <c r="C2602" s="5"/>
      <c r="D2602" s="5" t="s">
        <v>570</v>
      </c>
      <c r="E2602" s="5" t="s">
        <v>150</v>
      </c>
      <c r="F2602" s="5" t="s">
        <v>562</v>
      </c>
      <c r="G2602" s="5" t="s">
        <v>148</v>
      </c>
      <c r="H2602" s="5" t="s">
        <v>137</v>
      </c>
      <c r="I2602" s="5" t="s">
        <v>569</v>
      </c>
      <c r="J2602" s="5" t="s">
        <v>568</v>
      </c>
    </row>
    <row r="2603" spans="1:10" x14ac:dyDescent="0.2">
      <c r="A2603" s="5" t="s">
        <v>567</v>
      </c>
      <c r="B2603" s="5" t="s">
        <v>83</v>
      </c>
      <c r="C2603" s="5"/>
      <c r="D2603" s="5" t="s">
        <v>566</v>
      </c>
      <c r="E2603" s="5" t="s">
        <v>150</v>
      </c>
      <c r="F2603" s="5" t="s">
        <v>562</v>
      </c>
      <c r="G2603" s="5" t="s">
        <v>148</v>
      </c>
      <c r="H2603" s="5" t="s">
        <v>3</v>
      </c>
      <c r="I2603" s="5"/>
      <c r="J2603" s="5" t="s">
        <v>565</v>
      </c>
    </row>
    <row r="2604" spans="1:10" x14ac:dyDescent="0.2">
      <c r="A2604" s="5" t="s">
        <v>564</v>
      </c>
      <c r="B2604" s="5" t="s">
        <v>83</v>
      </c>
      <c r="C2604" s="5"/>
      <c r="D2604" s="5" t="s">
        <v>563</v>
      </c>
      <c r="E2604" s="5" t="s">
        <v>150</v>
      </c>
      <c r="F2604" s="5" t="s">
        <v>562</v>
      </c>
      <c r="G2604" s="5" t="s">
        <v>148</v>
      </c>
      <c r="H2604" s="5" t="s">
        <v>3</v>
      </c>
      <c r="I2604" s="5"/>
      <c r="J2604" s="5" t="s">
        <v>561</v>
      </c>
    </row>
    <row r="2605" spans="1:10" ht="25.5" x14ac:dyDescent="0.2">
      <c r="A2605" s="5" t="s">
        <v>560</v>
      </c>
      <c r="B2605" s="5" t="s">
        <v>83</v>
      </c>
      <c r="C2605" s="5"/>
      <c r="D2605" s="5" t="s">
        <v>559</v>
      </c>
      <c r="E2605" s="5" t="s">
        <v>150</v>
      </c>
      <c r="F2605" s="5" t="s">
        <v>424</v>
      </c>
      <c r="G2605" s="5" t="s">
        <v>148</v>
      </c>
      <c r="H2605" s="5" t="s">
        <v>137</v>
      </c>
      <c r="I2605" s="5" t="s">
        <v>555</v>
      </c>
      <c r="J2605" s="5" t="s">
        <v>558</v>
      </c>
    </row>
    <row r="2606" spans="1:10" ht="25.5" x14ac:dyDescent="0.2">
      <c r="A2606" s="5" t="s">
        <v>557</v>
      </c>
      <c r="B2606" s="5" t="s">
        <v>83</v>
      </c>
      <c r="C2606" s="5"/>
      <c r="D2606" s="5" t="s">
        <v>556</v>
      </c>
      <c r="E2606" s="5"/>
      <c r="F2606" s="5" t="s">
        <v>424</v>
      </c>
      <c r="G2606" s="5" t="s">
        <v>170</v>
      </c>
      <c r="H2606" s="5" t="s">
        <v>137</v>
      </c>
      <c r="I2606" s="5" t="s">
        <v>555</v>
      </c>
      <c r="J2606" s="5" t="s">
        <v>554</v>
      </c>
    </row>
    <row r="2607" spans="1:10" ht="25.5" x14ac:dyDescent="0.2">
      <c r="A2607" s="5" t="s">
        <v>553</v>
      </c>
      <c r="B2607" s="5" t="s">
        <v>83</v>
      </c>
      <c r="C2607" s="5"/>
      <c r="D2607" s="5" t="s">
        <v>552</v>
      </c>
      <c r="E2607" s="5"/>
      <c r="F2607" s="5" t="s">
        <v>538</v>
      </c>
      <c r="G2607" s="5" t="s">
        <v>382</v>
      </c>
      <c r="H2607" s="5" t="s">
        <v>3</v>
      </c>
      <c r="I2607" s="5"/>
      <c r="J2607" s="5" t="s">
        <v>551</v>
      </c>
    </row>
    <row r="2608" spans="1:10" ht="25.5" x14ac:dyDescent="0.2">
      <c r="A2608" s="5" t="s">
        <v>550</v>
      </c>
      <c r="B2608" s="5" t="s">
        <v>83</v>
      </c>
      <c r="C2608" s="5"/>
      <c r="D2608" s="5" t="s">
        <v>549</v>
      </c>
      <c r="E2608" s="5"/>
      <c r="F2608" s="5" t="s">
        <v>538</v>
      </c>
      <c r="G2608" s="5" t="s">
        <v>382</v>
      </c>
      <c r="H2608" s="5" t="s">
        <v>137</v>
      </c>
      <c r="I2608" s="5" t="s">
        <v>545</v>
      </c>
      <c r="J2608" s="5" t="s">
        <v>548</v>
      </c>
    </row>
    <row r="2609" spans="1:10" ht="25.5" x14ac:dyDescent="0.2">
      <c r="A2609" s="5" t="s">
        <v>547</v>
      </c>
      <c r="B2609" s="5" t="s">
        <v>83</v>
      </c>
      <c r="C2609" s="5"/>
      <c r="D2609" s="5" t="s">
        <v>546</v>
      </c>
      <c r="E2609" s="5" t="s">
        <v>150</v>
      </c>
      <c r="F2609" s="5" t="s">
        <v>538</v>
      </c>
      <c r="G2609" s="5" t="s">
        <v>148</v>
      </c>
      <c r="H2609" s="5" t="s">
        <v>137</v>
      </c>
      <c r="I2609" s="5" t="s">
        <v>545</v>
      </c>
      <c r="J2609" s="5" t="s">
        <v>544</v>
      </c>
    </row>
    <row r="2610" spans="1:10" x14ac:dyDescent="0.2">
      <c r="A2610" s="5" t="s">
        <v>543</v>
      </c>
      <c r="B2610" s="5" t="s">
        <v>83</v>
      </c>
      <c r="C2610" s="5"/>
      <c r="D2610" s="5" t="s">
        <v>542</v>
      </c>
      <c r="E2610" s="5" t="s">
        <v>150</v>
      </c>
      <c r="F2610" s="5" t="s">
        <v>538</v>
      </c>
      <c r="G2610" s="5" t="s">
        <v>148</v>
      </c>
      <c r="H2610" s="5" t="s">
        <v>3</v>
      </c>
      <c r="I2610" s="5"/>
      <c r="J2610" s="5" t="s">
        <v>541</v>
      </c>
    </row>
    <row r="2611" spans="1:10" x14ac:dyDescent="0.2">
      <c r="A2611" s="5" t="s">
        <v>540</v>
      </c>
      <c r="B2611" s="5" t="s">
        <v>83</v>
      </c>
      <c r="C2611" s="5"/>
      <c r="D2611" s="5" t="s">
        <v>539</v>
      </c>
      <c r="E2611" s="5" t="s">
        <v>150</v>
      </c>
      <c r="F2611" s="5" t="s">
        <v>538</v>
      </c>
      <c r="G2611" s="5" t="s">
        <v>148</v>
      </c>
      <c r="H2611" s="5" t="s">
        <v>3</v>
      </c>
      <c r="I2611" s="5"/>
      <c r="J2611" s="5" t="s">
        <v>537</v>
      </c>
    </row>
    <row r="2612" spans="1:10" ht="25.5" x14ac:dyDescent="0.2">
      <c r="A2612" s="5" t="s">
        <v>536</v>
      </c>
      <c r="B2612" s="5" t="s">
        <v>83</v>
      </c>
      <c r="C2612" s="5"/>
      <c r="D2612" s="5" t="s">
        <v>535</v>
      </c>
      <c r="E2612" s="5" t="s">
        <v>150</v>
      </c>
      <c r="F2612" s="5" t="s">
        <v>424</v>
      </c>
      <c r="G2612" s="5" t="s">
        <v>148</v>
      </c>
      <c r="H2612" s="5" t="s">
        <v>137</v>
      </c>
      <c r="I2612" s="5" t="s">
        <v>531</v>
      </c>
      <c r="J2612" s="5" t="s">
        <v>534</v>
      </c>
    </row>
    <row r="2613" spans="1:10" ht="25.5" x14ac:dyDescent="0.2">
      <c r="A2613" s="5" t="s">
        <v>533</v>
      </c>
      <c r="B2613" s="5" t="s">
        <v>83</v>
      </c>
      <c r="C2613" s="5"/>
      <c r="D2613" s="5" t="s">
        <v>532</v>
      </c>
      <c r="E2613" s="5"/>
      <c r="F2613" s="5" t="s">
        <v>424</v>
      </c>
      <c r="G2613" s="5" t="s">
        <v>170</v>
      </c>
      <c r="H2613" s="5" t="s">
        <v>137</v>
      </c>
      <c r="I2613" s="5" t="s">
        <v>531</v>
      </c>
      <c r="J2613" s="5" t="s">
        <v>530</v>
      </c>
    </row>
    <row r="2614" spans="1:10" ht="25.5" x14ac:dyDescent="0.2">
      <c r="A2614" s="5" t="s">
        <v>529</v>
      </c>
      <c r="B2614" s="5" t="s">
        <v>83</v>
      </c>
      <c r="C2614" s="5"/>
      <c r="D2614" s="5" t="s">
        <v>528</v>
      </c>
      <c r="E2614" s="5"/>
      <c r="F2614" s="5" t="s">
        <v>514</v>
      </c>
      <c r="G2614" s="5" t="s">
        <v>382</v>
      </c>
      <c r="H2614" s="5" t="s">
        <v>3</v>
      </c>
      <c r="I2614" s="5"/>
      <c r="J2614" s="5" t="s">
        <v>527</v>
      </c>
    </row>
    <row r="2615" spans="1:10" ht="25.5" x14ac:dyDescent="0.2">
      <c r="A2615" s="5" t="s">
        <v>526</v>
      </c>
      <c r="B2615" s="5" t="s">
        <v>83</v>
      </c>
      <c r="C2615" s="5"/>
      <c r="D2615" s="5" t="s">
        <v>525</v>
      </c>
      <c r="E2615" s="5"/>
      <c r="F2615" s="5" t="s">
        <v>514</v>
      </c>
      <c r="G2615" s="5" t="s">
        <v>382</v>
      </c>
      <c r="H2615" s="5" t="s">
        <v>137</v>
      </c>
      <c r="I2615" s="5" t="s">
        <v>521</v>
      </c>
      <c r="J2615" s="5" t="s">
        <v>524</v>
      </c>
    </row>
    <row r="2616" spans="1:10" ht="25.5" x14ac:dyDescent="0.2">
      <c r="A2616" s="5" t="s">
        <v>523</v>
      </c>
      <c r="B2616" s="5" t="s">
        <v>83</v>
      </c>
      <c r="C2616" s="5"/>
      <c r="D2616" s="5" t="s">
        <v>522</v>
      </c>
      <c r="E2616" s="5" t="s">
        <v>150</v>
      </c>
      <c r="F2616" s="5" t="s">
        <v>514</v>
      </c>
      <c r="G2616" s="5" t="s">
        <v>148</v>
      </c>
      <c r="H2616" s="5" t="s">
        <v>137</v>
      </c>
      <c r="I2616" s="5" t="s">
        <v>521</v>
      </c>
      <c r="J2616" s="5" t="s">
        <v>520</v>
      </c>
    </row>
    <row r="2617" spans="1:10" x14ac:dyDescent="0.2">
      <c r="A2617" s="5" t="s">
        <v>519</v>
      </c>
      <c r="B2617" s="5" t="s">
        <v>83</v>
      </c>
      <c r="C2617" s="5"/>
      <c r="D2617" s="5" t="s">
        <v>518</v>
      </c>
      <c r="E2617" s="5" t="s">
        <v>150</v>
      </c>
      <c r="F2617" s="5" t="s">
        <v>514</v>
      </c>
      <c r="G2617" s="5" t="s">
        <v>148</v>
      </c>
      <c r="H2617" s="5" t="s">
        <v>3</v>
      </c>
      <c r="I2617" s="5"/>
      <c r="J2617" s="5" t="s">
        <v>517</v>
      </c>
    </row>
    <row r="2618" spans="1:10" x14ac:dyDescent="0.2">
      <c r="A2618" s="5" t="s">
        <v>516</v>
      </c>
      <c r="B2618" s="5" t="s">
        <v>83</v>
      </c>
      <c r="C2618" s="5"/>
      <c r="D2618" s="5" t="s">
        <v>515</v>
      </c>
      <c r="E2618" s="5" t="s">
        <v>150</v>
      </c>
      <c r="F2618" s="5" t="s">
        <v>514</v>
      </c>
      <c r="G2618" s="5" t="s">
        <v>148</v>
      </c>
      <c r="H2618" s="5" t="s">
        <v>3</v>
      </c>
      <c r="I2618" s="5"/>
      <c r="J2618" s="5" t="s">
        <v>513</v>
      </c>
    </row>
    <row r="2619" spans="1:10" ht="25.5" x14ac:dyDescent="0.2">
      <c r="A2619" s="5" t="s">
        <v>512</v>
      </c>
      <c r="B2619" s="5" t="s">
        <v>83</v>
      </c>
      <c r="C2619" s="5"/>
      <c r="D2619" s="5" t="s">
        <v>511</v>
      </c>
      <c r="E2619" s="5" t="s">
        <v>150</v>
      </c>
      <c r="F2619" s="5" t="s">
        <v>424</v>
      </c>
      <c r="G2619" s="5" t="s">
        <v>148</v>
      </c>
      <c r="H2619" s="5" t="s">
        <v>137</v>
      </c>
      <c r="I2619" s="5" t="s">
        <v>507</v>
      </c>
      <c r="J2619" s="5" t="s">
        <v>510</v>
      </c>
    </row>
    <row r="2620" spans="1:10" ht="25.5" x14ac:dyDescent="0.2">
      <c r="A2620" s="5" t="s">
        <v>509</v>
      </c>
      <c r="B2620" s="5" t="s">
        <v>83</v>
      </c>
      <c r="C2620" s="5"/>
      <c r="D2620" s="5" t="s">
        <v>508</v>
      </c>
      <c r="E2620" s="5"/>
      <c r="F2620" s="5" t="s">
        <v>424</v>
      </c>
      <c r="G2620" s="5" t="s">
        <v>170</v>
      </c>
      <c r="H2620" s="5" t="s">
        <v>137</v>
      </c>
      <c r="I2620" s="5" t="s">
        <v>507</v>
      </c>
      <c r="J2620" s="5" t="s">
        <v>506</v>
      </c>
    </row>
    <row r="2621" spans="1:10" ht="25.5" x14ac:dyDescent="0.2">
      <c r="A2621" s="5" t="s">
        <v>505</v>
      </c>
      <c r="B2621" s="5" t="s">
        <v>83</v>
      </c>
      <c r="C2621" s="5"/>
      <c r="D2621" s="5" t="s">
        <v>504</v>
      </c>
      <c r="E2621" s="5"/>
      <c r="F2621" s="5" t="s">
        <v>503</v>
      </c>
      <c r="G2621" s="5" t="s">
        <v>502</v>
      </c>
      <c r="H2621" s="5" t="s">
        <v>3</v>
      </c>
      <c r="I2621" s="5"/>
      <c r="J2621" s="5" t="s">
        <v>501</v>
      </c>
    </row>
    <row r="2622" spans="1:10" ht="25.5" x14ac:dyDescent="0.2">
      <c r="A2622" s="5" t="s">
        <v>500</v>
      </c>
      <c r="B2622" s="5" t="s">
        <v>83</v>
      </c>
      <c r="C2622" s="5"/>
      <c r="D2622" s="5" t="s">
        <v>499</v>
      </c>
      <c r="E2622" s="5"/>
      <c r="F2622" s="5" t="s">
        <v>485</v>
      </c>
      <c r="G2622" s="5" t="s">
        <v>382</v>
      </c>
      <c r="H2622" s="5" t="s">
        <v>3</v>
      </c>
      <c r="I2622" s="5"/>
      <c r="J2622" s="5" t="s">
        <v>498</v>
      </c>
    </row>
    <row r="2623" spans="1:10" ht="25.5" x14ac:dyDescent="0.2">
      <c r="A2623" s="5" t="s">
        <v>497</v>
      </c>
      <c r="B2623" s="5" t="s">
        <v>83</v>
      </c>
      <c r="C2623" s="5"/>
      <c r="D2623" s="5" t="s">
        <v>496</v>
      </c>
      <c r="E2623" s="5"/>
      <c r="F2623" s="5" t="s">
        <v>485</v>
      </c>
      <c r="G2623" s="5" t="s">
        <v>382</v>
      </c>
      <c r="H2623" s="5" t="s">
        <v>137</v>
      </c>
      <c r="I2623" s="5" t="s">
        <v>492</v>
      </c>
      <c r="J2623" s="5" t="s">
        <v>495</v>
      </c>
    </row>
    <row r="2624" spans="1:10" ht="25.5" x14ac:dyDescent="0.2">
      <c r="A2624" s="5" t="s">
        <v>494</v>
      </c>
      <c r="B2624" s="5" t="s">
        <v>83</v>
      </c>
      <c r="C2624" s="5"/>
      <c r="D2624" s="5" t="s">
        <v>493</v>
      </c>
      <c r="E2624" s="5" t="s">
        <v>150</v>
      </c>
      <c r="F2624" s="5" t="s">
        <v>485</v>
      </c>
      <c r="G2624" s="5" t="s">
        <v>148</v>
      </c>
      <c r="H2624" s="5" t="s">
        <v>137</v>
      </c>
      <c r="I2624" s="5" t="s">
        <v>492</v>
      </c>
      <c r="J2624" s="5" t="s">
        <v>491</v>
      </c>
    </row>
    <row r="2625" spans="1:10" x14ac:dyDescent="0.2">
      <c r="A2625" s="5" t="s">
        <v>490</v>
      </c>
      <c r="B2625" s="5" t="s">
        <v>83</v>
      </c>
      <c r="C2625" s="5"/>
      <c r="D2625" s="5" t="s">
        <v>489</v>
      </c>
      <c r="E2625" s="5" t="s">
        <v>150</v>
      </c>
      <c r="F2625" s="5" t="s">
        <v>485</v>
      </c>
      <c r="G2625" s="5" t="s">
        <v>148</v>
      </c>
      <c r="H2625" s="5" t="s">
        <v>3</v>
      </c>
      <c r="I2625" s="5"/>
      <c r="J2625" s="5" t="s">
        <v>488</v>
      </c>
    </row>
    <row r="2626" spans="1:10" x14ac:dyDescent="0.2">
      <c r="A2626" s="5" t="s">
        <v>487</v>
      </c>
      <c r="B2626" s="5" t="s">
        <v>83</v>
      </c>
      <c r="C2626" s="5"/>
      <c r="D2626" s="5" t="s">
        <v>486</v>
      </c>
      <c r="E2626" s="5" t="s">
        <v>150</v>
      </c>
      <c r="F2626" s="5" t="s">
        <v>485</v>
      </c>
      <c r="G2626" s="5" t="s">
        <v>148</v>
      </c>
      <c r="H2626" s="5" t="s">
        <v>3</v>
      </c>
      <c r="I2626" s="5"/>
      <c r="J2626" s="5" t="s">
        <v>484</v>
      </c>
    </row>
    <row r="2627" spans="1:10" ht="25.5" x14ac:dyDescent="0.2">
      <c r="A2627" s="5" t="s">
        <v>483</v>
      </c>
      <c r="B2627" s="5" t="s">
        <v>83</v>
      </c>
      <c r="C2627" s="5"/>
      <c r="D2627" s="5" t="s">
        <v>482</v>
      </c>
      <c r="E2627" s="5" t="s">
        <v>150</v>
      </c>
      <c r="F2627" s="5" t="s">
        <v>424</v>
      </c>
      <c r="G2627" s="5" t="s">
        <v>148</v>
      </c>
      <c r="H2627" s="5" t="s">
        <v>137</v>
      </c>
      <c r="I2627" s="5" t="s">
        <v>478</v>
      </c>
      <c r="J2627" s="5" t="s">
        <v>481</v>
      </c>
    </row>
    <row r="2628" spans="1:10" ht="25.5" x14ac:dyDescent="0.2">
      <c r="A2628" s="5" t="s">
        <v>480</v>
      </c>
      <c r="B2628" s="5" t="s">
        <v>83</v>
      </c>
      <c r="C2628" s="5"/>
      <c r="D2628" s="5" t="s">
        <v>479</v>
      </c>
      <c r="E2628" s="5"/>
      <c r="F2628" s="5" t="s">
        <v>424</v>
      </c>
      <c r="G2628" s="5" t="s">
        <v>170</v>
      </c>
      <c r="H2628" s="5" t="s">
        <v>137</v>
      </c>
      <c r="I2628" s="5" t="s">
        <v>478</v>
      </c>
      <c r="J2628" s="5" t="s">
        <v>477</v>
      </c>
    </row>
    <row r="2629" spans="1:10" x14ac:dyDescent="0.2">
      <c r="A2629" s="5" t="s">
        <v>472</v>
      </c>
      <c r="B2629" s="5" t="s">
        <v>83</v>
      </c>
      <c r="C2629" s="5"/>
      <c r="D2629" s="5" t="s">
        <v>476</v>
      </c>
      <c r="E2629" s="5"/>
      <c r="F2629" s="5"/>
      <c r="G2629" s="5" t="s">
        <v>475</v>
      </c>
      <c r="H2629" s="5" t="s">
        <v>3</v>
      </c>
      <c r="I2629" s="5"/>
      <c r="J2629" s="5"/>
    </row>
    <row r="2630" spans="1:10" ht="25.5" x14ac:dyDescent="0.2">
      <c r="A2630" s="5" t="s">
        <v>474</v>
      </c>
      <c r="B2630" s="5" t="s">
        <v>83</v>
      </c>
      <c r="C2630" s="5"/>
      <c r="D2630" s="5" t="s">
        <v>473</v>
      </c>
      <c r="E2630" s="5"/>
      <c r="F2630" s="5" t="s">
        <v>472</v>
      </c>
      <c r="G2630" s="5" t="s">
        <v>173</v>
      </c>
      <c r="H2630" s="5" t="s">
        <v>3</v>
      </c>
      <c r="I2630" s="5"/>
      <c r="J2630" s="5" t="s">
        <v>471</v>
      </c>
    </row>
    <row r="2631" spans="1:10" x14ac:dyDescent="0.2">
      <c r="A2631" s="5" t="s">
        <v>470</v>
      </c>
      <c r="B2631" s="5" t="s">
        <v>83</v>
      </c>
      <c r="C2631" s="5"/>
      <c r="D2631" s="5" t="s">
        <v>469</v>
      </c>
      <c r="E2631" s="5"/>
      <c r="F2631" s="5" t="s">
        <v>455</v>
      </c>
      <c r="G2631" s="5" t="s">
        <v>382</v>
      </c>
      <c r="H2631" s="5" t="s">
        <v>3</v>
      </c>
      <c r="I2631" s="5"/>
      <c r="J2631" s="5" t="s">
        <v>468</v>
      </c>
    </row>
    <row r="2632" spans="1:10" ht="25.5" x14ac:dyDescent="0.2">
      <c r="A2632" s="5" t="s">
        <v>467</v>
      </c>
      <c r="B2632" s="5" t="s">
        <v>83</v>
      </c>
      <c r="C2632" s="5"/>
      <c r="D2632" s="5" t="s">
        <v>466</v>
      </c>
      <c r="E2632" s="5"/>
      <c r="F2632" s="5" t="s">
        <v>455</v>
      </c>
      <c r="G2632" s="5" t="s">
        <v>382</v>
      </c>
      <c r="H2632" s="5" t="s">
        <v>137</v>
      </c>
      <c r="I2632" s="5" t="s">
        <v>462</v>
      </c>
      <c r="J2632" s="5" t="s">
        <v>465</v>
      </c>
    </row>
    <row r="2633" spans="1:10" ht="25.5" x14ac:dyDescent="0.2">
      <c r="A2633" s="5" t="s">
        <v>464</v>
      </c>
      <c r="B2633" s="5" t="s">
        <v>83</v>
      </c>
      <c r="C2633" s="5"/>
      <c r="D2633" s="5" t="s">
        <v>463</v>
      </c>
      <c r="E2633" s="5" t="s">
        <v>150</v>
      </c>
      <c r="F2633" s="5" t="s">
        <v>455</v>
      </c>
      <c r="G2633" s="5" t="s">
        <v>148</v>
      </c>
      <c r="H2633" s="5" t="s">
        <v>137</v>
      </c>
      <c r="I2633" s="5" t="s">
        <v>462</v>
      </c>
      <c r="J2633" s="5" t="s">
        <v>461</v>
      </c>
    </row>
    <row r="2634" spans="1:10" x14ac:dyDescent="0.2">
      <c r="A2634" s="5" t="s">
        <v>460</v>
      </c>
      <c r="B2634" s="5" t="s">
        <v>83</v>
      </c>
      <c r="C2634" s="5"/>
      <c r="D2634" s="5" t="s">
        <v>459</v>
      </c>
      <c r="E2634" s="5" t="s">
        <v>150</v>
      </c>
      <c r="F2634" s="5" t="s">
        <v>455</v>
      </c>
      <c r="G2634" s="5" t="s">
        <v>148</v>
      </c>
      <c r="H2634" s="5" t="s">
        <v>3</v>
      </c>
      <c r="I2634" s="5"/>
      <c r="J2634" s="5" t="s">
        <v>458</v>
      </c>
    </row>
    <row r="2635" spans="1:10" x14ac:dyDescent="0.2">
      <c r="A2635" s="5" t="s">
        <v>457</v>
      </c>
      <c r="B2635" s="5" t="s">
        <v>83</v>
      </c>
      <c r="C2635" s="5"/>
      <c r="D2635" s="5" t="s">
        <v>456</v>
      </c>
      <c r="E2635" s="5" t="s">
        <v>150</v>
      </c>
      <c r="F2635" s="5" t="s">
        <v>455</v>
      </c>
      <c r="G2635" s="5" t="s">
        <v>148</v>
      </c>
      <c r="H2635" s="5" t="s">
        <v>3</v>
      </c>
      <c r="I2635" s="5"/>
      <c r="J2635" s="5" t="s">
        <v>454</v>
      </c>
    </row>
    <row r="2636" spans="1:10" ht="25.5" x14ac:dyDescent="0.2">
      <c r="A2636" s="5" t="s">
        <v>453</v>
      </c>
      <c r="B2636" s="5" t="s">
        <v>83</v>
      </c>
      <c r="C2636" s="5"/>
      <c r="D2636" s="5" t="s">
        <v>452</v>
      </c>
      <c r="E2636" s="5" t="s">
        <v>150</v>
      </c>
      <c r="F2636" s="5" t="s">
        <v>424</v>
      </c>
      <c r="G2636" s="5" t="s">
        <v>148</v>
      </c>
      <c r="H2636" s="5" t="s">
        <v>137</v>
      </c>
      <c r="I2636" s="5" t="s">
        <v>448</v>
      </c>
      <c r="J2636" s="5" t="s">
        <v>451</v>
      </c>
    </row>
    <row r="2637" spans="1:10" ht="25.5" x14ac:dyDescent="0.2">
      <c r="A2637" s="5" t="s">
        <v>450</v>
      </c>
      <c r="B2637" s="5" t="s">
        <v>83</v>
      </c>
      <c r="C2637" s="5"/>
      <c r="D2637" s="5" t="s">
        <v>449</v>
      </c>
      <c r="E2637" s="5"/>
      <c r="F2637" s="5" t="s">
        <v>424</v>
      </c>
      <c r="G2637" s="5" t="s">
        <v>170</v>
      </c>
      <c r="H2637" s="5" t="s">
        <v>137</v>
      </c>
      <c r="I2637" s="5" t="s">
        <v>448</v>
      </c>
      <c r="J2637" s="5" t="s">
        <v>447</v>
      </c>
    </row>
    <row r="2638" spans="1:10" x14ac:dyDescent="0.2">
      <c r="A2638" s="5" t="s">
        <v>446</v>
      </c>
      <c r="B2638" s="5" t="s">
        <v>83</v>
      </c>
      <c r="C2638" s="5"/>
      <c r="D2638" s="5" t="s">
        <v>445</v>
      </c>
      <c r="E2638" s="5"/>
      <c r="F2638" s="5" t="s">
        <v>431</v>
      </c>
      <c r="G2638" s="5" t="s">
        <v>382</v>
      </c>
      <c r="H2638" s="5" t="s">
        <v>3</v>
      </c>
      <c r="I2638" s="5"/>
      <c r="J2638" s="5" t="s">
        <v>444</v>
      </c>
    </row>
    <row r="2639" spans="1:10" x14ac:dyDescent="0.2">
      <c r="A2639" s="5" t="s">
        <v>443</v>
      </c>
      <c r="B2639" s="5" t="s">
        <v>83</v>
      </c>
      <c r="C2639" s="5"/>
      <c r="D2639" s="5" t="s">
        <v>442</v>
      </c>
      <c r="E2639" s="5"/>
      <c r="F2639" s="5" t="s">
        <v>431</v>
      </c>
      <c r="G2639" s="5" t="s">
        <v>382</v>
      </c>
      <c r="H2639" s="5" t="s">
        <v>137</v>
      </c>
      <c r="I2639" s="5" t="s">
        <v>438</v>
      </c>
      <c r="J2639" s="5" t="s">
        <v>441</v>
      </c>
    </row>
    <row r="2640" spans="1:10" x14ac:dyDescent="0.2">
      <c r="A2640" s="5" t="s">
        <v>440</v>
      </c>
      <c r="B2640" s="5" t="s">
        <v>83</v>
      </c>
      <c r="C2640" s="5"/>
      <c r="D2640" s="5" t="s">
        <v>439</v>
      </c>
      <c r="E2640" s="5" t="s">
        <v>150</v>
      </c>
      <c r="F2640" s="5" t="s">
        <v>431</v>
      </c>
      <c r="G2640" s="5" t="s">
        <v>148</v>
      </c>
      <c r="H2640" s="5" t="s">
        <v>137</v>
      </c>
      <c r="I2640" s="5" t="s">
        <v>438</v>
      </c>
      <c r="J2640" s="5" t="s">
        <v>437</v>
      </c>
    </row>
    <row r="2641" spans="1:10" x14ac:dyDescent="0.2">
      <c r="A2641" s="5" t="s">
        <v>436</v>
      </c>
      <c r="B2641" s="5" t="s">
        <v>83</v>
      </c>
      <c r="C2641" s="5"/>
      <c r="D2641" s="5" t="s">
        <v>435</v>
      </c>
      <c r="E2641" s="5" t="s">
        <v>150</v>
      </c>
      <c r="F2641" s="5" t="s">
        <v>431</v>
      </c>
      <c r="G2641" s="5" t="s">
        <v>148</v>
      </c>
      <c r="H2641" s="5" t="s">
        <v>3</v>
      </c>
      <c r="I2641" s="5"/>
      <c r="J2641" s="5" t="s">
        <v>434</v>
      </c>
    </row>
    <row r="2642" spans="1:10" x14ac:dyDescent="0.2">
      <c r="A2642" s="5" t="s">
        <v>433</v>
      </c>
      <c r="B2642" s="5" t="s">
        <v>83</v>
      </c>
      <c r="C2642" s="5"/>
      <c r="D2642" s="5" t="s">
        <v>432</v>
      </c>
      <c r="E2642" s="5" t="s">
        <v>150</v>
      </c>
      <c r="F2642" s="5" t="s">
        <v>431</v>
      </c>
      <c r="G2642" s="5" t="s">
        <v>148</v>
      </c>
      <c r="H2642" s="5" t="s">
        <v>3</v>
      </c>
      <c r="I2642" s="5"/>
      <c r="J2642" s="5" t="s">
        <v>430</v>
      </c>
    </row>
    <row r="2643" spans="1:10" ht="25.5" x14ac:dyDescent="0.2">
      <c r="A2643" s="5" t="s">
        <v>429</v>
      </c>
      <c r="B2643" s="5" t="s">
        <v>83</v>
      </c>
      <c r="C2643" s="5"/>
      <c r="D2643" s="5" t="s">
        <v>428</v>
      </c>
      <c r="E2643" s="5" t="s">
        <v>150</v>
      </c>
      <c r="F2643" s="5" t="s">
        <v>424</v>
      </c>
      <c r="G2643" s="5" t="s">
        <v>148</v>
      </c>
      <c r="H2643" s="5" t="s">
        <v>137</v>
      </c>
      <c r="I2643" s="5" t="s">
        <v>423</v>
      </c>
      <c r="J2643" s="5" t="s">
        <v>427</v>
      </c>
    </row>
    <row r="2644" spans="1:10" ht="25.5" x14ac:dyDescent="0.2">
      <c r="A2644" s="5" t="s">
        <v>426</v>
      </c>
      <c r="B2644" s="5" t="s">
        <v>83</v>
      </c>
      <c r="C2644" s="5"/>
      <c r="D2644" s="5" t="s">
        <v>425</v>
      </c>
      <c r="E2644" s="5"/>
      <c r="F2644" s="5" t="s">
        <v>424</v>
      </c>
      <c r="G2644" s="5" t="s">
        <v>170</v>
      </c>
      <c r="H2644" s="5" t="s">
        <v>137</v>
      </c>
      <c r="I2644" s="5" t="s">
        <v>423</v>
      </c>
      <c r="J2644" s="5" t="s">
        <v>422</v>
      </c>
    </row>
    <row r="2645" spans="1:10" ht="25.5" x14ac:dyDescent="0.2">
      <c r="A2645" s="5" t="s">
        <v>421</v>
      </c>
      <c r="B2645" s="5" t="s">
        <v>83</v>
      </c>
      <c r="C2645" s="5"/>
      <c r="D2645" s="5" t="s">
        <v>420</v>
      </c>
      <c r="E2645" s="5"/>
      <c r="F2645" s="5" t="s">
        <v>413</v>
      </c>
      <c r="G2645" s="5" t="s">
        <v>382</v>
      </c>
      <c r="H2645" s="5" t="s">
        <v>3</v>
      </c>
      <c r="I2645" s="5"/>
      <c r="J2645" s="5" t="s">
        <v>419</v>
      </c>
    </row>
    <row r="2646" spans="1:10" x14ac:dyDescent="0.2">
      <c r="A2646" s="5" t="s">
        <v>418</v>
      </c>
      <c r="B2646" s="5" t="s">
        <v>83</v>
      </c>
      <c r="C2646" s="5"/>
      <c r="D2646" s="5" t="s">
        <v>417</v>
      </c>
      <c r="E2646" s="5" t="s">
        <v>150</v>
      </c>
      <c r="F2646" s="5" t="s">
        <v>413</v>
      </c>
      <c r="G2646" s="5" t="s">
        <v>148</v>
      </c>
      <c r="H2646" s="5" t="s">
        <v>3</v>
      </c>
      <c r="I2646" s="5"/>
      <c r="J2646" s="5" t="s">
        <v>416</v>
      </c>
    </row>
    <row r="2647" spans="1:10" x14ac:dyDescent="0.2">
      <c r="A2647" s="5" t="s">
        <v>415</v>
      </c>
      <c r="B2647" s="5" t="s">
        <v>83</v>
      </c>
      <c r="C2647" s="5"/>
      <c r="D2647" s="5" t="s">
        <v>414</v>
      </c>
      <c r="E2647" s="5" t="s">
        <v>150</v>
      </c>
      <c r="F2647" s="5" t="s">
        <v>413</v>
      </c>
      <c r="G2647" s="5" t="s">
        <v>148</v>
      </c>
      <c r="H2647" s="5" t="s">
        <v>3</v>
      </c>
      <c r="I2647" s="5"/>
      <c r="J2647" s="5" t="s">
        <v>412</v>
      </c>
    </row>
    <row r="2648" spans="1:10" x14ac:dyDescent="0.2">
      <c r="A2648" s="5" t="s">
        <v>411</v>
      </c>
      <c r="B2648" s="5" t="s">
        <v>83</v>
      </c>
      <c r="C2648" s="5"/>
      <c r="D2648" s="5" t="s">
        <v>410</v>
      </c>
      <c r="E2648" s="5"/>
      <c r="F2648" s="5" t="s">
        <v>409</v>
      </c>
      <c r="G2648" s="5" t="s">
        <v>224</v>
      </c>
      <c r="H2648" s="5" t="s">
        <v>137</v>
      </c>
      <c r="I2648" s="5" t="s">
        <v>408</v>
      </c>
      <c r="J2648" s="5" t="s">
        <v>407</v>
      </c>
    </row>
    <row r="2649" spans="1:10" ht="25.5" x14ac:dyDescent="0.2">
      <c r="A2649" s="5" t="s">
        <v>406</v>
      </c>
      <c r="B2649" s="5" t="s">
        <v>83</v>
      </c>
      <c r="C2649" s="5"/>
      <c r="D2649" s="5" t="s">
        <v>405</v>
      </c>
      <c r="E2649" s="5" t="s">
        <v>404</v>
      </c>
      <c r="F2649" s="5" t="s">
        <v>97</v>
      </c>
      <c r="G2649" s="5" t="s">
        <v>403</v>
      </c>
      <c r="H2649" s="5" t="s">
        <v>3</v>
      </c>
      <c r="I2649" s="5"/>
      <c r="J2649" s="5" t="s">
        <v>402</v>
      </c>
    </row>
    <row r="2650" spans="1:10" x14ac:dyDescent="0.2">
      <c r="A2650" s="5" t="s">
        <v>401</v>
      </c>
      <c r="B2650" s="5" t="s">
        <v>83</v>
      </c>
      <c r="C2650" s="5"/>
      <c r="D2650" s="5" t="s">
        <v>400</v>
      </c>
      <c r="E2650" s="5" t="s">
        <v>213</v>
      </c>
      <c r="F2650" s="5" t="s">
        <v>397</v>
      </c>
      <c r="G2650" s="5" t="s">
        <v>148</v>
      </c>
      <c r="H2650" s="5" t="s">
        <v>3</v>
      </c>
      <c r="I2650" s="5"/>
      <c r="J2650" s="5"/>
    </row>
    <row r="2651" spans="1:10" x14ac:dyDescent="0.2">
      <c r="A2651" s="5" t="s">
        <v>399</v>
      </c>
      <c r="B2651" s="5" t="s">
        <v>83</v>
      </c>
      <c r="C2651" s="5"/>
      <c r="D2651" s="5" t="s">
        <v>398</v>
      </c>
      <c r="E2651" s="5" t="s">
        <v>93</v>
      </c>
      <c r="F2651" s="5" t="s">
        <v>397</v>
      </c>
      <c r="G2651" s="5" t="s">
        <v>173</v>
      </c>
      <c r="H2651" s="5" t="s">
        <v>3</v>
      </c>
      <c r="I2651" s="5"/>
      <c r="J2651" s="5"/>
    </row>
    <row r="2652" spans="1:10" ht="25.5" x14ac:dyDescent="0.2">
      <c r="A2652" s="5" t="s">
        <v>396</v>
      </c>
      <c r="B2652" s="5" t="s">
        <v>83</v>
      </c>
      <c r="C2652" s="5"/>
      <c r="D2652" s="5" t="s">
        <v>395</v>
      </c>
      <c r="E2652" s="5"/>
      <c r="F2652" s="5" t="s">
        <v>394</v>
      </c>
      <c r="G2652" s="5" t="s">
        <v>393</v>
      </c>
      <c r="H2652" s="5" t="s">
        <v>137</v>
      </c>
      <c r="I2652" s="5" t="s">
        <v>392</v>
      </c>
      <c r="J2652" s="5" t="s">
        <v>391</v>
      </c>
    </row>
    <row r="2653" spans="1:10" x14ac:dyDescent="0.2">
      <c r="A2653" s="5" t="s">
        <v>390</v>
      </c>
      <c r="B2653" s="5" t="s">
        <v>83</v>
      </c>
      <c r="C2653" s="5"/>
      <c r="D2653" s="5" t="s">
        <v>389</v>
      </c>
      <c r="E2653" s="5" t="s">
        <v>138</v>
      </c>
      <c r="F2653" s="5" t="s">
        <v>386</v>
      </c>
      <c r="G2653" s="5" t="s">
        <v>91</v>
      </c>
      <c r="H2653" s="5" t="s">
        <v>137</v>
      </c>
      <c r="I2653" s="5" t="s">
        <v>55</v>
      </c>
      <c r="J2653" s="5"/>
    </row>
    <row r="2654" spans="1:10" x14ac:dyDescent="0.2">
      <c r="A2654" s="5" t="s">
        <v>388</v>
      </c>
      <c r="B2654" s="5" t="s">
        <v>83</v>
      </c>
      <c r="C2654" s="5"/>
      <c r="D2654" s="5" t="s">
        <v>387</v>
      </c>
      <c r="E2654" s="5"/>
      <c r="F2654" s="5" t="s">
        <v>386</v>
      </c>
      <c r="G2654" s="5" t="s">
        <v>148</v>
      </c>
      <c r="H2654" s="5" t="s">
        <v>3</v>
      </c>
      <c r="I2654" s="5"/>
      <c r="J2654" s="5" t="s">
        <v>385</v>
      </c>
    </row>
    <row r="2655" spans="1:10" ht="25.5" x14ac:dyDescent="0.2">
      <c r="A2655" s="5" t="s">
        <v>384</v>
      </c>
      <c r="B2655" s="5" t="s">
        <v>83</v>
      </c>
      <c r="C2655" s="5"/>
      <c r="D2655" s="5" t="s">
        <v>383</v>
      </c>
      <c r="E2655" s="5" t="s">
        <v>368</v>
      </c>
      <c r="F2655" s="5"/>
      <c r="G2655" s="5" t="s">
        <v>382</v>
      </c>
      <c r="H2655" s="5" t="s">
        <v>3</v>
      </c>
      <c r="I2655" s="5"/>
      <c r="J2655" s="5"/>
    </row>
    <row r="2656" spans="1:10" ht="25.5" x14ac:dyDescent="0.2">
      <c r="A2656" s="5" t="s">
        <v>381</v>
      </c>
      <c r="B2656" s="5" t="s">
        <v>83</v>
      </c>
      <c r="C2656" s="5"/>
      <c r="D2656" s="5" t="s">
        <v>380</v>
      </c>
      <c r="E2656" s="5"/>
      <c r="F2656" s="5" t="s">
        <v>379</v>
      </c>
      <c r="G2656" s="5" t="s">
        <v>105</v>
      </c>
      <c r="H2656" s="5" t="s">
        <v>3</v>
      </c>
      <c r="I2656" s="5"/>
      <c r="J2656" s="5" t="s">
        <v>378</v>
      </c>
    </row>
    <row r="2657" spans="1:10" x14ac:dyDescent="0.2">
      <c r="A2657" s="5" t="s">
        <v>377</v>
      </c>
      <c r="B2657" s="5" t="s">
        <v>83</v>
      </c>
      <c r="C2657" s="5"/>
      <c r="D2657" s="5" t="s">
        <v>376</v>
      </c>
      <c r="E2657" s="5"/>
      <c r="F2657" s="5" t="s">
        <v>375</v>
      </c>
      <c r="G2657" s="5" t="s">
        <v>91</v>
      </c>
      <c r="H2657" s="5" t="s">
        <v>3</v>
      </c>
      <c r="I2657" s="5"/>
      <c r="J2657" s="5" t="s">
        <v>374</v>
      </c>
    </row>
    <row r="2658" spans="1:10" ht="25.5" x14ac:dyDescent="0.2">
      <c r="A2658" s="5" t="s">
        <v>372</v>
      </c>
      <c r="B2658" s="5" t="s">
        <v>83</v>
      </c>
      <c r="C2658" s="5"/>
      <c r="D2658" s="5" t="s">
        <v>373</v>
      </c>
      <c r="E2658" s="5"/>
      <c r="F2658" s="5" t="s">
        <v>372</v>
      </c>
      <c r="G2658" s="5" t="s">
        <v>173</v>
      </c>
      <c r="H2658" s="5" t="s">
        <v>3</v>
      </c>
      <c r="I2658" s="5"/>
      <c r="J2658" s="5" t="s">
        <v>371</v>
      </c>
    </row>
    <row r="2659" spans="1:10" x14ac:dyDescent="0.2">
      <c r="A2659" s="5" t="s">
        <v>370</v>
      </c>
      <c r="B2659" s="5" t="s">
        <v>83</v>
      </c>
      <c r="C2659" s="5"/>
      <c r="D2659" s="5" t="s">
        <v>369</v>
      </c>
      <c r="E2659" s="5" t="s">
        <v>368</v>
      </c>
      <c r="F2659" s="5"/>
      <c r="G2659" s="5" t="s">
        <v>195</v>
      </c>
      <c r="H2659" s="5" t="s">
        <v>3</v>
      </c>
      <c r="I2659" s="5"/>
      <c r="J2659" s="5"/>
    </row>
    <row r="2660" spans="1:10" ht="25.5" x14ac:dyDescent="0.2">
      <c r="A2660" s="5" t="s">
        <v>367</v>
      </c>
      <c r="B2660" s="5" t="s">
        <v>83</v>
      </c>
      <c r="C2660" s="5"/>
      <c r="D2660" s="5" t="s">
        <v>366</v>
      </c>
      <c r="E2660" s="5" t="s">
        <v>299</v>
      </c>
      <c r="F2660" s="5" t="s">
        <v>365</v>
      </c>
      <c r="G2660" s="5" t="s">
        <v>91</v>
      </c>
      <c r="H2660" s="5" t="s">
        <v>137</v>
      </c>
      <c r="I2660" s="5" t="s">
        <v>55</v>
      </c>
      <c r="J2660" s="5" t="s">
        <v>364</v>
      </c>
    </row>
    <row r="2661" spans="1:10" ht="25.5" x14ac:dyDescent="0.2">
      <c r="A2661" s="5" t="s">
        <v>363</v>
      </c>
      <c r="B2661" s="5" t="s">
        <v>83</v>
      </c>
      <c r="C2661" s="5"/>
      <c r="D2661" s="5" t="s">
        <v>362</v>
      </c>
      <c r="E2661" s="5"/>
      <c r="F2661" s="5"/>
      <c r="G2661" s="5" t="s">
        <v>224</v>
      </c>
      <c r="H2661" s="5" t="s">
        <v>137</v>
      </c>
      <c r="I2661" s="5" t="s">
        <v>361</v>
      </c>
      <c r="J2661" s="5"/>
    </row>
    <row r="2662" spans="1:10" x14ac:dyDescent="0.2">
      <c r="A2662" s="5" t="s">
        <v>360</v>
      </c>
      <c r="B2662" s="5" t="s">
        <v>83</v>
      </c>
      <c r="C2662" s="5"/>
      <c r="D2662" s="5" t="s">
        <v>359</v>
      </c>
      <c r="E2662" s="5"/>
      <c r="F2662" s="5" t="s">
        <v>358</v>
      </c>
      <c r="G2662" s="5" t="s">
        <v>357</v>
      </c>
      <c r="H2662" s="5" t="s">
        <v>3</v>
      </c>
      <c r="I2662" s="5"/>
      <c r="J2662" s="5"/>
    </row>
    <row r="2663" spans="1:10" x14ac:dyDescent="0.2">
      <c r="A2663" s="5" t="s">
        <v>356</v>
      </c>
      <c r="B2663" s="5" t="s">
        <v>83</v>
      </c>
      <c r="C2663" s="5"/>
      <c r="D2663" s="5" t="s">
        <v>355</v>
      </c>
      <c r="E2663" s="5"/>
      <c r="F2663" s="5" t="s">
        <v>354</v>
      </c>
      <c r="G2663" s="5" t="s">
        <v>105</v>
      </c>
      <c r="H2663" s="5" t="s">
        <v>3</v>
      </c>
      <c r="I2663" s="5"/>
      <c r="J2663" s="5" t="s">
        <v>353</v>
      </c>
    </row>
    <row r="2664" spans="1:10" x14ac:dyDescent="0.2">
      <c r="A2664" s="5" t="s">
        <v>352</v>
      </c>
      <c r="B2664" s="5" t="s">
        <v>83</v>
      </c>
      <c r="C2664" s="5"/>
      <c r="D2664" s="5" t="s">
        <v>351</v>
      </c>
      <c r="E2664" s="5"/>
      <c r="F2664" s="5" t="s">
        <v>350</v>
      </c>
      <c r="G2664" s="5" t="s">
        <v>105</v>
      </c>
      <c r="H2664" s="5" t="s">
        <v>3</v>
      </c>
      <c r="I2664" s="5"/>
      <c r="J2664" s="5"/>
    </row>
    <row r="2665" spans="1:10" x14ac:dyDescent="0.2">
      <c r="A2665" s="5" t="s">
        <v>349</v>
      </c>
      <c r="B2665" s="5" t="s">
        <v>83</v>
      </c>
      <c r="C2665" s="5"/>
      <c r="D2665" s="5" t="s">
        <v>348</v>
      </c>
      <c r="E2665" s="5"/>
      <c r="F2665" s="5" t="s">
        <v>345</v>
      </c>
      <c r="G2665" s="5" t="s">
        <v>173</v>
      </c>
      <c r="H2665" s="5" t="s">
        <v>137</v>
      </c>
      <c r="I2665" s="5" t="s">
        <v>55</v>
      </c>
      <c r="J2665" s="5"/>
    </row>
    <row r="2666" spans="1:10" x14ac:dyDescent="0.2">
      <c r="A2666" s="5" t="s">
        <v>347</v>
      </c>
      <c r="B2666" s="5" t="s">
        <v>83</v>
      </c>
      <c r="C2666" s="5"/>
      <c r="D2666" s="5" t="s">
        <v>346</v>
      </c>
      <c r="E2666" s="5"/>
      <c r="F2666" s="5" t="s">
        <v>345</v>
      </c>
      <c r="G2666" s="5" t="s">
        <v>173</v>
      </c>
      <c r="H2666" s="5" t="s">
        <v>137</v>
      </c>
      <c r="I2666" s="5" t="s">
        <v>55</v>
      </c>
      <c r="J2666" s="5" t="s">
        <v>344</v>
      </c>
    </row>
    <row r="2667" spans="1:10" ht="25.5" x14ac:dyDescent="0.2">
      <c r="A2667" s="5" t="s">
        <v>343</v>
      </c>
      <c r="B2667" s="5" t="s">
        <v>83</v>
      </c>
      <c r="C2667" s="5"/>
      <c r="D2667" s="5" t="s">
        <v>342</v>
      </c>
      <c r="E2667" s="5"/>
      <c r="F2667" s="5" t="s">
        <v>341</v>
      </c>
      <c r="G2667" s="5" t="s">
        <v>224</v>
      </c>
      <c r="H2667" s="5" t="s">
        <v>3</v>
      </c>
      <c r="I2667" s="5"/>
      <c r="J2667" s="5" t="s">
        <v>341</v>
      </c>
    </row>
    <row r="2668" spans="1:10" ht="25.5" x14ac:dyDescent="0.2">
      <c r="A2668" s="5" t="s">
        <v>340</v>
      </c>
      <c r="B2668" s="5" t="s">
        <v>83</v>
      </c>
      <c r="C2668" s="5"/>
      <c r="D2668" s="5" t="s">
        <v>339</v>
      </c>
      <c r="E2668" s="5" t="s">
        <v>138</v>
      </c>
      <c r="F2668" s="5" t="s">
        <v>338</v>
      </c>
      <c r="G2668" s="5" t="s">
        <v>91</v>
      </c>
      <c r="H2668" s="5" t="s">
        <v>3</v>
      </c>
      <c r="I2668" s="5"/>
      <c r="J2668" s="5" t="s">
        <v>90</v>
      </c>
    </row>
    <row r="2669" spans="1:10" ht="38.25" x14ac:dyDescent="0.2">
      <c r="A2669" s="5" t="s">
        <v>337</v>
      </c>
      <c r="B2669" s="5" t="s">
        <v>83</v>
      </c>
      <c r="C2669" s="5"/>
      <c r="D2669" s="5" t="s">
        <v>335</v>
      </c>
      <c r="E2669" s="5" t="s">
        <v>138</v>
      </c>
      <c r="F2669" s="5" t="s">
        <v>92</v>
      </c>
      <c r="G2669" s="5" t="s">
        <v>91</v>
      </c>
      <c r="H2669" s="5" t="s">
        <v>3</v>
      </c>
      <c r="I2669" s="5"/>
      <c r="J2669" s="5" t="s">
        <v>333</v>
      </c>
    </row>
    <row r="2670" spans="1:10" ht="38.25" x14ac:dyDescent="0.2">
      <c r="A2670" s="5" t="s">
        <v>336</v>
      </c>
      <c r="B2670" s="5" t="s">
        <v>83</v>
      </c>
      <c r="C2670" s="5"/>
      <c r="D2670" s="5" t="s">
        <v>335</v>
      </c>
      <c r="E2670" s="5" t="s">
        <v>138</v>
      </c>
      <c r="F2670" s="5" t="s">
        <v>334</v>
      </c>
      <c r="G2670" s="5" t="s">
        <v>91</v>
      </c>
      <c r="H2670" s="5" t="s">
        <v>3</v>
      </c>
      <c r="I2670" s="5"/>
      <c r="J2670" s="5" t="s">
        <v>333</v>
      </c>
    </row>
    <row r="2671" spans="1:10" x14ac:dyDescent="0.2">
      <c r="A2671" s="5" t="s">
        <v>331</v>
      </c>
      <c r="B2671" s="5" t="s">
        <v>83</v>
      </c>
      <c r="C2671" s="5"/>
      <c r="D2671" s="5" t="s">
        <v>332</v>
      </c>
      <c r="E2671" s="5" t="s">
        <v>138</v>
      </c>
      <c r="F2671" s="5" t="s">
        <v>331</v>
      </c>
      <c r="G2671" s="5" t="s">
        <v>181</v>
      </c>
      <c r="H2671" s="5" t="s">
        <v>3</v>
      </c>
      <c r="I2671" s="5"/>
      <c r="J2671" s="5"/>
    </row>
    <row r="2672" spans="1:10" x14ac:dyDescent="0.2">
      <c r="A2672" s="5" t="s">
        <v>330</v>
      </c>
      <c r="B2672" s="5" t="s">
        <v>83</v>
      </c>
      <c r="C2672" s="5"/>
      <c r="D2672" s="5" t="s">
        <v>329</v>
      </c>
      <c r="E2672" s="5"/>
      <c r="F2672" s="5" t="s">
        <v>307</v>
      </c>
      <c r="G2672" s="5" t="s">
        <v>328</v>
      </c>
      <c r="H2672" s="5" t="s">
        <v>3</v>
      </c>
      <c r="I2672" s="5"/>
      <c r="J2672" s="5" t="s">
        <v>327</v>
      </c>
    </row>
    <row r="2673" spans="1:10" ht="25.5" x14ac:dyDescent="0.2">
      <c r="A2673" s="5" t="s">
        <v>326</v>
      </c>
      <c r="B2673" s="5" t="s">
        <v>83</v>
      </c>
      <c r="C2673" s="5"/>
      <c r="D2673" s="5" t="s">
        <v>325</v>
      </c>
      <c r="E2673" s="5"/>
      <c r="F2673" s="5" t="s">
        <v>324</v>
      </c>
      <c r="G2673" s="5" t="s">
        <v>105</v>
      </c>
      <c r="H2673" s="5" t="s">
        <v>3</v>
      </c>
      <c r="I2673" s="5"/>
      <c r="J2673" s="5" t="s">
        <v>323</v>
      </c>
    </row>
    <row r="2674" spans="1:10" ht="25.5" x14ac:dyDescent="0.2">
      <c r="A2674" s="5" t="s">
        <v>322</v>
      </c>
      <c r="B2674" s="5" t="s">
        <v>83</v>
      </c>
      <c r="C2674" s="5"/>
      <c r="D2674" s="5" t="s">
        <v>321</v>
      </c>
      <c r="E2674" s="5"/>
      <c r="F2674" s="5" t="s">
        <v>320</v>
      </c>
      <c r="G2674" s="5" t="s">
        <v>283</v>
      </c>
      <c r="H2674" s="5" t="s">
        <v>3</v>
      </c>
      <c r="I2674" s="5"/>
      <c r="J2674" s="5" t="s">
        <v>319</v>
      </c>
    </row>
    <row r="2675" spans="1:10" ht="25.5" x14ac:dyDescent="0.2">
      <c r="A2675" s="5" t="s">
        <v>318</v>
      </c>
      <c r="B2675" s="5" t="s">
        <v>83</v>
      </c>
      <c r="C2675" s="5"/>
      <c r="D2675" s="5" t="s">
        <v>317</v>
      </c>
      <c r="E2675" s="5"/>
      <c r="F2675" s="5" t="s">
        <v>316</v>
      </c>
      <c r="G2675" s="5" t="s">
        <v>315</v>
      </c>
      <c r="H2675" s="5" t="s">
        <v>137</v>
      </c>
      <c r="I2675" s="5"/>
      <c r="J2675" s="5" t="s">
        <v>314</v>
      </c>
    </row>
    <row r="2676" spans="1:10" ht="25.5" x14ac:dyDescent="0.2">
      <c r="A2676" s="5" t="s">
        <v>313</v>
      </c>
      <c r="B2676" s="5" t="s">
        <v>83</v>
      </c>
      <c r="C2676" s="5"/>
      <c r="D2676" s="5" t="s">
        <v>312</v>
      </c>
      <c r="E2676" s="5"/>
      <c r="F2676" s="5" t="s">
        <v>311</v>
      </c>
      <c r="G2676" s="5" t="s">
        <v>91</v>
      </c>
      <c r="H2676" s="5" t="s">
        <v>3</v>
      </c>
      <c r="I2676" s="5"/>
      <c r="J2676" s="5" t="s">
        <v>310</v>
      </c>
    </row>
    <row r="2677" spans="1:10" ht="25.5" x14ac:dyDescent="0.2">
      <c r="A2677" s="5" t="s">
        <v>309</v>
      </c>
      <c r="B2677" s="5" t="s">
        <v>83</v>
      </c>
      <c r="C2677" s="5"/>
      <c r="D2677" s="5" t="s">
        <v>308</v>
      </c>
      <c r="E2677" s="5"/>
      <c r="F2677" s="5" t="s">
        <v>307</v>
      </c>
      <c r="G2677" s="5" t="s">
        <v>105</v>
      </c>
      <c r="H2677" s="5" t="s">
        <v>3</v>
      </c>
      <c r="I2677" s="5"/>
      <c r="J2677" s="5" t="s">
        <v>306</v>
      </c>
    </row>
    <row r="2678" spans="1:10" ht="25.5" x14ac:dyDescent="0.2">
      <c r="A2678" s="5" t="s">
        <v>305</v>
      </c>
      <c r="B2678" s="5" t="s">
        <v>83</v>
      </c>
      <c r="C2678" s="5"/>
      <c r="D2678" s="5" t="s">
        <v>304</v>
      </c>
      <c r="E2678" s="5" t="s">
        <v>299</v>
      </c>
      <c r="F2678" s="5" t="s">
        <v>259</v>
      </c>
      <c r="G2678" s="5" t="s">
        <v>303</v>
      </c>
      <c r="H2678" s="5" t="s">
        <v>137</v>
      </c>
      <c r="I2678" s="5" t="s">
        <v>275</v>
      </c>
      <c r="J2678" s="5" t="s">
        <v>302</v>
      </c>
    </row>
    <row r="2679" spans="1:10" ht="25.5" x14ac:dyDescent="0.2">
      <c r="A2679" s="5" t="s">
        <v>301</v>
      </c>
      <c r="B2679" s="5" t="s">
        <v>83</v>
      </c>
      <c r="C2679" s="5"/>
      <c r="D2679" s="5" t="s">
        <v>300</v>
      </c>
      <c r="E2679" s="5" t="s">
        <v>299</v>
      </c>
      <c r="F2679" s="5" t="s">
        <v>259</v>
      </c>
      <c r="G2679" s="5" t="s">
        <v>91</v>
      </c>
      <c r="H2679" s="5" t="s">
        <v>137</v>
      </c>
      <c r="I2679" s="5" t="s">
        <v>275</v>
      </c>
      <c r="J2679" s="5" t="s">
        <v>298</v>
      </c>
    </row>
    <row r="2680" spans="1:10" ht="25.5" x14ac:dyDescent="0.2">
      <c r="A2680" s="5" t="s">
        <v>297</v>
      </c>
      <c r="B2680" s="5" t="s">
        <v>83</v>
      </c>
      <c r="C2680" s="5"/>
      <c r="D2680" s="5" t="s">
        <v>296</v>
      </c>
      <c r="E2680" s="5"/>
      <c r="F2680" s="5" t="s">
        <v>259</v>
      </c>
      <c r="G2680" s="5" t="s">
        <v>114</v>
      </c>
      <c r="H2680" s="5" t="s">
        <v>137</v>
      </c>
      <c r="I2680" s="5" t="s">
        <v>263</v>
      </c>
      <c r="J2680" s="5" t="s">
        <v>295</v>
      </c>
    </row>
    <row r="2681" spans="1:10" ht="25.5" x14ac:dyDescent="0.2">
      <c r="A2681" s="5" t="s">
        <v>294</v>
      </c>
      <c r="B2681" s="5" t="s">
        <v>83</v>
      </c>
      <c r="C2681" s="5"/>
      <c r="D2681" s="5" t="s">
        <v>293</v>
      </c>
      <c r="E2681" s="5"/>
      <c r="F2681" s="5" t="s">
        <v>292</v>
      </c>
      <c r="G2681" s="5" t="s">
        <v>283</v>
      </c>
      <c r="H2681" s="5" t="s">
        <v>137</v>
      </c>
      <c r="I2681" s="5" t="s">
        <v>15</v>
      </c>
      <c r="J2681" s="5" t="s">
        <v>291</v>
      </c>
    </row>
    <row r="2682" spans="1:10" ht="25.5" x14ac:dyDescent="0.2">
      <c r="A2682" s="5" t="s">
        <v>290</v>
      </c>
      <c r="B2682" s="5" t="s">
        <v>83</v>
      </c>
      <c r="C2682" s="5"/>
      <c r="D2682" s="5" t="s">
        <v>289</v>
      </c>
      <c r="E2682" s="5" t="s">
        <v>288</v>
      </c>
      <c r="F2682" s="5" t="s">
        <v>267</v>
      </c>
      <c r="G2682" s="5" t="s">
        <v>91</v>
      </c>
      <c r="H2682" s="5" t="s">
        <v>3</v>
      </c>
      <c r="I2682" s="5"/>
      <c r="J2682" s="5" t="s">
        <v>287</v>
      </c>
    </row>
    <row r="2683" spans="1:10" ht="25.5" x14ac:dyDescent="0.2">
      <c r="A2683" s="5" t="s">
        <v>286</v>
      </c>
      <c r="B2683" s="5" t="s">
        <v>83</v>
      </c>
      <c r="C2683" s="5"/>
      <c r="D2683" s="5" t="s">
        <v>285</v>
      </c>
      <c r="E2683" s="5"/>
      <c r="F2683" s="5" t="s">
        <v>284</v>
      </c>
      <c r="G2683" s="5" t="s">
        <v>283</v>
      </c>
      <c r="H2683" s="5" t="s">
        <v>3</v>
      </c>
      <c r="I2683" s="5"/>
      <c r="J2683" s="5" t="s">
        <v>282</v>
      </c>
    </row>
    <row r="2684" spans="1:10" x14ac:dyDescent="0.2">
      <c r="A2684" s="5" t="s">
        <v>275</v>
      </c>
      <c r="B2684" s="5" t="s">
        <v>83</v>
      </c>
      <c r="C2684" s="5"/>
      <c r="D2684" s="5" t="s">
        <v>281</v>
      </c>
      <c r="E2684" s="5"/>
      <c r="F2684" s="5" t="s">
        <v>280</v>
      </c>
      <c r="G2684" s="5" t="s">
        <v>229</v>
      </c>
      <c r="H2684" s="5" t="s">
        <v>137</v>
      </c>
      <c r="I2684" s="5" t="s">
        <v>55</v>
      </c>
      <c r="J2684" s="5" t="s">
        <v>279</v>
      </c>
    </row>
    <row r="2685" spans="1:10" ht="25.5" x14ac:dyDescent="0.2">
      <c r="A2685" s="5" t="s">
        <v>278</v>
      </c>
      <c r="B2685" s="5" t="s">
        <v>83</v>
      </c>
      <c r="C2685" s="5"/>
      <c r="D2685" s="5" t="s">
        <v>277</v>
      </c>
      <c r="E2685" s="5"/>
      <c r="F2685" s="5" t="s">
        <v>259</v>
      </c>
      <c r="G2685" s="5" t="s">
        <v>276</v>
      </c>
      <c r="H2685" s="5" t="s">
        <v>137</v>
      </c>
      <c r="I2685" s="5" t="s">
        <v>275</v>
      </c>
      <c r="J2685" s="5" t="s">
        <v>274</v>
      </c>
    </row>
    <row r="2686" spans="1:10" x14ac:dyDescent="0.2">
      <c r="A2686" s="5" t="s">
        <v>273</v>
      </c>
      <c r="B2686" s="5" t="s">
        <v>83</v>
      </c>
      <c r="C2686" s="5"/>
      <c r="D2686" s="5" t="s">
        <v>272</v>
      </c>
      <c r="E2686" s="5"/>
      <c r="F2686" s="5" t="s">
        <v>259</v>
      </c>
      <c r="G2686" s="5" t="s">
        <v>80</v>
      </c>
      <c r="H2686" s="5" t="s">
        <v>3</v>
      </c>
      <c r="I2686" s="5"/>
      <c r="J2686" s="5"/>
    </row>
    <row r="2687" spans="1:10" ht="25.5" x14ac:dyDescent="0.2">
      <c r="A2687" s="5" t="s">
        <v>271</v>
      </c>
      <c r="B2687" s="5" t="s">
        <v>83</v>
      </c>
      <c r="C2687" s="5"/>
      <c r="D2687" s="5" t="s">
        <v>270</v>
      </c>
      <c r="E2687" s="5"/>
      <c r="F2687" s="5" t="s">
        <v>259</v>
      </c>
      <c r="G2687" s="5" t="s">
        <v>105</v>
      </c>
      <c r="H2687" s="5" t="s">
        <v>3</v>
      </c>
      <c r="I2687" s="5"/>
      <c r="J2687" s="5"/>
    </row>
    <row r="2688" spans="1:10" ht="25.5" x14ac:dyDescent="0.2">
      <c r="A2688" s="5" t="s">
        <v>269</v>
      </c>
      <c r="B2688" s="5" t="s">
        <v>83</v>
      </c>
      <c r="C2688" s="5"/>
      <c r="D2688" s="5" t="s">
        <v>268</v>
      </c>
      <c r="E2688" s="5"/>
      <c r="F2688" s="5" t="s">
        <v>267</v>
      </c>
      <c r="G2688" s="5" t="s">
        <v>118</v>
      </c>
      <c r="H2688" s="5" t="s">
        <v>3</v>
      </c>
      <c r="I2688" s="5"/>
      <c r="J2688" s="5" t="s">
        <v>266</v>
      </c>
    </row>
    <row r="2689" spans="1:10" ht="25.5" x14ac:dyDescent="0.2">
      <c r="A2689" s="5" t="s">
        <v>265</v>
      </c>
      <c r="B2689" s="5" t="s">
        <v>83</v>
      </c>
      <c r="C2689" s="5"/>
      <c r="D2689" s="5" t="s">
        <v>264</v>
      </c>
      <c r="E2689" s="5"/>
      <c r="F2689" s="5" t="s">
        <v>259</v>
      </c>
      <c r="G2689" s="5" t="s">
        <v>118</v>
      </c>
      <c r="H2689" s="5" t="s">
        <v>137</v>
      </c>
      <c r="I2689" s="5" t="s">
        <v>263</v>
      </c>
      <c r="J2689" s="5" t="s">
        <v>262</v>
      </c>
    </row>
    <row r="2690" spans="1:10" ht="25.5" x14ac:dyDescent="0.2">
      <c r="A2690" s="5" t="s">
        <v>261</v>
      </c>
      <c r="B2690" s="5" t="s">
        <v>83</v>
      </c>
      <c r="C2690" s="5"/>
      <c r="D2690" s="5" t="s">
        <v>260</v>
      </c>
      <c r="E2690" s="5"/>
      <c r="F2690" s="5" t="s">
        <v>259</v>
      </c>
      <c r="G2690" s="5" t="s">
        <v>118</v>
      </c>
      <c r="H2690" s="5" t="s">
        <v>3</v>
      </c>
      <c r="I2690" s="5"/>
      <c r="J2690" s="5" t="s">
        <v>258</v>
      </c>
    </row>
    <row r="2691" spans="1:10" ht="25.5" x14ac:dyDescent="0.2">
      <c r="A2691" s="5" t="s">
        <v>257</v>
      </c>
      <c r="B2691" s="5" t="s">
        <v>83</v>
      </c>
      <c r="C2691" s="5"/>
      <c r="D2691" s="5" t="s">
        <v>256</v>
      </c>
      <c r="E2691" s="5"/>
      <c r="F2691" s="5" t="s">
        <v>244</v>
      </c>
      <c r="G2691" s="5" t="s">
        <v>255</v>
      </c>
      <c r="H2691" s="5" t="s">
        <v>137</v>
      </c>
      <c r="I2691" s="5" t="s">
        <v>9</v>
      </c>
      <c r="J2691" s="5" t="s">
        <v>254</v>
      </c>
    </row>
    <row r="2692" spans="1:10" ht="25.5" x14ac:dyDescent="0.2">
      <c r="A2692" s="5" t="s">
        <v>253</v>
      </c>
      <c r="B2692" s="5" t="s">
        <v>83</v>
      </c>
      <c r="C2692" s="5"/>
      <c r="D2692" s="5" t="s">
        <v>252</v>
      </c>
      <c r="E2692" s="5"/>
      <c r="F2692" s="5" t="s">
        <v>251</v>
      </c>
      <c r="G2692" s="5" t="s">
        <v>224</v>
      </c>
      <c r="H2692" s="5" t="s">
        <v>137</v>
      </c>
      <c r="I2692" s="5" t="s">
        <v>9</v>
      </c>
      <c r="J2692" s="5" t="s">
        <v>250</v>
      </c>
    </row>
    <row r="2693" spans="1:10" ht="25.5" x14ac:dyDescent="0.2">
      <c r="A2693" s="5" t="s">
        <v>249</v>
      </c>
      <c r="B2693" s="5" t="s">
        <v>83</v>
      </c>
      <c r="C2693" s="5"/>
      <c r="D2693" s="5" t="s">
        <v>248</v>
      </c>
      <c r="E2693" s="5" t="s">
        <v>247</v>
      </c>
      <c r="F2693" s="5" t="s">
        <v>244</v>
      </c>
      <c r="G2693" s="5" t="s">
        <v>148</v>
      </c>
      <c r="H2693" s="5" t="s">
        <v>137</v>
      </c>
      <c r="I2693" s="5" t="s">
        <v>9</v>
      </c>
      <c r="J2693" s="5" t="s">
        <v>243</v>
      </c>
    </row>
    <row r="2694" spans="1:10" ht="25.5" x14ac:dyDescent="0.2">
      <c r="A2694" s="5" t="s">
        <v>246</v>
      </c>
      <c r="B2694" s="5" t="s">
        <v>83</v>
      </c>
      <c r="C2694" s="5"/>
      <c r="D2694" s="5" t="s">
        <v>245</v>
      </c>
      <c r="E2694" s="5"/>
      <c r="F2694" s="5" t="s">
        <v>244</v>
      </c>
      <c r="G2694" s="5" t="s">
        <v>181</v>
      </c>
      <c r="H2694" s="5" t="s">
        <v>137</v>
      </c>
      <c r="I2694" s="5" t="s">
        <v>9</v>
      </c>
      <c r="J2694" s="5" t="s">
        <v>243</v>
      </c>
    </row>
    <row r="2695" spans="1:10" ht="25.5" x14ac:dyDescent="0.2">
      <c r="A2695" s="5" t="s">
        <v>242</v>
      </c>
      <c r="B2695" s="5" t="s">
        <v>83</v>
      </c>
      <c r="C2695" s="5"/>
      <c r="D2695" s="5" t="s">
        <v>241</v>
      </c>
      <c r="E2695" s="5"/>
      <c r="F2695" s="5" t="s">
        <v>240</v>
      </c>
      <c r="G2695" s="5" t="s">
        <v>229</v>
      </c>
      <c r="H2695" s="5" t="s">
        <v>3</v>
      </c>
      <c r="I2695" s="5"/>
      <c r="J2695" s="5"/>
    </row>
    <row r="2696" spans="1:10" ht="25.5" x14ac:dyDescent="0.2">
      <c r="A2696" s="5" t="s">
        <v>239</v>
      </c>
      <c r="B2696" s="5" t="s">
        <v>83</v>
      </c>
      <c r="C2696" s="5"/>
      <c r="D2696" s="5" t="s">
        <v>238</v>
      </c>
      <c r="E2696" s="5"/>
      <c r="F2696" s="5" t="s">
        <v>237</v>
      </c>
      <c r="G2696" s="5" t="s">
        <v>80</v>
      </c>
      <c r="H2696" s="5" t="s">
        <v>3</v>
      </c>
      <c r="I2696" s="5"/>
      <c r="J2696" s="5" t="s">
        <v>236</v>
      </c>
    </row>
    <row r="2697" spans="1:10" ht="25.5" x14ac:dyDescent="0.2">
      <c r="A2697" s="5" t="s">
        <v>235</v>
      </c>
      <c r="B2697" s="5" t="s">
        <v>83</v>
      </c>
      <c r="C2697" s="5"/>
      <c r="D2697" s="5" t="s">
        <v>231</v>
      </c>
      <c r="E2697" s="5"/>
      <c r="F2697" s="5" t="s">
        <v>230</v>
      </c>
      <c r="G2697" s="5" t="s">
        <v>234</v>
      </c>
      <c r="H2697" s="5" t="s">
        <v>3</v>
      </c>
      <c r="I2697" s="5"/>
      <c r="J2697" s="5" t="s">
        <v>233</v>
      </c>
    </row>
    <row r="2698" spans="1:10" ht="25.5" x14ac:dyDescent="0.2">
      <c r="A2698" s="5" t="s">
        <v>232</v>
      </c>
      <c r="B2698" s="5" t="s">
        <v>83</v>
      </c>
      <c r="C2698" s="5"/>
      <c r="D2698" s="5" t="s">
        <v>231</v>
      </c>
      <c r="E2698" s="5"/>
      <c r="F2698" s="5" t="s">
        <v>230</v>
      </c>
      <c r="G2698" s="5" t="s">
        <v>229</v>
      </c>
      <c r="H2698" s="5" t="s">
        <v>3</v>
      </c>
      <c r="I2698" s="5"/>
      <c r="J2698" s="5" t="s">
        <v>228</v>
      </c>
    </row>
    <row r="2699" spans="1:10" ht="25.5" x14ac:dyDescent="0.2">
      <c r="A2699" s="5" t="s">
        <v>227</v>
      </c>
      <c r="B2699" s="5" t="s">
        <v>83</v>
      </c>
      <c r="C2699" s="5"/>
      <c r="D2699" s="5" t="s">
        <v>226</v>
      </c>
      <c r="E2699" s="5"/>
      <c r="F2699" s="5" t="s">
        <v>225</v>
      </c>
      <c r="G2699" s="5" t="s">
        <v>224</v>
      </c>
      <c r="H2699" s="5" t="s">
        <v>3</v>
      </c>
      <c r="I2699" s="5"/>
      <c r="J2699" s="5" t="s">
        <v>223</v>
      </c>
    </row>
    <row r="2700" spans="1:10" x14ac:dyDescent="0.2">
      <c r="A2700" s="5" t="s">
        <v>222</v>
      </c>
      <c r="B2700" s="5" t="s">
        <v>83</v>
      </c>
      <c r="C2700" s="5"/>
      <c r="D2700" s="5" t="s">
        <v>221</v>
      </c>
      <c r="E2700" s="5"/>
      <c r="F2700" s="5"/>
      <c r="G2700" s="5" t="s">
        <v>105</v>
      </c>
      <c r="H2700" s="5" t="s">
        <v>3</v>
      </c>
      <c r="I2700" s="5"/>
      <c r="J2700" s="5" t="s">
        <v>220</v>
      </c>
    </row>
    <row r="2701" spans="1:10" ht="25.5" x14ac:dyDescent="0.2">
      <c r="A2701" s="5" t="s">
        <v>219</v>
      </c>
      <c r="B2701" s="5" t="s">
        <v>83</v>
      </c>
      <c r="C2701" s="5"/>
      <c r="D2701" s="5" t="s">
        <v>218</v>
      </c>
      <c r="E2701" s="5"/>
      <c r="F2701" s="5"/>
      <c r="G2701" s="5" t="s">
        <v>118</v>
      </c>
      <c r="H2701" s="5" t="s">
        <v>3</v>
      </c>
      <c r="I2701" s="5"/>
      <c r="J2701" s="5" t="s">
        <v>217</v>
      </c>
    </row>
    <row r="2702" spans="1:10" ht="25.5" x14ac:dyDescent="0.2">
      <c r="A2702" s="5" t="s">
        <v>216</v>
      </c>
      <c r="B2702" s="5" t="s">
        <v>83</v>
      </c>
      <c r="C2702" s="5"/>
      <c r="D2702" s="5" t="s">
        <v>214</v>
      </c>
      <c r="E2702" s="5" t="s">
        <v>150</v>
      </c>
      <c r="F2702" s="5" t="s">
        <v>212</v>
      </c>
      <c r="G2702" s="5" t="s">
        <v>148</v>
      </c>
      <c r="H2702" s="5" t="s">
        <v>137</v>
      </c>
      <c r="I2702" s="5" t="s">
        <v>169</v>
      </c>
      <c r="J2702" s="5" t="s">
        <v>211</v>
      </c>
    </row>
    <row r="2703" spans="1:10" ht="25.5" x14ac:dyDescent="0.2">
      <c r="A2703" s="5" t="s">
        <v>215</v>
      </c>
      <c r="B2703" s="5" t="s">
        <v>83</v>
      </c>
      <c r="C2703" s="5"/>
      <c r="D2703" s="5" t="s">
        <v>214</v>
      </c>
      <c r="E2703" s="5" t="s">
        <v>213</v>
      </c>
      <c r="F2703" s="5" t="s">
        <v>212</v>
      </c>
      <c r="G2703" s="5" t="s">
        <v>91</v>
      </c>
      <c r="H2703" s="5" t="s">
        <v>137</v>
      </c>
      <c r="I2703" s="5" t="s">
        <v>169</v>
      </c>
      <c r="J2703" s="5" t="s">
        <v>211</v>
      </c>
    </row>
    <row r="2704" spans="1:10" x14ac:dyDescent="0.2">
      <c r="A2704" s="5" t="s">
        <v>210</v>
      </c>
      <c r="B2704" s="5" t="s">
        <v>83</v>
      </c>
      <c r="C2704" s="5"/>
      <c r="D2704" s="5" t="s">
        <v>209</v>
      </c>
      <c r="E2704" s="5" t="s">
        <v>93</v>
      </c>
      <c r="F2704" s="5" t="s">
        <v>208</v>
      </c>
      <c r="G2704" s="5" t="s">
        <v>207</v>
      </c>
      <c r="H2704" s="5" t="s">
        <v>3</v>
      </c>
      <c r="I2704" s="5"/>
      <c r="J2704" s="5" t="s">
        <v>206</v>
      </c>
    </row>
    <row r="2705" spans="1:10" ht="25.5" x14ac:dyDescent="0.2">
      <c r="A2705" s="5" t="s">
        <v>205</v>
      </c>
      <c r="B2705" s="5" t="s">
        <v>83</v>
      </c>
      <c r="C2705" s="5"/>
      <c r="D2705" s="5" t="s">
        <v>204</v>
      </c>
      <c r="E2705" s="5"/>
      <c r="F2705" s="5" t="s">
        <v>203</v>
      </c>
      <c r="G2705" s="5" t="s">
        <v>173</v>
      </c>
      <c r="H2705" s="5" t="s">
        <v>137</v>
      </c>
      <c r="I2705" s="5" t="s">
        <v>169</v>
      </c>
      <c r="J2705" s="5" t="s">
        <v>202</v>
      </c>
    </row>
    <row r="2706" spans="1:10" ht="25.5" x14ac:dyDescent="0.2">
      <c r="A2706" s="5" t="s">
        <v>201</v>
      </c>
      <c r="B2706" s="5" t="s">
        <v>83</v>
      </c>
      <c r="C2706" s="5"/>
      <c r="D2706" s="5" t="s">
        <v>200</v>
      </c>
      <c r="E2706" s="5"/>
      <c r="F2706" s="5" t="s">
        <v>165</v>
      </c>
      <c r="G2706" s="5" t="s">
        <v>199</v>
      </c>
      <c r="H2706" s="5" t="s">
        <v>137</v>
      </c>
      <c r="I2706" s="5" t="s">
        <v>164</v>
      </c>
      <c r="J2706" s="5" t="s">
        <v>198</v>
      </c>
    </row>
    <row r="2707" spans="1:10" ht="25.5" x14ac:dyDescent="0.2">
      <c r="A2707" s="5" t="s">
        <v>197</v>
      </c>
      <c r="B2707" s="5" t="s">
        <v>83</v>
      </c>
      <c r="C2707" s="5"/>
      <c r="D2707" s="5" t="s">
        <v>196</v>
      </c>
      <c r="E2707" s="5"/>
      <c r="F2707" s="5" t="s">
        <v>165</v>
      </c>
      <c r="G2707" s="5" t="s">
        <v>195</v>
      </c>
      <c r="H2707" s="5" t="s">
        <v>137</v>
      </c>
      <c r="I2707" s="5" t="s">
        <v>164</v>
      </c>
      <c r="J2707" s="5" t="s">
        <v>194</v>
      </c>
    </row>
    <row r="2708" spans="1:10" ht="25.5" x14ac:dyDescent="0.2">
      <c r="A2708" s="5" t="s">
        <v>193</v>
      </c>
      <c r="B2708" s="5" t="s">
        <v>83</v>
      </c>
      <c r="C2708" s="5"/>
      <c r="D2708" s="5" t="s">
        <v>192</v>
      </c>
      <c r="E2708" s="5"/>
      <c r="F2708" s="5" t="s">
        <v>182</v>
      </c>
      <c r="G2708" s="5" t="s">
        <v>114</v>
      </c>
      <c r="H2708" s="5" t="s">
        <v>137</v>
      </c>
      <c r="I2708" s="5" t="s">
        <v>164</v>
      </c>
      <c r="J2708" s="5" t="s">
        <v>191</v>
      </c>
    </row>
    <row r="2709" spans="1:10" ht="25.5" x14ac:dyDescent="0.2">
      <c r="A2709" s="5" t="s">
        <v>190</v>
      </c>
      <c r="B2709" s="5" t="s">
        <v>83</v>
      </c>
      <c r="C2709" s="5"/>
      <c r="D2709" s="5" t="s">
        <v>189</v>
      </c>
      <c r="E2709" s="5"/>
      <c r="F2709" s="5" t="s">
        <v>188</v>
      </c>
      <c r="G2709" s="5" t="s">
        <v>173</v>
      </c>
      <c r="H2709" s="5" t="s">
        <v>137</v>
      </c>
      <c r="I2709" s="5"/>
      <c r="J2709" s="5"/>
    </row>
    <row r="2710" spans="1:10" ht="25.5" x14ac:dyDescent="0.2">
      <c r="A2710" s="5" t="s">
        <v>187</v>
      </c>
      <c r="B2710" s="5" t="s">
        <v>83</v>
      </c>
      <c r="C2710" s="5"/>
      <c r="D2710" s="5" t="s">
        <v>186</v>
      </c>
      <c r="E2710" s="5" t="s">
        <v>138</v>
      </c>
      <c r="F2710" s="5" t="s">
        <v>182</v>
      </c>
      <c r="G2710" s="5" t="s">
        <v>181</v>
      </c>
      <c r="H2710" s="5" t="s">
        <v>3</v>
      </c>
      <c r="I2710" s="5"/>
      <c r="J2710" s="5" t="s">
        <v>185</v>
      </c>
    </row>
    <row r="2711" spans="1:10" ht="25.5" x14ac:dyDescent="0.2">
      <c r="A2711" s="5" t="s">
        <v>184</v>
      </c>
      <c r="B2711" s="5" t="s">
        <v>83</v>
      </c>
      <c r="C2711" s="5"/>
      <c r="D2711" s="5" t="s">
        <v>183</v>
      </c>
      <c r="E2711" s="5" t="s">
        <v>138</v>
      </c>
      <c r="F2711" s="5" t="s">
        <v>182</v>
      </c>
      <c r="G2711" s="5" t="s">
        <v>181</v>
      </c>
      <c r="H2711" s="5" t="s">
        <v>137</v>
      </c>
      <c r="I2711" s="5" t="s">
        <v>164</v>
      </c>
      <c r="J2711" s="5" t="s">
        <v>180</v>
      </c>
    </row>
    <row r="2712" spans="1:10" ht="25.5" x14ac:dyDescent="0.2">
      <c r="A2712" s="5" t="s">
        <v>179</v>
      </c>
      <c r="B2712" s="5" t="s">
        <v>83</v>
      </c>
      <c r="C2712" s="5"/>
      <c r="D2712" s="5" t="s">
        <v>178</v>
      </c>
      <c r="E2712" s="5"/>
      <c r="F2712" s="5" t="s">
        <v>165</v>
      </c>
      <c r="G2712" s="5" t="s">
        <v>170</v>
      </c>
      <c r="H2712" s="5" t="s">
        <v>137</v>
      </c>
      <c r="I2712" s="5" t="s">
        <v>169</v>
      </c>
      <c r="J2712" s="5" t="s">
        <v>177</v>
      </c>
    </row>
    <row r="2713" spans="1:10" x14ac:dyDescent="0.2">
      <c r="A2713" s="5" t="s">
        <v>176</v>
      </c>
      <c r="B2713" s="5" t="s">
        <v>83</v>
      </c>
      <c r="C2713" s="5"/>
      <c r="D2713" s="5" t="s">
        <v>175</v>
      </c>
      <c r="E2713" s="5" t="s">
        <v>93</v>
      </c>
      <c r="F2713" s="5" t="s">
        <v>174</v>
      </c>
      <c r="G2713" s="5" t="s">
        <v>173</v>
      </c>
      <c r="H2713" s="5" t="s">
        <v>137</v>
      </c>
      <c r="I2713" s="5"/>
      <c r="J2713" s="5"/>
    </row>
    <row r="2714" spans="1:10" ht="25.5" x14ac:dyDescent="0.2">
      <c r="A2714" s="5" t="s">
        <v>172</v>
      </c>
      <c r="B2714" s="5" t="s">
        <v>83</v>
      </c>
      <c r="C2714" s="5"/>
      <c r="D2714" s="5" t="s">
        <v>171</v>
      </c>
      <c r="E2714" s="5"/>
      <c r="F2714" s="5" t="s">
        <v>165</v>
      </c>
      <c r="G2714" s="5" t="s">
        <v>170</v>
      </c>
      <c r="H2714" s="5" t="s">
        <v>137</v>
      </c>
      <c r="I2714" s="5" t="s">
        <v>169</v>
      </c>
      <c r="J2714" s="5" t="s">
        <v>168</v>
      </c>
    </row>
    <row r="2715" spans="1:10" ht="25.5" x14ac:dyDescent="0.2">
      <c r="A2715" s="5" t="s">
        <v>167</v>
      </c>
      <c r="B2715" s="5" t="s">
        <v>83</v>
      </c>
      <c r="C2715" s="5"/>
      <c r="D2715" s="5" t="s">
        <v>166</v>
      </c>
      <c r="E2715" s="5"/>
      <c r="F2715" s="5" t="s">
        <v>165</v>
      </c>
      <c r="G2715" s="5" t="s">
        <v>118</v>
      </c>
      <c r="H2715" s="5" t="s">
        <v>137</v>
      </c>
      <c r="I2715" s="5" t="s">
        <v>164</v>
      </c>
      <c r="J2715" s="5" t="s">
        <v>163</v>
      </c>
    </row>
    <row r="2716" spans="1:10" x14ac:dyDescent="0.2">
      <c r="A2716" s="5" t="s">
        <v>162</v>
      </c>
      <c r="B2716" s="5" t="s">
        <v>83</v>
      </c>
      <c r="C2716" s="5"/>
      <c r="D2716" s="5" t="s">
        <v>161</v>
      </c>
      <c r="E2716" s="5" t="s">
        <v>150</v>
      </c>
      <c r="F2716" s="5" t="s">
        <v>160</v>
      </c>
      <c r="G2716" s="5" t="s">
        <v>148</v>
      </c>
      <c r="H2716" s="5" t="s">
        <v>3</v>
      </c>
      <c r="I2716" s="5"/>
      <c r="J2716" s="5" t="s">
        <v>159</v>
      </c>
    </row>
    <row r="2717" spans="1:10" ht="25.5" x14ac:dyDescent="0.2">
      <c r="A2717" s="5" t="s">
        <v>158</v>
      </c>
      <c r="B2717" s="5" t="s">
        <v>83</v>
      </c>
      <c r="C2717" s="5"/>
      <c r="D2717" s="5" t="s">
        <v>157</v>
      </c>
      <c r="E2717" s="5"/>
      <c r="F2717" s="5" t="s">
        <v>156</v>
      </c>
      <c r="G2717" s="5" t="s">
        <v>155</v>
      </c>
      <c r="H2717" s="5" t="s">
        <v>137</v>
      </c>
      <c r="I2717" s="5" t="s">
        <v>154</v>
      </c>
      <c r="J2717" s="5" t="s">
        <v>153</v>
      </c>
    </row>
    <row r="2718" spans="1:10" x14ac:dyDescent="0.2">
      <c r="A2718" s="5" t="s">
        <v>152</v>
      </c>
      <c r="B2718" s="5" t="s">
        <v>83</v>
      </c>
      <c r="C2718" s="5"/>
      <c r="D2718" s="5" t="s">
        <v>151</v>
      </c>
      <c r="E2718" s="5" t="s">
        <v>150</v>
      </c>
      <c r="F2718" s="5" t="s">
        <v>149</v>
      </c>
      <c r="G2718" s="5" t="s">
        <v>148</v>
      </c>
      <c r="H2718" s="5" t="s">
        <v>3</v>
      </c>
      <c r="I2718" s="5"/>
      <c r="J2718" s="5" t="s">
        <v>147</v>
      </c>
    </row>
    <row r="2719" spans="1:10" ht="25.5" x14ac:dyDescent="0.2">
      <c r="A2719" s="5" t="s">
        <v>136</v>
      </c>
      <c r="B2719" s="5" t="s">
        <v>83</v>
      </c>
      <c r="C2719" s="5"/>
      <c r="D2719" s="5" t="s">
        <v>146</v>
      </c>
      <c r="E2719" s="5"/>
      <c r="F2719" s="5" t="s">
        <v>110</v>
      </c>
      <c r="G2719" s="5" t="s">
        <v>118</v>
      </c>
      <c r="H2719" s="5" t="s">
        <v>137</v>
      </c>
      <c r="I2719" s="5" t="s">
        <v>136</v>
      </c>
      <c r="J2719" s="5" t="s">
        <v>145</v>
      </c>
    </row>
    <row r="2720" spans="1:10" ht="25.5" x14ac:dyDescent="0.2">
      <c r="A2720" s="5" t="s">
        <v>144</v>
      </c>
      <c r="B2720" s="5" t="s">
        <v>83</v>
      </c>
      <c r="C2720" s="5"/>
      <c r="D2720" s="5" t="s">
        <v>143</v>
      </c>
      <c r="E2720" s="5"/>
      <c r="F2720" s="5" t="s">
        <v>142</v>
      </c>
      <c r="G2720" s="5" t="s">
        <v>105</v>
      </c>
      <c r="H2720" s="5" t="s">
        <v>3</v>
      </c>
      <c r="I2720" s="5"/>
      <c r="J2720" s="5" t="s">
        <v>141</v>
      </c>
    </row>
    <row r="2721" spans="1:10" ht="25.5" x14ac:dyDescent="0.2">
      <c r="A2721" s="5" t="s">
        <v>140</v>
      </c>
      <c r="B2721" s="5" t="s">
        <v>83</v>
      </c>
      <c r="C2721" s="5"/>
      <c r="D2721" s="5" t="s">
        <v>139</v>
      </c>
      <c r="E2721" s="5" t="s">
        <v>138</v>
      </c>
      <c r="F2721" s="5" t="s">
        <v>110</v>
      </c>
      <c r="G2721" s="5" t="s">
        <v>91</v>
      </c>
      <c r="H2721" s="5" t="s">
        <v>137</v>
      </c>
      <c r="I2721" s="5" t="s">
        <v>136</v>
      </c>
      <c r="J2721" s="5" t="s">
        <v>135</v>
      </c>
    </row>
    <row r="2722" spans="1:10" ht="25.5" x14ac:dyDescent="0.2">
      <c r="A2722" s="5" t="s">
        <v>134</v>
      </c>
      <c r="B2722" s="5" t="s">
        <v>83</v>
      </c>
      <c r="C2722" s="5"/>
      <c r="D2722" s="5" t="s">
        <v>133</v>
      </c>
      <c r="E2722" s="5"/>
      <c r="F2722" s="5" t="s">
        <v>106</v>
      </c>
      <c r="G2722" s="5" t="s">
        <v>105</v>
      </c>
      <c r="H2722" s="5" t="s">
        <v>3</v>
      </c>
      <c r="I2722" s="5"/>
      <c r="J2722" s="5" t="s">
        <v>132</v>
      </c>
    </row>
    <row r="2723" spans="1:10" ht="25.5" x14ac:dyDescent="0.2">
      <c r="A2723" s="5" t="s">
        <v>131</v>
      </c>
      <c r="B2723" s="5" t="s">
        <v>83</v>
      </c>
      <c r="C2723" s="5"/>
      <c r="D2723" s="5" t="s">
        <v>130</v>
      </c>
      <c r="E2723" s="5"/>
      <c r="F2723" s="5" t="s">
        <v>110</v>
      </c>
      <c r="G2723" s="5" t="s">
        <v>105</v>
      </c>
      <c r="H2723" s="5" t="s">
        <v>3</v>
      </c>
      <c r="I2723" s="5"/>
      <c r="J2723" s="5" t="s">
        <v>129</v>
      </c>
    </row>
    <row r="2724" spans="1:10" x14ac:dyDescent="0.2">
      <c r="A2724" s="5" t="s">
        <v>128</v>
      </c>
      <c r="B2724" s="5" t="s">
        <v>83</v>
      </c>
      <c r="C2724" s="5"/>
      <c r="D2724" s="5" t="s">
        <v>127</v>
      </c>
      <c r="E2724" s="5"/>
      <c r="F2724" s="5" t="s">
        <v>110</v>
      </c>
      <c r="G2724" s="5" t="s">
        <v>118</v>
      </c>
      <c r="H2724" s="5" t="s">
        <v>3</v>
      </c>
      <c r="I2724" s="5"/>
      <c r="J2724" s="5" t="s">
        <v>126</v>
      </c>
    </row>
    <row r="2725" spans="1:10" x14ac:dyDescent="0.2">
      <c r="A2725" s="5" t="s">
        <v>125</v>
      </c>
      <c r="B2725" s="5" t="s">
        <v>83</v>
      </c>
      <c r="C2725" s="5"/>
      <c r="D2725" s="5" t="s">
        <v>124</v>
      </c>
      <c r="E2725" s="5"/>
      <c r="F2725" s="5" t="s">
        <v>123</v>
      </c>
      <c r="G2725" s="5" t="s">
        <v>122</v>
      </c>
      <c r="H2725" s="5" t="s">
        <v>3</v>
      </c>
      <c r="I2725" s="5"/>
      <c r="J2725" s="5" t="s">
        <v>121</v>
      </c>
    </row>
    <row r="2726" spans="1:10" x14ac:dyDescent="0.2">
      <c r="A2726" s="5" t="s">
        <v>120</v>
      </c>
      <c r="B2726" s="5" t="s">
        <v>83</v>
      </c>
      <c r="C2726" s="5"/>
      <c r="D2726" s="5" t="s">
        <v>119</v>
      </c>
      <c r="E2726" s="5"/>
      <c r="F2726" s="5" t="s">
        <v>110</v>
      </c>
      <c r="G2726" s="5" t="s">
        <v>118</v>
      </c>
      <c r="H2726" s="5" t="s">
        <v>3</v>
      </c>
      <c r="I2726" s="5"/>
      <c r="J2726" s="5" t="s">
        <v>117</v>
      </c>
    </row>
    <row r="2727" spans="1:10" ht="25.5" x14ac:dyDescent="0.2">
      <c r="A2727" s="5" t="s">
        <v>116</v>
      </c>
      <c r="B2727" s="5" t="s">
        <v>83</v>
      </c>
      <c r="C2727" s="5"/>
      <c r="D2727" s="5" t="s">
        <v>115</v>
      </c>
      <c r="E2727" s="5"/>
      <c r="F2727" s="5" t="s">
        <v>110</v>
      </c>
      <c r="G2727" s="5" t="s">
        <v>114</v>
      </c>
      <c r="H2727" s="5" t="s">
        <v>3</v>
      </c>
      <c r="I2727" s="5"/>
      <c r="J2727" s="5" t="s">
        <v>113</v>
      </c>
    </row>
    <row r="2728" spans="1:10" ht="25.5" x14ac:dyDescent="0.2">
      <c r="A2728" s="5" t="s">
        <v>112</v>
      </c>
      <c r="B2728" s="5" t="s">
        <v>83</v>
      </c>
      <c r="C2728" s="5"/>
      <c r="D2728" s="5" t="s">
        <v>111</v>
      </c>
      <c r="E2728" s="5"/>
      <c r="F2728" s="5" t="s">
        <v>110</v>
      </c>
      <c r="G2728" s="5" t="s">
        <v>105</v>
      </c>
      <c r="H2728" s="5" t="s">
        <v>3</v>
      </c>
      <c r="I2728" s="5"/>
      <c r="J2728" s="5" t="s">
        <v>109</v>
      </c>
    </row>
    <row r="2729" spans="1:10" ht="25.5" x14ac:dyDescent="0.2">
      <c r="A2729" s="5" t="s">
        <v>108</v>
      </c>
      <c r="B2729" s="5" t="s">
        <v>83</v>
      </c>
      <c r="C2729" s="5"/>
      <c r="D2729" s="5" t="s">
        <v>107</v>
      </c>
      <c r="E2729" s="5"/>
      <c r="F2729" s="5" t="s">
        <v>106</v>
      </c>
      <c r="G2729" s="5" t="s">
        <v>105</v>
      </c>
      <c r="H2729" s="5" t="s">
        <v>3</v>
      </c>
      <c r="I2729" s="5"/>
      <c r="J2729" s="5" t="s">
        <v>104</v>
      </c>
    </row>
    <row r="2730" spans="1:10" ht="25.5" x14ac:dyDescent="0.2">
      <c r="A2730" s="5" t="s">
        <v>103</v>
      </c>
      <c r="B2730" s="5" t="s">
        <v>83</v>
      </c>
      <c r="C2730" s="5"/>
      <c r="D2730" s="5" t="s">
        <v>102</v>
      </c>
      <c r="E2730" s="5" t="s">
        <v>93</v>
      </c>
      <c r="F2730" s="5" t="s">
        <v>101</v>
      </c>
      <c r="G2730" s="5" t="s">
        <v>91</v>
      </c>
      <c r="H2730" s="5" t="s">
        <v>3</v>
      </c>
      <c r="I2730" s="5"/>
      <c r="J2730" s="5" t="s">
        <v>100</v>
      </c>
    </row>
    <row r="2731" spans="1:10" x14ac:dyDescent="0.2">
      <c r="A2731" s="5" t="s">
        <v>99</v>
      </c>
      <c r="B2731" s="5" t="s">
        <v>83</v>
      </c>
      <c r="C2731" s="5"/>
      <c r="D2731" s="5" t="s">
        <v>98</v>
      </c>
      <c r="E2731" s="5" t="s">
        <v>93</v>
      </c>
      <c r="F2731" s="5" t="s">
        <v>97</v>
      </c>
      <c r="G2731" s="5" t="s">
        <v>91</v>
      </c>
      <c r="H2731" s="5" t="s">
        <v>3</v>
      </c>
      <c r="I2731" s="5"/>
      <c r="J2731" s="5" t="s">
        <v>96</v>
      </c>
    </row>
    <row r="2732" spans="1:10" ht="25.5" x14ac:dyDescent="0.2">
      <c r="A2732" s="5" t="s">
        <v>95</v>
      </c>
      <c r="B2732" s="5" t="s">
        <v>83</v>
      </c>
      <c r="C2732" s="5"/>
      <c r="D2732" s="5" t="s">
        <v>94</v>
      </c>
      <c r="E2732" s="5" t="s">
        <v>93</v>
      </c>
      <c r="F2732" s="5" t="s">
        <v>92</v>
      </c>
      <c r="G2732" s="5" t="s">
        <v>91</v>
      </c>
      <c r="H2732" s="5" t="s">
        <v>3</v>
      </c>
      <c r="I2732" s="5"/>
      <c r="J2732" s="5" t="s">
        <v>90</v>
      </c>
    </row>
    <row r="2733" spans="1:10" x14ac:dyDescent="0.2">
      <c r="A2733" s="5" t="s">
        <v>89</v>
      </c>
      <c r="B2733" s="5" t="s">
        <v>83</v>
      </c>
      <c r="C2733" s="5"/>
      <c r="D2733" s="5" t="s">
        <v>88</v>
      </c>
      <c r="E2733" s="5"/>
      <c r="F2733" s="5" t="s">
        <v>87</v>
      </c>
      <c r="G2733" s="5" t="s">
        <v>86</v>
      </c>
      <c r="H2733" s="5" t="s">
        <v>3</v>
      </c>
      <c r="I2733" s="5"/>
      <c r="J2733" s="5" t="s">
        <v>85</v>
      </c>
    </row>
    <row r="2734" spans="1:10" ht="38.25" x14ac:dyDescent="0.2">
      <c r="A2734" s="5" t="s">
        <v>84</v>
      </c>
      <c r="B2734" s="5" t="s">
        <v>83</v>
      </c>
      <c r="C2734" s="5"/>
      <c r="D2734" s="5" t="s">
        <v>82</v>
      </c>
      <c r="E2734" s="5"/>
      <c r="F2734" s="5" t="s">
        <v>81</v>
      </c>
      <c r="G2734" s="5" t="s">
        <v>80</v>
      </c>
      <c r="H2734" s="5" t="s">
        <v>3</v>
      </c>
      <c r="I2734" s="5"/>
      <c r="J2734" s="5" t="s">
        <v>79</v>
      </c>
    </row>
    <row r="2735" spans="1:10" ht="25.5" x14ac:dyDescent="0.2">
      <c r="A2735" s="5" t="s">
        <v>78</v>
      </c>
      <c r="B2735" s="5" t="s">
        <v>8</v>
      </c>
      <c r="C2735" s="5"/>
      <c r="D2735" s="5" t="s">
        <v>77</v>
      </c>
      <c r="E2735" s="5"/>
      <c r="F2735" s="5"/>
      <c r="G2735" s="5"/>
      <c r="H2735" s="5"/>
      <c r="I2735" s="5"/>
      <c r="J2735" s="5" t="s">
        <v>76</v>
      </c>
    </row>
    <row r="2736" spans="1:10" ht="25.5" x14ac:dyDescent="0.2">
      <c r="A2736" s="5" t="s">
        <v>75</v>
      </c>
      <c r="B2736" s="5" t="s">
        <v>8</v>
      </c>
      <c r="C2736" s="5"/>
      <c r="D2736" s="5" t="s">
        <v>74</v>
      </c>
      <c r="E2736" s="5"/>
      <c r="F2736" s="5"/>
      <c r="G2736" s="5"/>
      <c r="H2736" s="5"/>
      <c r="I2736" s="5"/>
      <c r="J2736" s="5" t="s">
        <v>61</v>
      </c>
    </row>
    <row r="2737" spans="1:10" ht="25.5" x14ac:dyDescent="0.2">
      <c r="A2737" s="5" t="s">
        <v>73</v>
      </c>
      <c r="B2737" s="5" t="s">
        <v>8</v>
      </c>
      <c r="C2737" s="5"/>
      <c r="D2737" s="5" t="s">
        <v>72</v>
      </c>
      <c r="E2737" s="5"/>
      <c r="F2737" s="5"/>
      <c r="G2737" s="5"/>
      <c r="H2737" s="5"/>
      <c r="I2737" s="5"/>
      <c r="J2737" s="5" t="s">
        <v>61</v>
      </c>
    </row>
    <row r="2738" spans="1:10" ht="25.5" x14ac:dyDescent="0.2">
      <c r="A2738" s="5" t="s">
        <v>71</v>
      </c>
      <c r="B2738" s="5" t="s">
        <v>8</v>
      </c>
      <c r="C2738" s="5"/>
      <c r="D2738" s="5" t="s">
        <v>70</v>
      </c>
      <c r="E2738" s="5"/>
      <c r="F2738" s="5"/>
      <c r="G2738" s="5"/>
      <c r="H2738" s="5"/>
      <c r="I2738" s="5"/>
      <c r="J2738" s="5" t="s">
        <v>61</v>
      </c>
    </row>
    <row r="2739" spans="1:10" ht="25.5" x14ac:dyDescent="0.2">
      <c r="A2739" s="5" t="s">
        <v>69</v>
      </c>
      <c r="B2739" s="5" t="s">
        <v>8</v>
      </c>
      <c r="C2739" s="5"/>
      <c r="D2739" s="5" t="s">
        <v>68</v>
      </c>
      <c r="E2739" s="5"/>
      <c r="F2739" s="5"/>
      <c r="G2739" s="5"/>
      <c r="H2739" s="5"/>
      <c r="I2739" s="5"/>
      <c r="J2739" s="5" t="s">
        <v>61</v>
      </c>
    </row>
    <row r="2740" spans="1:10" ht="25.5" x14ac:dyDescent="0.2">
      <c r="A2740" s="5" t="s">
        <v>67</v>
      </c>
      <c r="B2740" s="5" t="s">
        <v>8</v>
      </c>
      <c r="C2740" s="5"/>
      <c r="D2740" s="5" t="s">
        <v>66</v>
      </c>
      <c r="E2740" s="5"/>
      <c r="F2740" s="5"/>
      <c r="G2740" s="5"/>
      <c r="H2740" s="5"/>
      <c r="I2740" s="5"/>
      <c r="J2740" s="5" t="s">
        <v>61</v>
      </c>
    </row>
    <row r="2741" spans="1:10" ht="25.5" x14ac:dyDescent="0.2">
      <c r="A2741" s="5" t="s">
        <v>65</v>
      </c>
      <c r="B2741" s="5" t="s">
        <v>8</v>
      </c>
      <c r="C2741" s="5"/>
      <c r="D2741" s="5" t="s">
        <v>64</v>
      </c>
      <c r="E2741" s="5"/>
      <c r="F2741" s="5"/>
      <c r="G2741" s="5"/>
      <c r="H2741" s="5"/>
      <c r="I2741" s="5"/>
      <c r="J2741" s="5" t="s">
        <v>61</v>
      </c>
    </row>
    <row r="2742" spans="1:10" ht="25.5" x14ac:dyDescent="0.2">
      <c r="A2742" s="5" t="s">
        <v>63</v>
      </c>
      <c r="B2742" s="5" t="s">
        <v>8</v>
      </c>
      <c r="C2742" s="5"/>
      <c r="D2742" s="5" t="s">
        <v>62</v>
      </c>
      <c r="E2742" s="5"/>
      <c r="F2742" s="5"/>
      <c r="G2742" s="5"/>
      <c r="H2742" s="5"/>
      <c r="I2742" s="5"/>
      <c r="J2742" s="5" t="s">
        <v>61</v>
      </c>
    </row>
    <row r="2743" spans="1:10" ht="38.25" x14ac:dyDescent="0.2">
      <c r="A2743" s="5" t="s">
        <v>60</v>
      </c>
      <c r="B2743" s="5" t="s">
        <v>8</v>
      </c>
      <c r="C2743" s="5"/>
      <c r="D2743" s="5" t="s">
        <v>59</v>
      </c>
      <c r="E2743" s="5"/>
      <c r="F2743" s="5"/>
      <c r="G2743" s="5"/>
      <c r="H2743" s="5"/>
      <c r="I2743" s="5"/>
      <c r="J2743" s="5" t="s">
        <v>58</v>
      </c>
    </row>
    <row r="2744" spans="1:10" ht="25.5" x14ac:dyDescent="0.2">
      <c r="A2744" s="5" t="s">
        <v>57</v>
      </c>
      <c r="B2744" s="5" t="s">
        <v>8</v>
      </c>
      <c r="C2744" s="5"/>
      <c r="D2744" s="5" t="s">
        <v>56</v>
      </c>
      <c r="E2744" s="5"/>
      <c r="F2744" s="5"/>
      <c r="G2744" s="5"/>
      <c r="H2744" s="5"/>
      <c r="I2744" s="5"/>
      <c r="J2744" s="5"/>
    </row>
    <row r="2745" spans="1:10" x14ac:dyDescent="0.2">
      <c r="A2745" s="5" t="s">
        <v>55</v>
      </c>
      <c r="B2745" s="5" t="s">
        <v>8</v>
      </c>
      <c r="C2745" s="5"/>
      <c r="D2745" s="5" t="s">
        <v>54</v>
      </c>
      <c r="E2745" s="5"/>
      <c r="F2745" s="5"/>
      <c r="G2745" s="5"/>
      <c r="H2745" s="5"/>
      <c r="I2745" s="5"/>
      <c r="J2745" s="5"/>
    </row>
    <row r="2746" spans="1:10" ht="25.5" x14ac:dyDescent="0.2">
      <c r="A2746" s="5" t="s">
        <v>53</v>
      </c>
      <c r="B2746" s="5" t="s">
        <v>8</v>
      </c>
      <c r="C2746" s="5"/>
      <c r="D2746" s="5" t="s">
        <v>52</v>
      </c>
      <c r="E2746" s="5"/>
      <c r="F2746" s="5"/>
      <c r="G2746" s="5"/>
      <c r="H2746" s="5"/>
      <c r="I2746" s="5"/>
      <c r="J2746" s="5" t="s">
        <v>51</v>
      </c>
    </row>
    <row r="2747" spans="1:10" ht="25.5" x14ac:dyDescent="0.2">
      <c r="A2747" s="5" t="s">
        <v>50</v>
      </c>
      <c r="B2747" s="5" t="s">
        <v>8</v>
      </c>
      <c r="C2747" s="5"/>
      <c r="D2747" s="5" t="s">
        <v>49</v>
      </c>
      <c r="E2747" s="5"/>
      <c r="F2747" s="5"/>
      <c r="G2747" s="5"/>
      <c r="H2747" s="5"/>
      <c r="I2747" s="5"/>
      <c r="J2747" s="5" t="s">
        <v>48</v>
      </c>
    </row>
    <row r="2748" spans="1:10" ht="25.5" x14ac:dyDescent="0.2">
      <c r="A2748" s="5" t="s">
        <v>47</v>
      </c>
      <c r="B2748" s="5" t="s">
        <v>8</v>
      </c>
      <c r="C2748" s="5"/>
      <c r="D2748" s="5" t="s">
        <v>46</v>
      </c>
      <c r="E2748" s="5"/>
      <c r="F2748" s="5"/>
      <c r="G2748" s="5"/>
      <c r="H2748" s="5"/>
      <c r="I2748" s="5"/>
      <c r="J2748" s="5" t="s">
        <v>45</v>
      </c>
    </row>
    <row r="2749" spans="1:10" ht="25.5" x14ac:dyDescent="0.2">
      <c r="A2749" s="5" t="s">
        <v>44</v>
      </c>
      <c r="B2749" s="5" t="s">
        <v>8</v>
      </c>
      <c r="C2749" s="5"/>
      <c r="D2749" s="5" t="s">
        <v>43</v>
      </c>
      <c r="E2749" s="5"/>
      <c r="F2749" s="5"/>
      <c r="G2749" s="5"/>
      <c r="H2749" s="5"/>
      <c r="I2749" s="5"/>
      <c r="J2749" s="5" t="s">
        <v>10</v>
      </c>
    </row>
    <row r="2750" spans="1:10" ht="25.5" x14ac:dyDescent="0.2">
      <c r="A2750" s="5" t="s">
        <v>42</v>
      </c>
      <c r="B2750" s="5" t="s">
        <v>8</v>
      </c>
      <c r="C2750" s="5"/>
      <c r="D2750" s="5" t="s">
        <v>41</v>
      </c>
      <c r="E2750" s="5"/>
      <c r="F2750" s="5"/>
      <c r="G2750" s="5"/>
      <c r="H2750" s="5"/>
      <c r="I2750" s="5"/>
      <c r="J2750" s="5" t="s">
        <v>10</v>
      </c>
    </row>
    <row r="2751" spans="1:10" ht="38.25" x14ac:dyDescent="0.2">
      <c r="A2751" s="5" t="s">
        <v>40</v>
      </c>
      <c r="B2751" s="5" t="s">
        <v>8</v>
      </c>
      <c r="C2751" s="5"/>
      <c r="D2751" s="5" t="s">
        <v>39</v>
      </c>
      <c r="E2751" s="5"/>
      <c r="F2751" s="5"/>
      <c r="G2751" s="5"/>
      <c r="H2751" s="5"/>
      <c r="I2751" s="5"/>
      <c r="J2751" s="5" t="s">
        <v>38</v>
      </c>
    </row>
    <row r="2752" spans="1:10" ht="25.5" x14ac:dyDescent="0.2">
      <c r="A2752" s="5" t="s">
        <v>37</v>
      </c>
      <c r="B2752" s="5" t="s">
        <v>8</v>
      </c>
      <c r="C2752" s="5"/>
      <c r="D2752" s="5" t="s">
        <v>36</v>
      </c>
      <c r="E2752" s="5"/>
      <c r="F2752" s="5"/>
      <c r="G2752" s="5"/>
      <c r="H2752" s="5"/>
      <c r="I2752" s="5"/>
      <c r="J2752" s="5" t="s">
        <v>10</v>
      </c>
    </row>
    <row r="2753" spans="1:10" x14ac:dyDescent="0.2">
      <c r="A2753" s="5" t="s">
        <v>35</v>
      </c>
      <c r="B2753" s="5" t="s">
        <v>8</v>
      </c>
      <c r="C2753" s="5"/>
      <c r="D2753" s="5" t="s">
        <v>34</v>
      </c>
      <c r="E2753" s="5"/>
      <c r="F2753" s="5"/>
      <c r="G2753" s="5"/>
      <c r="H2753" s="5"/>
      <c r="I2753" s="5"/>
      <c r="J2753" s="5"/>
    </row>
    <row r="2754" spans="1:10" x14ac:dyDescent="0.2">
      <c r="A2754" s="5" t="s">
        <v>33</v>
      </c>
      <c r="B2754" s="5" t="s">
        <v>8</v>
      </c>
      <c r="C2754" s="5"/>
      <c r="D2754" s="5" t="s">
        <v>32</v>
      </c>
      <c r="E2754" s="5"/>
      <c r="F2754" s="5"/>
      <c r="G2754" s="5"/>
      <c r="H2754" s="5"/>
      <c r="I2754" s="5"/>
      <c r="J2754" s="5" t="s">
        <v>31</v>
      </c>
    </row>
    <row r="2755" spans="1:10" ht="25.5" x14ac:dyDescent="0.2">
      <c r="A2755" s="5" t="s">
        <v>30</v>
      </c>
      <c r="B2755" s="5" t="s">
        <v>8</v>
      </c>
      <c r="C2755" s="5"/>
      <c r="D2755" s="5" t="s">
        <v>29</v>
      </c>
      <c r="E2755" s="5"/>
      <c r="F2755" s="5"/>
      <c r="G2755" s="5"/>
      <c r="H2755" s="5"/>
      <c r="I2755" s="5"/>
      <c r="J2755" s="5" t="s">
        <v>28</v>
      </c>
    </row>
    <row r="2756" spans="1:10" ht="25.5" x14ac:dyDescent="0.2">
      <c r="A2756" s="5" t="s">
        <v>27</v>
      </c>
      <c r="B2756" s="5" t="s">
        <v>8</v>
      </c>
      <c r="C2756" s="5"/>
      <c r="D2756" s="5" t="s">
        <v>26</v>
      </c>
      <c r="E2756" s="5"/>
      <c r="F2756" s="5"/>
      <c r="G2756" s="5"/>
      <c r="H2756" s="5"/>
      <c r="I2756" s="5"/>
      <c r="J2756" s="5" t="s">
        <v>25</v>
      </c>
    </row>
    <row r="2757" spans="1:10" x14ac:dyDescent="0.2">
      <c r="A2757" s="5" t="s">
        <v>24</v>
      </c>
      <c r="B2757" s="5" t="s">
        <v>8</v>
      </c>
      <c r="C2757" s="5"/>
      <c r="D2757" s="5" t="s">
        <v>23</v>
      </c>
      <c r="E2757" s="5"/>
      <c r="F2757" s="5"/>
      <c r="G2757" s="5"/>
      <c r="H2757" s="5"/>
      <c r="I2757" s="5"/>
      <c r="J2757" s="5" t="s">
        <v>22</v>
      </c>
    </row>
    <row r="2758" spans="1:10" ht="38.25" x14ac:dyDescent="0.2">
      <c r="A2758" s="5" t="s">
        <v>21</v>
      </c>
      <c r="B2758" s="5" t="s">
        <v>8</v>
      </c>
      <c r="C2758" s="5"/>
      <c r="D2758" s="5" t="s">
        <v>20</v>
      </c>
      <c r="E2758" s="5"/>
      <c r="F2758" s="5"/>
      <c r="G2758" s="5"/>
      <c r="H2758" s="5"/>
      <c r="I2758" s="5"/>
      <c r="J2758" s="5" t="s">
        <v>19</v>
      </c>
    </row>
    <row r="2759" spans="1:10" x14ac:dyDescent="0.2">
      <c r="A2759" s="5" t="s">
        <v>18</v>
      </c>
      <c r="B2759" s="5" t="s">
        <v>8</v>
      </c>
      <c r="C2759" s="5"/>
      <c r="D2759" s="5" t="s">
        <v>17</v>
      </c>
      <c r="E2759" s="5"/>
      <c r="F2759" s="5"/>
      <c r="G2759" s="5"/>
      <c r="H2759" s="5"/>
      <c r="I2759" s="5"/>
      <c r="J2759" s="5" t="s">
        <v>16</v>
      </c>
    </row>
    <row r="2760" spans="1:10" ht="25.5" x14ac:dyDescent="0.2">
      <c r="A2760" s="5" t="s">
        <v>15</v>
      </c>
      <c r="B2760" s="5" t="s">
        <v>8</v>
      </c>
      <c r="C2760" s="5"/>
      <c r="D2760" s="5" t="s">
        <v>14</v>
      </c>
      <c r="E2760" s="5"/>
      <c r="F2760" s="5"/>
      <c r="G2760" s="5"/>
      <c r="H2760" s="5"/>
      <c r="I2760" s="5"/>
      <c r="J2760" s="5" t="s">
        <v>13</v>
      </c>
    </row>
    <row r="2761" spans="1:10" ht="25.5" x14ac:dyDescent="0.2">
      <c r="A2761" s="5" t="s">
        <v>12</v>
      </c>
      <c r="B2761" s="5" t="s">
        <v>8</v>
      </c>
      <c r="C2761" s="5"/>
      <c r="D2761" s="5" t="s">
        <v>11</v>
      </c>
      <c r="E2761" s="5"/>
      <c r="F2761" s="5"/>
      <c r="G2761" s="5"/>
      <c r="H2761" s="5"/>
      <c r="I2761" s="5"/>
      <c r="J2761" s="5" t="s">
        <v>10</v>
      </c>
    </row>
    <row r="2762" spans="1:10" x14ac:dyDescent="0.2">
      <c r="A2762" s="5" t="s">
        <v>9</v>
      </c>
      <c r="B2762" s="5" t="s">
        <v>8</v>
      </c>
      <c r="C2762" s="5"/>
      <c r="D2762" s="5" t="s">
        <v>7</v>
      </c>
      <c r="E2762" s="5"/>
      <c r="F2762" s="5"/>
      <c r="G2762" s="5"/>
      <c r="H2762" s="5"/>
      <c r="I2762" s="5"/>
      <c r="J2762" s="5"/>
    </row>
    <row r="2763" spans="1:10" x14ac:dyDescent="0.2">
      <c r="A2763" s="5" t="s">
        <v>6</v>
      </c>
      <c r="B2763" s="5" t="s">
        <v>0</v>
      </c>
      <c r="C2763" s="5"/>
      <c r="D2763" s="5" t="s">
        <v>5</v>
      </c>
      <c r="E2763" s="5"/>
      <c r="F2763" s="5" t="s">
        <v>4</v>
      </c>
      <c r="G2763" s="5" t="s">
        <v>3</v>
      </c>
      <c r="H2763" s="5"/>
      <c r="I2763" s="5"/>
      <c r="J2763" s="5" t="s">
        <v>2</v>
      </c>
    </row>
    <row r="2764" spans="1:10" x14ac:dyDescent="0.2">
      <c r="A2764" s="5" t="s">
        <v>1</v>
      </c>
      <c r="B2764" s="5" t="s">
        <v>0</v>
      </c>
      <c r="C2764" s="5"/>
      <c r="D2764" s="5">
        <v>101</v>
      </c>
      <c r="E2764" s="5"/>
      <c r="F2764" s="5"/>
      <c r="G2764" s="5"/>
      <c r="H2764" s="5"/>
      <c r="I2764" s="5"/>
      <c r="J2764" s="5"/>
    </row>
  </sheetData>
  <autoFilter ref="A3:M3" xr:uid="{B2F118FD-E5B2-4E44-9BD3-D0682A1C8D44}"/>
  <mergeCells count="1">
    <mergeCell ref="G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96562-6FF5-4035-96DA-FBC27F2B1114}">
  <sheetPr codeName="Sheet17"/>
  <dimension ref="A1:Y102"/>
  <sheetViews>
    <sheetView workbookViewId="0">
      <pane ySplit="6840" topLeftCell="A97"/>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9077</v>
      </c>
      <c r="C1" s="14"/>
      <c r="D1" s="14"/>
      <c r="E1" s="14"/>
      <c r="F1" s="13" t="s">
        <v>8892</v>
      </c>
      <c r="G1" s="16">
        <v>45538</v>
      </c>
      <c r="H1" s="16"/>
      <c r="I1" s="16"/>
      <c r="J1" s="11"/>
    </row>
    <row r="2" spans="1:25" ht="18" x14ac:dyDescent="0.2">
      <c r="A2" s="14">
        <f ca="1">COUNTA(OFFSET(A3,1,0,2222,1))</f>
        <v>99</v>
      </c>
      <c r="B2" s="15"/>
      <c r="C2" s="14">
        <f ca="1">MAX(OFFSET(C3,1,0,2222,1))</f>
        <v>35</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9077</v>
      </c>
      <c r="G4" s="5" t="s">
        <v>229</v>
      </c>
      <c r="H4" s="5" t="s">
        <v>3</v>
      </c>
      <c r="I4" s="5"/>
      <c r="J4" s="5" t="s">
        <v>8874</v>
      </c>
    </row>
    <row r="5" spans="1:25" x14ac:dyDescent="0.2">
      <c r="A5" s="5" t="s">
        <v>9076</v>
      </c>
      <c r="B5" s="5" t="s">
        <v>8584</v>
      </c>
      <c r="C5" s="5">
        <v>0</v>
      </c>
      <c r="D5" s="5"/>
      <c r="E5" s="5"/>
      <c r="F5" s="5" t="s">
        <v>4009</v>
      </c>
      <c r="G5" s="5" t="s">
        <v>502</v>
      </c>
      <c r="H5" s="5" t="s">
        <v>3</v>
      </c>
      <c r="I5" s="5"/>
      <c r="J5" s="5" t="s">
        <v>9075</v>
      </c>
    </row>
    <row r="6" spans="1:25" ht="25.5" x14ac:dyDescent="0.2">
      <c r="A6" s="5" t="s">
        <v>8070</v>
      </c>
      <c r="B6" s="5" t="s">
        <v>8584</v>
      </c>
      <c r="C6" s="5">
        <v>1</v>
      </c>
      <c r="D6" s="5"/>
      <c r="E6" s="5"/>
      <c r="F6" s="5" t="s">
        <v>9074</v>
      </c>
      <c r="G6" s="5" t="s">
        <v>8068</v>
      </c>
      <c r="H6" s="5" t="s">
        <v>3</v>
      </c>
      <c r="I6" s="5"/>
      <c r="J6" s="5" t="s">
        <v>8067</v>
      </c>
    </row>
    <row r="7" spans="1:25" x14ac:dyDescent="0.2">
      <c r="A7" s="5" t="s">
        <v>8113</v>
      </c>
      <c r="B7" s="5" t="s">
        <v>8584</v>
      </c>
      <c r="C7" s="5">
        <v>2</v>
      </c>
      <c r="D7" s="5"/>
      <c r="E7" s="5" t="s">
        <v>9072</v>
      </c>
      <c r="F7" s="5" t="s">
        <v>4053</v>
      </c>
      <c r="G7" s="5" t="s">
        <v>403</v>
      </c>
      <c r="H7" s="5" t="s">
        <v>3</v>
      </c>
      <c r="I7" s="5"/>
      <c r="J7" s="5" t="s">
        <v>8733</v>
      </c>
    </row>
    <row r="8" spans="1:25" x14ac:dyDescent="0.2">
      <c r="A8" s="5" t="s">
        <v>9073</v>
      </c>
      <c r="B8" s="5" t="s">
        <v>8584</v>
      </c>
      <c r="C8" s="5">
        <v>2</v>
      </c>
      <c r="D8" s="5"/>
      <c r="E8" s="5" t="s">
        <v>9072</v>
      </c>
      <c r="F8" s="5" t="s">
        <v>106</v>
      </c>
      <c r="G8" s="5" t="s">
        <v>403</v>
      </c>
      <c r="H8" s="5" t="s">
        <v>3</v>
      </c>
      <c r="I8" s="5"/>
      <c r="J8" s="5" t="s">
        <v>8733</v>
      </c>
    </row>
    <row r="9" spans="1:25" x14ac:dyDescent="0.2">
      <c r="A9" s="5" t="s">
        <v>8045</v>
      </c>
      <c r="B9" s="5" t="s">
        <v>8584</v>
      </c>
      <c r="C9" s="5">
        <v>3</v>
      </c>
      <c r="D9" s="5"/>
      <c r="E9" s="5"/>
      <c r="F9" s="5" t="s">
        <v>4009</v>
      </c>
      <c r="G9" s="5" t="s">
        <v>6385</v>
      </c>
      <c r="H9" s="5" t="s">
        <v>3</v>
      </c>
      <c r="I9" s="5"/>
      <c r="J9" s="5" t="s">
        <v>9071</v>
      </c>
    </row>
    <row r="10" spans="1:25" s="2" customFormat="1" x14ac:dyDescent="0.2">
      <c r="A10" s="5" t="s">
        <v>9070</v>
      </c>
      <c r="B10" s="5" t="s">
        <v>8584</v>
      </c>
      <c r="C10" s="5">
        <v>4</v>
      </c>
      <c r="D10" s="5"/>
      <c r="E10" s="5"/>
      <c r="F10" s="5" t="s">
        <v>9069</v>
      </c>
      <c r="G10" s="5" t="s">
        <v>6385</v>
      </c>
      <c r="H10" s="5" t="s">
        <v>3</v>
      </c>
      <c r="I10" s="5"/>
      <c r="J10" s="5" t="s">
        <v>9068</v>
      </c>
      <c r="M10" s="1"/>
      <c r="N10"/>
      <c r="O10"/>
      <c r="P10"/>
      <c r="Q10"/>
      <c r="R10"/>
      <c r="S10"/>
      <c r="T10"/>
      <c r="U10"/>
      <c r="V10"/>
      <c r="W10"/>
      <c r="X10"/>
      <c r="Y10"/>
    </row>
    <row r="11" spans="1:25" s="2" customFormat="1" x14ac:dyDescent="0.2">
      <c r="A11" s="5" t="s">
        <v>8081</v>
      </c>
      <c r="B11" s="5" t="s">
        <v>8584</v>
      </c>
      <c r="C11" s="5">
        <v>5</v>
      </c>
      <c r="D11" s="5"/>
      <c r="E11" s="5" t="s">
        <v>138</v>
      </c>
      <c r="F11" s="5" t="s">
        <v>9061</v>
      </c>
      <c r="G11" s="5" t="s">
        <v>382</v>
      </c>
      <c r="H11" s="5" t="s">
        <v>3</v>
      </c>
      <c r="I11" s="5"/>
      <c r="J11" s="5" t="s">
        <v>9067</v>
      </c>
      <c r="M11" s="1"/>
      <c r="N11"/>
      <c r="O11"/>
      <c r="P11"/>
      <c r="Q11"/>
      <c r="R11"/>
      <c r="S11"/>
      <c r="T11"/>
      <c r="U11"/>
      <c r="V11"/>
      <c r="W11"/>
      <c r="X11"/>
      <c r="Y11"/>
    </row>
    <row r="12" spans="1:25" s="2" customFormat="1" x14ac:dyDescent="0.2">
      <c r="A12" s="5" t="s">
        <v>9066</v>
      </c>
      <c r="B12" s="5" t="s">
        <v>8584</v>
      </c>
      <c r="C12" s="5">
        <v>6</v>
      </c>
      <c r="D12" s="5"/>
      <c r="E12" s="5" t="s">
        <v>138</v>
      </c>
      <c r="F12" s="5" t="s">
        <v>9061</v>
      </c>
      <c r="G12" s="5" t="s">
        <v>382</v>
      </c>
      <c r="H12" s="5" t="s">
        <v>3</v>
      </c>
      <c r="I12" s="5"/>
      <c r="J12" s="5" t="s">
        <v>9065</v>
      </c>
      <c r="M12" s="1"/>
      <c r="N12"/>
      <c r="O12"/>
      <c r="P12"/>
      <c r="Q12"/>
      <c r="R12"/>
      <c r="S12"/>
      <c r="T12"/>
      <c r="U12"/>
      <c r="V12"/>
      <c r="W12"/>
      <c r="X12"/>
      <c r="Y12"/>
    </row>
    <row r="13" spans="1:25" s="2" customFormat="1" x14ac:dyDescent="0.2">
      <c r="A13" s="5" t="s">
        <v>9064</v>
      </c>
      <c r="B13" s="5" t="s">
        <v>8584</v>
      </c>
      <c r="C13" s="5">
        <v>7</v>
      </c>
      <c r="D13" s="5"/>
      <c r="E13" s="5" t="s">
        <v>138</v>
      </c>
      <c r="F13" s="5" t="s">
        <v>9061</v>
      </c>
      <c r="G13" s="5" t="s">
        <v>382</v>
      </c>
      <c r="H13" s="5" t="s">
        <v>3</v>
      </c>
      <c r="I13" s="5"/>
      <c r="J13" s="5" t="s">
        <v>9063</v>
      </c>
      <c r="M13" s="1"/>
      <c r="N13"/>
      <c r="O13"/>
      <c r="P13"/>
      <c r="Q13"/>
      <c r="R13"/>
      <c r="S13"/>
      <c r="T13"/>
      <c r="U13"/>
      <c r="V13"/>
      <c r="W13"/>
      <c r="X13"/>
      <c r="Y13"/>
    </row>
    <row r="14" spans="1:25" s="2" customFormat="1" x14ac:dyDescent="0.2">
      <c r="A14" s="5" t="s">
        <v>9062</v>
      </c>
      <c r="B14" s="5" t="s">
        <v>8584</v>
      </c>
      <c r="C14" s="5">
        <v>8</v>
      </c>
      <c r="D14" s="5"/>
      <c r="E14" s="5" t="s">
        <v>138</v>
      </c>
      <c r="F14" s="5" t="s">
        <v>9061</v>
      </c>
      <c r="G14" s="5" t="s">
        <v>382</v>
      </c>
      <c r="H14" s="5" t="s">
        <v>3</v>
      </c>
      <c r="I14" s="5"/>
      <c r="J14" s="5" t="s">
        <v>9060</v>
      </c>
      <c r="M14" s="1"/>
      <c r="N14"/>
      <c r="O14"/>
      <c r="P14"/>
      <c r="Q14"/>
      <c r="R14"/>
      <c r="S14"/>
      <c r="T14"/>
      <c r="U14"/>
      <c r="V14"/>
      <c r="W14"/>
      <c r="X14"/>
      <c r="Y14"/>
    </row>
    <row r="15" spans="1:25" s="2" customFormat="1" x14ac:dyDescent="0.2">
      <c r="A15" s="5" t="s">
        <v>9059</v>
      </c>
      <c r="B15" s="5" t="s">
        <v>8584</v>
      </c>
      <c r="C15" s="5">
        <v>9</v>
      </c>
      <c r="D15" s="5"/>
      <c r="E15" s="5" t="s">
        <v>138</v>
      </c>
      <c r="F15" s="5" t="s">
        <v>9058</v>
      </c>
      <c r="G15" s="5" t="s">
        <v>382</v>
      </c>
      <c r="H15" s="5" t="s">
        <v>3</v>
      </c>
      <c r="I15" s="5"/>
      <c r="J15" s="5" t="s">
        <v>9057</v>
      </c>
      <c r="M15" s="1"/>
      <c r="N15"/>
      <c r="O15"/>
      <c r="P15"/>
      <c r="Q15"/>
      <c r="R15"/>
      <c r="S15"/>
      <c r="T15"/>
      <c r="U15"/>
      <c r="V15"/>
      <c r="W15"/>
      <c r="X15"/>
      <c r="Y15"/>
    </row>
    <row r="16" spans="1:25" s="2" customFormat="1" x14ac:dyDescent="0.2">
      <c r="A16" s="5" t="s">
        <v>8052</v>
      </c>
      <c r="B16" s="5" t="s">
        <v>8584</v>
      </c>
      <c r="C16" s="5">
        <v>10</v>
      </c>
      <c r="D16" s="5"/>
      <c r="E16" s="5" t="s">
        <v>138</v>
      </c>
      <c r="F16" s="5" t="s">
        <v>8051</v>
      </c>
      <c r="G16" s="5" t="s">
        <v>195</v>
      </c>
      <c r="H16" s="5" t="s">
        <v>3</v>
      </c>
      <c r="I16" s="5"/>
      <c r="J16" s="5" t="s">
        <v>8050</v>
      </c>
      <c r="M16" s="1"/>
      <c r="N16"/>
      <c r="O16"/>
      <c r="P16"/>
      <c r="Q16"/>
      <c r="R16"/>
      <c r="S16"/>
      <c r="T16"/>
      <c r="U16"/>
      <c r="V16"/>
      <c r="W16"/>
      <c r="X16"/>
      <c r="Y16"/>
    </row>
    <row r="17" spans="1:25" s="2" customFormat="1" x14ac:dyDescent="0.2">
      <c r="A17" s="5" t="s">
        <v>8062</v>
      </c>
      <c r="B17" s="5" t="s">
        <v>8584</v>
      </c>
      <c r="C17" s="5">
        <v>11</v>
      </c>
      <c r="D17" s="5"/>
      <c r="E17" s="5" t="s">
        <v>138</v>
      </c>
      <c r="F17" s="5" t="s">
        <v>8058</v>
      </c>
      <c r="G17" s="5" t="s">
        <v>91</v>
      </c>
      <c r="H17" s="5" t="s">
        <v>3</v>
      </c>
      <c r="I17" s="5"/>
      <c r="J17" s="5" t="s">
        <v>8061</v>
      </c>
      <c r="M17" s="1"/>
      <c r="N17"/>
      <c r="O17"/>
      <c r="P17"/>
      <c r="Q17"/>
      <c r="R17"/>
      <c r="S17"/>
      <c r="T17"/>
      <c r="U17"/>
      <c r="V17"/>
      <c r="W17"/>
      <c r="X17"/>
      <c r="Y17"/>
    </row>
    <row r="18" spans="1:25" s="2" customFormat="1" ht="38.25" x14ac:dyDescent="0.2">
      <c r="A18" s="5" t="s">
        <v>9056</v>
      </c>
      <c r="B18" s="5" t="s">
        <v>8584</v>
      </c>
      <c r="C18" s="5">
        <v>12</v>
      </c>
      <c r="D18" s="5"/>
      <c r="E18" s="5"/>
      <c r="F18" s="5" t="s">
        <v>9055</v>
      </c>
      <c r="G18" s="5" t="s">
        <v>8278</v>
      </c>
      <c r="H18" s="5" t="s">
        <v>137</v>
      </c>
      <c r="I18" s="5" t="s">
        <v>8895</v>
      </c>
      <c r="J18" s="5" t="s">
        <v>9054</v>
      </c>
      <c r="M18" s="1"/>
      <c r="N18"/>
      <c r="O18"/>
      <c r="P18"/>
      <c r="Q18"/>
      <c r="R18"/>
      <c r="S18"/>
      <c r="T18"/>
      <c r="U18"/>
      <c r="V18"/>
      <c r="W18"/>
      <c r="X18"/>
      <c r="Y18"/>
    </row>
    <row r="19" spans="1:25" s="2" customFormat="1" x14ac:dyDescent="0.2">
      <c r="A19" s="5" t="s">
        <v>9053</v>
      </c>
      <c r="B19" s="5" t="s">
        <v>8584</v>
      </c>
      <c r="C19" s="5">
        <v>13</v>
      </c>
      <c r="D19" s="5"/>
      <c r="E19" s="5"/>
      <c r="F19" s="5" t="s">
        <v>9052</v>
      </c>
      <c r="G19" s="5" t="s">
        <v>8278</v>
      </c>
      <c r="H19" s="5" t="s">
        <v>137</v>
      </c>
      <c r="I19" s="5" t="s">
        <v>8895</v>
      </c>
      <c r="J19" s="5"/>
      <c r="M19" s="1"/>
      <c r="N19"/>
      <c r="O19"/>
      <c r="P19"/>
      <c r="Q19"/>
      <c r="R19"/>
      <c r="S19"/>
      <c r="T19"/>
      <c r="U19"/>
      <c r="V19"/>
      <c r="W19"/>
      <c r="X19"/>
      <c r="Y19"/>
    </row>
    <row r="20" spans="1:25" s="2" customFormat="1" x14ac:dyDescent="0.2">
      <c r="A20" s="5" t="s">
        <v>9051</v>
      </c>
      <c r="B20" s="5" t="s">
        <v>8584</v>
      </c>
      <c r="C20" s="5">
        <v>14</v>
      </c>
      <c r="D20" s="5"/>
      <c r="E20" s="5"/>
      <c r="F20" s="5" t="s">
        <v>9050</v>
      </c>
      <c r="G20" s="5" t="s">
        <v>8278</v>
      </c>
      <c r="H20" s="5" t="s">
        <v>137</v>
      </c>
      <c r="I20" s="5" t="s">
        <v>8895</v>
      </c>
      <c r="J20" s="5"/>
      <c r="M20" s="1"/>
      <c r="N20"/>
      <c r="O20"/>
      <c r="P20"/>
      <c r="Q20"/>
      <c r="R20"/>
      <c r="S20"/>
      <c r="T20"/>
      <c r="U20"/>
      <c r="V20"/>
      <c r="W20"/>
      <c r="X20"/>
      <c r="Y20"/>
    </row>
    <row r="21" spans="1:25" s="2" customFormat="1" x14ac:dyDescent="0.2">
      <c r="A21" s="5" t="s">
        <v>9049</v>
      </c>
      <c r="B21" s="5" t="s">
        <v>8584</v>
      </c>
      <c r="C21" s="5">
        <v>15</v>
      </c>
      <c r="D21" s="5"/>
      <c r="E21" s="5"/>
      <c r="F21" s="5" t="s">
        <v>9048</v>
      </c>
      <c r="G21" s="5" t="s">
        <v>8278</v>
      </c>
      <c r="H21" s="5" t="s">
        <v>137</v>
      </c>
      <c r="I21" s="5" t="s">
        <v>8895</v>
      </c>
      <c r="J21" s="5"/>
      <c r="M21" s="1"/>
      <c r="N21"/>
      <c r="O21"/>
      <c r="P21"/>
      <c r="Q21"/>
      <c r="R21"/>
      <c r="S21"/>
      <c r="T21"/>
      <c r="U21"/>
      <c r="V21"/>
      <c r="W21"/>
      <c r="X21"/>
      <c r="Y21"/>
    </row>
    <row r="22" spans="1:25" s="2" customFormat="1" x14ac:dyDescent="0.2">
      <c r="A22" s="5" t="s">
        <v>9047</v>
      </c>
      <c r="B22" s="5" t="s">
        <v>8584</v>
      </c>
      <c r="C22" s="5">
        <v>16</v>
      </c>
      <c r="D22" s="5"/>
      <c r="E22" s="5"/>
      <c r="F22" s="5" t="s">
        <v>9046</v>
      </c>
      <c r="G22" s="5" t="s">
        <v>8278</v>
      </c>
      <c r="H22" s="5" t="s">
        <v>137</v>
      </c>
      <c r="I22" s="5" t="s">
        <v>8895</v>
      </c>
      <c r="J22" s="5"/>
      <c r="M22" s="1"/>
      <c r="N22"/>
      <c r="O22"/>
      <c r="P22"/>
      <c r="Q22"/>
      <c r="R22"/>
      <c r="S22"/>
      <c r="T22"/>
      <c r="U22"/>
      <c r="V22"/>
      <c r="W22"/>
      <c r="X22"/>
      <c r="Y22"/>
    </row>
    <row r="23" spans="1:25" s="2" customFormat="1" x14ac:dyDescent="0.2">
      <c r="A23" s="5" t="s">
        <v>9045</v>
      </c>
      <c r="B23" s="5" t="s">
        <v>8584</v>
      </c>
      <c r="C23" s="5">
        <v>17</v>
      </c>
      <c r="D23" s="5"/>
      <c r="E23" s="5"/>
      <c r="F23" s="5" t="s">
        <v>9044</v>
      </c>
      <c r="G23" s="5" t="s">
        <v>8278</v>
      </c>
      <c r="H23" s="5" t="s">
        <v>137</v>
      </c>
      <c r="I23" s="5" t="s">
        <v>8895</v>
      </c>
      <c r="J23" s="5"/>
      <c r="M23" s="1"/>
      <c r="N23"/>
      <c r="O23"/>
      <c r="P23"/>
      <c r="Q23"/>
      <c r="R23"/>
      <c r="S23"/>
      <c r="T23"/>
      <c r="U23"/>
      <c r="V23"/>
      <c r="W23"/>
      <c r="X23"/>
      <c r="Y23"/>
    </row>
    <row r="24" spans="1:25" s="2" customFormat="1" ht="25.5" x14ac:dyDescent="0.2">
      <c r="A24" s="5" t="s">
        <v>8074</v>
      </c>
      <c r="B24" s="5" t="s">
        <v>8584</v>
      </c>
      <c r="C24" s="5">
        <v>18</v>
      </c>
      <c r="D24" s="5"/>
      <c r="E24" s="5"/>
      <c r="F24" s="5" t="s">
        <v>4009</v>
      </c>
      <c r="G24" s="5" t="s">
        <v>4</v>
      </c>
      <c r="H24" s="5" t="s">
        <v>3</v>
      </c>
      <c r="I24" s="5"/>
      <c r="J24" s="5" t="s">
        <v>9043</v>
      </c>
      <c r="M24" s="1"/>
      <c r="N24"/>
      <c r="O24"/>
      <c r="P24"/>
      <c r="Q24"/>
      <c r="R24"/>
      <c r="S24"/>
      <c r="T24"/>
      <c r="U24"/>
      <c r="V24"/>
      <c r="W24"/>
      <c r="X24"/>
      <c r="Y24"/>
    </row>
    <row r="25" spans="1:25" s="2" customFormat="1" ht="25.5" x14ac:dyDescent="0.2">
      <c r="A25" s="5" t="s">
        <v>9042</v>
      </c>
      <c r="B25" s="5" t="s">
        <v>8584</v>
      </c>
      <c r="C25" s="5">
        <v>19</v>
      </c>
      <c r="D25" s="5"/>
      <c r="E25" s="5"/>
      <c r="F25" s="5" t="s">
        <v>9000</v>
      </c>
      <c r="G25" s="5" t="s">
        <v>195</v>
      </c>
      <c r="H25" s="5" t="s">
        <v>137</v>
      </c>
      <c r="I25" s="5" t="s">
        <v>8999</v>
      </c>
      <c r="J25" s="5" t="s">
        <v>9041</v>
      </c>
      <c r="M25" s="1"/>
      <c r="N25"/>
      <c r="O25"/>
      <c r="P25"/>
      <c r="Q25"/>
      <c r="R25"/>
      <c r="S25"/>
      <c r="T25"/>
      <c r="U25"/>
      <c r="V25"/>
      <c r="W25"/>
      <c r="X25"/>
      <c r="Y25"/>
    </row>
    <row r="26" spans="1:25" s="2" customFormat="1" ht="25.5" x14ac:dyDescent="0.2">
      <c r="A26" s="5" t="s">
        <v>9040</v>
      </c>
      <c r="B26" s="5" t="s">
        <v>8584</v>
      </c>
      <c r="C26" s="5">
        <v>19</v>
      </c>
      <c r="D26" s="5"/>
      <c r="E26" s="5" t="s">
        <v>138</v>
      </c>
      <c r="F26" s="5" t="s">
        <v>9039</v>
      </c>
      <c r="G26" s="5" t="s">
        <v>382</v>
      </c>
      <c r="H26" s="5" t="s">
        <v>137</v>
      </c>
      <c r="I26" s="5" t="s">
        <v>8897</v>
      </c>
      <c r="J26" s="5" t="s">
        <v>9038</v>
      </c>
      <c r="M26" s="1"/>
      <c r="N26"/>
      <c r="O26"/>
      <c r="P26"/>
      <c r="Q26"/>
      <c r="R26"/>
      <c r="S26"/>
      <c r="T26"/>
      <c r="U26"/>
      <c r="V26"/>
      <c r="W26"/>
      <c r="X26"/>
      <c r="Y26"/>
    </row>
    <row r="27" spans="1:25" s="2" customFormat="1" ht="25.5" x14ac:dyDescent="0.2">
      <c r="A27" s="5" t="s">
        <v>9037</v>
      </c>
      <c r="B27" s="5" t="s">
        <v>8584</v>
      </c>
      <c r="C27" s="5">
        <v>20</v>
      </c>
      <c r="D27" s="5"/>
      <c r="E27" s="5"/>
      <c r="F27" s="5" t="s">
        <v>9000</v>
      </c>
      <c r="G27" s="5" t="s">
        <v>195</v>
      </c>
      <c r="H27" s="5" t="s">
        <v>137</v>
      </c>
      <c r="I27" s="5" t="s">
        <v>8999</v>
      </c>
      <c r="J27" s="5" t="s">
        <v>9036</v>
      </c>
      <c r="M27" s="1"/>
      <c r="N27"/>
      <c r="O27"/>
      <c r="P27"/>
      <c r="Q27"/>
      <c r="R27"/>
      <c r="S27"/>
      <c r="T27"/>
      <c r="U27"/>
      <c r="V27"/>
      <c r="W27"/>
      <c r="X27"/>
      <c r="Y27"/>
    </row>
    <row r="28" spans="1:25" s="2" customFormat="1" ht="25.5" x14ac:dyDescent="0.2">
      <c r="A28" s="5" t="s">
        <v>9035</v>
      </c>
      <c r="B28" s="5" t="s">
        <v>8584</v>
      </c>
      <c r="C28" s="5">
        <v>20</v>
      </c>
      <c r="D28" s="5"/>
      <c r="E28" s="5" t="s">
        <v>93</v>
      </c>
      <c r="F28" s="5" t="s">
        <v>9034</v>
      </c>
      <c r="G28" s="5" t="s">
        <v>148</v>
      </c>
      <c r="H28" s="5" t="s">
        <v>137</v>
      </c>
      <c r="I28" s="5" t="s">
        <v>8897</v>
      </c>
      <c r="J28" s="5" t="s">
        <v>9033</v>
      </c>
      <c r="M28" s="1"/>
      <c r="N28"/>
      <c r="O28"/>
      <c r="P28"/>
      <c r="Q28"/>
      <c r="R28"/>
      <c r="S28"/>
      <c r="T28"/>
      <c r="U28"/>
      <c r="V28"/>
      <c r="W28"/>
      <c r="X28"/>
      <c r="Y28"/>
    </row>
    <row r="29" spans="1:25" s="2" customFormat="1" ht="25.5" x14ac:dyDescent="0.2">
      <c r="A29" s="5" t="s">
        <v>9032</v>
      </c>
      <c r="B29" s="5" t="s">
        <v>8584</v>
      </c>
      <c r="C29" s="5">
        <v>21</v>
      </c>
      <c r="D29" s="5"/>
      <c r="E29" s="5"/>
      <c r="F29" s="5" t="s">
        <v>9000</v>
      </c>
      <c r="G29" s="5" t="s">
        <v>195</v>
      </c>
      <c r="H29" s="5" t="s">
        <v>137</v>
      </c>
      <c r="I29" s="5" t="s">
        <v>8999</v>
      </c>
      <c r="J29" s="5" t="s">
        <v>9031</v>
      </c>
      <c r="M29" s="1"/>
      <c r="N29"/>
      <c r="O29"/>
      <c r="P29"/>
      <c r="Q29"/>
      <c r="R29"/>
      <c r="S29"/>
      <c r="T29"/>
      <c r="U29"/>
      <c r="V29"/>
      <c r="W29"/>
      <c r="X29"/>
      <c r="Y29"/>
    </row>
    <row r="30" spans="1:25" s="2" customFormat="1" ht="25.5" x14ac:dyDescent="0.2">
      <c r="A30" s="5" t="s">
        <v>8126</v>
      </c>
      <c r="B30" s="5" t="s">
        <v>8584</v>
      </c>
      <c r="C30" s="5">
        <v>21</v>
      </c>
      <c r="D30" s="5"/>
      <c r="E30" s="5" t="s">
        <v>138</v>
      </c>
      <c r="F30" s="5" t="s">
        <v>9030</v>
      </c>
      <c r="G30" s="5" t="s">
        <v>382</v>
      </c>
      <c r="H30" s="5" t="s">
        <v>137</v>
      </c>
      <c r="I30" s="5" t="s">
        <v>8899</v>
      </c>
      <c r="J30" s="5" t="s">
        <v>9029</v>
      </c>
      <c r="M30" s="1"/>
      <c r="N30"/>
      <c r="O30"/>
      <c r="P30"/>
      <c r="Q30"/>
      <c r="R30"/>
      <c r="S30"/>
      <c r="T30"/>
      <c r="U30"/>
      <c r="V30"/>
      <c r="W30"/>
      <c r="X30"/>
      <c r="Y30"/>
    </row>
    <row r="31" spans="1:25" s="2" customFormat="1" ht="25.5" x14ac:dyDescent="0.2">
      <c r="A31" s="5" t="s">
        <v>9028</v>
      </c>
      <c r="B31" s="5" t="s">
        <v>8584</v>
      </c>
      <c r="C31" s="5">
        <v>22</v>
      </c>
      <c r="D31" s="5"/>
      <c r="E31" s="5"/>
      <c r="F31" s="5" t="s">
        <v>9000</v>
      </c>
      <c r="G31" s="5" t="s">
        <v>195</v>
      </c>
      <c r="H31" s="5" t="s">
        <v>137</v>
      </c>
      <c r="I31" s="5" t="s">
        <v>8999</v>
      </c>
      <c r="J31" s="5" t="s">
        <v>9027</v>
      </c>
      <c r="M31" s="1"/>
      <c r="N31"/>
      <c r="O31"/>
      <c r="P31"/>
      <c r="Q31"/>
      <c r="R31"/>
      <c r="S31"/>
      <c r="T31"/>
      <c r="U31"/>
      <c r="V31"/>
      <c r="W31"/>
      <c r="X31"/>
      <c r="Y31"/>
    </row>
    <row r="32" spans="1:25" s="2" customFormat="1" ht="25.5" x14ac:dyDescent="0.2">
      <c r="A32" s="5" t="s">
        <v>9026</v>
      </c>
      <c r="B32" s="5" t="s">
        <v>8584</v>
      </c>
      <c r="C32" s="5">
        <v>22</v>
      </c>
      <c r="D32" s="5"/>
      <c r="E32" s="5" t="s">
        <v>138</v>
      </c>
      <c r="F32" s="5" t="s">
        <v>9025</v>
      </c>
      <c r="G32" s="5" t="s">
        <v>382</v>
      </c>
      <c r="H32" s="5" t="s">
        <v>137</v>
      </c>
      <c r="I32" s="5" t="s">
        <v>8899</v>
      </c>
      <c r="J32" s="5" t="s">
        <v>9024</v>
      </c>
      <c r="M32" s="1"/>
      <c r="N32"/>
      <c r="O32"/>
      <c r="P32"/>
      <c r="Q32"/>
      <c r="R32"/>
      <c r="S32"/>
      <c r="T32"/>
      <c r="U32"/>
      <c r="V32"/>
      <c r="W32"/>
      <c r="X32"/>
      <c r="Y32"/>
    </row>
    <row r="33" spans="1:25" s="2" customFormat="1" ht="25.5" x14ac:dyDescent="0.2">
      <c r="A33" s="5" t="s">
        <v>9023</v>
      </c>
      <c r="B33" s="5" t="s">
        <v>8584</v>
      </c>
      <c r="C33" s="5">
        <v>23</v>
      </c>
      <c r="D33" s="5"/>
      <c r="E33" s="5" t="s">
        <v>138</v>
      </c>
      <c r="F33" s="5" t="s">
        <v>9000</v>
      </c>
      <c r="G33" s="5" t="s">
        <v>91</v>
      </c>
      <c r="H33" s="5" t="s">
        <v>137</v>
      </c>
      <c r="I33" s="5" t="s">
        <v>8999</v>
      </c>
      <c r="J33" s="5" t="s">
        <v>9022</v>
      </c>
      <c r="M33" s="1"/>
      <c r="N33"/>
      <c r="O33"/>
      <c r="P33"/>
      <c r="Q33"/>
      <c r="R33"/>
      <c r="S33"/>
      <c r="T33"/>
      <c r="U33"/>
      <c r="V33"/>
      <c r="W33"/>
      <c r="X33"/>
      <c r="Y33"/>
    </row>
    <row r="34" spans="1:25" s="2" customFormat="1" ht="25.5" x14ac:dyDescent="0.2">
      <c r="A34" s="5" t="s">
        <v>9021</v>
      </c>
      <c r="B34" s="5" t="s">
        <v>8584</v>
      </c>
      <c r="C34" s="5">
        <v>23</v>
      </c>
      <c r="D34" s="5"/>
      <c r="E34" s="5" t="s">
        <v>138</v>
      </c>
      <c r="F34" s="5" t="s">
        <v>9020</v>
      </c>
      <c r="G34" s="5" t="s">
        <v>382</v>
      </c>
      <c r="H34" s="5" t="s">
        <v>137</v>
      </c>
      <c r="I34" s="5" t="s">
        <v>8899</v>
      </c>
      <c r="J34" s="5" t="s">
        <v>9019</v>
      </c>
      <c r="M34" s="1"/>
      <c r="N34"/>
      <c r="O34"/>
      <c r="P34"/>
      <c r="Q34"/>
      <c r="R34"/>
      <c r="S34"/>
      <c r="T34"/>
      <c r="U34"/>
      <c r="V34"/>
      <c r="W34"/>
      <c r="X34"/>
      <c r="Y34"/>
    </row>
    <row r="35" spans="1:25" s="2" customFormat="1" x14ac:dyDescent="0.2">
      <c r="A35" s="5" t="s">
        <v>9018</v>
      </c>
      <c r="B35" s="5" t="s">
        <v>8584</v>
      </c>
      <c r="C35" s="5">
        <v>24</v>
      </c>
      <c r="D35" s="5"/>
      <c r="E35" s="5" t="s">
        <v>150</v>
      </c>
      <c r="F35" s="5" t="s">
        <v>9017</v>
      </c>
      <c r="G35" s="5" t="s">
        <v>382</v>
      </c>
      <c r="H35" s="5" t="s">
        <v>3</v>
      </c>
      <c r="I35" s="5"/>
      <c r="J35" s="5" t="s">
        <v>9016</v>
      </c>
      <c r="M35" s="1"/>
      <c r="N35"/>
      <c r="O35"/>
      <c r="P35"/>
      <c r="Q35"/>
      <c r="R35"/>
      <c r="S35"/>
      <c r="T35"/>
      <c r="U35"/>
      <c r="V35"/>
      <c r="W35"/>
      <c r="X35"/>
      <c r="Y35"/>
    </row>
    <row r="36" spans="1:25" s="2" customFormat="1" ht="25.5" x14ac:dyDescent="0.2">
      <c r="A36" s="5" t="s">
        <v>9015</v>
      </c>
      <c r="B36" s="5" t="s">
        <v>8584</v>
      </c>
      <c r="C36" s="5">
        <v>25</v>
      </c>
      <c r="D36" s="5"/>
      <c r="E36" s="5"/>
      <c r="F36" s="5" t="s">
        <v>9000</v>
      </c>
      <c r="G36" s="5" t="s">
        <v>105</v>
      </c>
      <c r="H36" s="5" t="s">
        <v>137</v>
      </c>
      <c r="I36" s="5" t="s">
        <v>8999</v>
      </c>
      <c r="J36" s="5" t="s">
        <v>9014</v>
      </c>
      <c r="M36" s="1"/>
      <c r="N36"/>
      <c r="O36"/>
      <c r="P36"/>
      <c r="Q36"/>
      <c r="R36"/>
      <c r="S36"/>
      <c r="T36"/>
      <c r="U36"/>
      <c r="V36"/>
      <c r="W36"/>
      <c r="X36"/>
      <c r="Y36"/>
    </row>
    <row r="37" spans="1:25" s="2" customFormat="1" x14ac:dyDescent="0.2">
      <c r="A37" s="5" t="s">
        <v>9013</v>
      </c>
      <c r="B37" s="5" t="s">
        <v>8584</v>
      </c>
      <c r="C37" s="5">
        <v>25</v>
      </c>
      <c r="D37" s="5"/>
      <c r="E37" s="5" t="s">
        <v>138</v>
      </c>
      <c r="F37" s="5" t="s">
        <v>9013</v>
      </c>
      <c r="G37" s="5" t="s">
        <v>382</v>
      </c>
      <c r="H37" s="5" t="s">
        <v>3</v>
      </c>
      <c r="I37" s="5"/>
      <c r="J37" s="5" t="s">
        <v>9012</v>
      </c>
      <c r="M37" s="1"/>
      <c r="N37"/>
      <c r="O37"/>
      <c r="P37"/>
      <c r="Q37"/>
      <c r="R37"/>
      <c r="S37"/>
      <c r="T37"/>
      <c r="U37"/>
      <c r="V37"/>
      <c r="W37"/>
      <c r="X37"/>
      <c r="Y37"/>
    </row>
    <row r="38" spans="1:25" s="2" customFormat="1" ht="25.5" x14ac:dyDescent="0.2">
      <c r="A38" s="5" t="s">
        <v>9011</v>
      </c>
      <c r="B38" s="5" t="s">
        <v>8584</v>
      </c>
      <c r="C38" s="5">
        <v>26</v>
      </c>
      <c r="D38" s="5"/>
      <c r="E38" s="5"/>
      <c r="F38" s="5" t="s">
        <v>9000</v>
      </c>
      <c r="G38" s="5" t="s">
        <v>4</v>
      </c>
      <c r="H38" s="5" t="s">
        <v>137</v>
      </c>
      <c r="I38" s="5" t="s">
        <v>8999</v>
      </c>
      <c r="J38" s="5" t="s">
        <v>9008</v>
      </c>
      <c r="M38" s="1"/>
      <c r="N38"/>
      <c r="O38"/>
      <c r="P38"/>
      <c r="Q38"/>
      <c r="R38"/>
      <c r="S38"/>
      <c r="T38"/>
      <c r="U38"/>
      <c r="V38"/>
      <c r="W38"/>
      <c r="X38"/>
      <c r="Y38"/>
    </row>
    <row r="39" spans="1:25" s="2" customFormat="1" ht="25.5" x14ac:dyDescent="0.2">
      <c r="A39" s="5" t="s">
        <v>9010</v>
      </c>
      <c r="B39" s="5" t="s">
        <v>8584</v>
      </c>
      <c r="C39" s="5">
        <v>26</v>
      </c>
      <c r="D39" s="5"/>
      <c r="E39" s="5"/>
      <c r="F39" s="5" t="s">
        <v>9009</v>
      </c>
      <c r="G39" s="5" t="s">
        <v>4</v>
      </c>
      <c r="H39" s="5" t="s">
        <v>137</v>
      </c>
      <c r="I39" s="5" t="s">
        <v>8899</v>
      </c>
      <c r="J39" s="5" t="s">
        <v>9008</v>
      </c>
      <c r="M39" s="1"/>
      <c r="N39"/>
      <c r="O39"/>
      <c r="P39"/>
      <c r="Q39"/>
      <c r="R39"/>
      <c r="S39"/>
      <c r="T39"/>
      <c r="U39"/>
      <c r="V39"/>
      <c r="W39"/>
      <c r="X39"/>
      <c r="Y39"/>
    </row>
    <row r="40" spans="1:25" s="2" customFormat="1" x14ac:dyDescent="0.2">
      <c r="A40" s="5" t="s">
        <v>8043</v>
      </c>
      <c r="B40" s="5" t="s">
        <v>8584</v>
      </c>
      <c r="C40" s="5">
        <v>27</v>
      </c>
      <c r="D40" s="5"/>
      <c r="E40" s="5"/>
      <c r="F40" s="5" t="s">
        <v>3997</v>
      </c>
      <c r="G40" s="5" t="s">
        <v>4</v>
      </c>
      <c r="H40" s="5" t="s">
        <v>3</v>
      </c>
      <c r="I40" s="5"/>
      <c r="J40" s="5" t="s">
        <v>9007</v>
      </c>
      <c r="M40" s="1"/>
      <c r="N40"/>
      <c r="O40"/>
      <c r="P40"/>
      <c r="Q40"/>
      <c r="R40"/>
      <c r="S40"/>
      <c r="T40"/>
      <c r="U40"/>
      <c r="V40"/>
      <c r="W40"/>
      <c r="X40"/>
      <c r="Y40"/>
    </row>
    <row r="41" spans="1:25" s="2" customFormat="1" x14ac:dyDescent="0.2">
      <c r="A41" s="5" t="s">
        <v>9006</v>
      </c>
      <c r="B41" s="5" t="s">
        <v>8584</v>
      </c>
      <c r="C41" s="5">
        <v>28</v>
      </c>
      <c r="D41" s="5"/>
      <c r="E41" s="5"/>
      <c r="F41" s="5" t="s">
        <v>7864</v>
      </c>
      <c r="G41" s="5" t="s">
        <v>6530</v>
      </c>
      <c r="H41" s="5" t="s">
        <v>3</v>
      </c>
      <c r="I41" s="5"/>
      <c r="J41" s="5" t="s">
        <v>9005</v>
      </c>
      <c r="M41" s="1"/>
      <c r="N41"/>
      <c r="O41"/>
      <c r="P41"/>
      <c r="Q41"/>
      <c r="R41"/>
      <c r="S41"/>
      <c r="T41"/>
      <c r="U41"/>
      <c r="V41"/>
      <c r="W41"/>
      <c r="X41"/>
      <c r="Y41"/>
    </row>
    <row r="42" spans="1:25" s="2" customFormat="1" ht="25.5" x14ac:dyDescent="0.2">
      <c r="A42" s="5" t="s">
        <v>9004</v>
      </c>
      <c r="B42" s="5" t="s">
        <v>8584</v>
      </c>
      <c r="C42" s="5">
        <v>29</v>
      </c>
      <c r="D42" s="5"/>
      <c r="E42" s="5"/>
      <c r="F42" s="5" t="s">
        <v>9003</v>
      </c>
      <c r="G42" s="5" t="s">
        <v>195</v>
      </c>
      <c r="H42" s="5" t="s">
        <v>137</v>
      </c>
      <c r="I42" s="5" t="s">
        <v>8999</v>
      </c>
      <c r="J42" s="5" t="s">
        <v>9002</v>
      </c>
      <c r="M42" s="1"/>
      <c r="N42"/>
      <c r="O42"/>
      <c r="P42"/>
      <c r="Q42"/>
      <c r="R42"/>
      <c r="S42"/>
      <c r="T42"/>
      <c r="U42"/>
      <c r="V42"/>
      <c r="W42"/>
      <c r="X42"/>
      <c r="Y42"/>
    </row>
    <row r="43" spans="1:25" s="2" customFormat="1" ht="25.5" x14ac:dyDescent="0.2">
      <c r="A43" s="5" t="s">
        <v>9001</v>
      </c>
      <c r="B43" s="5" t="s">
        <v>8584</v>
      </c>
      <c r="C43" s="5">
        <v>30</v>
      </c>
      <c r="D43" s="5"/>
      <c r="E43" s="5"/>
      <c r="F43" s="5" t="s">
        <v>9000</v>
      </c>
      <c r="G43" s="5" t="s">
        <v>80</v>
      </c>
      <c r="H43" s="5" t="s">
        <v>137</v>
      </c>
      <c r="I43" s="5" t="s">
        <v>8999</v>
      </c>
      <c r="J43" s="5" t="s">
        <v>8998</v>
      </c>
      <c r="M43" s="1"/>
      <c r="N43"/>
      <c r="O43"/>
      <c r="P43"/>
      <c r="Q43"/>
      <c r="R43"/>
      <c r="S43"/>
      <c r="T43"/>
      <c r="U43"/>
      <c r="V43"/>
      <c r="W43"/>
      <c r="X43"/>
      <c r="Y43"/>
    </row>
    <row r="44" spans="1:25" s="2" customFormat="1" ht="25.5" x14ac:dyDescent="0.2">
      <c r="A44" s="5" t="s">
        <v>7438</v>
      </c>
      <c r="B44" s="5" t="s">
        <v>8584</v>
      </c>
      <c r="C44" s="5">
        <v>31</v>
      </c>
      <c r="D44" s="5"/>
      <c r="E44" s="5" t="s">
        <v>138</v>
      </c>
      <c r="F44" s="5" t="s">
        <v>7431</v>
      </c>
      <c r="G44" s="5" t="s">
        <v>91</v>
      </c>
      <c r="H44" s="5" t="s">
        <v>3</v>
      </c>
      <c r="I44" s="5"/>
      <c r="J44" s="5" t="s">
        <v>7436</v>
      </c>
      <c r="M44" s="1"/>
      <c r="N44"/>
      <c r="O44"/>
      <c r="P44"/>
      <c r="Q44"/>
      <c r="R44"/>
      <c r="S44"/>
      <c r="T44"/>
      <c r="U44"/>
      <c r="V44"/>
      <c r="W44"/>
      <c r="X44"/>
      <c r="Y44"/>
    </row>
    <row r="45" spans="1:25" s="2" customFormat="1" ht="25.5" x14ac:dyDescent="0.2">
      <c r="A45" s="5" t="s">
        <v>7880</v>
      </c>
      <c r="B45" s="5" t="s">
        <v>8584</v>
      </c>
      <c r="C45" s="5">
        <v>32</v>
      </c>
      <c r="D45" s="5"/>
      <c r="E45" s="5" t="s">
        <v>138</v>
      </c>
      <c r="F45" s="5" t="s">
        <v>7879</v>
      </c>
      <c r="G45" s="5" t="s">
        <v>91</v>
      </c>
      <c r="H45" s="5" t="s">
        <v>3</v>
      </c>
      <c r="I45" s="5"/>
      <c r="J45" s="5" t="s">
        <v>7878</v>
      </c>
      <c r="M45" s="1"/>
      <c r="N45"/>
      <c r="O45"/>
      <c r="P45"/>
      <c r="Q45"/>
      <c r="R45"/>
      <c r="S45"/>
      <c r="T45"/>
      <c r="U45"/>
      <c r="V45"/>
      <c r="W45"/>
      <c r="X45"/>
      <c r="Y45"/>
    </row>
    <row r="46" spans="1:25" s="2" customFormat="1" x14ac:dyDescent="0.2">
      <c r="A46" s="5" t="s">
        <v>8997</v>
      </c>
      <c r="B46" s="5" t="s">
        <v>8584</v>
      </c>
      <c r="C46" s="5">
        <v>33</v>
      </c>
      <c r="D46" s="5"/>
      <c r="E46" s="5" t="s">
        <v>138</v>
      </c>
      <c r="F46" s="5" t="s">
        <v>7447</v>
      </c>
      <c r="G46" s="5" t="s">
        <v>91</v>
      </c>
      <c r="H46" s="5" t="s">
        <v>3</v>
      </c>
      <c r="I46" s="5"/>
      <c r="J46" s="5" t="s">
        <v>8996</v>
      </c>
      <c r="M46" s="1"/>
      <c r="N46"/>
      <c r="O46"/>
      <c r="P46"/>
      <c r="Q46"/>
      <c r="R46"/>
      <c r="S46"/>
      <c r="T46"/>
      <c r="U46"/>
      <c r="V46"/>
      <c r="W46"/>
      <c r="X46"/>
      <c r="Y46"/>
    </row>
    <row r="47" spans="1:25" s="2" customFormat="1" x14ac:dyDescent="0.2">
      <c r="A47" s="5" t="s">
        <v>8995</v>
      </c>
      <c r="B47" s="5" t="s">
        <v>8584</v>
      </c>
      <c r="C47" s="5">
        <v>34</v>
      </c>
      <c r="D47" s="5"/>
      <c r="E47" s="5" t="s">
        <v>138</v>
      </c>
      <c r="F47" s="5" t="s">
        <v>5246</v>
      </c>
      <c r="G47" s="5" t="s">
        <v>91</v>
      </c>
      <c r="H47" s="5" t="s">
        <v>3</v>
      </c>
      <c r="I47" s="5"/>
      <c r="J47" s="5" t="s">
        <v>8994</v>
      </c>
      <c r="M47" s="1"/>
      <c r="N47"/>
      <c r="O47"/>
      <c r="P47"/>
      <c r="Q47"/>
      <c r="R47"/>
      <c r="S47"/>
      <c r="T47"/>
      <c r="U47"/>
      <c r="V47"/>
      <c r="W47"/>
      <c r="X47"/>
      <c r="Y47"/>
    </row>
    <row r="48" spans="1:25" s="2" customFormat="1" ht="38.25" x14ac:dyDescent="0.2">
      <c r="A48" s="5" t="s">
        <v>8066</v>
      </c>
      <c r="B48" s="5" t="s">
        <v>8584</v>
      </c>
      <c r="C48" s="5">
        <v>35</v>
      </c>
      <c r="D48" s="5"/>
      <c r="E48" s="5" t="s">
        <v>138</v>
      </c>
      <c r="F48" s="5" t="s">
        <v>8064</v>
      </c>
      <c r="G48" s="5" t="s">
        <v>91</v>
      </c>
      <c r="H48" s="5" t="s">
        <v>3</v>
      </c>
      <c r="I48" s="5"/>
      <c r="J48" s="5" t="s">
        <v>8063</v>
      </c>
      <c r="M48" s="1"/>
      <c r="N48"/>
      <c r="O48"/>
      <c r="P48"/>
      <c r="Q48"/>
      <c r="R48"/>
      <c r="S48"/>
      <c r="T48"/>
      <c r="U48"/>
      <c r="V48"/>
      <c r="W48"/>
      <c r="X48"/>
      <c r="Y48"/>
    </row>
    <row r="49" spans="1:25" s="2" customFormat="1" ht="25.5" x14ac:dyDescent="0.2">
      <c r="A49" s="5" t="s">
        <v>8993</v>
      </c>
      <c r="B49" s="5" t="s">
        <v>83</v>
      </c>
      <c r="C49" s="5"/>
      <c r="D49" s="5" t="s">
        <v>8992</v>
      </c>
      <c r="E49" s="5" t="s">
        <v>138</v>
      </c>
      <c r="F49" s="5" t="s">
        <v>8574</v>
      </c>
      <c r="G49" s="5" t="s">
        <v>91</v>
      </c>
      <c r="H49" s="5" t="s">
        <v>3</v>
      </c>
      <c r="I49" s="5"/>
      <c r="J49" s="5" t="s">
        <v>8989</v>
      </c>
      <c r="M49" s="1"/>
      <c r="N49"/>
      <c r="O49"/>
      <c r="P49"/>
      <c r="Q49"/>
      <c r="R49"/>
      <c r="S49"/>
      <c r="T49"/>
      <c r="U49"/>
      <c r="V49"/>
      <c r="W49"/>
      <c r="X49"/>
      <c r="Y49"/>
    </row>
    <row r="50" spans="1:25" s="2" customFormat="1" ht="25.5" x14ac:dyDescent="0.2">
      <c r="A50" s="5" t="s">
        <v>8991</v>
      </c>
      <c r="B50" s="5" t="s">
        <v>83</v>
      </c>
      <c r="C50" s="5"/>
      <c r="D50" s="5" t="s">
        <v>8990</v>
      </c>
      <c r="E50" s="5" t="s">
        <v>138</v>
      </c>
      <c r="F50" s="5" t="s">
        <v>8574</v>
      </c>
      <c r="G50" s="5" t="s">
        <v>91</v>
      </c>
      <c r="H50" s="5" t="s">
        <v>3</v>
      </c>
      <c r="I50" s="5"/>
      <c r="J50" s="5" t="s">
        <v>8989</v>
      </c>
      <c r="M50" s="1"/>
      <c r="N50"/>
      <c r="O50"/>
      <c r="P50"/>
      <c r="Q50"/>
      <c r="R50"/>
      <c r="S50"/>
      <c r="T50"/>
      <c r="U50"/>
      <c r="V50"/>
      <c r="W50"/>
      <c r="X50"/>
      <c r="Y50"/>
    </row>
    <row r="51" spans="1:25" s="2" customFormat="1" ht="25.5" x14ac:dyDescent="0.2">
      <c r="A51" s="5" t="s">
        <v>8404</v>
      </c>
      <c r="B51" s="5" t="s">
        <v>83</v>
      </c>
      <c r="C51" s="5"/>
      <c r="D51" s="5" t="s">
        <v>8403</v>
      </c>
      <c r="E51" s="5"/>
      <c r="F51" s="5"/>
      <c r="G51" s="5" t="s">
        <v>105</v>
      </c>
      <c r="H51" s="5" t="s">
        <v>3</v>
      </c>
      <c r="I51" s="5"/>
      <c r="J51" s="5" t="s">
        <v>8402</v>
      </c>
      <c r="M51" s="1"/>
      <c r="N51"/>
      <c r="O51"/>
      <c r="P51"/>
      <c r="Q51"/>
      <c r="R51"/>
      <c r="S51"/>
      <c r="T51"/>
      <c r="U51"/>
      <c r="V51"/>
      <c r="W51"/>
      <c r="X51"/>
      <c r="Y51"/>
    </row>
    <row r="52" spans="1:25" s="2" customFormat="1" x14ac:dyDescent="0.2">
      <c r="A52" s="5" t="s">
        <v>8401</v>
      </c>
      <c r="B52" s="5" t="s">
        <v>83</v>
      </c>
      <c r="C52" s="5"/>
      <c r="D52" s="5" t="s">
        <v>8382</v>
      </c>
      <c r="E52" s="5"/>
      <c r="F52" s="5" t="s">
        <v>8385</v>
      </c>
      <c r="G52" s="5" t="s">
        <v>105</v>
      </c>
      <c r="H52" s="5" t="s">
        <v>3</v>
      </c>
      <c r="I52" s="5"/>
      <c r="J52" s="5" t="s">
        <v>8400</v>
      </c>
      <c r="M52" s="1"/>
      <c r="N52"/>
      <c r="O52"/>
      <c r="P52"/>
      <c r="Q52"/>
      <c r="R52"/>
      <c r="S52"/>
      <c r="T52"/>
      <c r="U52"/>
      <c r="V52"/>
      <c r="W52"/>
      <c r="X52"/>
      <c r="Y52"/>
    </row>
    <row r="53" spans="1:25" s="2" customFormat="1" x14ac:dyDescent="0.2">
      <c r="A53" s="5" t="s">
        <v>8399</v>
      </c>
      <c r="B53" s="5" t="s">
        <v>83</v>
      </c>
      <c r="C53" s="5"/>
      <c r="D53" s="5" t="s">
        <v>6390</v>
      </c>
      <c r="E53" s="5" t="s">
        <v>150</v>
      </c>
      <c r="F53" s="5" t="s">
        <v>8385</v>
      </c>
      <c r="G53" s="5" t="s">
        <v>148</v>
      </c>
      <c r="H53" s="5" t="s">
        <v>3</v>
      </c>
      <c r="I53" s="5"/>
      <c r="J53" s="5" t="s">
        <v>8398</v>
      </c>
      <c r="M53" s="1"/>
      <c r="N53"/>
      <c r="O53"/>
      <c r="P53"/>
      <c r="Q53"/>
      <c r="R53"/>
      <c r="S53"/>
      <c r="T53"/>
      <c r="U53"/>
      <c r="V53"/>
      <c r="W53"/>
      <c r="X53"/>
      <c r="Y53"/>
    </row>
    <row r="54" spans="1:25" s="2" customFormat="1" x14ac:dyDescent="0.2">
      <c r="A54" s="5" t="s">
        <v>8397</v>
      </c>
      <c r="B54" s="5" t="s">
        <v>83</v>
      </c>
      <c r="C54" s="5"/>
      <c r="D54" s="5" t="s">
        <v>8396</v>
      </c>
      <c r="E54" s="5"/>
      <c r="F54" s="5" t="s">
        <v>8395</v>
      </c>
      <c r="G54" s="5" t="s">
        <v>283</v>
      </c>
      <c r="H54" s="5" t="s">
        <v>3</v>
      </c>
      <c r="I54" s="5"/>
      <c r="J54" s="5" t="s">
        <v>8394</v>
      </c>
      <c r="M54" s="1"/>
      <c r="N54"/>
      <c r="O54"/>
      <c r="P54"/>
      <c r="Q54"/>
      <c r="R54"/>
      <c r="S54"/>
      <c r="T54"/>
      <c r="U54"/>
      <c r="V54"/>
      <c r="W54"/>
      <c r="X54"/>
      <c r="Y54"/>
    </row>
    <row r="55" spans="1:25" s="2" customFormat="1" x14ac:dyDescent="0.2">
      <c r="A55" s="5" t="s">
        <v>8393</v>
      </c>
      <c r="B55" s="5" t="s">
        <v>83</v>
      </c>
      <c r="C55" s="5"/>
      <c r="D55" s="5" t="s">
        <v>8392</v>
      </c>
      <c r="E55" s="5"/>
      <c r="F55" s="5" t="s">
        <v>8391</v>
      </c>
      <c r="G55" s="5" t="s">
        <v>229</v>
      </c>
      <c r="H55" s="5" t="s">
        <v>3</v>
      </c>
      <c r="I55" s="5"/>
      <c r="J55" s="5" t="s">
        <v>8390</v>
      </c>
      <c r="M55" s="1"/>
      <c r="N55"/>
      <c r="O55"/>
      <c r="P55"/>
      <c r="Q55"/>
      <c r="R55"/>
      <c r="S55"/>
      <c r="T55"/>
      <c r="U55"/>
      <c r="V55"/>
      <c r="W55"/>
      <c r="X55"/>
      <c r="Y55"/>
    </row>
    <row r="56" spans="1:25" s="2" customFormat="1" x14ac:dyDescent="0.2">
      <c r="A56" s="5" t="s">
        <v>8988</v>
      </c>
      <c r="B56" s="5" t="s">
        <v>83</v>
      </c>
      <c r="C56" s="5"/>
      <c r="D56" s="5" t="s">
        <v>8987</v>
      </c>
      <c r="E56" s="5"/>
      <c r="F56" s="5" t="s">
        <v>8986</v>
      </c>
      <c r="G56" s="5" t="s">
        <v>118</v>
      </c>
      <c r="H56" s="5" t="s">
        <v>3</v>
      </c>
      <c r="I56" s="5"/>
      <c r="J56" s="5" t="s">
        <v>8985</v>
      </c>
      <c r="M56" s="1"/>
      <c r="N56"/>
      <c r="O56"/>
      <c r="P56"/>
      <c r="Q56"/>
      <c r="R56"/>
      <c r="S56"/>
      <c r="T56"/>
      <c r="U56"/>
      <c r="V56"/>
      <c r="W56"/>
      <c r="X56"/>
      <c r="Y56"/>
    </row>
    <row r="57" spans="1:25" s="2" customFormat="1" x14ac:dyDescent="0.2">
      <c r="A57" s="5" t="s">
        <v>8389</v>
      </c>
      <c r="B57" s="5" t="s">
        <v>83</v>
      </c>
      <c r="C57" s="5"/>
      <c r="D57" s="5" t="s">
        <v>5533</v>
      </c>
      <c r="E57" s="5"/>
      <c r="F57" s="5" t="s">
        <v>8385</v>
      </c>
      <c r="G57" s="5" t="s">
        <v>382</v>
      </c>
      <c r="H57" s="5" t="s">
        <v>3</v>
      </c>
      <c r="I57" s="5"/>
      <c r="J57" s="5" t="s">
        <v>8388</v>
      </c>
      <c r="M57" s="1"/>
      <c r="N57"/>
      <c r="O57"/>
      <c r="P57"/>
      <c r="Q57"/>
      <c r="R57"/>
      <c r="S57"/>
      <c r="T57"/>
      <c r="U57"/>
      <c r="V57"/>
      <c r="W57"/>
      <c r="X57"/>
      <c r="Y57"/>
    </row>
    <row r="58" spans="1:25" s="2" customFormat="1" x14ac:dyDescent="0.2">
      <c r="A58" s="5" t="s">
        <v>8387</v>
      </c>
      <c r="B58" s="5" t="s">
        <v>83</v>
      </c>
      <c r="C58" s="5"/>
      <c r="D58" s="5" t="s">
        <v>8386</v>
      </c>
      <c r="E58" s="5" t="s">
        <v>5520</v>
      </c>
      <c r="F58" s="5" t="s">
        <v>8385</v>
      </c>
      <c r="G58" s="5" t="s">
        <v>148</v>
      </c>
      <c r="H58" s="5" t="s">
        <v>3</v>
      </c>
      <c r="I58" s="5"/>
      <c r="J58" s="5" t="s">
        <v>8384</v>
      </c>
      <c r="M58" s="1"/>
      <c r="N58"/>
      <c r="O58"/>
      <c r="P58"/>
      <c r="Q58"/>
      <c r="R58"/>
      <c r="S58"/>
      <c r="T58"/>
      <c r="U58"/>
      <c r="V58"/>
      <c r="W58"/>
      <c r="X58"/>
      <c r="Y58"/>
    </row>
    <row r="59" spans="1:25" s="2" customFormat="1" x14ac:dyDescent="0.2">
      <c r="A59" s="5" t="s">
        <v>8380</v>
      </c>
      <c r="B59" s="5" t="s">
        <v>83</v>
      </c>
      <c r="C59" s="5"/>
      <c r="D59" s="5" t="s">
        <v>8379</v>
      </c>
      <c r="E59" s="5"/>
      <c r="F59" s="5" t="s">
        <v>8378</v>
      </c>
      <c r="G59" s="5" t="s">
        <v>3059</v>
      </c>
      <c r="H59" s="5" t="s">
        <v>3</v>
      </c>
      <c r="I59" s="5"/>
      <c r="J59" s="5" t="s">
        <v>7462</v>
      </c>
      <c r="M59" s="1"/>
      <c r="N59"/>
      <c r="O59"/>
      <c r="P59"/>
      <c r="Q59"/>
      <c r="R59"/>
      <c r="S59"/>
      <c r="T59"/>
      <c r="U59"/>
      <c r="V59"/>
      <c r="W59"/>
      <c r="X59"/>
      <c r="Y59"/>
    </row>
    <row r="60" spans="1:25" s="2" customFormat="1" x14ac:dyDescent="0.2">
      <c r="A60" s="5" t="s">
        <v>8984</v>
      </c>
      <c r="B60" s="5" t="s">
        <v>83</v>
      </c>
      <c r="C60" s="5"/>
      <c r="D60" s="5" t="s">
        <v>8983</v>
      </c>
      <c r="E60" s="5" t="s">
        <v>8982</v>
      </c>
      <c r="F60" s="5" t="s">
        <v>106</v>
      </c>
      <c r="G60" s="5" t="s">
        <v>91</v>
      </c>
      <c r="H60" s="5" t="s">
        <v>3</v>
      </c>
      <c r="I60" s="5"/>
      <c r="J60" s="5"/>
      <c r="M60" s="1"/>
      <c r="N60"/>
      <c r="O60"/>
      <c r="P60"/>
      <c r="Q60"/>
      <c r="R60"/>
      <c r="S60"/>
      <c r="T60"/>
      <c r="U60"/>
      <c r="V60"/>
      <c r="W60"/>
      <c r="X60"/>
      <c r="Y60"/>
    </row>
    <row r="61" spans="1:25" s="2" customFormat="1" ht="25.5" x14ac:dyDescent="0.2">
      <c r="A61" s="5" t="s">
        <v>8981</v>
      </c>
      <c r="B61" s="5" t="s">
        <v>83</v>
      </c>
      <c r="C61" s="5"/>
      <c r="D61" s="5" t="s">
        <v>8980</v>
      </c>
      <c r="E61" s="5" t="s">
        <v>138</v>
      </c>
      <c r="F61" s="5" t="s">
        <v>4009</v>
      </c>
      <c r="G61" s="5" t="s">
        <v>382</v>
      </c>
      <c r="H61" s="5" t="s">
        <v>3</v>
      </c>
      <c r="I61" s="5"/>
      <c r="J61" s="5" t="s">
        <v>8979</v>
      </c>
      <c r="M61" s="1"/>
      <c r="N61"/>
      <c r="O61"/>
      <c r="P61"/>
      <c r="Q61"/>
      <c r="R61"/>
      <c r="S61"/>
      <c r="T61"/>
      <c r="U61"/>
      <c r="V61"/>
      <c r="W61"/>
      <c r="X61"/>
      <c r="Y61"/>
    </row>
    <row r="62" spans="1:25" s="2" customFormat="1" ht="25.5" x14ac:dyDescent="0.2">
      <c r="A62" s="5" t="s">
        <v>8085</v>
      </c>
      <c r="B62" s="5" t="s">
        <v>83</v>
      </c>
      <c r="C62" s="5"/>
      <c r="D62" s="5" t="s">
        <v>8084</v>
      </c>
      <c r="E62" s="5"/>
      <c r="F62" s="5" t="s">
        <v>8083</v>
      </c>
      <c r="G62" s="5" t="s">
        <v>283</v>
      </c>
      <c r="H62" s="5" t="s">
        <v>3</v>
      </c>
      <c r="I62" s="5"/>
      <c r="J62" s="5"/>
      <c r="M62" s="1"/>
      <c r="N62"/>
      <c r="O62"/>
      <c r="P62"/>
      <c r="Q62"/>
      <c r="R62"/>
      <c r="S62"/>
      <c r="T62"/>
      <c r="U62"/>
      <c r="V62"/>
      <c r="W62"/>
      <c r="X62"/>
      <c r="Y62"/>
    </row>
    <row r="63" spans="1:25" s="2" customFormat="1" ht="25.5" x14ac:dyDescent="0.2">
      <c r="A63" s="5" t="s">
        <v>8978</v>
      </c>
      <c r="B63" s="5" t="s">
        <v>83</v>
      </c>
      <c r="C63" s="5"/>
      <c r="D63" s="5" t="s">
        <v>8977</v>
      </c>
      <c r="E63" s="5" t="s">
        <v>138</v>
      </c>
      <c r="F63" s="5" t="s">
        <v>4047</v>
      </c>
      <c r="G63" s="5" t="s">
        <v>91</v>
      </c>
      <c r="H63" s="5" t="s">
        <v>3</v>
      </c>
      <c r="I63" s="5"/>
      <c r="J63" s="5" t="s">
        <v>8976</v>
      </c>
      <c r="M63" s="1"/>
      <c r="N63"/>
      <c r="O63"/>
      <c r="P63"/>
      <c r="Q63"/>
      <c r="R63"/>
      <c r="S63"/>
      <c r="T63"/>
      <c r="U63"/>
      <c r="V63"/>
      <c r="W63"/>
      <c r="X63"/>
      <c r="Y63"/>
    </row>
    <row r="64" spans="1:25" s="2" customFormat="1" ht="25.5" x14ac:dyDescent="0.2">
      <c r="A64" s="5" t="s">
        <v>8056</v>
      </c>
      <c r="B64" s="5" t="s">
        <v>83</v>
      </c>
      <c r="C64" s="5"/>
      <c r="D64" s="5" t="s">
        <v>8055</v>
      </c>
      <c r="E64" s="5" t="s">
        <v>138</v>
      </c>
      <c r="F64" s="5" t="s">
        <v>8054</v>
      </c>
      <c r="G64" s="5" t="s">
        <v>91</v>
      </c>
      <c r="H64" s="5" t="s">
        <v>3</v>
      </c>
      <c r="I64" s="5"/>
      <c r="J64" s="5" t="s">
        <v>8053</v>
      </c>
      <c r="M64" s="1"/>
      <c r="N64"/>
      <c r="O64"/>
      <c r="P64"/>
      <c r="Q64"/>
      <c r="R64"/>
      <c r="S64"/>
      <c r="T64"/>
      <c r="U64"/>
      <c r="V64"/>
      <c r="W64"/>
      <c r="X64"/>
      <c r="Y64"/>
    </row>
    <row r="65" spans="1:25" s="2" customFormat="1" x14ac:dyDescent="0.2">
      <c r="A65" s="5" t="s">
        <v>8975</v>
      </c>
      <c r="B65" s="5" t="s">
        <v>83</v>
      </c>
      <c r="C65" s="5"/>
      <c r="D65" s="5" t="s">
        <v>8974</v>
      </c>
      <c r="E65" s="5"/>
      <c r="F65" s="5" t="s">
        <v>106</v>
      </c>
      <c r="G65" s="5" t="s">
        <v>315</v>
      </c>
      <c r="H65" s="5" t="s">
        <v>3</v>
      </c>
      <c r="I65" s="5"/>
      <c r="J65" s="5"/>
      <c r="M65" s="1"/>
      <c r="N65"/>
      <c r="O65"/>
      <c r="P65"/>
      <c r="Q65"/>
      <c r="R65"/>
      <c r="S65"/>
      <c r="T65"/>
      <c r="U65"/>
      <c r="V65"/>
      <c r="W65"/>
      <c r="X65"/>
      <c r="Y65"/>
    </row>
    <row r="66" spans="1:25" s="2" customFormat="1" ht="25.5" x14ac:dyDescent="0.2">
      <c r="A66" s="5" t="s">
        <v>8973</v>
      </c>
      <c r="B66" s="5" t="s">
        <v>83</v>
      </c>
      <c r="C66" s="5"/>
      <c r="D66" s="5" t="s">
        <v>8972</v>
      </c>
      <c r="E66" s="5" t="s">
        <v>93</v>
      </c>
      <c r="F66" s="5" t="s">
        <v>8971</v>
      </c>
      <c r="G66" s="5" t="s">
        <v>6584</v>
      </c>
      <c r="H66" s="5" t="s">
        <v>3</v>
      </c>
      <c r="I66" s="5"/>
      <c r="J66" s="5"/>
      <c r="M66" s="1"/>
      <c r="N66"/>
      <c r="O66"/>
      <c r="P66"/>
      <c r="Q66"/>
      <c r="R66"/>
      <c r="S66"/>
      <c r="T66"/>
      <c r="U66"/>
      <c r="V66"/>
      <c r="W66"/>
      <c r="X66"/>
      <c r="Y66"/>
    </row>
    <row r="67" spans="1:25" s="2" customFormat="1" x14ac:dyDescent="0.2">
      <c r="A67" s="5" t="s">
        <v>7665</v>
      </c>
      <c r="B67" s="5" t="s">
        <v>83</v>
      </c>
      <c r="C67" s="5"/>
      <c r="D67" s="5" t="s">
        <v>7664</v>
      </c>
      <c r="E67" s="5" t="s">
        <v>288</v>
      </c>
      <c r="F67" s="5" t="s">
        <v>7663</v>
      </c>
      <c r="G67" s="5" t="s">
        <v>91</v>
      </c>
      <c r="H67" s="5" t="s">
        <v>3</v>
      </c>
      <c r="I67" s="5"/>
      <c r="J67" s="5"/>
      <c r="M67" s="1"/>
      <c r="N67"/>
      <c r="O67"/>
      <c r="P67"/>
      <c r="Q67"/>
      <c r="R67"/>
      <c r="S67"/>
      <c r="T67"/>
      <c r="U67"/>
      <c r="V67"/>
      <c r="W67"/>
      <c r="X67"/>
      <c r="Y67"/>
    </row>
    <row r="68" spans="1:25" s="2" customFormat="1" ht="25.5" x14ac:dyDescent="0.2">
      <c r="A68" s="5" t="s">
        <v>8970</v>
      </c>
      <c r="B68" s="5" t="s">
        <v>83</v>
      </c>
      <c r="C68" s="5"/>
      <c r="D68" s="5" t="s">
        <v>8969</v>
      </c>
      <c r="E68" s="5" t="s">
        <v>138</v>
      </c>
      <c r="F68" s="5" t="s">
        <v>8962</v>
      </c>
      <c r="G68" s="5" t="s">
        <v>382</v>
      </c>
      <c r="H68" s="5" t="s">
        <v>3</v>
      </c>
      <c r="I68" s="5"/>
      <c r="J68" s="5" t="s">
        <v>8968</v>
      </c>
      <c r="M68" s="1"/>
      <c r="N68"/>
      <c r="O68"/>
      <c r="P68"/>
      <c r="Q68"/>
      <c r="R68"/>
      <c r="S68"/>
      <c r="T68"/>
      <c r="U68"/>
      <c r="V68"/>
      <c r="W68"/>
      <c r="X68"/>
      <c r="Y68"/>
    </row>
    <row r="69" spans="1:25" s="2" customFormat="1" ht="25.5" x14ac:dyDescent="0.2">
      <c r="A69" s="5" t="s">
        <v>8967</v>
      </c>
      <c r="B69" s="5" t="s">
        <v>83</v>
      </c>
      <c r="C69" s="5"/>
      <c r="D69" s="5" t="s">
        <v>8966</v>
      </c>
      <c r="E69" s="5" t="s">
        <v>138</v>
      </c>
      <c r="F69" s="5" t="s">
        <v>8962</v>
      </c>
      <c r="G69" s="5" t="s">
        <v>382</v>
      </c>
      <c r="H69" s="5" t="s">
        <v>3</v>
      </c>
      <c r="I69" s="5"/>
      <c r="J69" s="5" t="s">
        <v>8965</v>
      </c>
      <c r="M69" s="1"/>
      <c r="N69"/>
      <c r="O69"/>
      <c r="P69"/>
      <c r="Q69"/>
      <c r="R69"/>
      <c r="S69"/>
      <c r="T69"/>
      <c r="U69"/>
      <c r="V69"/>
      <c r="W69"/>
      <c r="X69"/>
      <c r="Y69"/>
    </row>
    <row r="70" spans="1:25" s="2" customFormat="1" ht="25.5" x14ac:dyDescent="0.2">
      <c r="A70" s="5" t="s">
        <v>8964</v>
      </c>
      <c r="B70" s="5" t="s">
        <v>83</v>
      </c>
      <c r="C70" s="5"/>
      <c r="D70" s="5" t="s">
        <v>8963</v>
      </c>
      <c r="E70" s="5" t="s">
        <v>138</v>
      </c>
      <c r="F70" s="5" t="s">
        <v>8962</v>
      </c>
      <c r="G70" s="5" t="s">
        <v>382</v>
      </c>
      <c r="H70" s="5" t="s">
        <v>3</v>
      </c>
      <c r="I70" s="5"/>
      <c r="J70" s="5" t="s">
        <v>8961</v>
      </c>
      <c r="M70" s="1"/>
      <c r="N70"/>
      <c r="O70"/>
      <c r="P70"/>
      <c r="Q70"/>
      <c r="R70"/>
      <c r="S70"/>
      <c r="T70"/>
      <c r="U70"/>
      <c r="V70"/>
      <c r="W70"/>
      <c r="X70"/>
      <c r="Y70"/>
    </row>
    <row r="71" spans="1:25" s="2" customFormat="1" x14ac:dyDescent="0.2">
      <c r="A71" s="5" t="s">
        <v>7480</v>
      </c>
      <c r="B71" s="5" t="s">
        <v>83</v>
      </c>
      <c r="C71" s="5"/>
      <c r="D71" s="5" t="s">
        <v>8960</v>
      </c>
      <c r="E71" s="5" t="s">
        <v>138</v>
      </c>
      <c r="F71" s="5" t="s">
        <v>92</v>
      </c>
      <c r="G71" s="5" t="s">
        <v>91</v>
      </c>
      <c r="H71" s="5" t="s">
        <v>3</v>
      </c>
      <c r="I71" s="5"/>
      <c r="J71" s="5" t="s">
        <v>7478</v>
      </c>
      <c r="M71" s="1"/>
      <c r="N71"/>
      <c r="O71"/>
      <c r="P71"/>
      <c r="Q71"/>
      <c r="R71"/>
      <c r="S71"/>
      <c r="T71"/>
      <c r="U71"/>
      <c r="V71"/>
      <c r="W71"/>
      <c r="X71"/>
      <c r="Y71"/>
    </row>
    <row r="72" spans="1:25" s="2" customFormat="1" ht="38.25" x14ac:dyDescent="0.2">
      <c r="A72" s="5" t="s">
        <v>8959</v>
      </c>
      <c r="B72" s="5" t="s">
        <v>83</v>
      </c>
      <c r="C72" s="5"/>
      <c r="D72" s="5" t="s">
        <v>8958</v>
      </c>
      <c r="E72" s="5" t="s">
        <v>138</v>
      </c>
      <c r="F72" s="5" t="s">
        <v>7431</v>
      </c>
      <c r="G72" s="5" t="s">
        <v>91</v>
      </c>
      <c r="H72" s="5" t="s">
        <v>3</v>
      </c>
      <c r="I72" s="5"/>
      <c r="J72" s="5" t="s">
        <v>7430</v>
      </c>
      <c r="M72" s="1"/>
      <c r="N72"/>
      <c r="O72"/>
      <c r="P72"/>
      <c r="Q72"/>
      <c r="R72"/>
      <c r="S72"/>
      <c r="T72"/>
      <c r="U72"/>
      <c r="V72"/>
      <c r="W72"/>
      <c r="X72"/>
      <c r="Y72"/>
    </row>
    <row r="73" spans="1:25" s="2" customFormat="1" ht="38.25" x14ac:dyDescent="0.2">
      <c r="A73" s="5" t="s">
        <v>7435</v>
      </c>
      <c r="B73" s="5" t="s">
        <v>83</v>
      </c>
      <c r="C73" s="5"/>
      <c r="D73" s="5" t="s">
        <v>8957</v>
      </c>
      <c r="E73" s="5" t="s">
        <v>138</v>
      </c>
      <c r="F73" s="5" t="s">
        <v>7431</v>
      </c>
      <c r="G73" s="5" t="s">
        <v>91</v>
      </c>
      <c r="H73" s="5" t="s">
        <v>3</v>
      </c>
      <c r="I73" s="5"/>
      <c r="J73" s="5" t="s">
        <v>7430</v>
      </c>
      <c r="M73" s="1"/>
      <c r="N73"/>
      <c r="O73"/>
      <c r="P73"/>
      <c r="Q73"/>
      <c r="R73"/>
      <c r="S73"/>
      <c r="T73"/>
      <c r="U73"/>
      <c r="V73"/>
      <c r="W73"/>
      <c r="X73"/>
      <c r="Y73"/>
    </row>
    <row r="74" spans="1:25" s="2" customFormat="1" ht="38.25" x14ac:dyDescent="0.2">
      <c r="A74" s="5" t="s">
        <v>7433</v>
      </c>
      <c r="B74" s="5" t="s">
        <v>83</v>
      </c>
      <c r="C74" s="5"/>
      <c r="D74" s="5" t="s">
        <v>8956</v>
      </c>
      <c r="E74" s="5" t="s">
        <v>138</v>
      </c>
      <c r="F74" s="5" t="s">
        <v>7431</v>
      </c>
      <c r="G74" s="5" t="s">
        <v>91</v>
      </c>
      <c r="H74" s="5" t="s">
        <v>3</v>
      </c>
      <c r="I74" s="5"/>
      <c r="J74" s="5" t="s">
        <v>7430</v>
      </c>
      <c r="M74" s="1"/>
      <c r="N74"/>
      <c r="O74"/>
      <c r="P74"/>
      <c r="Q74"/>
      <c r="R74"/>
      <c r="S74"/>
      <c r="T74"/>
      <c r="U74"/>
      <c r="V74"/>
      <c r="W74"/>
      <c r="X74"/>
      <c r="Y74"/>
    </row>
    <row r="75" spans="1:25" s="2" customFormat="1" ht="25.5" x14ac:dyDescent="0.2">
      <c r="A75" s="5" t="s">
        <v>8955</v>
      </c>
      <c r="B75" s="5" t="s">
        <v>83</v>
      </c>
      <c r="C75" s="5"/>
      <c r="D75" s="5" t="s">
        <v>8954</v>
      </c>
      <c r="E75" s="5" t="s">
        <v>138</v>
      </c>
      <c r="F75" s="5" t="s">
        <v>4009</v>
      </c>
      <c r="G75" s="5" t="s">
        <v>382</v>
      </c>
      <c r="H75" s="5" t="s">
        <v>3</v>
      </c>
      <c r="I75" s="5"/>
      <c r="J75" s="5" t="s">
        <v>8953</v>
      </c>
      <c r="M75" s="1"/>
      <c r="N75"/>
      <c r="O75"/>
      <c r="P75"/>
      <c r="Q75"/>
      <c r="R75"/>
      <c r="S75"/>
      <c r="T75"/>
      <c r="U75"/>
      <c r="V75"/>
      <c r="W75"/>
      <c r="X75"/>
      <c r="Y75"/>
    </row>
    <row r="76" spans="1:25" s="2" customFormat="1" x14ac:dyDescent="0.2">
      <c r="A76" s="5" t="s">
        <v>8952</v>
      </c>
      <c r="B76" s="5" t="s">
        <v>83</v>
      </c>
      <c r="C76" s="5"/>
      <c r="D76" s="5" t="s">
        <v>8951</v>
      </c>
      <c r="E76" s="5" t="s">
        <v>138</v>
      </c>
      <c r="F76" s="5" t="s">
        <v>4009</v>
      </c>
      <c r="G76" s="5" t="s">
        <v>382</v>
      </c>
      <c r="H76" s="5" t="s">
        <v>3</v>
      </c>
      <c r="I76" s="5"/>
      <c r="J76" s="5" t="s">
        <v>8950</v>
      </c>
      <c r="M76" s="1"/>
      <c r="N76"/>
      <c r="O76"/>
      <c r="P76"/>
      <c r="Q76"/>
      <c r="R76"/>
      <c r="S76"/>
      <c r="T76"/>
      <c r="U76"/>
      <c r="V76"/>
      <c r="W76"/>
      <c r="X76"/>
      <c r="Y76"/>
    </row>
    <row r="77" spans="1:25" s="2" customFormat="1" x14ac:dyDescent="0.2">
      <c r="A77" s="5" t="s">
        <v>8949</v>
      </c>
      <c r="B77" s="5" t="s">
        <v>83</v>
      </c>
      <c r="C77" s="5"/>
      <c r="D77" s="5" t="s">
        <v>8948</v>
      </c>
      <c r="E77" s="5" t="s">
        <v>138</v>
      </c>
      <c r="F77" s="5" t="s">
        <v>4009</v>
      </c>
      <c r="G77" s="5" t="s">
        <v>382</v>
      </c>
      <c r="H77" s="5" t="s">
        <v>3</v>
      </c>
      <c r="I77" s="5"/>
      <c r="J77" s="5" t="s">
        <v>8947</v>
      </c>
      <c r="M77" s="1"/>
      <c r="N77"/>
      <c r="O77"/>
      <c r="P77"/>
      <c r="Q77"/>
      <c r="R77"/>
      <c r="S77"/>
      <c r="T77"/>
      <c r="U77"/>
      <c r="V77"/>
      <c r="W77"/>
      <c r="X77"/>
      <c r="Y77"/>
    </row>
    <row r="78" spans="1:25" s="2" customFormat="1" x14ac:dyDescent="0.2">
      <c r="A78" s="5" t="s">
        <v>8946</v>
      </c>
      <c r="B78" s="5" t="s">
        <v>83</v>
      </c>
      <c r="C78" s="5"/>
      <c r="D78" s="5" t="s">
        <v>8945</v>
      </c>
      <c r="E78" s="5" t="s">
        <v>138</v>
      </c>
      <c r="F78" s="5" t="s">
        <v>4009</v>
      </c>
      <c r="G78" s="5" t="s">
        <v>382</v>
      </c>
      <c r="H78" s="5" t="s">
        <v>3</v>
      </c>
      <c r="I78" s="5"/>
      <c r="J78" s="5" t="s">
        <v>8944</v>
      </c>
      <c r="M78" s="1"/>
      <c r="N78"/>
      <c r="O78"/>
      <c r="P78"/>
      <c r="Q78"/>
      <c r="R78"/>
      <c r="S78"/>
      <c r="T78"/>
      <c r="U78"/>
      <c r="V78"/>
      <c r="W78"/>
      <c r="X78"/>
      <c r="Y78"/>
    </row>
    <row r="79" spans="1:25" s="2" customFormat="1" ht="25.5" x14ac:dyDescent="0.2">
      <c r="A79" s="5" t="s">
        <v>8943</v>
      </c>
      <c r="B79" s="5" t="s">
        <v>83</v>
      </c>
      <c r="C79" s="5"/>
      <c r="D79" s="5" t="s">
        <v>8942</v>
      </c>
      <c r="E79" s="5" t="s">
        <v>93</v>
      </c>
      <c r="F79" s="5" t="s">
        <v>331</v>
      </c>
      <c r="G79" s="5" t="s">
        <v>148</v>
      </c>
      <c r="H79" s="5" t="s">
        <v>3</v>
      </c>
      <c r="I79" s="5"/>
      <c r="J79" s="5" t="s">
        <v>8941</v>
      </c>
      <c r="M79" s="1"/>
      <c r="N79"/>
      <c r="O79"/>
      <c r="P79"/>
      <c r="Q79"/>
      <c r="R79"/>
      <c r="S79"/>
      <c r="T79"/>
      <c r="U79"/>
      <c r="V79"/>
      <c r="W79"/>
      <c r="X79"/>
      <c r="Y79"/>
    </row>
    <row r="80" spans="1:25" s="2" customFormat="1" x14ac:dyDescent="0.2">
      <c r="A80" s="5" t="s">
        <v>8940</v>
      </c>
      <c r="B80" s="5" t="s">
        <v>83</v>
      </c>
      <c r="C80" s="5"/>
      <c r="D80" s="5" t="s">
        <v>8939</v>
      </c>
      <c r="E80" s="5" t="s">
        <v>93</v>
      </c>
      <c r="F80" s="5" t="s">
        <v>331</v>
      </c>
      <c r="G80" s="5" t="s">
        <v>148</v>
      </c>
      <c r="H80" s="5" t="s">
        <v>137</v>
      </c>
      <c r="I80" s="5"/>
      <c r="J80" s="5" t="s">
        <v>8938</v>
      </c>
      <c r="M80" s="1"/>
      <c r="N80"/>
      <c r="O80"/>
      <c r="P80"/>
      <c r="Q80"/>
      <c r="R80"/>
      <c r="S80"/>
      <c r="T80"/>
      <c r="U80"/>
      <c r="V80"/>
      <c r="W80"/>
      <c r="X80"/>
      <c r="Y80"/>
    </row>
    <row r="81" spans="1:25" s="2" customFormat="1" x14ac:dyDescent="0.2">
      <c r="A81" s="5" t="s">
        <v>8937</v>
      </c>
      <c r="B81" s="5" t="s">
        <v>83</v>
      </c>
      <c r="C81" s="5"/>
      <c r="D81" s="5" t="s">
        <v>8936</v>
      </c>
      <c r="E81" s="5" t="s">
        <v>93</v>
      </c>
      <c r="F81" s="5" t="s">
        <v>331</v>
      </c>
      <c r="G81" s="5" t="s">
        <v>148</v>
      </c>
      <c r="H81" s="5" t="s">
        <v>137</v>
      </c>
      <c r="I81" s="5"/>
      <c r="J81" s="5" t="s">
        <v>8935</v>
      </c>
      <c r="M81" s="1"/>
      <c r="N81"/>
      <c r="O81"/>
      <c r="P81"/>
      <c r="Q81"/>
      <c r="R81"/>
      <c r="S81"/>
      <c r="T81"/>
      <c r="U81"/>
      <c r="V81"/>
      <c r="W81"/>
      <c r="X81"/>
      <c r="Y81"/>
    </row>
    <row r="82" spans="1:25" s="2" customFormat="1" x14ac:dyDescent="0.2">
      <c r="A82" s="5" t="s">
        <v>8934</v>
      </c>
      <c r="B82" s="5" t="s">
        <v>83</v>
      </c>
      <c r="C82" s="5"/>
      <c r="D82" s="5" t="s">
        <v>8933</v>
      </c>
      <c r="E82" s="5" t="s">
        <v>93</v>
      </c>
      <c r="F82" s="5" t="s">
        <v>331</v>
      </c>
      <c r="G82" s="5" t="s">
        <v>148</v>
      </c>
      <c r="H82" s="5" t="s">
        <v>137</v>
      </c>
      <c r="I82" s="5"/>
      <c r="J82" s="5" t="s">
        <v>8932</v>
      </c>
      <c r="M82" s="1"/>
      <c r="N82"/>
      <c r="O82"/>
      <c r="P82"/>
      <c r="Q82"/>
      <c r="R82"/>
      <c r="S82"/>
      <c r="T82"/>
      <c r="U82"/>
      <c r="V82"/>
      <c r="W82"/>
      <c r="X82"/>
      <c r="Y82"/>
    </row>
    <row r="83" spans="1:25" s="2" customFormat="1" x14ac:dyDescent="0.2">
      <c r="A83" s="5" t="s">
        <v>1532</v>
      </c>
      <c r="B83" s="5" t="s">
        <v>83</v>
      </c>
      <c r="C83" s="5"/>
      <c r="D83" s="5" t="s">
        <v>8931</v>
      </c>
      <c r="E83" s="5"/>
      <c r="F83" s="5" t="s">
        <v>1532</v>
      </c>
      <c r="G83" s="5" t="s">
        <v>170</v>
      </c>
      <c r="H83" s="5" t="s">
        <v>137</v>
      </c>
      <c r="I83" s="5" t="s">
        <v>1532</v>
      </c>
      <c r="J83" s="5"/>
      <c r="M83" s="1"/>
      <c r="N83"/>
      <c r="O83"/>
      <c r="P83"/>
      <c r="Q83"/>
      <c r="R83"/>
      <c r="S83"/>
      <c r="T83"/>
      <c r="U83"/>
      <c r="V83"/>
      <c r="W83"/>
      <c r="X83"/>
      <c r="Y83"/>
    </row>
    <row r="84" spans="1:25" s="2" customFormat="1" ht="25.5" x14ac:dyDescent="0.2">
      <c r="A84" s="5" t="s">
        <v>8930</v>
      </c>
      <c r="B84" s="5" t="s">
        <v>83</v>
      </c>
      <c r="C84" s="5"/>
      <c r="D84" s="5" t="s">
        <v>8929</v>
      </c>
      <c r="E84" s="5" t="s">
        <v>8928</v>
      </c>
      <c r="F84" s="5" t="s">
        <v>93</v>
      </c>
      <c r="G84" s="5" t="s">
        <v>331</v>
      </c>
      <c r="H84" s="5" t="s">
        <v>148</v>
      </c>
      <c r="I84" s="5" t="s">
        <v>3</v>
      </c>
      <c r="J84" s="5" t="s">
        <v>8927</v>
      </c>
      <c r="M84" s="1"/>
      <c r="N84"/>
      <c r="O84"/>
      <c r="P84"/>
      <c r="Q84"/>
      <c r="R84"/>
      <c r="S84"/>
      <c r="T84"/>
      <c r="U84"/>
      <c r="V84"/>
      <c r="W84"/>
      <c r="X84"/>
      <c r="Y84"/>
    </row>
    <row r="85" spans="1:25" s="2" customFormat="1" ht="25.5" x14ac:dyDescent="0.2">
      <c r="A85" s="5" t="s">
        <v>337</v>
      </c>
      <c r="B85" s="5" t="s">
        <v>83</v>
      </c>
      <c r="C85" s="5"/>
      <c r="D85" s="5" t="s">
        <v>8926</v>
      </c>
      <c r="E85" s="5" t="s">
        <v>138</v>
      </c>
      <c r="F85" s="5" t="s">
        <v>92</v>
      </c>
      <c r="G85" s="5" t="s">
        <v>91</v>
      </c>
      <c r="H85" s="5" t="s">
        <v>3</v>
      </c>
      <c r="I85" s="5"/>
      <c r="J85" s="5" t="s">
        <v>8925</v>
      </c>
      <c r="M85" s="1"/>
      <c r="N85"/>
      <c r="O85"/>
      <c r="P85"/>
      <c r="Q85"/>
      <c r="R85"/>
      <c r="S85"/>
      <c r="T85"/>
      <c r="U85"/>
      <c r="V85"/>
      <c r="W85"/>
      <c r="X85"/>
      <c r="Y85"/>
    </row>
    <row r="86" spans="1:25" s="2" customFormat="1" ht="38.25" x14ac:dyDescent="0.2">
      <c r="A86" s="5" t="s">
        <v>8924</v>
      </c>
      <c r="B86" s="5" t="s">
        <v>83</v>
      </c>
      <c r="C86" s="5"/>
      <c r="D86" s="5" t="s">
        <v>8923</v>
      </c>
      <c r="E86" s="5" t="s">
        <v>138</v>
      </c>
      <c r="F86" s="5" t="s">
        <v>92</v>
      </c>
      <c r="G86" s="5" t="s">
        <v>91</v>
      </c>
      <c r="H86" s="5" t="s">
        <v>3</v>
      </c>
      <c r="I86" s="5"/>
      <c r="J86" s="5" t="s">
        <v>8922</v>
      </c>
      <c r="M86" s="1"/>
      <c r="N86"/>
      <c r="O86"/>
      <c r="P86"/>
      <c r="Q86"/>
      <c r="R86"/>
      <c r="S86"/>
      <c r="T86"/>
      <c r="U86"/>
      <c r="V86"/>
      <c r="W86"/>
      <c r="X86"/>
      <c r="Y86"/>
    </row>
    <row r="87" spans="1:25" s="2" customFormat="1" ht="25.5" x14ac:dyDescent="0.2">
      <c r="A87" s="5" t="s">
        <v>8921</v>
      </c>
      <c r="B87" s="5" t="s">
        <v>83</v>
      </c>
      <c r="C87" s="5"/>
      <c r="D87" s="5" t="s">
        <v>260</v>
      </c>
      <c r="E87" s="5"/>
      <c r="F87" s="5" t="s">
        <v>259</v>
      </c>
      <c r="G87" s="5" t="s">
        <v>122</v>
      </c>
      <c r="H87" s="5" t="s">
        <v>3</v>
      </c>
      <c r="I87" s="5"/>
      <c r="J87" s="5" t="s">
        <v>8920</v>
      </c>
      <c r="M87" s="1"/>
      <c r="N87"/>
      <c r="O87"/>
      <c r="P87"/>
      <c r="Q87"/>
      <c r="R87"/>
      <c r="S87"/>
      <c r="T87"/>
      <c r="U87"/>
      <c r="V87"/>
      <c r="W87"/>
      <c r="X87"/>
      <c r="Y87"/>
    </row>
    <row r="88" spans="1:25" s="2" customFormat="1" ht="25.5" x14ac:dyDescent="0.2">
      <c r="A88" s="5" t="s">
        <v>286</v>
      </c>
      <c r="B88" s="5" t="s">
        <v>83</v>
      </c>
      <c r="C88" s="5"/>
      <c r="D88" s="5" t="s">
        <v>8919</v>
      </c>
      <c r="E88" s="5"/>
      <c r="F88" s="5" t="s">
        <v>284</v>
      </c>
      <c r="G88" s="5" t="s">
        <v>283</v>
      </c>
      <c r="H88" s="5" t="s">
        <v>3</v>
      </c>
      <c r="I88" s="5"/>
      <c r="J88" s="5" t="s">
        <v>282</v>
      </c>
      <c r="M88" s="1"/>
      <c r="N88"/>
      <c r="O88"/>
      <c r="P88"/>
      <c r="Q88"/>
      <c r="R88"/>
      <c r="S88"/>
      <c r="T88"/>
      <c r="U88"/>
      <c r="V88"/>
      <c r="W88"/>
      <c r="X88"/>
      <c r="Y88"/>
    </row>
    <row r="89" spans="1:25" s="2" customFormat="1" ht="25.5" x14ac:dyDescent="0.2">
      <c r="A89" s="5" t="s">
        <v>8918</v>
      </c>
      <c r="B89" s="5" t="s">
        <v>83</v>
      </c>
      <c r="C89" s="5"/>
      <c r="D89" s="5" t="s">
        <v>8917</v>
      </c>
      <c r="E89" s="5"/>
      <c r="F89" s="5" t="s">
        <v>259</v>
      </c>
      <c r="G89" s="5" t="s">
        <v>91</v>
      </c>
      <c r="H89" s="5" t="s">
        <v>3</v>
      </c>
      <c r="I89" s="5"/>
      <c r="J89" s="5" t="s">
        <v>8916</v>
      </c>
      <c r="M89" s="1"/>
      <c r="N89"/>
      <c r="O89"/>
      <c r="P89"/>
      <c r="Q89"/>
      <c r="R89"/>
      <c r="S89"/>
      <c r="T89"/>
      <c r="U89"/>
      <c r="V89"/>
      <c r="W89"/>
      <c r="X89"/>
      <c r="Y89"/>
    </row>
    <row r="90" spans="1:25" s="2" customFormat="1" ht="25.5" x14ac:dyDescent="0.2">
      <c r="A90" s="5" t="s">
        <v>261</v>
      </c>
      <c r="B90" s="5" t="s">
        <v>83</v>
      </c>
      <c r="C90" s="5"/>
      <c r="D90" s="5" t="s">
        <v>260</v>
      </c>
      <c r="E90" s="5"/>
      <c r="F90" s="5" t="s">
        <v>259</v>
      </c>
      <c r="G90" s="5" t="s">
        <v>118</v>
      </c>
      <c r="H90" s="5" t="s">
        <v>137</v>
      </c>
      <c r="I90" s="5" t="s">
        <v>1532</v>
      </c>
      <c r="J90" s="5" t="s">
        <v>258</v>
      </c>
      <c r="M90" s="1"/>
      <c r="N90"/>
      <c r="O90"/>
      <c r="P90"/>
      <c r="Q90"/>
      <c r="R90"/>
      <c r="S90"/>
      <c r="T90"/>
      <c r="U90"/>
      <c r="V90"/>
      <c r="W90"/>
      <c r="X90"/>
      <c r="Y90"/>
    </row>
    <row r="91" spans="1:25" s="2" customFormat="1" x14ac:dyDescent="0.2">
      <c r="A91" s="5" t="s">
        <v>8674</v>
      </c>
      <c r="B91" s="5" t="s">
        <v>83</v>
      </c>
      <c r="C91" s="5"/>
      <c r="D91" s="5" t="s">
        <v>8915</v>
      </c>
      <c r="E91" s="5"/>
      <c r="F91" s="5" t="s">
        <v>237</v>
      </c>
      <c r="G91" s="5" t="s">
        <v>80</v>
      </c>
      <c r="H91" s="5" t="s">
        <v>137</v>
      </c>
      <c r="I91" s="5" t="s">
        <v>1532</v>
      </c>
      <c r="J91" s="5" t="s">
        <v>225</v>
      </c>
      <c r="M91" s="1"/>
      <c r="N91"/>
      <c r="O91"/>
      <c r="P91"/>
      <c r="Q91"/>
      <c r="R91"/>
      <c r="S91"/>
      <c r="T91"/>
      <c r="U91"/>
      <c r="V91"/>
      <c r="W91"/>
      <c r="X91"/>
      <c r="Y91"/>
    </row>
    <row r="92" spans="1:25" s="2" customFormat="1" x14ac:dyDescent="0.2">
      <c r="A92" s="5" t="s">
        <v>8914</v>
      </c>
      <c r="B92" s="5" t="s">
        <v>83</v>
      </c>
      <c r="C92" s="5"/>
      <c r="D92" s="5" t="s">
        <v>8913</v>
      </c>
      <c r="E92" s="5"/>
      <c r="F92" s="5" t="s">
        <v>8909</v>
      </c>
      <c r="G92" s="5" t="s">
        <v>80</v>
      </c>
      <c r="H92" s="5" t="s">
        <v>3</v>
      </c>
      <c r="I92" s="5"/>
      <c r="J92" s="5" t="s">
        <v>8912</v>
      </c>
      <c r="M92" s="1"/>
      <c r="N92"/>
      <c r="O92"/>
      <c r="P92"/>
      <c r="Q92"/>
      <c r="R92"/>
      <c r="S92"/>
      <c r="T92"/>
      <c r="U92"/>
      <c r="V92"/>
      <c r="W92"/>
      <c r="X92"/>
      <c r="Y92"/>
    </row>
    <row r="93" spans="1:25" s="2" customFormat="1" ht="25.5" x14ac:dyDescent="0.2">
      <c r="A93" s="5" t="s">
        <v>8911</v>
      </c>
      <c r="B93" s="5" t="s">
        <v>83</v>
      </c>
      <c r="C93" s="5"/>
      <c r="D93" s="5" t="s">
        <v>8910</v>
      </c>
      <c r="E93" s="5"/>
      <c r="F93" s="5" t="s">
        <v>8909</v>
      </c>
      <c r="G93" s="5" t="s">
        <v>80</v>
      </c>
      <c r="H93" s="5" t="s">
        <v>3</v>
      </c>
      <c r="I93" s="5"/>
      <c r="J93" s="5" t="s">
        <v>8908</v>
      </c>
      <c r="M93" s="1"/>
      <c r="N93"/>
      <c r="O93"/>
      <c r="P93"/>
      <c r="Q93"/>
      <c r="R93"/>
      <c r="S93"/>
      <c r="T93"/>
      <c r="U93"/>
      <c r="V93"/>
      <c r="W93"/>
      <c r="X93"/>
      <c r="Y93"/>
    </row>
    <row r="94" spans="1:25" s="2" customFormat="1" ht="25.5" x14ac:dyDescent="0.2">
      <c r="A94" s="5" t="s">
        <v>8907</v>
      </c>
      <c r="B94" s="5" t="s">
        <v>8</v>
      </c>
      <c r="C94" s="5"/>
      <c r="D94" s="5" t="s">
        <v>8906</v>
      </c>
      <c r="E94" s="5"/>
      <c r="F94" s="5"/>
      <c r="G94" s="5"/>
      <c r="H94" s="5"/>
      <c r="I94" s="5"/>
      <c r="J94" s="5" t="s">
        <v>8905</v>
      </c>
      <c r="M94" s="1"/>
      <c r="N94"/>
      <c r="O94"/>
      <c r="P94"/>
      <c r="Q94"/>
      <c r="R94"/>
      <c r="S94"/>
      <c r="T94"/>
      <c r="U94"/>
      <c r="V94"/>
      <c r="W94"/>
      <c r="X94"/>
      <c r="Y94"/>
    </row>
    <row r="95" spans="1:25" s="2" customFormat="1" ht="38.25" x14ac:dyDescent="0.2">
      <c r="A95" s="5" t="s">
        <v>60</v>
      </c>
      <c r="B95" s="5" t="s">
        <v>8</v>
      </c>
      <c r="C95" s="5"/>
      <c r="D95" s="5" t="s">
        <v>8903</v>
      </c>
      <c r="E95" s="5"/>
      <c r="F95" s="5"/>
      <c r="G95" s="5"/>
      <c r="H95" s="5"/>
      <c r="I95" s="5"/>
      <c r="J95" s="5" t="s">
        <v>8904</v>
      </c>
      <c r="M95" s="1"/>
      <c r="N95"/>
      <c r="O95"/>
      <c r="P95"/>
      <c r="Q95"/>
      <c r="R95"/>
      <c r="S95"/>
      <c r="T95"/>
      <c r="U95"/>
      <c r="V95"/>
      <c r="W95"/>
      <c r="X95"/>
      <c r="Y95"/>
    </row>
    <row r="96" spans="1:25" s="2" customFormat="1" ht="25.5" x14ac:dyDescent="0.2">
      <c r="A96" s="5" t="s">
        <v>57</v>
      </c>
      <c r="B96" s="5" t="s">
        <v>8</v>
      </c>
      <c r="C96" s="5"/>
      <c r="D96" s="5" t="s">
        <v>8903</v>
      </c>
      <c r="E96" s="5"/>
      <c r="F96" s="5"/>
      <c r="G96" s="5"/>
      <c r="H96" s="5"/>
      <c r="I96" s="5"/>
      <c r="J96" s="5"/>
      <c r="M96" s="1"/>
      <c r="N96"/>
      <c r="O96"/>
      <c r="P96"/>
      <c r="Q96"/>
      <c r="R96"/>
      <c r="S96"/>
      <c r="T96"/>
      <c r="U96"/>
      <c r="V96"/>
      <c r="W96"/>
      <c r="X96"/>
      <c r="Y96"/>
    </row>
    <row r="97" spans="1:25" s="2" customFormat="1" ht="25.5" x14ac:dyDescent="0.2">
      <c r="A97" s="5" t="s">
        <v>53</v>
      </c>
      <c r="B97" s="5" t="s">
        <v>8</v>
      </c>
      <c r="C97" s="5"/>
      <c r="D97" s="5" t="s">
        <v>8902</v>
      </c>
      <c r="E97" s="5"/>
      <c r="F97" s="5"/>
      <c r="G97" s="5"/>
      <c r="H97" s="5"/>
      <c r="I97" s="5"/>
      <c r="J97" s="5" t="s">
        <v>51</v>
      </c>
      <c r="M97" s="1"/>
      <c r="N97"/>
      <c r="O97"/>
      <c r="P97"/>
      <c r="Q97"/>
      <c r="R97"/>
      <c r="S97"/>
      <c r="T97"/>
      <c r="U97"/>
      <c r="V97"/>
      <c r="W97"/>
      <c r="X97"/>
      <c r="Y97"/>
    </row>
    <row r="98" spans="1:25" s="2" customFormat="1" ht="25.5" x14ac:dyDescent="0.2">
      <c r="A98" s="5" t="s">
        <v>8901</v>
      </c>
      <c r="B98" s="5" t="s">
        <v>8</v>
      </c>
      <c r="C98" s="5"/>
      <c r="D98" s="5" t="s">
        <v>8900</v>
      </c>
      <c r="E98" s="5"/>
      <c r="F98" s="5"/>
      <c r="G98" s="5"/>
      <c r="H98" s="5"/>
      <c r="I98" s="5"/>
      <c r="J98" s="5"/>
      <c r="M98" s="1"/>
      <c r="N98"/>
      <c r="O98"/>
      <c r="P98"/>
      <c r="Q98"/>
      <c r="R98"/>
      <c r="S98"/>
      <c r="T98"/>
      <c r="U98"/>
      <c r="V98"/>
      <c r="W98"/>
      <c r="X98"/>
      <c r="Y98"/>
    </row>
    <row r="99" spans="1:25" s="2" customFormat="1" x14ac:dyDescent="0.2">
      <c r="A99" s="5" t="s">
        <v>8899</v>
      </c>
      <c r="B99" s="5" t="s">
        <v>8</v>
      </c>
      <c r="C99" s="5"/>
      <c r="D99" s="5" t="s">
        <v>8898</v>
      </c>
      <c r="E99" s="5"/>
      <c r="F99" s="5"/>
      <c r="G99" s="5"/>
      <c r="H99" s="5"/>
      <c r="I99" s="5"/>
      <c r="J99" s="5"/>
      <c r="M99" s="1"/>
      <c r="N99"/>
      <c r="O99"/>
      <c r="P99"/>
      <c r="Q99"/>
      <c r="R99"/>
      <c r="S99"/>
      <c r="T99"/>
      <c r="U99"/>
      <c r="V99"/>
      <c r="W99"/>
      <c r="X99"/>
      <c r="Y99"/>
    </row>
    <row r="100" spans="1:25" s="2" customFormat="1" x14ac:dyDescent="0.2">
      <c r="A100" s="5" t="s">
        <v>8897</v>
      </c>
      <c r="B100" s="5" t="s">
        <v>8</v>
      </c>
      <c r="C100" s="5"/>
      <c r="D100" s="5" t="s">
        <v>8896</v>
      </c>
      <c r="E100" s="5"/>
      <c r="F100" s="5"/>
      <c r="G100" s="5"/>
      <c r="H100" s="5"/>
      <c r="I100" s="5"/>
      <c r="J100" s="5"/>
      <c r="M100" s="1"/>
      <c r="N100"/>
      <c r="O100"/>
      <c r="P100"/>
      <c r="Q100"/>
      <c r="R100"/>
      <c r="S100"/>
      <c r="T100"/>
      <c r="U100"/>
      <c r="V100"/>
      <c r="W100"/>
      <c r="X100"/>
      <c r="Y100"/>
    </row>
    <row r="101" spans="1:25" s="2" customFormat="1" x14ac:dyDescent="0.2">
      <c r="A101" s="5" t="s">
        <v>8895</v>
      </c>
      <c r="B101" s="5" t="s">
        <v>8</v>
      </c>
      <c r="C101" s="5"/>
      <c r="D101" s="5" t="s">
        <v>8894</v>
      </c>
      <c r="E101" s="5"/>
      <c r="F101" s="5"/>
      <c r="G101" s="5"/>
      <c r="H101" s="5"/>
      <c r="I101" s="5"/>
      <c r="J101" s="5"/>
      <c r="M101" s="1"/>
      <c r="N101"/>
      <c r="O101"/>
      <c r="P101"/>
      <c r="Q101"/>
      <c r="R101"/>
      <c r="S101"/>
      <c r="T101"/>
      <c r="U101"/>
      <c r="V101"/>
      <c r="W101"/>
      <c r="X101"/>
      <c r="Y101"/>
    </row>
    <row r="102" spans="1:25" s="2" customFormat="1" x14ac:dyDescent="0.2">
      <c r="A102" s="5" t="s">
        <v>1</v>
      </c>
      <c r="B102" s="5" t="s">
        <v>0</v>
      </c>
      <c r="C102" s="5"/>
      <c r="D102" s="5">
        <v>36</v>
      </c>
      <c r="E102" s="5"/>
      <c r="F102" s="5"/>
      <c r="G102" s="5"/>
      <c r="H102" s="5"/>
      <c r="I102" s="5"/>
      <c r="J102" s="5"/>
      <c r="M102" s="1"/>
      <c r="N102"/>
      <c r="O102"/>
      <c r="P102"/>
      <c r="Q102"/>
      <c r="R102"/>
      <c r="S102"/>
      <c r="T102"/>
      <c r="U102"/>
      <c r="V102"/>
      <c r="W102"/>
      <c r="X102"/>
      <c r="Y102"/>
    </row>
  </sheetData>
  <autoFilter ref="A3:M3" xr:uid="{B2F118FD-E5B2-4E44-9BD3-D0682A1C8D44}"/>
  <mergeCells count="1">
    <mergeCell ref="G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AFB57-3361-4135-B745-8E8271724D79}">
  <sheetPr codeName="Sheet15"/>
  <dimension ref="A1:Y55"/>
  <sheetViews>
    <sheetView workbookViewId="0">
      <pane ySplit="9645" topLeftCell="A54"/>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9078</v>
      </c>
      <c r="C1" s="14"/>
      <c r="D1" s="14"/>
      <c r="E1" s="14"/>
      <c r="F1" s="13" t="s">
        <v>8892</v>
      </c>
      <c r="G1" s="16">
        <v>45538</v>
      </c>
      <c r="H1" s="16"/>
      <c r="I1" s="16"/>
      <c r="J1" s="11"/>
    </row>
    <row r="2" spans="1:25" ht="18" x14ac:dyDescent="0.2">
      <c r="A2" s="14">
        <f ca="1">COUNTA(OFFSET(A3,1,0,2222,1))</f>
        <v>52</v>
      </c>
      <c r="B2" s="15"/>
      <c r="C2" s="14">
        <f ca="1">MAX(OFFSET(C3,1,0,2222,1))</f>
        <v>11</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ht="25.5" x14ac:dyDescent="0.2">
      <c r="A4" s="5" t="s">
        <v>8878</v>
      </c>
      <c r="B4" s="5" t="s">
        <v>8584</v>
      </c>
      <c r="C4" s="5">
        <v>0</v>
      </c>
      <c r="D4" s="5"/>
      <c r="E4" s="5"/>
      <c r="F4" s="5" t="s">
        <v>9078</v>
      </c>
      <c r="G4" s="5" t="s">
        <v>229</v>
      </c>
      <c r="H4" s="5" t="s">
        <v>3</v>
      </c>
      <c r="I4" s="5"/>
      <c r="J4" s="5" t="s">
        <v>8874</v>
      </c>
    </row>
    <row r="5" spans="1:25" x14ac:dyDescent="0.2">
      <c r="A5" s="5" t="s">
        <v>4053</v>
      </c>
      <c r="B5" s="5" t="s">
        <v>8584</v>
      </c>
      <c r="C5" s="5">
        <v>0</v>
      </c>
      <c r="D5" s="5"/>
      <c r="E5" s="5"/>
      <c r="F5" s="5" t="s">
        <v>5246</v>
      </c>
      <c r="G5" s="5" t="s">
        <v>170</v>
      </c>
      <c r="H5" s="5" t="s">
        <v>3</v>
      </c>
      <c r="I5" s="5"/>
      <c r="J5" s="5" t="s">
        <v>17261</v>
      </c>
    </row>
    <row r="6" spans="1:25" ht="25.5" x14ac:dyDescent="0.2">
      <c r="A6" s="5" t="s">
        <v>17260</v>
      </c>
      <c r="B6" s="5" t="s">
        <v>8584</v>
      </c>
      <c r="C6" s="5">
        <v>1</v>
      </c>
      <c r="D6" s="5"/>
      <c r="E6" s="5"/>
      <c r="F6" s="5" t="s">
        <v>15642</v>
      </c>
      <c r="G6" s="5" t="s">
        <v>382</v>
      </c>
      <c r="H6" s="5" t="s">
        <v>137</v>
      </c>
      <c r="I6" s="5" t="s">
        <v>2231</v>
      </c>
      <c r="J6" s="5" t="s">
        <v>17259</v>
      </c>
    </row>
    <row r="7" spans="1:25" ht="25.5" x14ac:dyDescent="0.2">
      <c r="A7" s="5" t="s">
        <v>17258</v>
      </c>
      <c r="B7" s="5" t="s">
        <v>8584</v>
      </c>
      <c r="C7" s="5">
        <v>2</v>
      </c>
      <c r="D7" s="5"/>
      <c r="E7" s="5"/>
      <c r="F7" s="5" t="s">
        <v>6581</v>
      </c>
      <c r="G7" s="5" t="s">
        <v>382</v>
      </c>
      <c r="H7" s="5" t="s">
        <v>137</v>
      </c>
      <c r="I7" s="5" t="s">
        <v>2231</v>
      </c>
      <c r="J7" s="5" t="s">
        <v>17257</v>
      </c>
    </row>
    <row r="8" spans="1:25" ht="25.5" x14ac:dyDescent="0.2">
      <c r="A8" s="5" t="s">
        <v>17256</v>
      </c>
      <c r="B8" s="5" t="s">
        <v>8584</v>
      </c>
      <c r="C8" s="5">
        <v>3</v>
      </c>
      <c r="D8" s="5"/>
      <c r="E8" s="5"/>
      <c r="F8" s="5" t="s">
        <v>5246</v>
      </c>
      <c r="G8" s="5" t="s">
        <v>2308</v>
      </c>
      <c r="H8" s="5" t="s">
        <v>137</v>
      </c>
      <c r="I8" s="5" t="s">
        <v>2231</v>
      </c>
      <c r="J8" s="5" t="s">
        <v>17254</v>
      </c>
    </row>
    <row r="9" spans="1:25" s="2" customFormat="1" ht="25.5" x14ac:dyDescent="0.2">
      <c r="A9" s="5" t="s">
        <v>17255</v>
      </c>
      <c r="B9" s="5" t="s">
        <v>8584</v>
      </c>
      <c r="C9" s="5">
        <v>3</v>
      </c>
      <c r="D9" s="5"/>
      <c r="E9" s="5"/>
      <c r="F9" s="5" t="s">
        <v>5246</v>
      </c>
      <c r="G9" s="5" t="s">
        <v>8347</v>
      </c>
      <c r="H9" s="5" t="s">
        <v>3</v>
      </c>
      <c r="I9" s="5"/>
      <c r="J9" s="5" t="s">
        <v>17254</v>
      </c>
      <c r="M9" s="1"/>
      <c r="N9"/>
      <c r="O9"/>
      <c r="P9"/>
      <c r="Q9"/>
      <c r="R9"/>
      <c r="S9"/>
      <c r="T9"/>
      <c r="U9"/>
      <c r="V9"/>
      <c r="W9"/>
      <c r="X9"/>
      <c r="Y9"/>
    </row>
    <row r="10" spans="1:25" s="2" customFormat="1" x14ac:dyDescent="0.2">
      <c r="A10" s="5" t="s">
        <v>8359</v>
      </c>
      <c r="B10" s="5" t="s">
        <v>8584</v>
      </c>
      <c r="C10" s="5">
        <v>4</v>
      </c>
      <c r="D10" s="5"/>
      <c r="E10" s="5"/>
      <c r="F10" s="5" t="s">
        <v>5246</v>
      </c>
      <c r="G10" s="5" t="s">
        <v>118</v>
      </c>
      <c r="H10" s="5" t="s">
        <v>137</v>
      </c>
      <c r="I10" s="5" t="s">
        <v>2231</v>
      </c>
      <c r="J10" s="5" t="s">
        <v>8355</v>
      </c>
      <c r="M10" s="1"/>
      <c r="N10"/>
      <c r="O10"/>
      <c r="P10"/>
      <c r="Q10"/>
      <c r="R10"/>
      <c r="S10"/>
      <c r="T10"/>
      <c r="U10"/>
      <c r="V10"/>
      <c r="W10"/>
      <c r="X10"/>
      <c r="Y10"/>
    </row>
    <row r="11" spans="1:25" s="2" customFormat="1" x14ac:dyDescent="0.2">
      <c r="A11" s="5" t="s">
        <v>8357</v>
      </c>
      <c r="B11" s="5" t="s">
        <v>8584</v>
      </c>
      <c r="C11" s="5">
        <v>4</v>
      </c>
      <c r="D11" s="5"/>
      <c r="E11" s="5"/>
      <c r="F11" s="5" t="s">
        <v>5246</v>
      </c>
      <c r="G11" s="5" t="s">
        <v>118</v>
      </c>
      <c r="H11" s="5" t="s">
        <v>3</v>
      </c>
      <c r="I11" s="5"/>
      <c r="J11" s="5" t="s">
        <v>8355</v>
      </c>
      <c r="M11" s="1"/>
      <c r="N11"/>
      <c r="O11"/>
      <c r="P11"/>
      <c r="Q11"/>
      <c r="R11"/>
      <c r="S11"/>
      <c r="T11"/>
      <c r="U11"/>
      <c r="V11"/>
      <c r="W11"/>
      <c r="X11"/>
      <c r="Y11"/>
    </row>
    <row r="12" spans="1:25" s="2" customFormat="1" ht="25.5" x14ac:dyDescent="0.2">
      <c r="A12" s="5" t="s">
        <v>8122</v>
      </c>
      <c r="B12" s="5" t="s">
        <v>8584</v>
      </c>
      <c r="C12" s="5">
        <v>5</v>
      </c>
      <c r="D12" s="5"/>
      <c r="E12" s="5" t="s">
        <v>150</v>
      </c>
      <c r="F12" s="5" t="s">
        <v>212</v>
      </c>
      <c r="G12" s="5" t="s">
        <v>148</v>
      </c>
      <c r="H12" s="5" t="s">
        <v>137</v>
      </c>
      <c r="I12" s="5" t="s">
        <v>2231</v>
      </c>
      <c r="J12" s="5" t="s">
        <v>17253</v>
      </c>
      <c r="M12" s="1"/>
      <c r="N12"/>
      <c r="O12"/>
      <c r="P12"/>
      <c r="Q12"/>
      <c r="R12"/>
      <c r="S12"/>
      <c r="T12"/>
      <c r="U12"/>
      <c r="V12"/>
      <c r="W12"/>
      <c r="X12"/>
      <c r="Y12"/>
    </row>
    <row r="13" spans="1:25" s="2" customFormat="1" ht="25.5" x14ac:dyDescent="0.2">
      <c r="A13" s="5" t="s">
        <v>8121</v>
      </c>
      <c r="B13" s="5" t="s">
        <v>8584</v>
      </c>
      <c r="C13" s="5">
        <v>5</v>
      </c>
      <c r="D13" s="5"/>
      <c r="E13" s="5"/>
      <c r="F13" s="5" t="s">
        <v>212</v>
      </c>
      <c r="G13" s="5" t="s">
        <v>148</v>
      </c>
      <c r="H13" s="5" t="s">
        <v>3</v>
      </c>
      <c r="I13" s="5"/>
      <c r="J13" s="5" t="s">
        <v>17253</v>
      </c>
      <c r="M13" s="1"/>
      <c r="N13"/>
      <c r="O13"/>
      <c r="P13"/>
      <c r="Q13"/>
      <c r="R13"/>
      <c r="S13"/>
      <c r="T13"/>
      <c r="U13"/>
      <c r="V13"/>
      <c r="W13"/>
      <c r="X13"/>
      <c r="Y13"/>
    </row>
    <row r="14" spans="1:25" s="2" customFormat="1" ht="25.5" x14ac:dyDescent="0.2">
      <c r="A14" s="5" t="s">
        <v>8119</v>
      </c>
      <c r="B14" s="5" t="s">
        <v>8584</v>
      </c>
      <c r="C14" s="5">
        <v>5</v>
      </c>
      <c r="D14" s="5"/>
      <c r="E14" s="5" t="s">
        <v>213</v>
      </c>
      <c r="F14" s="5" t="s">
        <v>212</v>
      </c>
      <c r="G14" s="5" t="s">
        <v>91</v>
      </c>
      <c r="H14" s="5" t="s">
        <v>137</v>
      </c>
      <c r="I14" s="5" t="s">
        <v>2231</v>
      </c>
      <c r="J14" s="5" t="s">
        <v>17253</v>
      </c>
      <c r="M14" s="1"/>
      <c r="N14"/>
      <c r="O14"/>
      <c r="P14"/>
      <c r="Q14"/>
      <c r="R14"/>
      <c r="S14"/>
      <c r="T14"/>
      <c r="U14"/>
      <c r="V14"/>
      <c r="W14"/>
      <c r="X14"/>
      <c r="Y14"/>
    </row>
    <row r="15" spans="1:25" s="2" customFormat="1" ht="25.5" x14ac:dyDescent="0.2">
      <c r="A15" s="5" t="s">
        <v>17252</v>
      </c>
      <c r="B15" s="5" t="s">
        <v>8584</v>
      </c>
      <c r="C15" s="5">
        <v>6</v>
      </c>
      <c r="D15" s="5"/>
      <c r="E15" s="5" t="s">
        <v>247</v>
      </c>
      <c r="F15" s="5" t="s">
        <v>5246</v>
      </c>
      <c r="G15" s="5" t="s">
        <v>382</v>
      </c>
      <c r="H15" s="5" t="s">
        <v>137</v>
      </c>
      <c r="I15" s="5" t="s">
        <v>2231</v>
      </c>
      <c r="J15" s="5" t="s">
        <v>17212</v>
      </c>
      <c r="M15" s="1"/>
      <c r="N15"/>
      <c r="O15"/>
      <c r="P15"/>
      <c r="Q15"/>
      <c r="R15"/>
      <c r="S15"/>
      <c r="T15"/>
      <c r="U15"/>
      <c r="V15"/>
      <c r="W15"/>
      <c r="X15"/>
      <c r="Y15"/>
    </row>
    <row r="16" spans="1:25" s="2" customFormat="1" ht="25.5" x14ac:dyDescent="0.2">
      <c r="A16" s="5" t="s">
        <v>17251</v>
      </c>
      <c r="B16" s="5" t="s">
        <v>8584</v>
      </c>
      <c r="C16" s="5">
        <v>7</v>
      </c>
      <c r="D16" s="5"/>
      <c r="E16" s="5" t="s">
        <v>138</v>
      </c>
      <c r="F16" s="5" t="s">
        <v>5246</v>
      </c>
      <c r="G16" s="5" t="s">
        <v>382</v>
      </c>
      <c r="H16" s="5" t="s">
        <v>137</v>
      </c>
      <c r="I16" s="5" t="s">
        <v>2231</v>
      </c>
      <c r="J16" s="5" t="s">
        <v>17250</v>
      </c>
      <c r="M16" s="1"/>
      <c r="N16"/>
      <c r="O16"/>
      <c r="P16"/>
      <c r="Q16"/>
      <c r="R16"/>
      <c r="S16"/>
      <c r="T16"/>
      <c r="U16"/>
      <c r="V16"/>
      <c r="W16"/>
      <c r="X16"/>
      <c r="Y16"/>
    </row>
    <row r="17" spans="1:25" s="2" customFormat="1" ht="25.5" x14ac:dyDescent="0.2">
      <c r="A17" s="5" t="s">
        <v>8312</v>
      </c>
      <c r="B17" s="5" t="s">
        <v>8584</v>
      </c>
      <c r="C17" s="5">
        <v>8</v>
      </c>
      <c r="D17" s="5"/>
      <c r="E17" s="5" t="s">
        <v>138</v>
      </c>
      <c r="F17" s="5" t="s">
        <v>5246</v>
      </c>
      <c r="G17" s="5" t="s">
        <v>91</v>
      </c>
      <c r="H17" s="5" t="s">
        <v>137</v>
      </c>
      <c r="I17" s="5" t="s">
        <v>2231</v>
      </c>
      <c r="J17" s="5" t="s">
        <v>8310</v>
      </c>
      <c r="M17" s="1"/>
      <c r="N17"/>
      <c r="O17"/>
      <c r="P17"/>
      <c r="Q17"/>
      <c r="R17"/>
      <c r="S17"/>
      <c r="T17"/>
      <c r="U17"/>
      <c r="V17"/>
      <c r="W17"/>
      <c r="X17"/>
      <c r="Y17"/>
    </row>
    <row r="18" spans="1:25" s="2" customFormat="1" ht="25.5" x14ac:dyDescent="0.2">
      <c r="A18" s="5" t="s">
        <v>7595</v>
      </c>
      <c r="B18" s="5" t="s">
        <v>8584</v>
      </c>
      <c r="C18" s="5">
        <v>9</v>
      </c>
      <c r="D18" s="5"/>
      <c r="E18" s="5"/>
      <c r="F18" s="5" t="s">
        <v>7591</v>
      </c>
      <c r="G18" s="5" t="s">
        <v>276</v>
      </c>
      <c r="H18" s="5" t="s">
        <v>137</v>
      </c>
      <c r="I18" s="5" t="s">
        <v>2231</v>
      </c>
      <c r="J18" s="5" t="s">
        <v>17249</v>
      </c>
      <c r="M18" s="1"/>
      <c r="N18"/>
      <c r="O18"/>
      <c r="P18"/>
      <c r="Q18"/>
      <c r="R18"/>
      <c r="S18"/>
      <c r="T18"/>
      <c r="U18"/>
      <c r="V18"/>
      <c r="W18"/>
      <c r="X18"/>
      <c r="Y18"/>
    </row>
    <row r="19" spans="1:25" s="2" customFormat="1" ht="25.5" x14ac:dyDescent="0.2">
      <c r="A19" s="5" t="s">
        <v>7593</v>
      </c>
      <c r="B19" s="5" t="s">
        <v>8584</v>
      </c>
      <c r="C19" s="5">
        <v>9</v>
      </c>
      <c r="D19" s="5"/>
      <c r="E19" s="5"/>
      <c r="F19" s="5" t="s">
        <v>7591</v>
      </c>
      <c r="G19" s="5" t="s">
        <v>276</v>
      </c>
      <c r="H19" s="5" t="s">
        <v>3</v>
      </c>
      <c r="I19" s="5"/>
      <c r="J19" s="5" t="s">
        <v>17249</v>
      </c>
      <c r="M19" s="1"/>
      <c r="N19"/>
      <c r="O19"/>
      <c r="P19"/>
      <c r="Q19"/>
      <c r="R19"/>
      <c r="S19"/>
      <c r="T19"/>
      <c r="U19"/>
      <c r="V19"/>
      <c r="W19"/>
      <c r="X19"/>
      <c r="Y19"/>
    </row>
    <row r="20" spans="1:25" s="2" customFormat="1" ht="25.5" x14ac:dyDescent="0.2">
      <c r="A20" s="5" t="s">
        <v>17248</v>
      </c>
      <c r="B20" s="5" t="s">
        <v>8584</v>
      </c>
      <c r="C20" s="5">
        <v>10</v>
      </c>
      <c r="D20" s="5"/>
      <c r="E20" s="5" t="s">
        <v>247</v>
      </c>
      <c r="F20" s="5" t="s">
        <v>14744</v>
      </c>
      <c r="G20" s="5" t="s">
        <v>382</v>
      </c>
      <c r="H20" s="5" t="s">
        <v>137</v>
      </c>
      <c r="I20" s="5" t="s">
        <v>2231</v>
      </c>
      <c r="J20" s="5" t="s">
        <v>17247</v>
      </c>
      <c r="M20" s="1"/>
      <c r="N20"/>
      <c r="O20"/>
      <c r="P20"/>
      <c r="Q20"/>
      <c r="R20"/>
      <c r="S20"/>
      <c r="T20"/>
      <c r="U20"/>
      <c r="V20"/>
      <c r="W20"/>
      <c r="X20"/>
      <c r="Y20"/>
    </row>
    <row r="21" spans="1:25" s="2" customFormat="1" ht="25.5" x14ac:dyDescent="0.2">
      <c r="A21" s="5" t="s">
        <v>17246</v>
      </c>
      <c r="B21" s="5" t="s">
        <v>8584</v>
      </c>
      <c r="C21" s="5">
        <v>11</v>
      </c>
      <c r="D21" s="5"/>
      <c r="E21" s="5"/>
      <c r="F21" s="5"/>
      <c r="G21" s="5" t="s">
        <v>1064</v>
      </c>
      <c r="H21" s="5" t="s">
        <v>3</v>
      </c>
      <c r="I21" s="5"/>
      <c r="J21" s="5" t="s">
        <v>17245</v>
      </c>
      <c r="M21" s="1"/>
      <c r="N21"/>
      <c r="O21"/>
      <c r="P21"/>
      <c r="Q21"/>
      <c r="R21"/>
      <c r="S21"/>
      <c r="T21"/>
      <c r="U21"/>
      <c r="V21"/>
      <c r="W21"/>
      <c r="X21"/>
      <c r="Y21"/>
    </row>
    <row r="22" spans="1:25" s="2" customFormat="1" x14ac:dyDescent="0.2">
      <c r="A22" s="5" t="s">
        <v>8571</v>
      </c>
      <c r="B22" s="5" t="s">
        <v>83</v>
      </c>
      <c r="C22" s="5"/>
      <c r="D22" s="5" t="s">
        <v>8572</v>
      </c>
      <c r="E22" s="5"/>
      <c r="F22" s="5" t="s">
        <v>8571</v>
      </c>
      <c r="G22" s="5" t="s">
        <v>315</v>
      </c>
      <c r="H22" s="5" t="s">
        <v>3</v>
      </c>
      <c r="I22" s="5"/>
      <c r="J22" s="5"/>
      <c r="M22" s="1"/>
      <c r="N22"/>
      <c r="O22"/>
      <c r="P22"/>
      <c r="Q22"/>
      <c r="R22"/>
      <c r="S22"/>
      <c r="T22"/>
      <c r="U22"/>
      <c r="V22"/>
      <c r="W22"/>
      <c r="X22"/>
      <c r="Y22"/>
    </row>
    <row r="23" spans="1:25" s="2" customFormat="1" x14ac:dyDescent="0.2">
      <c r="A23" s="5" t="s">
        <v>8534</v>
      </c>
      <c r="B23" s="5" t="s">
        <v>83</v>
      </c>
      <c r="C23" s="5"/>
      <c r="D23" s="5" t="s">
        <v>2235</v>
      </c>
      <c r="E23" s="5" t="s">
        <v>138</v>
      </c>
      <c r="F23" s="5"/>
      <c r="G23" s="5" t="s">
        <v>91</v>
      </c>
      <c r="H23" s="5" t="s">
        <v>3</v>
      </c>
      <c r="I23" s="5"/>
      <c r="J23" s="5"/>
      <c r="M23" s="1"/>
      <c r="N23"/>
      <c r="O23"/>
      <c r="P23"/>
      <c r="Q23"/>
      <c r="R23"/>
      <c r="S23"/>
      <c r="T23"/>
      <c r="U23"/>
      <c r="V23"/>
      <c r="W23"/>
      <c r="X23"/>
      <c r="Y23"/>
    </row>
    <row r="24" spans="1:25" s="2" customFormat="1" ht="25.5" x14ac:dyDescent="0.2">
      <c r="A24" s="5" t="s">
        <v>17244</v>
      </c>
      <c r="B24" s="5" t="s">
        <v>83</v>
      </c>
      <c r="C24" s="5"/>
      <c r="D24" s="5" t="s">
        <v>17243</v>
      </c>
      <c r="E24" s="5"/>
      <c r="F24" s="5" t="s">
        <v>17242</v>
      </c>
      <c r="G24" s="5" t="s">
        <v>114</v>
      </c>
      <c r="H24" s="5" t="s">
        <v>137</v>
      </c>
      <c r="I24" s="5" t="s">
        <v>8361</v>
      </c>
      <c r="J24" s="5" t="s">
        <v>17241</v>
      </c>
      <c r="M24" s="1"/>
      <c r="N24"/>
      <c r="O24"/>
      <c r="P24"/>
      <c r="Q24"/>
      <c r="R24"/>
      <c r="S24"/>
      <c r="T24"/>
      <c r="U24"/>
      <c r="V24"/>
      <c r="W24"/>
      <c r="X24"/>
      <c r="Y24"/>
    </row>
    <row r="25" spans="1:25" s="2" customFormat="1" ht="25.5" x14ac:dyDescent="0.2">
      <c r="A25" s="5" t="s">
        <v>8368</v>
      </c>
      <c r="B25" s="5" t="s">
        <v>83</v>
      </c>
      <c r="C25" s="5"/>
      <c r="D25" s="5" t="s">
        <v>17240</v>
      </c>
      <c r="E25" s="5"/>
      <c r="F25" s="5" t="s">
        <v>5246</v>
      </c>
      <c r="G25" s="5" t="s">
        <v>2308</v>
      </c>
      <c r="H25" s="5" t="s">
        <v>137</v>
      </c>
      <c r="I25" s="5" t="s">
        <v>8361</v>
      </c>
      <c r="J25" s="5" t="s">
        <v>8364</v>
      </c>
      <c r="M25" s="1"/>
      <c r="N25"/>
      <c r="O25"/>
      <c r="P25"/>
      <c r="Q25"/>
      <c r="R25"/>
      <c r="S25"/>
      <c r="T25"/>
      <c r="U25"/>
      <c r="V25"/>
      <c r="W25"/>
      <c r="X25"/>
      <c r="Y25"/>
    </row>
    <row r="26" spans="1:25" s="2" customFormat="1" ht="25.5" x14ac:dyDescent="0.2">
      <c r="A26" s="5" t="s">
        <v>17239</v>
      </c>
      <c r="B26" s="5" t="s">
        <v>83</v>
      </c>
      <c r="C26" s="5"/>
      <c r="D26" s="5" t="s">
        <v>17238</v>
      </c>
      <c r="E26" s="5"/>
      <c r="F26" s="5" t="s">
        <v>5246</v>
      </c>
      <c r="G26" s="5" t="s">
        <v>80</v>
      </c>
      <c r="H26" s="5" t="s">
        <v>137</v>
      </c>
      <c r="I26" s="5" t="s">
        <v>2231</v>
      </c>
      <c r="J26" s="5" t="s">
        <v>17237</v>
      </c>
      <c r="M26" s="1"/>
      <c r="N26"/>
      <c r="O26"/>
      <c r="P26"/>
      <c r="Q26"/>
      <c r="R26"/>
      <c r="S26"/>
      <c r="T26"/>
      <c r="U26"/>
      <c r="V26"/>
      <c r="W26"/>
      <c r="X26"/>
      <c r="Y26"/>
    </row>
    <row r="27" spans="1:25" s="2" customFormat="1" ht="25.5" x14ac:dyDescent="0.2">
      <c r="A27" s="5" t="s">
        <v>8361</v>
      </c>
      <c r="B27" s="5" t="s">
        <v>83</v>
      </c>
      <c r="C27" s="5"/>
      <c r="D27" s="5" t="s">
        <v>8363</v>
      </c>
      <c r="E27" s="5"/>
      <c r="F27" s="5" t="s">
        <v>8362</v>
      </c>
      <c r="G27" s="5" t="s">
        <v>91</v>
      </c>
      <c r="H27" s="5" t="s">
        <v>137</v>
      </c>
      <c r="I27" s="5" t="s">
        <v>8361</v>
      </c>
      <c r="J27" s="5" t="s">
        <v>8360</v>
      </c>
      <c r="M27" s="1"/>
      <c r="N27"/>
      <c r="O27"/>
      <c r="P27"/>
      <c r="Q27"/>
      <c r="R27"/>
      <c r="S27"/>
      <c r="T27"/>
      <c r="U27"/>
      <c r="V27"/>
      <c r="W27"/>
      <c r="X27"/>
      <c r="Y27"/>
    </row>
    <row r="28" spans="1:25" s="2" customFormat="1" x14ac:dyDescent="0.2">
      <c r="A28" s="5" t="s">
        <v>17236</v>
      </c>
      <c r="B28" s="5" t="s">
        <v>83</v>
      </c>
      <c r="C28" s="5"/>
      <c r="D28" s="5" t="s">
        <v>17205</v>
      </c>
      <c r="E28" s="5"/>
      <c r="F28" s="5" t="s">
        <v>5246</v>
      </c>
      <c r="G28" s="5" t="s">
        <v>181</v>
      </c>
      <c r="H28" s="5" t="s">
        <v>137</v>
      </c>
      <c r="I28" s="5" t="s">
        <v>2231</v>
      </c>
      <c r="J28" s="5" t="s">
        <v>17207</v>
      </c>
      <c r="M28" s="1"/>
      <c r="N28"/>
      <c r="O28"/>
      <c r="P28"/>
      <c r="Q28"/>
      <c r="R28"/>
      <c r="S28"/>
      <c r="T28"/>
      <c r="U28"/>
      <c r="V28"/>
      <c r="W28"/>
      <c r="X28"/>
      <c r="Y28"/>
    </row>
    <row r="29" spans="1:25" s="2" customFormat="1" ht="25.5" x14ac:dyDescent="0.2">
      <c r="A29" s="5" t="s">
        <v>17235</v>
      </c>
      <c r="B29" s="5" t="s">
        <v>83</v>
      </c>
      <c r="C29" s="5"/>
      <c r="D29" s="5" t="s">
        <v>17234</v>
      </c>
      <c r="E29" s="5"/>
      <c r="F29" s="5" t="s">
        <v>5246</v>
      </c>
      <c r="G29" s="5" t="s">
        <v>105</v>
      </c>
      <c r="H29" s="5" t="s">
        <v>137</v>
      </c>
      <c r="I29" s="5" t="s">
        <v>8361</v>
      </c>
      <c r="J29" s="5" t="s">
        <v>17233</v>
      </c>
      <c r="M29" s="1"/>
      <c r="N29"/>
      <c r="O29"/>
      <c r="P29"/>
      <c r="Q29"/>
      <c r="R29"/>
      <c r="S29"/>
      <c r="T29"/>
      <c r="U29"/>
      <c r="V29"/>
      <c r="W29"/>
      <c r="X29"/>
      <c r="Y29"/>
    </row>
    <row r="30" spans="1:25" s="2" customFormat="1" ht="25.5" x14ac:dyDescent="0.2">
      <c r="A30" s="5" t="s">
        <v>17232</v>
      </c>
      <c r="B30" s="5" t="s">
        <v>83</v>
      </c>
      <c r="C30" s="5"/>
      <c r="D30" s="5" t="s">
        <v>17231</v>
      </c>
      <c r="E30" s="5"/>
      <c r="F30" s="5" t="s">
        <v>17230</v>
      </c>
      <c r="G30" s="5" t="s">
        <v>224</v>
      </c>
      <c r="H30" s="5" t="s">
        <v>137</v>
      </c>
      <c r="I30" s="5" t="s">
        <v>2231</v>
      </c>
      <c r="J30" s="5" t="s">
        <v>17230</v>
      </c>
      <c r="M30" s="1"/>
      <c r="N30"/>
      <c r="O30"/>
      <c r="P30"/>
      <c r="Q30"/>
      <c r="R30"/>
      <c r="S30"/>
      <c r="T30"/>
      <c r="U30"/>
      <c r="V30"/>
      <c r="W30"/>
      <c r="X30"/>
      <c r="Y30"/>
    </row>
    <row r="31" spans="1:25" s="2" customFormat="1" ht="25.5" x14ac:dyDescent="0.2">
      <c r="A31" s="5" t="s">
        <v>17229</v>
      </c>
      <c r="B31" s="5" t="s">
        <v>83</v>
      </c>
      <c r="C31" s="5"/>
      <c r="D31" s="5" t="s">
        <v>17228</v>
      </c>
      <c r="E31" s="5"/>
      <c r="F31" s="5" t="s">
        <v>5246</v>
      </c>
      <c r="G31" s="5" t="s">
        <v>173</v>
      </c>
      <c r="H31" s="5" t="s">
        <v>137</v>
      </c>
      <c r="I31" s="5" t="s">
        <v>2231</v>
      </c>
      <c r="J31" s="5" t="s">
        <v>17227</v>
      </c>
      <c r="M31" s="1"/>
      <c r="N31"/>
      <c r="O31"/>
      <c r="P31"/>
      <c r="Q31"/>
      <c r="R31"/>
      <c r="S31"/>
      <c r="T31"/>
      <c r="U31"/>
      <c r="V31"/>
      <c r="W31"/>
      <c r="X31"/>
      <c r="Y31"/>
    </row>
    <row r="32" spans="1:25" s="2" customFormat="1" x14ac:dyDescent="0.2">
      <c r="A32" s="5" t="s">
        <v>7823</v>
      </c>
      <c r="B32" s="5" t="s">
        <v>83</v>
      </c>
      <c r="C32" s="5"/>
      <c r="D32" s="5" t="s">
        <v>9725</v>
      </c>
      <c r="E32" s="5"/>
      <c r="F32" s="5" t="s">
        <v>8831</v>
      </c>
      <c r="G32" s="5" t="s">
        <v>896</v>
      </c>
      <c r="H32" s="5" t="s">
        <v>3</v>
      </c>
      <c r="I32" s="5"/>
      <c r="J32" s="5" t="s">
        <v>8828</v>
      </c>
      <c r="M32" s="1"/>
      <c r="N32"/>
      <c r="O32"/>
      <c r="P32"/>
      <c r="Q32"/>
      <c r="R32"/>
      <c r="S32"/>
      <c r="T32"/>
      <c r="U32"/>
      <c r="V32"/>
      <c r="W32"/>
      <c r="X32"/>
      <c r="Y32"/>
    </row>
    <row r="33" spans="1:25" s="2" customFormat="1" x14ac:dyDescent="0.2">
      <c r="A33" s="5" t="s">
        <v>8354</v>
      </c>
      <c r="B33" s="5" t="s">
        <v>83</v>
      </c>
      <c r="C33" s="5"/>
      <c r="D33" s="5" t="s">
        <v>17226</v>
      </c>
      <c r="E33" s="5"/>
      <c r="F33" s="5" t="s">
        <v>8831</v>
      </c>
      <c r="G33" s="5" t="s">
        <v>122</v>
      </c>
      <c r="H33" s="5" t="s">
        <v>3</v>
      </c>
      <c r="I33" s="5"/>
      <c r="J33" s="5" t="s">
        <v>9289</v>
      </c>
      <c r="M33" s="1"/>
      <c r="N33"/>
      <c r="O33"/>
      <c r="P33"/>
      <c r="Q33"/>
      <c r="R33"/>
      <c r="S33"/>
      <c r="T33"/>
      <c r="U33"/>
      <c r="V33"/>
      <c r="W33"/>
      <c r="X33"/>
      <c r="Y33"/>
    </row>
    <row r="34" spans="1:25" s="2" customFormat="1" ht="25.5" x14ac:dyDescent="0.2">
      <c r="A34" s="5" t="s">
        <v>8589</v>
      </c>
      <c r="B34" s="5" t="s">
        <v>83</v>
      </c>
      <c r="C34" s="5"/>
      <c r="D34" s="5" t="s">
        <v>17225</v>
      </c>
      <c r="E34" s="5"/>
      <c r="F34" s="5"/>
      <c r="G34" s="5" t="s">
        <v>229</v>
      </c>
      <c r="H34" s="5" t="s">
        <v>3</v>
      </c>
      <c r="I34" s="5"/>
      <c r="J34" s="5" t="s">
        <v>8588</v>
      </c>
      <c r="M34" s="1"/>
      <c r="N34"/>
      <c r="O34"/>
      <c r="P34"/>
      <c r="Q34"/>
      <c r="R34"/>
      <c r="S34"/>
      <c r="T34"/>
      <c r="U34"/>
      <c r="V34"/>
      <c r="W34"/>
      <c r="X34"/>
      <c r="Y34"/>
    </row>
    <row r="35" spans="1:25" s="2" customFormat="1" x14ac:dyDescent="0.2">
      <c r="A35" s="5" t="s">
        <v>8591</v>
      </c>
      <c r="B35" s="5" t="s">
        <v>83</v>
      </c>
      <c r="C35" s="5"/>
      <c r="D35" s="5" t="s">
        <v>17224</v>
      </c>
      <c r="E35" s="5"/>
      <c r="F35" s="5"/>
      <c r="G35" s="5" t="s">
        <v>4028</v>
      </c>
      <c r="H35" s="5" t="s">
        <v>3</v>
      </c>
      <c r="I35" s="5"/>
      <c r="J35" s="5" t="s">
        <v>8590</v>
      </c>
      <c r="M35" s="1"/>
      <c r="N35"/>
      <c r="O35"/>
      <c r="P35"/>
      <c r="Q35"/>
      <c r="R35"/>
      <c r="S35"/>
      <c r="T35"/>
      <c r="U35"/>
      <c r="V35"/>
      <c r="W35"/>
      <c r="X35"/>
      <c r="Y35"/>
    </row>
    <row r="36" spans="1:25" s="2" customFormat="1" x14ac:dyDescent="0.2">
      <c r="A36" s="5" t="s">
        <v>1554</v>
      </c>
      <c r="B36" s="5" t="s">
        <v>83</v>
      </c>
      <c r="C36" s="5"/>
      <c r="D36" s="5" t="s">
        <v>17223</v>
      </c>
      <c r="E36" s="5"/>
      <c r="F36" s="5" t="s">
        <v>123</v>
      </c>
      <c r="G36" s="5" t="s">
        <v>122</v>
      </c>
      <c r="H36" s="5" t="s">
        <v>3</v>
      </c>
      <c r="I36" s="5"/>
      <c r="J36" s="5" t="s">
        <v>123</v>
      </c>
      <c r="M36" s="1"/>
      <c r="N36"/>
      <c r="O36"/>
      <c r="P36"/>
      <c r="Q36"/>
      <c r="R36"/>
      <c r="S36"/>
      <c r="T36"/>
      <c r="U36"/>
      <c r="V36"/>
      <c r="W36"/>
      <c r="X36"/>
      <c r="Y36"/>
    </row>
    <row r="37" spans="1:25" s="2" customFormat="1" x14ac:dyDescent="0.2">
      <c r="A37" s="5" t="s">
        <v>8334</v>
      </c>
      <c r="B37" s="5" t="s">
        <v>83</v>
      </c>
      <c r="C37" s="5"/>
      <c r="D37" s="5" t="s">
        <v>17222</v>
      </c>
      <c r="E37" s="5"/>
      <c r="F37" s="5" t="s">
        <v>123</v>
      </c>
      <c r="G37" s="5" t="s">
        <v>224</v>
      </c>
      <c r="H37" s="5" t="s">
        <v>3</v>
      </c>
      <c r="I37" s="5"/>
      <c r="J37" s="5" t="s">
        <v>17221</v>
      </c>
      <c r="M37" s="1"/>
      <c r="N37"/>
      <c r="O37"/>
      <c r="P37"/>
      <c r="Q37"/>
      <c r="R37"/>
      <c r="S37"/>
      <c r="T37"/>
      <c r="U37"/>
      <c r="V37"/>
      <c r="W37"/>
      <c r="X37"/>
      <c r="Y37"/>
    </row>
    <row r="38" spans="1:25" s="2" customFormat="1" ht="25.5" x14ac:dyDescent="0.2">
      <c r="A38" s="5" t="s">
        <v>17220</v>
      </c>
      <c r="B38" s="5" t="s">
        <v>83</v>
      </c>
      <c r="C38" s="5"/>
      <c r="D38" s="5" t="s">
        <v>17219</v>
      </c>
      <c r="E38" s="5"/>
      <c r="F38" s="5" t="s">
        <v>5246</v>
      </c>
      <c r="G38" s="5" t="s">
        <v>382</v>
      </c>
      <c r="H38" s="5" t="s">
        <v>137</v>
      </c>
      <c r="I38" s="5" t="s">
        <v>2231</v>
      </c>
      <c r="J38" s="5" t="s">
        <v>17218</v>
      </c>
      <c r="M38" s="1"/>
      <c r="N38"/>
      <c r="O38"/>
      <c r="P38"/>
      <c r="Q38"/>
      <c r="R38"/>
      <c r="S38"/>
      <c r="T38"/>
      <c r="U38"/>
      <c r="V38"/>
      <c r="W38"/>
      <c r="X38"/>
      <c r="Y38"/>
    </row>
    <row r="39" spans="1:25" s="2" customFormat="1" ht="25.5" x14ac:dyDescent="0.2">
      <c r="A39" s="5" t="s">
        <v>17217</v>
      </c>
      <c r="B39" s="5" t="s">
        <v>83</v>
      </c>
      <c r="C39" s="5"/>
      <c r="D39" s="5" t="s">
        <v>17216</v>
      </c>
      <c r="E39" s="5" t="s">
        <v>138</v>
      </c>
      <c r="F39" s="5" t="s">
        <v>5246</v>
      </c>
      <c r="G39" s="5" t="s">
        <v>91</v>
      </c>
      <c r="H39" s="5" t="s">
        <v>137</v>
      </c>
      <c r="I39" s="5" t="s">
        <v>2231</v>
      </c>
      <c r="J39" s="5" t="s">
        <v>17215</v>
      </c>
      <c r="M39" s="1"/>
      <c r="N39"/>
      <c r="O39"/>
      <c r="P39"/>
      <c r="Q39"/>
      <c r="R39"/>
      <c r="S39"/>
      <c r="T39"/>
      <c r="U39"/>
      <c r="V39"/>
      <c r="W39"/>
      <c r="X39"/>
      <c r="Y39"/>
    </row>
    <row r="40" spans="1:25" s="2" customFormat="1" ht="25.5" x14ac:dyDescent="0.2">
      <c r="A40" s="5" t="s">
        <v>17214</v>
      </c>
      <c r="B40" s="5" t="s">
        <v>83</v>
      </c>
      <c r="C40" s="5"/>
      <c r="D40" s="5" t="s">
        <v>17213</v>
      </c>
      <c r="E40" s="5"/>
      <c r="F40" s="5" t="s">
        <v>5246</v>
      </c>
      <c r="G40" s="5" t="s">
        <v>382</v>
      </c>
      <c r="H40" s="5" t="s">
        <v>137</v>
      </c>
      <c r="I40" s="5" t="s">
        <v>2231</v>
      </c>
      <c r="J40" s="5" t="s">
        <v>17212</v>
      </c>
      <c r="M40" s="1"/>
      <c r="N40"/>
      <c r="O40"/>
      <c r="P40"/>
      <c r="Q40"/>
      <c r="R40"/>
      <c r="S40"/>
      <c r="T40"/>
      <c r="U40"/>
      <c r="V40"/>
      <c r="W40"/>
      <c r="X40"/>
      <c r="Y40"/>
    </row>
    <row r="41" spans="1:25" s="2" customFormat="1" ht="25.5" x14ac:dyDescent="0.2">
      <c r="A41" s="5" t="s">
        <v>17211</v>
      </c>
      <c r="B41" s="5" t="s">
        <v>83</v>
      </c>
      <c r="C41" s="5"/>
      <c r="D41" s="5" t="s">
        <v>17210</v>
      </c>
      <c r="E41" s="5" t="s">
        <v>138</v>
      </c>
      <c r="F41" s="5" t="s">
        <v>5246</v>
      </c>
      <c r="G41" s="5" t="s">
        <v>91</v>
      </c>
      <c r="H41" s="5" t="s">
        <v>137</v>
      </c>
      <c r="I41" s="5" t="s">
        <v>2231</v>
      </c>
      <c r="J41" s="5" t="s">
        <v>17209</v>
      </c>
      <c r="M41" s="1"/>
      <c r="N41"/>
      <c r="O41"/>
      <c r="P41"/>
      <c r="Q41"/>
      <c r="R41"/>
      <c r="S41"/>
      <c r="T41"/>
      <c r="U41"/>
      <c r="V41"/>
      <c r="W41"/>
      <c r="X41"/>
      <c r="Y41"/>
    </row>
    <row r="42" spans="1:25" s="2" customFormat="1" x14ac:dyDescent="0.2">
      <c r="A42" s="5" t="s">
        <v>17208</v>
      </c>
      <c r="B42" s="5" t="s">
        <v>83</v>
      </c>
      <c r="C42" s="5"/>
      <c r="D42" s="5" t="s">
        <v>17205</v>
      </c>
      <c r="E42" s="5"/>
      <c r="F42" s="5" t="s">
        <v>5246</v>
      </c>
      <c r="G42" s="5" t="s">
        <v>181</v>
      </c>
      <c r="H42" s="5" t="s">
        <v>137</v>
      </c>
      <c r="I42" s="5" t="s">
        <v>2231</v>
      </c>
      <c r="J42" s="5" t="s">
        <v>17207</v>
      </c>
      <c r="M42" s="1"/>
      <c r="N42"/>
      <c r="O42"/>
      <c r="P42"/>
      <c r="Q42"/>
      <c r="R42"/>
      <c r="S42"/>
      <c r="T42"/>
      <c r="U42"/>
      <c r="V42"/>
      <c r="W42"/>
      <c r="X42"/>
      <c r="Y42"/>
    </row>
    <row r="43" spans="1:25" s="2" customFormat="1" ht="25.5" x14ac:dyDescent="0.2">
      <c r="A43" s="5" t="s">
        <v>7914</v>
      </c>
      <c r="B43" s="5" t="s">
        <v>83</v>
      </c>
      <c r="C43" s="5"/>
      <c r="D43" s="5" t="s">
        <v>7913</v>
      </c>
      <c r="E43" s="5"/>
      <c r="F43" s="5" t="s">
        <v>106</v>
      </c>
      <c r="G43" s="5" t="s">
        <v>229</v>
      </c>
      <c r="H43" s="5" t="s">
        <v>3</v>
      </c>
      <c r="I43" s="5"/>
      <c r="J43" s="5" t="s">
        <v>7912</v>
      </c>
      <c r="M43" s="1"/>
      <c r="N43"/>
      <c r="O43"/>
      <c r="P43"/>
      <c r="Q43"/>
      <c r="R43"/>
      <c r="S43"/>
      <c r="T43"/>
      <c r="U43"/>
      <c r="V43"/>
      <c r="W43"/>
      <c r="X43"/>
      <c r="Y43"/>
    </row>
    <row r="44" spans="1:25" s="2" customFormat="1" x14ac:dyDescent="0.2">
      <c r="A44" s="5" t="s">
        <v>17206</v>
      </c>
      <c r="B44" s="5" t="s">
        <v>83</v>
      </c>
      <c r="C44" s="5"/>
      <c r="D44" s="5" t="s">
        <v>17205</v>
      </c>
      <c r="E44" s="5"/>
      <c r="F44" s="5" t="s">
        <v>5246</v>
      </c>
      <c r="G44" s="5" t="s">
        <v>181</v>
      </c>
      <c r="H44" s="5" t="s">
        <v>137</v>
      </c>
      <c r="I44" s="5" t="s">
        <v>2231</v>
      </c>
      <c r="J44" s="5" t="s">
        <v>17204</v>
      </c>
      <c r="M44" s="1"/>
      <c r="N44"/>
      <c r="O44"/>
      <c r="P44"/>
      <c r="Q44"/>
      <c r="R44"/>
      <c r="S44"/>
      <c r="T44"/>
      <c r="U44"/>
      <c r="V44"/>
      <c r="W44"/>
      <c r="X44"/>
      <c r="Y44"/>
    </row>
    <row r="45" spans="1:25" s="2" customFormat="1" x14ac:dyDescent="0.2">
      <c r="A45" s="5" t="s">
        <v>9127</v>
      </c>
      <c r="B45" s="5" t="s">
        <v>83</v>
      </c>
      <c r="C45" s="5"/>
      <c r="D45" s="5" t="s">
        <v>9705</v>
      </c>
      <c r="E45" s="5"/>
      <c r="F45" s="5" t="s">
        <v>6487</v>
      </c>
      <c r="G45" s="5" t="s">
        <v>1527</v>
      </c>
      <c r="H45" s="5" t="s">
        <v>3</v>
      </c>
      <c r="I45" s="5"/>
      <c r="J45" s="5" t="s">
        <v>17203</v>
      </c>
      <c r="M45" s="1"/>
      <c r="N45"/>
      <c r="O45"/>
      <c r="P45"/>
      <c r="Q45"/>
      <c r="R45"/>
      <c r="S45"/>
      <c r="T45"/>
      <c r="U45"/>
      <c r="V45"/>
      <c r="W45"/>
      <c r="X45"/>
      <c r="Y45"/>
    </row>
    <row r="46" spans="1:25" s="2" customFormat="1" x14ac:dyDescent="0.2">
      <c r="A46" s="5" t="s">
        <v>14034</v>
      </c>
      <c r="B46" s="5" t="s">
        <v>83</v>
      </c>
      <c r="C46" s="5"/>
      <c r="D46" s="5" t="s">
        <v>17202</v>
      </c>
      <c r="E46" s="5"/>
      <c r="F46" s="5" t="s">
        <v>1533</v>
      </c>
      <c r="G46" s="5" t="s">
        <v>224</v>
      </c>
      <c r="H46" s="5" t="s">
        <v>3</v>
      </c>
      <c r="I46" s="5"/>
      <c r="J46" s="5" t="s">
        <v>14029</v>
      </c>
      <c r="M46" s="1"/>
      <c r="N46"/>
      <c r="O46"/>
      <c r="P46"/>
      <c r="Q46"/>
      <c r="R46"/>
      <c r="S46"/>
      <c r="T46"/>
      <c r="U46"/>
      <c r="V46"/>
      <c r="W46"/>
      <c r="X46"/>
      <c r="Y46"/>
    </row>
    <row r="47" spans="1:25" s="2" customFormat="1" ht="25.5" x14ac:dyDescent="0.2">
      <c r="A47" s="5" t="s">
        <v>5</v>
      </c>
      <c r="B47" s="5" t="s">
        <v>83</v>
      </c>
      <c r="C47" s="5"/>
      <c r="D47" s="5" t="s">
        <v>17201</v>
      </c>
      <c r="E47" s="5"/>
      <c r="F47" s="5" t="s">
        <v>9245</v>
      </c>
      <c r="G47" s="5" t="s">
        <v>4</v>
      </c>
      <c r="H47" s="5" t="s">
        <v>3</v>
      </c>
      <c r="I47" s="5"/>
      <c r="J47" s="5" t="s">
        <v>8860</v>
      </c>
      <c r="M47" s="1"/>
      <c r="N47"/>
      <c r="O47"/>
      <c r="P47"/>
      <c r="Q47"/>
      <c r="R47"/>
      <c r="S47"/>
      <c r="T47"/>
      <c r="U47"/>
      <c r="V47"/>
      <c r="W47"/>
      <c r="X47"/>
      <c r="Y47"/>
    </row>
    <row r="48" spans="1:25" s="2" customFormat="1" x14ac:dyDescent="0.2">
      <c r="A48" s="5" t="s">
        <v>4054</v>
      </c>
      <c r="B48" s="5" t="s">
        <v>83</v>
      </c>
      <c r="C48" s="5"/>
      <c r="D48" s="5" t="s">
        <v>9719</v>
      </c>
      <c r="E48" s="5" t="s">
        <v>138</v>
      </c>
      <c r="F48" s="5" t="s">
        <v>17200</v>
      </c>
      <c r="G48" s="5" t="s">
        <v>91</v>
      </c>
      <c r="H48" s="5" t="s">
        <v>3</v>
      </c>
      <c r="I48" s="5"/>
      <c r="J48" s="5" t="s">
        <v>17199</v>
      </c>
      <c r="M48" s="1"/>
      <c r="N48"/>
      <c r="O48"/>
      <c r="P48"/>
      <c r="Q48"/>
      <c r="R48"/>
      <c r="S48"/>
      <c r="T48"/>
      <c r="U48"/>
      <c r="V48"/>
      <c r="W48"/>
      <c r="X48"/>
      <c r="Y48"/>
    </row>
    <row r="49" spans="1:25" s="2" customFormat="1" x14ac:dyDescent="0.2">
      <c r="A49" s="5" t="s">
        <v>17198</v>
      </c>
      <c r="B49" s="5" t="s">
        <v>83</v>
      </c>
      <c r="C49" s="5"/>
      <c r="D49" s="5" t="s">
        <v>17197</v>
      </c>
      <c r="E49" s="5" t="s">
        <v>138</v>
      </c>
      <c r="F49" s="5" t="s">
        <v>2215</v>
      </c>
      <c r="G49" s="5" t="s">
        <v>91</v>
      </c>
      <c r="H49" s="5" t="s">
        <v>3</v>
      </c>
      <c r="I49" s="5"/>
      <c r="J49" s="5"/>
      <c r="M49" s="1"/>
      <c r="N49"/>
      <c r="O49"/>
      <c r="P49"/>
      <c r="Q49"/>
      <c r="R49"/>
      <c r="S49"/>
      <c r="T49"/>
      <c r="U49"/>
      <c r="V49"/>
      <c r="W49"/>
      <c r="X49"/>
      <c r="Y49"/>
    </row>
    <row r="50" spans="1:25" s="2" customFormat="1" x14ac:dyDescent="0.2">
      <c r="A50" s="5" t="s">
        <v>2234</v>
      </c>
      <c r="B50" s="5" t="s">
        <v>83</v>
      </c>
      <c r="C50" s="5"/>
      <c r="D50" s="5" t="s">
        <v>17196</v>
      </c>
      <c r="E50" s="5" t="s">
        <v>247</v>
      </c>
      <c r="F50" s="5" t="s">
        <v>2215</v>
      </c>
      <c r="G50" s="5" t="s">
        <v>382</v>
      </c>
      <c r="H50" s="5" t="s">
        <v>3</v>
      </c>
      <c r="I50" s="5"/>
      <c r="J50" s="5" t="s">
        <v>17195</v>
      </c>
      <c r="M50" s="1"/>
      <c r="N50"/>
      <c r="O50"/>
      <c r="P50"/>
      <c r="Q50"/>
      <c r="R50"/>
      <c r="S50"/>
      <c r="T50"/>
      <c r="U50"/>
      <c r="V50"/>
      <c r="W50"/>
      <c r="X50"/>
      <c r="Y50"/>
    </row>
    <row r="51" spans="1:25" s="2" customFormat="1" x14ac:dyDescent="0.2">
      <c r="A51" s="5" t="s">
        <v>17194</v>
      </c>
      <c r="B51" s="5" t="s">
        <v>83</v>
      </c>
      <c r="C51" s="5"/>
      <c r="D51" s="5" t="s">
        <v>17193</v>
      </c>
      <c r="E51" s="5" t="s">
        <v>138</v>
      </c>
      <c r="F51" s="5" t="s">
        <v>2215</v>
      </c>
      <c r="G51" s="5" t="s">
        <v>91</v>
      </c>
      <c r="H51" s="5" t="s">
        <v>3</v>
      </c>
      <c r="I51" s="5"/>
      <c r="J51" s="5"/>
      <c r="M51" s="1"/>
      <c r="N51"/>
      <c r="O51"/>
      <c r="P51"/>
      <c r="Q51"/>
      <c r="R51"/>
      <c r="S51"/>
      <c r="T51"/>
      <c r="U51"/>
      <c r="V51"/>
      <c r="W51"/>
      <c r="X51"/>
      <c r="Y51"/>
    </row>
    <row r="52" spans="1:25" s="2" customFormat="1" x14ac:dyDescent="0.2">
      <c r="A52" s="5" t="s">
        <v>705</v>
      </c>
      <c r="B52" s="5" t="s">
        <v>83</v>
      </c>
      <c r="C52" s="5"/>
      <c r="D52" s="5" t="s">
        <v>17192</v>
      </c>
      <c r="E52" s="5" t="s">
        <v>138</v>
      </c>
      <c r="F52" s="5" t="s">
        <v>331</v>
      </c>
      <c r="G52" s="5" t="s">
        <v>403</v>
      </c>
      <c r="H52" s="5" t="s">
        <v>3</v>
      </c>
      <c r="I52" s="5"/>
      <c r="J52" s="5" t="s">
        <v>17191</v>
      </c>
      <c r="M52" s="1"/>
      <c r="N52"/>
      <c r="O52"/>
      <c r="P52"/>
      <c r="Q52"/>
      <c r="R52"/>
      <c r="S52"/>
      <c r="T52"/>
      <c r="U52"/>
      <c r="V52"/>
      <c r="W52"/>
      <c r="X52"/>
      <c r="Y52"/>
    </row>
    <row r="53" spans="1:25" s="2" customFormat="1" ht="25.5" x14ac:dyDescent="0.2">
      <c r="A53" s="5" t="s">
        <v>8674</v>
      </c>
      <c r="B53" s="5" t="s">
        <v>83</v>
      </c>
      <c r="C53" s="5"/>
      <c r="D53" s="5" t="s">
        <v>17190</v>
      </c>
      <c r="E53" s="5"/>
      <c r="F53" s="5" t="s">
        <v>237</v>
      </c>
      <c r="G53" s="5" t="s">
        <v>80</v>
      </c>
      <c r="H53" s="5" t="s">
        <v>3</v>
      </c>
      <c r="I53" s="5"/>
      <c r="J53" s="5" t="s">
        <v>225</v>
      </c>
      <c r="M53" s="1"/>
      <c r="N53"/>
      <c r="O53"/>
      <c r="P53"/>
      <c r="Q53"/>
      <c r="R53"/>
      <c r="S53"/>
      <c r="T53"/>
      <c r="U53"/>
      <c r="V53"/>
      <c r="W53"/>
      <c r="X53"/>
      <c r="Y53"/>
    </row>
    <row r="54" spans="1:25" s="2" customFormat="1" ht="25.5" x14ac:dyDescent="0.2">
      <c r="A54" s="5" t="s">
        <v>10461</v>
      </c>
      <c r="B54" s="5" t="s">
        <v>8</v>
      </c>
      <c r="C54" s="5"/>
      <c r="D54" s="5" t="s">
        <v>17189</v>
      </c>
      <c r="E54" s="5"/>
      <c r="F54" s="5"/>
      <c r="G54" s="5"/>
      <c r="H54" s="5"/>
      <c r="I54" s="5"/>
      <c r="J54" s="5"/>
      <c r="M54" s="1"/>
      <c r="N54"/>
      <c r="O54"/>
      <c r="P54"/>
      <c r="Q54"/>
      <c r="R54"/>
      <c r="S54"/>
      <c r="T54"/>
      <c r="U54"/>
      <c r="V54"/>
      <c r="W54"/>
      <c r="X54"/>
      <c r="Y54"/>
    </row>
    <row r="55" spans="1:25" s="2" customFormat="1" x14ac:dyDescent="0.2">
      <c r="A55" s="5" t="s">
        <v>1</v>
      </c>
      <c r="B55" s="5" t="s">
        <v>0</v>
      </c>
      <c r="C55" s="5"/>
      <c r="D55" s="5">
        <v>11</v>
      </c>
      <c r="E55" s="5"/>
      <c r="F55" s="5"/>
      <c r="G55" s="5"/>
      <c r="H55" s="5"/>
      <c r="I55" s="5"/>
      <c r="J55" s="5"/>
      <c r="M55" s="1"/>
      <c r="N55"/>
      <c r="O55"/>
      <c r="P55"/>
      <c r="Q55"/>
      <c r="R55"/>
      <c r="S55"/>
      <c r="T55"/>
      <c r="U55"/>
      <c r="V55"/>
      <c r="W55"/>
      <c r="X55"/>
      <c r="Y55"/>
    </row>
  </sheetData>
  <autoFilter ref="A3:M3" xr:uid="{B2F118FD-E5B2-4E44-9BD3-D0682A1C8D44}"/>
  <mergeCells count="1">
    <mergeCell ref="G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F789-02A7-42A7-A2E1-0EFE4B70922F}">
  <sheetPr codeName="Sheet18"/>
  <dimension ref="A1:Y86"/>
  <sheetViews>
    <sheetView workbookViewId="0">
      <pane ySplit="8880" topLeftCell="A84"/>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8370</v>
      </c>
      <c r="C1" s="14"/>
      <c r="D1" s="14"/>
      <c r="E1" s="14"/>
      <c r="F1" s="13" t="s">
        <v>8892</v>
      </c>
      <c r="G1" s="16">
        <v>45538</v>
      </c>
      <c r="H1" s="16"/>
      <c r="I1" s="16"/>
      <c r="J1" s="11"/>
    </row>
    <row r="2" spans="1:25" ht="18" x14ac:dyDescent="0.2">
      <c r="A2" s="14">
        <f ca="1">COUNTA(OFFSET(A3,1,0,2222,1))</f>
        <v>83</v>
      </c>
      <c r="B2" s="15"/>
      <c r="C2" s="14">
        <f ca="1">MAX(OFFSET(C3,1,0,2222,1))</f>
        <v>16</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8370</v>
      </c>
      <c r="G4" s="5" t="s">
        <v>122</v>
      </c>
      <c r="H4" s="5" t="s">
        <v>3</v>
      </c>
      <c r="I4" s="5"/>
      <c r="J4" s="5" t="s">
        <v>8874</v>
      </c>
    </row>
    <row r="5" spans="1:25" ht="38.25" x14ac:dyDescent="0.2">
      <c r="A5" s="5" t="s">
        <v>1554</v>
      </c>
      <c r="B5" s="5" t="s">
        <v>8584</v>
      </c>
      <c r="C5" s="5">
        <v>0</v>
      </c>
      <c r="D5" s="5"/>
      <c r="E5" s="5"/>
      <c r="F5" s="5" t="s">
        <v>9256</v>
      </c>
      <c r="G5" s="5" t="s">
        <v>2672</v>
      </c>
      <c r="H5" s="5" t="s">
        <v>3</v>
      </c>
      <c r="I5" s="5"/>
      <c r="J5" s="5" t="s">
        <v>9255</v>
      </c>
    </row>
    <row r="6" spans="1:25" ht="38.25" x14ac:dyDescent="0.2">
      <c r="A6" s="5" t="s">
        <v>9257</v>
      </c>
      <c r="B6" s="5" t="s">
        <v>8584</v>
      </c>
      <c r="C6" s="5">
        <v>0</v>
      </c>
      <c r="D6" s="5"/>
      <c r="E6" s="5"/>
      <c r="F6" s="5" t="s">
        <v>9256</v>
      </c>
      <c r="G6" s="5" t="s">
        <v>234</v>
      </c>
      <c r="H6" s="5" t="s">
        <v>3</v>
      </c>
      <c r="I6" s="5"/>
      <c r="J6" s="5" t="s">
        <v>9255</v>
      </c>
    </row>
    <row r="7" spans="1:25" ht="25.5" x14ac:dyDescent="0.2">
      <c r="A7" s="5" t="s">
        <v>9254</v>
      </c>
      <c r="B7" s="5" t="s">
        <v>8584</v>
      </c>
      <c r="C7" s="5">
        <v>1</v>
      </c>
      <c r="D7" s="5"/>
      <c r="E7" s="5"/>
      <c r="F7" s="5" t="s">
        <v>472</v>
      </c>
      <c r="G7" s="5" t="s">
        <v>6530</v>
      </c>
      <c r="H7" s="5" t="s">
        <v>3</v>
      </c>
      <c r="I7" s="5"/>
      <c r="J7" s="5" t="s">
        <v>9253</v>
      </c>
    </row>
    <row r="8" spans="1:25" ht="25.5" x14ac:dyDescent="0.2">
      <c r="A8" s="5" t="s">
        <v>8316</v>
      </c>
      <c r="B8" s="5" t="s">
        <v>8584</v>
      </c>
      <c r="C8" s="5">
        <v>2</v>
      </c>
      <c r="D8" s="5"/>
      <c r="E8" s="5"/>
      <c r="F8" s="5" t="s">
        <v>8101</v>
      </c>
      <c r="G8" s="5" t="s">
        <v>7296</v>
      </c>
      <c r="H8" s="5" t="s">
        <v>3</v>
      </c>
      <c r="I8" s="5"/>
      <c r="J8" s="5" t="s">
        <v>8314</v>
      </c>
    </row>
    <row r="9" spans="1:25" x14ac:dyDescent="0.2">
      <c r="A9" s="5" t="s">
        <v>9252</v>
      </c>
      <c r="B9" s="5" t="s">
        <v>8584</v>
      </c>
      <c r="C9" s="5">
        <v>3</v>
      </c>
      <c r="D9" s="5"/>
      <c r="E9" s="5" t="s">
        <v>138</v>
      </c>
      <c r="F9" s="5" t="s">
        <v>9187</v>
      </c>
      <c r="G9" s="5" t="s">
        <v>91</v>
      </c>
      <c r="H9" s="5" t="s">
        <v>3</v>
      </c>
      <c r="I9" s="5"/>
      <c r="J9" s="5" t="s">
        <v>9251</v>
      </c>
    </row>
    <row r="10" spans="1:25" s="2" customFormat="1" x14ac:dyDescent="0.2">
      <c r="A10" s="5" t="s">
        <v>9250</v>
      </c>
      <c r="B10" s="5" t="s">
        <v>8584</v>
      </c>
      <c r="C10" s="5">
        <v>4</v>
      </c>
      <c r="D10" s="5"/>
      <c r="E10" s="5" t="s">
        <v>93</v>
      </c>
      <c r="F10" s="5" t="s">
        <v>9247</v>
      </c>
      <c r="G10" s="5" t="s">
        <v>148</v>
      </c>
      <c r="H10" s="5" t="s">
        <v>3</v>
      </c>
      <c r="I10" s="5"/>
      <c r="J10" s="5" t="s">
        <v>9249</v>
      </c>
      <c r="M10" s="1"/>
      <c r="N10"/>
      <c r="O10"/>
      <c r="P10"/>
      <c r="Q10"/>
      <c r="R10"/>
      <c r="S10"/>
      <c r="T10"/>
      <c r="U10"/>
      <c r="V10"/>
      <c r="W10"/>
      <c r="X10"/>
      <c r="Y10"/>
    </row>
    <row r="11" spans="1:25" s="2" customFormat="1" x14ac:dyDescent="0.2">
      <c r="A11" s="5" t="s">
        <v>9248</v>
      </c>
      <c r="B11" s="5" t="s">
        <v>8584</v>
      </c>
      <c r="C11" s="5">
        <v>5</v>
      </c>
      <c r="D11" s="5"/>
      <c r="E11" s="5" t="s">
        <v>93</v>
      </c>
      <c r="F11" s="5" t="s">
        <v>9247</v>
      </c>
      <c r="G11" s="5" t="s">
        <v>6584</v>
      </c>
      <c r="H11" s="5" t="s">
        <v>3</v>
      </c>
      <c r="I11" s="5"/>
      <c r="J11" s="5" t="s">
        <v>9246</v>
      </c>
      <c r="M11" s="1"/>
      <c r="N11"/>
      <c r="O11"/>
      <c r="P11"/>
      <c r="Q11"/>
      <c r="R11"/>
      <c r="S11"/>
      <c r="T11"/>
      <c r="U11"/>
      <c r="V11"/>
      <c r="W11"/>
      <c r="X11"/>
      <c r="Y11"/>
    </row>
    <row r="12" spans="1:25" s="2" customFormat="1" x14ac:dyDescent="0.2">
      <c r="A12" s="5" t="s">
        <v>8372</v>
      </c>
      <c r="B12" s="5" t="s">
        <v>8584</v>
      </c>
      <c r="C12" s="5">
        <v>6</v>
      </c>
      <c r="D12" s="5"/>
      <c r="E12" s="5"/>
      <c r="F12" s="5" t="s">
        <v>9245</v>
      </c>
      <c r="G12" s="5" t="s">
        <v>4</v>
      </c>
      <c r="H12" s="5" t="s">
        <v>3</v>
      </c>
      <c r="I12" s="5"/>
      <c r="J12" s="5" t="s">
        <v>9244</v>
      </c>
      <c r="M12" s="1"/>
      <c r="N12"/>
      <c r="O12"/>
      <c r="P12"/>
      <c r="Q12"/>
      <c r="R12"/>
      <c r="S12"/>
      <c r="T12"/>
      <c r="U12"/>
      <c r="V12"/>
      <c r="W12"/>
      <c r="X12"/>
      <c r="Y12"/>
    </row>
    <row r="13" spans="1:25" s="2" customFormat="1" ht="25.5" x14ac:dyDescent="0.2">
      <c r="A13" s="5" t="s">
        <v>9243</v>
      </c>
      <c r="B13" s="5" t="s">
        <v>8584</v>
      </c>
      <c r="C13" s="5">
        <v>7</v>
      </c>
      <c r="D13" s="5"/>
      <c r="E13" s="5"/>
      <c r="F13" s="5" t="s">
        <v>9242</v>
      </c>
      <c r="G13" s="5" t="s">
        <v>181</v>
      </c>
      <c r="H13" s="5" t="s">
        <v>3</v>
      </c>
      <c r="I13" s="5"/>
      <c r="J13" s="5" t="s">
        <v>9241</v>
      </c>
      <c r="M13" s="1"/>
      <c r="N13"/>
      <c r="O13"/>
      <c r="P13"/>
      <c r="Q13"/>
      <c r="R13"/>
      <c r="S13"/>
      <c r="T13"/>
      <c r="U13"/>
      <c r="V13"/>
      <c r="W13"/>
      <c r="X13"/>
      <c r="Y13"/>
    </row>
    <row r="14" spans="1:25" s="2" customFormat="1" x14ac:dyDescent="0.2">
      <c r="A14" s="5" t="s">
        <v>9240</v>
      </c>
      <c r="B14" s="5" t="s">
        <v>8584</v>
      </c>
      <c r="C14" s="5">
        <v>10</v>
      </c>
      <c r="D14" s="5"/>
      <c r="E14" s="5"/>
      <c r="F14" s="5" t="s">
        <v>9239</v>
      </c>
      <c r="G14" s="5" t="s">
        <v>4</v>
      </c>
      <c r="H14" s="5" t="s">
        <v>3</v>
      </c>
      <c r="I14" s="5"/>
      <c r="J14" s="5"/>
      <c r="M14" s="1"/>
      <c r="N14"/>
      <c r="O14"/>
      <c r="P14"/>
      <c r="Q14"/>
      <c r="R14"/>
      <c r="S14"/>
      <c r="T14"/>
      <c r="U14"/>
      <c r="V14"/>
      <c r="W14"/>
      <c r="X14"/>
      <c r="Y14"/>
    </row>
    <row r="15" spans="1:25" s="2" customFormat="1" x14ac:dyDescent="0.2">
      <c r="A15" s="5" t="s">
        <v>8743</v>
      </c>
      <c r="B15" s="5" t="s">
        <v>8584</v>
      </c>
      <c r="C15" s="5">
        <v>11</v>
      </c>
      <c r="D15" s="5"/>
      <c r="E15" s="5"/>
      <c r="F15" s="5" t="s">
        <v>9238</v>
      </c>
      <c r="G15" s="5" t="s">
        <v>155</v>
      </c>
      <c r="H15" s="5" t="s">
        <v>3</v>
      </c>
      <c r="I15" s="5"/>
      <c r="J15" s="5" t="s">
        <v>9237</v>
      </c>
      <c r="M15" s="1"/>
      <c r="N15"/>
      <c r="O15"/>
      <c r="P15"/>
      <c r="Q15"/>
      <c r="R15"/>
      <c r="S15"/>
      <c r="T15"/>
      <c r="U15"/>
      <c r="V15"/>
      <c r="W15"/>
      <c r="X15"/>
      <c r="Y15"/>
    </row>
    <row r="16" spans="1:25" s="2" customFormat="1" ht="25.5" x14ac:dyDescent="0.2">
      <c r="A16" s="5" t="s">
        <v>9236</v>
      </c>
      <c r="B16" s="5" t="s">
        <v>8584</v>
      </c>
      <c r="C16" s="5">
        <v>12</v>
      </c>
      <c r="D16" s="5"/>
      <c r="E16" s="5"/>
      <c r="F16" s="5" t="s">
        <v>8660</v>
      </c>
      <c r="G16" s="5" t="s">
        <v>105</v>
      </c>
      <c r="H16" s="5" t="s">
        <v>3</v>
      </c>
      <c r="I16" s="5"/>
      <c r="J16" s="5" t="s">
        <v>9235</v>
      </c>
      <c r="M16" s="1"/>
      <c r="N16"/>
      <c r="O16"/>
      <c r="P16"/>
      <c r="Q16"/>
      <c r="R16"/>
      <c r="S16"/>
      <c r="T16"/>
      <c r="U16"/>
      <c r="V16"/>
      <c r="W16"/>
      <c r="X16"/>
      <c r="Y16"/>
    </row>
    <row r="17" spans="1:25" s="2" customFormat="1" ht="25.5" x14ac:dyDescent="0.2">
      <c r="A17" s="5" t="s">
        <v>9234</v>
      </c>
      <c r="B17" s="5" t="s">
        <v>8584</v>
      </c>
      <c r="C17" s="5">
        <v>13</v>
      </c>
      <c r="D17" s="5"/>
      <c r="E17" s="5"/>
      <c r="F17" s="5" t="s">
        <v>8174</v>
      </c>
      <c r="G17" s="5" t="s">
        <v>118</v>
      </c>
      <c r="H17" s="5" t="s">
        <v>137</v>
      </c>
      <c r="I17" s="5" t="s">
        <v>9210</v>
      </c>
      <c r="J17" s="5" t="s">
        <v>9233</v>
      </c>
      <c r="M17" s="1"/>
      <c r="N17"/>
      <c r="O17"/>
      <c r="P17"/>
      <c r="Q17"/>
      <c r="R17"/>
      <c r="S17"/>
      <c r="T17"/>
      <c r="U17"/>
      <c r="V17"/>
      <c r="W17"/>
      <c r="X17"/>
      <c r="Y17"/>
    </row>
    <row r="18" spans="1:25" s="2" customFormat="1" ht="25.5" x14ac:dyDescent="0.2">
      <c r="A18" s="5" t="s">
        <v>9232</v>
      </c>
      <c r="B18" s="5" t="s">
        <v>8584</v>
      </c>
      <c r="C18" s="5">
        <v>14</v>
      </c>
      <c r="D18" s="5"/>
      <c r="E18" s="5" t="s">
        <v>9231</v>
      </c>
      <c r="F18" s="5" t="s">
        <v>9230</v>
      </c>
      <c r="G18" s="5" t="s">
        <v>195</v>
      </c>
      <c r="H18" s="5" t="s">
        <v>137</v>
      </c>
      <c r="I18" s="5" t="s">
        <v>9210</v>
      </c>
      <c r="J18" s="5" t="s">
        <v>9229</v>
      </c>
      <c r="M18" s="1"/>
      <c r="N18"/>
      <c r="O18"/>
      <c r="P18"/>
      <c r="Q18"/>
      <c r="R18"/>
      <c r="S18"/>
      <c r="T18"/>
      <c r="U18"/>
      <c r="V18"/>
      <c r="W18"/>
      <c r="X18"/>
      <c r="Y18"/>
    </row>
    <row r="19" spans="1:25" s="2" customFormat="1" x14ac:dyDescent="0.2">
      <c r="A19" s="5" t="s">
        <v>372</v>
      </c>
      <c r="B19" s="5" t="s">
        <v>8584</v>
      </c>
      <c r="C19" s="5">
        <v>15</v>
      </c>
      <c r="D19" s="5"/>
      <c r="E19" s="5"/>
      <c r="F19" s="5" t="s">
        <v>7696</v>
      </c>
      <c r="G19" s="5" t="s">
        <v>173</v>
      </c>
      <c r="H19" s="5" t="s">
        <v>3</v>
      </c>
      <c r="I19" s="5"/>
      <c r="J19" s="5" t="s">
        <v>9228</v>
      </c>
      <c r="M19" s="1"/>
      <c r="N19"/>
      <c r="O19"/>
      <c r="P19"/>
      <c r="Q19"/>
      <c r="R19"/>
      <c r="S19"/>
      <c r="T19"/>
      <c r="U19"/>
      <c r="V19"/>
      <c r="W19"/>
      <c r="X19"/>
      <c r="Y19"/>
    </row>
    <row r="20" spans="1:25" s="2" customFormat="1" ht="25.5" x14ac:dyDescent="0.2">
      <c r="A20" s="5" t="s">
        <v>9227</v>
      </c>
      <c r="B20" s="5" t="s">
        <v>8584</v>
      </c>
      <c r="C20" s="5">
        <v>16</v>
      </c>
      <c r="D20" s="5"/>
      <c r="E20" s="5"/>
      <c r="F20" s="5" t="s">
        <v>9226</v>
      </c>
      <c r="G20" s="5" t="s">
        <v>229</v>
      </c>
      <c r="H20" s="5" t="s">
        <v>3</v>
      </c>
      <c r="I20" s="5"/>
      <c r="J20" s="5" t="s">
        <v>9225</v>
      </c>
      <c r="M20" s="1"/>
      <c r="N20"/>
      <c r="O20"/>
      <c r="P20"/>
      <c r="Q20"/>
      <c r="R20"/>
      <c r="S20"/>
      <c r="T20"/>
      <c r="U20"/>
      <c r="V20"/>
      <c r="W20"/>
      <c r="X20"/>
      <c r="Y20"/>
    </row>
    <row r="21" spans="1:25" s="2" customFormat="1" x14ac:dyDescent="0.2">
      <c r="A21" s="5" t="s">
        <v>9224</v>
      </c>
      <c r="B21" s="5" t="s">
        <v>83</v>
      </c>
      <c r="C21" s="5"/>
      <c r="D21" s="5" t="s">
        <v>9223</v>
      </c>
      <c r="E21" s="5"/>
      <c r="F21" s="5" t="s">
        <v>9222</v>
      </c>
      <c r="G21" s="5" t="s">
        <v>105</v>
      </c>
      <c r="H21" s="5" t="s">
        <v>3</v>
      </c>
      <c r="I21" s="5"/>
      <c r="J21" s="5"/>
      <c r="M21" s="1"/>
      <c r="N21"/>
      <c r="O21"/>
      <c r="P21"/>
      <c r="Q21"/>
      <c r="R21"/>
      <c r="S21"/>
      <c r="T21"/>
      <c r="U21"/>
      <c r="V21"/>
      <c r="W21"/>
      <c r="X21"/>
      <c r="Y21"/>
    </row>
    <row r="22" spans="1:25" s="2" customFormat="1" ht="25.5" x14ac:dyDescent="0.2">
      <c r="A22" s="5" t="s">
        <v>9112</v>
      </c>
      <c r="B22" s="5" t="s">
        <v>83</v>
      </c>
      <c r="C22" s="5"/>
      <c r="D22" s="5" t="s">
        <v>9221</v>
      </c>
      <c r="E22" s="5"/>
      <c r="F22" s="5" t="s">
        <v>9220</v>
      </c>
      <c r="G22" s="5" t="s">
        <v>896</v>
      </c>
      <c r="H22" s="5" t="s">
        <v>137</v>
      </c>
      <c r="I22" s="5" t="s">
        <v>9112</v>
      </c>
      <c r="J22" s="5"/>
      <c r="M22" s="1"/>
      <c r="N22"/>
      <c r="O22"/>
      <c r="P22"/>
      <c r="Q22"/>
      <c r="R22"/>
      <c r="S22"/>
      <c r="T22"/>
      <c r="U22"/>
      <c r="V22"/>
      <c r="W22"/>
      <c r="X22"/>
      <c r="Y22"/>
    </row>
    <row r="23" spans="1:25" s="2" customFormat="1" x14ac:dyDescent="0.2">
      <c r="A23" s="5" t="s">
        <v>9219</v>
      </c>
      <c r="B23" s="5" t="s">
        <v>83</v>
      </c>
      <c r="C23" s="5"/>
      <c r="D23" s="5" t="s">
        <v>9102</v>
      </c>
      <c r="E23" s="5"/>
      <c r="F23" s="5" t="s">
        <v>9218</v>
      </c>
      <c r="G23" s="5" t="s">
        <v>118</v>
      </c>
      <c r="H23" s="5" t="s">
        <v>3</v>
      </c>
      <c r="I23" s="5"/>
      <c r="J23" s="5" t="s">
        <v>9217</v>
      </c>
      <c r="M23" s="1"/>
      <c r="N23"/>
      <c r="O23"/>
      <c r="P23"/>
      <c r="Q23"/>
      <c r="R23"/>
      <c r="S23"/>
      <c r="T23"/>
      <c r="U23"/>
      <c r="V23"/>
      <c r="W23"/>
      <c r="X23"/>
      <c r="Y23"/>
    </row>
    <row r="24" spans="1:25" s="2" customFormat="1" x14ac:dyDescent="0.2">
      <c r="A24" s="5" t="s">
        <v>9216</v>
      </c>
      <c r="B24" s="5" t="s">
        <v>83</v>
      </c>
      <c r="C24" s="5"/>
      <c r="D24" s="5" t="s">
        <v>7387</v>
      </c>
      <c r="E24" s="5"/>
      <c r="F24" s="5" t="s">
        <v>9216</v>
      </c>
      <c r="G24" s="5" t="s">
        <v>105</v>
      </c>
      <c r="H24" s="5" t="s">
        <v>3</v>
      </c>
      <c r="I24" s="5"/>
      <c r="J24" s="5" t="s">
        <v>9215</v>
      </c>
      <c r="M24" s="1"/>
      <c r="N24"/>
      <c r="O24"/>
      <c r="P24"/>
      <c r="Q24"/>
      <c r="R24"/>
      <c r="S24"/>
      <c r="T24"/>
      <c r="U24"/>
      <c r="V24"/>
      <c r="W24"/>
      <c r="X24"/>
      <c r="Y24"/>
    </row>
    <row r="25" spans="1:25" s="2" customFormat="1" ht="25.5" x14ac:dyDescent="0.2">
      <c r="A25" s="5" t="s">
        <v>8336</v>
      </c>
      <c r="B25" s="5" t="s">
        <v>83</v>
      </c>
      <c r="C25" s="5"/>
      <c r="D25" s="5" t="s">
        <v>9214</v>
      </c>
      <c r="E25" s="5" t="s">
        <v>299</v>
      </c>
      <c r="F25" s="5" t="s">
        <v>1554</v>
      </c>
      <c r="G25" s="5" t="s">
        <v>148</v>
      </c>
      <c r="H25" s="5" t="s">
        <v>3</v>
      </c>
      <c r="I25" s="5"/>
      <c r="J25" s="5" t="s">
        <v>9213</v>
      </c>
      <c r="M25" s="1"/>
      <c r="N25"/>
      <c r="O25"/>
      <c r="P25"/>
      <c r="Q25"/>
      <c r="R25"/>
      <c r="S25"/>
      <c r="T25"/>
      <c r="U25"/>
      <c r="V25"/>
      <c r="W25"/>
      <c r="X25"/>
      <c r="Y25"/>
    </row>
    <row r="26" spans="1:25" s="2" customFormat="1" ht="25.5" x14ac:dyDescent="0.2">
      <c r="A26" s="5" t="s">
        <v>9212</v>
      </c>
      <c r="B26" s="5" t="s">
        <v>83</v>
      </c>
      <c r="C26" s="5"/>
      <c r="D26" s="5" t="s">
        <v>9211</v>
      </c>
      <c r="E26" s="5"/>
      <c r="F26" s="5" t="s">
        <v>9209</v>
      </c>
      <c r="G26" s="5" t="s">
        <v>224</v>
      </c>
      <c r="H26" s="5" t="s">
        <v>137</v>
      </c>
      <c r="I26" s="5" t="s">
        <v>9210</v>
      </c>
      <c r="J26" s="5" t="s">
        <v>9209</v>
      </c>
      <c r="M26" s="1"/>
      <c r="N26"/>
      <c r="O26"/>
      <c r="P26"/>
      <c r="Q26"/>
      <c r="R26"/>
      <c r="S26"/>
      <c r="T26"/>
      <c r="U26"/>
      <c r="V26"/>
      <c r="W26"/>
      <c r="X26"/>
      <c r="Y26"/>
    </row>
    <row r="27" spans="1:25" s="2" customFormat="1" x14ac:dyDescent="0.2">
      <c r="A27" s="5" t="s">
        <v>9208</v>
      </c>
      <c r="B27" s="5" t="s">
        <v>83</v>
      </c>
      <c r="C27" s="5"/>
      <c r="D27" s="5" t="s">
        <v>5503</v>
      </c>
      <c r="E27" s="5"/>
      <c r="F27" s="5" t="s">
        <v>9172</v>
      </c>
      <c r="G27" s="5" t="s">
        <v>207</v>
      </c>
      <c r="H27" s="5" t="s">
        <v>3</v>
      </c>
      <c r="I27" s="5"/>
      <c r="J27" s="5"/>
      <c r="M27" s="1"/>
      <c r="N27"/>
      <c r="O27"/>
      <c r="P27"/>
      <c r="Q27"/>
      <c r="R27"/>
      <c r="S27"/>
      <c r="T27"/>
      <c r="U27"/>
      <c r="V27"/>
      <c r="W27"/>
      <c r="X27"/>
      <c r="Y27"/>
    </row>
    <row r="28" spans="1:25" s="2" customFormat="1" ht="25.5" x14ac:dyDescent="0.2">
      <c r="A28" s="5" t="s">
        <v>9207</v>
      </c>
      <c r="B28" s="5" t="s">
        <v>83</v>
      </c>
      <c r="C28" s="5"/>
      <c r="D28" s="5" t="s">
        <v>9206</v>
      </c>
      <c r="E28" s="5"/>
      <c r="F28" s="5" t="s">
        <v>8101</v>
      </c>
      <c r="G28" s="5" t="s">
        <v>7296</v>
      </c>
      <c r="H28" s="5" t="s">
        <v>3</v>
      </c>
      <c r="I28" s="5"/>
      <c r="J28" s="5" t="s">
        <v>9205</v>
      </c>
      <c r="M28" s="1"/>
      <c r="N28"/>
      <c r="O28"/>
      <c r="P28"/>
      <c r="Q28"/>
      <c r="R28"/>
      <c r="S28"/>
      <c r="T28"/>
      <c r="U28"/>
      <c r="V28"/>
      <c r="W28"/>
      <c r="X28"/>
      <c r="Y28"/>
    </row>
    <row r="29" spans="1:25" s="2" customFormat="1" x14ac:dyDescent="0.2">
      <c r="A29" s="5" t="s">
        <v>9204</v>
      </c>
      <c r="B29" s="5" t="s">
        <v>83</v>
      </c>
      <c r="C29" s="5"/>
      <c r="D29" s="5" t="s">
        <v>9203</v>
      </c>
      <c r="E29" s="5"/>
      <c r="F29" s="5" t="s">
        <v>1554</v>
      </c>
      <c r="G29" s="5" t="s">
        <v>105</v>
      </c>
      <c r="H29" s="5" t="s">
        <v>3</v>
      </c>
      <c r="I29" s="5"/>
      <c r="J29" s="5" t="s">
        <v>9100</v>
      </c>
      <c r="M29" s="1"/>
      <c r="N29"/>
      <c r="O29"/>
      <c r="P29"/>
      <c r="Q29"/>
      <c r="R29"/>
      <c r="S29"/>
      <c r="T29"/>
      <c r="U29"/>
      <c r="V29"/>
      <c r="W29"/>
      <c r="X29"/>
      <c r="Y29"/>
    </row>
    <row r="30" spans="1:25" s="2" customFormat="1" x14ac:dyDescent="0.2">
      <c r="A30" s="5" t="s">
        <v>9202</v>
      </c>
      <c r="B30" s="5" t="s">
        <v>83</v>
      </c>
      <c r="C30" s="5"/>
      <c r="D30" s="5" t="s">
        <v>9201</v>
      </c>
      <c r="E30" s="5"/>
      <c r="F30" s="5" t="s">
        <v>472</v>
      </c>
      <c r="G30" s="5" t="s">
        <v>9200</v>
      </c>
      <c r="H30" s="5" t="s">
        <v>3</v>
      </c>
      <c r="I30" s="5"/>
      <c r="J30" s="5" t="s">
        <v>9100</v>
      </c>
      <c r="M30" s="1"/>
      <c r="N30"/>
      <c r="O30"/>
      <c r="P30"/>
      <c r="Q30"/>
      <c r="R30"/>
      <c r="S30"/>
      <c r="T30"/>
      <c r="U30"/>
      <c r="V30"/>
      <c r="W30"/>
      <c r="X30"/>
      <c r="Y30"/>
    </row>
    <row r="31" spans="1:25" s="2" customFormat="1" x14ac:dyDescent="0.2">
      <c r="A31" s="5" t="s">
        <v>9199</v>
      </c>
      <c r="B31" s="5" t="s">
        <v>83</v>
      </c>
      <c r="C31" s="5"/>
      <c r="D31" s="5" t="s">
        <v>9102</v>
      </c>
      <c r="E31" s="5"/>
      <c r="F31" s="5" t="s">
        <v>2219</v>
      </c>
      <c r="G31" s="5" t="s">
        <v>1527</v>
      </c>
      <c r="H31" s="5" t="s">
        <v>3</v>
      </c>
      <c r="I31" s="5"/>
      <c r="J31" s="5"/>
      <c r="M31" s="1"/>
      <c r="N31"/>
      <c r="O31"/>
      <c r="P31"/>
      <c r="Q31"/>
      <c r="R31"/>
      <c r="S31"/>
      <c r="T31"/>
      <c r="U31"/>
      <c r="V31"/>
      <c r="W31"/>
      <c r="X31"/>
      <c r="Y31"/>
    </row>
    <row r="32" spans="1:25" s="2" customFormat="1" x14ac:dyDescent="0.2">
      <c r="A32" s="5" t="s">
        <v>9198</v>
      </c>
      <c r="B32" s="5" t="s">
        <v>83</v>
      </c>
      <c r="C32" s="5"/>
      <c r="D32" s="5" t="s">
        <v>9120</v>
      </c>
      <c r="E32" s="5"/>
      <c r="F32" s="5" t="s">
        <v>2219</v>
      </c>
      <c r="G32" s="5" t="s">
        <v>4</v>
      </c>
      <c r="H32" s="5" t="s">
        <v>3</v>
      </c>
      <c r="I32" s="5"/>
      <c r="J32" s="5"/>
      <c r="M32" s="1"/>
      <c r="N32"/>
      <c r="O32"/>
      <c r="P32"/>
      <c r="Q32"/>
      <c r="R32"/>
      <c r="S32"/>
      <c r="T32"/>
      <c r="U32"/>
      <c r="V32"/>
      <c r="W32"/>
      <c r="X32"/>
      <c r="Y32"/>
    </row>
    <row r="33" spans="1:25" s="2" customFormat="1" ht="25.5" x14ac:dyDescent="0.2">
      <c r="A33" s="5" t="s">
        <v>9197</v>
      </c>
      <c r="B33" s="5" t="s">
        <v>83</v>
      </c>
      <c r="C33" s="5"/>
      <c r="D33" s="5" t="s">
        <v>9196</v>
      </c>
      <c r="E33" s="5"/>
      <c r="F33" s="5" t="s">
        <v>8660</v>
      </c>
      <c r="G33" s="5" t="s">
        <v>105</v>
      </c>
      <c r="H33" s="5" t="s">
        <v>3</v>
      </c>
      <c r="I33" s="5"/>
      <c r="J33" s="5" t="s">
        <v>9195</v>
      </c>
      <c r="M33" s="1"/>
      <c r="N33"/>
      <c r="O33"/>
      <c r="P33"/>
      <c r="Q33"/>
      <c r="R33"/>
      <c r="S33"/>
      <c r="T33"/>
      <c r="U33"/>
      <c r="V33"/>
      <c r="W33"/>
      <c r="X33"/>
      <c r="Y33"/>
    </row>
    <row r="34" spans="1:25" s="2" customFormat="1" x14ac:dyDescent="0.2">
      <c r="A34" s="5" t="s">
        <v>8284</v>
      </c>
      <c r="B34" s="5" t="s">
        <v>83</v>
      </c>
      <c r="C34" s="5"/>
      <c r="D34" s="5" t="s">
        <v>82</v>
      </c>
      <c r="E34" s="5"/>
      <c r="F34" s="5" t="s">
        <v>349</v>
      </c>
      <c r="G34" s="5" t="s">
        <v>6385</v>
      </c>
      <c r="H34" s="5" t="s">
        <v>3</v>
      </c>
      <c r="I34" s="5"/>
      <c r="J34" s="5" t="s">
        <v>9194</v>
      </c>
      <c r="M34" s="1"/>
      <c r="N34"/>
      <c r="O34"/>
      <c r="P34"/>
      <c r="Q34"/>
      <c r="R34"/>
      <c r="S34"/>
      <c r="T34"/>
      <c r="U34"/>
      <c r="V34"/>
      <c r="W34"/>
      <c r="X34"/>
      <c r="Y34"/>
    </row>
    <row r="35" spans="1:25" s="2" customFormat="1" x14ac:dyDescent="0.2">
      <c r="A35" s="5" t="s">
        <v>9193</v>
      </c>
      <c r="B35" s="5" t="s">
        <v>83</v>
      </c>
      <c r="C35" s="5"/>
      <c r="D35" s="5" t="s">
        <v>9192</v>
      </c>
      <c r="E35" s="5"/>
      <c r="F35" s="5" t="s">
        <v>8140</v>
      </c>
      <c r="G35" s="5" t="s">
        <v>1527</v>
      </c>
      <c r="H35" s="5" t="s">
        <v>3</v>
      </c>
      <c r="I35" s="5"/>
      <c r="J35" s="5" t="s">
        <v>9100</v>
      </c>
      <c r="M35" s="1"/>
      <c r="N35"/>
      <c r="O35"/>
      <c r="P35"/>
      <c r="Q35"/>
      <c r="R35"/>
      <c r="S35"/>
      <c r="T35"/>
      <c r="U35"/>
      <c r="V35"/>
      <c r="W35"/>
      <c r="X35"/>
      <c r="Y35"/>
    </row>
    <row r="36" spans="1:25" s="2" customFormat="1" ht="25.5" x14ac:dyDescent="0.2">
      <c r="A36" s="5" t="s">
        <v>9191</v>
      </c>
      <c r="B36" s="5" t="s">
        <v>83</v>
      </c>
      <c r="C36" s="5"/>
      <c r="D36" s="5" t="s">
        <v>9190</v>
      </c>
      <c r="E36" s="5" t="s">
        <v>138</v>
      </c>
      <c r="F36" s="5" t="s">
        <v>8757</v>
      </c>
      <c r="G36" s="5" t="s">
        <v>91</v>
      </c>
      <c r="H36" s="5" t="s">
        <v>3</v>
      </c>
      <c r="I36" s="5"/>
      <c r="J36" s="5"/>
      <c r="M36" s="1"/>
      <c r="N36"/>
      <c r="O36"/>
      <c r="P36"/>
      <c r="Q36"/>
      <c r="R36"/>
      <c r="S36"/>
      <c r="T36"/>
      <c r="U36"/>
      <c r="V36"/>
      <c r="W36"/>
      <c r="X36"/>
      <c r="Y36"/>
    </row>
    <row r="37" spans="1:25" s="2" customFormat="1" x14ac:dyDescent="0.2">
      <c r="A37" s="5" t="s">
        <v>9189</v>
      </c>
      <c r="B37" s="5" t="s">
        <v>83</v>
      </c>
      <c r="C37" s="5"/>
      <c r="D37" s="5" t="s">
        <v>9188</v>
      </c>
      <c r="E37" s="5" t="s">
        <v>299</v>
      </c>
      <c r="F37" s="5" t="s">
        <v>9187</v>
      </c>
      <c r="G37" s="5" t="s">
        <v>91</v>
      </c>
      <c r="H37" s="5" t="s">
        <v>3</v>
      </c>
      <c r="I37" s="5"/>
      <c r="J37" s="5" t="s">
        <v>9186</v>
      </c>
      <c r="M37" s="1"/>
      <c r="N37"/>
      <c r="O37"/>
      <c r="P37"/>
      <c r="Q37"/>
      <c r="R37"/>
      <c r="S37"/>
      <c r="T37"/>
      <c r="U37"/>
      <c r="V37"/>
      <c r="W37"/>
      <c r="X37"/>
      <c r="Y37"/>
    </row>
    <row r="38" spans="1:25" s="2" customFormat="1" ht="25.5" x14ac:dyDescent="0.2">
      <c r="A38" s="5" t="s">
        <v>9185</v>
      </c>
      <c r="B38" s="5" t="s">
        <v>83</v>
      </c>
      <c r="C38" s="5"/>
      <c r="D38" s="5" t="s">
        <v>9184</v>
      </c>
      <c r="E38" s="5" t="s">
        <v>93</v>
      </c>
      <c r="F38" s="5" t="s">
        <v>6472</v>
      </c>
      <c r="G38" s="5" t="s">
        <v>148</v>
      </c>
      <c r="H38" s="5" t="s">
        <v>3</v>
      </c>
      <c r="I38" s="5"/>
      <c r="J38" s="5" t="s">
        <v>9183</v>
      </c>
      <c r="M38" s="1"/>
      <c r="N38"/>
      <c r="O38"/>
      <c r="P38"/>
      <c r="Q38"/>
      <c r="R38"/>
      <c r="S38"/>
      <c r="T38"/>
      <c r="U38"/>
      <c r="V38"/>
      <c r="W38"/>
      <c r="X38"/>
      <c r="Y38"/>
    </row>
    <row r="39" spans="1:25" s="2" customFormat="1" x14ac:dyDescent="0.2">
      <c r="A39" s="5" t="s">
        <v>9182</v>
      </c>
      <c r="B39" s="5" t="s">
        <v>83</v>
      </c>
      <c r="C39" s="5"/>
      <c r="D39" s="5" t="s">
        <v>9117</v>
      </c>
      <c r="E39" s="5"/>
      <c r="F39" s="5" t="s">
        <v>9181</v>
      </c>
      <c r="G39" s="5" t="s">
        <v>896</v>
      </c>
      <c r="H39" s="5" t="s">
        <v>137</v>
      </c>
      <c r="I39" s="5" t="s">
        <v>9180</v>
      </c>
      <c r="J39" s="5" t="s">
        <v>9179</v>
      </c>
      <c r="M39" s="1"/>
      <c r="N39"/>
      <c r="O39"/>
      <c r="P39"/>
      <c r="Q39"/>
      <c r="R39"/>
      <c r="S39"/>
      <c r="T39"/>
      <c r="U39"/>
      <c r="V39"/>
      <c r="W39"/>
      <c r="X39"/>
      <c r="Y39"/>
    </row>
    <row r="40" spans="1:25" s="2" customFormat="1" ht="25.5" x14ac:dyDescent="0.2">
      <c r="A40" s="5" t="s">
        <v>9178</v>
      </c>
      <c r="B40" s="5" t="s">
        <v>83</v>
      </c>
      <c r="C40" s="5"/>
      <c r="D40" s="5" t="s">
        <v>9177</v>
      </c>
      <c r="E40" s="5"/>
      <c r="F40" s="5" t="s">
        <v>9176</v>
      </c>
      <c r="G40" s="5" t="s">
        <v>896</v>
      </c>
      <c r="H40" s="5" t="s">
        <v>137</v>
      </c>
      <c r="I40" s="5" t="s">
        <v>9175</v>
      </c>
      <c r="J40" s="5" t="s">
        <v>9174</v>
      </c>
      <c r="M40" s="1"/>
      <c r="N40"/>
      <c r="O40"/>
      <c r="P40"/>
      <c r="Q40"/>
      <c r="R40"/>
      <c r="S40"/>
      <c r="T40"/>
      <c r="U40"/>
      <c r="V40"/>
      <c r="W40"/>
      <c r="X40"/>
      <c r="Y40"/>
    </row>
    <row r="41" spans="1:25" s="2" customFormat="1" ht="25.5" x14ac:dyDescent="0.2">
      <c r="A41" s="5" t="s">
        <v>7888</v>
      </c>
      <c r="B41" s="5" t="s">
        <v>83</v>
      </c>
      <c r="C41" s="5"/>
      <c r="D41" s="5" t="s">
        <v>7887</v>
      </c>
      <c r="E41" s="5"/>
      <c r="F41" s="5" t="s">
        <v>7573</v>
      </c>
      <c r="G41" s="5" t="s">
        <v>207</v>
      </c>
      <c r="H41" s="5" t="s">
        <v>3</v>
      </c>
      <c r="I41" s="5"/>
      <c r="J41" s="5" t="s">
        <v>7572</v>
      </c>
      <c r="M41" s="1"/>
      <c r="N41"/>
      <c r="O41"/>
      <c r="P41"/>
      <c r="Q41"/>
      <c r="R41"/>
      <c r="S41"/>
      <c r="T41"/>
      <c r="U41"/>
      <c r="V41"/>
      <c r="W41"/>
      <c r="X41"/>
      <c r="Y41"/>
    </row>
    <row r="42" spans="1:25" s="2" customFormat="1" x14ac:dyDescent="0.2">
      <c r="A42" s="5" t="s">
        <v>9173</v>
      </c>
      <c r="B42" s="5" t="s">
        <v>83</v>
      </c>
      <c r="C42" s="5"/>
      <c r="D42" s="5" t="s">
        <v>5503</v>
      </c>
      <c r="E42" s="5"/>
      <c r="F42" s="5" t="s">
        <v>9172</v>
      </c>
      <c r="G42" s="5" t="s">
        <v>207</v>
      </c>
      <c r="H42" s="5" t="s">
        <v>3</v>
      </c>
      <c r="I42" s="5"/>
      <c r="J42" s="5" t="s">
        <v>9171</v>
      </c>
      <c r="M42" s="1"/>
      <c r="N42"/>
      <c r="O42"/>
      <c r="P42"/>
      <c r="Q42"/>
      <c r="R42"/>
      <c r="S42"/>
      <c r="T42"/>
      <c r="U42"/>
      <c r="V42"/>
      <c r="W42"/>
      <c r="X42"/>
      <c r="Y42"/>
    </row>
    <row r="43" spans="1:25" s="2" customFormat="1" x14ac:dyDescent="0.2">
      <c r="A43" s="5" t="s">
        <v>9170</v>
      </c>
      <c r="B43" s="5" t="s">
        <v>83</v>
      </c>
      <c r="C43" s="5"/>
      <c r="D43" s="5" t="s">
        <v>9169</v>
      </c>
      <c r="E43" s="5"/>
      <c r="F43" s="5" t="s">
        <v>9168</v>
      </c>
      <c r="G43" s="5" t="s">
        <v>91</v>
      </c>
      <c r="H43" s="5" t="s">
        <v>3</v>
      </c>
      <c r="I43" s="5"/>
      <c r="J43" s="5"/>
      <c r="M43" s="1"/>
      <c r="N43"/>
      <c r="O43"/>
      <c r="P43"/>
      <c r="Q43"/>
      <c r="R43"/>
      <c r="S43"/>
      <c r="T43"/>
      <c r="U43"/>
      <c r="V43"/>
      <c r="W43"/>
      <c r="X43"/>
      <c r="Y43"/>
    </row>
    <row r="44" spans="1:25" s="2" customFormat="1" x14ac:dyDescent="0.2">
      <c r="A44" s="5" t="s">
        <v>9167</v>
      </c>
      <c r="B44" s="5" t="s">
        <v>83</v>
      </c>
      <c r="C44" s="5"/>
      <c r="D44" s="5" t="s">
        <v>9166</v>
      </c>
      <c r="E44" s="5"/>
      <c r="F44" s="5" t="s">
        <v>9165</v>
      </c>
      <c r="G44" s="5" t="s">
        <v>7296</v>
      </c>
      <c r="H44" s="5" t="s">
        <v>3</v>
      </c>
      <c r="I44" s="5"/>
      <c r="J44" s="5"/>
      <c r="M44" s="1"/>
      <c r="N44"/>
      <c r="O44"/>
      <c r="P44"/>
      <c r="Q44"/>
      <c r="R44"/>
      <c r="S44"/>
      <c r="T44"/>
      <c r="U44"/>
      <c r="V44"/>
      <c r="W44"/>
      <c r="X44"/>
      <c r="Y44"/>
    </row>
    <row r="45" spans="1:25" s="2" customFormat="1" x14ac:dyDescent="0.2">
      <c r="A45" s="5" t="s">
        <v>9164</v>
      </c>
      <c r="B45" s="5" t="s">
        <v>83</v>
      </c>
      <c r="C45" s="5"/>
      <c r="D45" s="5" t="s">
        <v>9163</v>
      </c>
      <c r="E45" s="5"/>
      <c r="F45" s="5" t="s">
        <v>9162</v>
      </c>
      <c r="G45" s="5" t="s">
        <v>6530</v>
      </c>
      <c r="H45" s="5" t="s">
        <v>3</v>
      </c>
      <c r="I45" s="5"/>
      <c r="J45" s="5"/>
      <c r="M45" s="1"/>
      <c r="N45"/>
      <c r="O45"/>
      <c r="P45"/>
      <c r="Q45"/>
      <c r="R45"/>
      <c r="S45"/>
      <c r="T45"/>
      <c r="U45"/>
      <c r="V45"/>
      <c r="W45"/>
      <c r="X45"/>
      <c r="Y45"/>
    </row>
    <row r="46" spans="1:25" s="2" customFormat="1" x14ac:dyDescent="0.2">
      <c r="A46" s="5" t="s">
        <v>8737</v>
      </c>
      <c r="B46" s="5" t="s">
        <v>83</v>
      </c>
      <c r="C46" s="5"/>
      <c r="D46" s="5" t="s">
        <v>7387</v>
      </c>
      <c r="E46" s="5"/>
      <c r="F46" s="5" t="s">
        <v>9161</v>
      </c>
      <c r="G46" s="5" t="s">
        <v>105</v>
      </c>
      <c r="H46" s="5" t="s">
        <v>3</v>
      </c>
      <c r="I46" s="5"/>
      <c r="J46" s="5"/>
      <c r="M46" s="1"/>
      <c r="N46"/>
      <c r="O46"/>
      <c r="P46"/>
      <c r="Q46"/>
      <c r="R46"/>
      <c r="S46"/>
      <c r="T46"/>
      <c r="U46"/>
      <c r="V46"/>
      <c r="W46"/>
      <c r="X46"/>
      <c r="Y46"/>
    </row>
    <row r="47" spans="1:25" s="2" customFormat="1" ht="25.5" x14ac:dyDescent="0.2">
      <c r="A47" s="5" t="s">
        <v>7845</v>
      </c>
      <c r="B47" s="5" t="s">
        <v>83</v>
      </c>
      <c r="C47" s="5"/>
      <c r="D47" s="5" t="s">
        <v>9160</v>
      </c>
      <c r="E47" s="5"/>
      <c r="F47" s="5" t="s">
        <v>7845</v>
      </c>
      <c r="G47" s="5" t="s">
        <v>3059</v>
      </c>
      <c r="H47" s="5" t="s">
        <v>137</v>
      </c>
      <c r="I47" s="5" t="s">
        <v>7844</v>
      </c>
      <c r="J47" s="5" t="s">
        <v>7388</v>
      </c>
      <c r="M47" s="1"/>
      <c r="N47"/>
      <c r="O47"/>
      <c r="P47"/>
      <c r="Q47"/>
      <c r="R47"/>
      <c r="S47"/>
      <c r="T47"/>
      <c r="U47"/>
      <c r="V47"/>
      <c r="W47"/>
      <c r="X47"/>
      <c r="Y47"/>
    </row>
    <row r="48" spans="1:25" s="2" customFormat="1" x14ac:dyDescent="0.2">
      <c r="A48" s="5" t="s">
        <v>9159</v>
      </c>
      <c r="B48" s="5" t="s">
        <v>83</v>
      </c>
      <c r="C48" s="5"/>
      <c r="D48" s="5" t="s">
        <v>9158</v>
      </c>
      <c r="E48" s="5"/>
      <c r="F48" s="5" t="s">
        <v>7841</v>
      </c>
      <c r="G48" s="5" t="s">
        <v>105</v>
      </c>
      <c r="H48" s="5" t="s">
        <v>3</v>
      </c>
      <c r="I48" s="5"/>
      <c r="J48" s="5"/>
      <c r="M48" s="1"/>
      <c r="N48"/>
      <c r="O48"/>
      <c r="P48"/>
      <c r="Q48"/>
      <c r="R48"/>
      <c r="S48"/>
      <c r="T48"/>
      <c r="U48"/>
      <c r="V48"/>
      <c r="W48"/>
      <c r="X48"/>
      <c r="Y48"/>
    </row>
    <row r="49" spans="1:25" s="2" customFormat="1" x14ac:dyDescent="0.2">
      <c r="A49" s="5" t="s">
        <v>9157</v>
      </c>
      <c r="B49" s="5" t="s">
        <v>83</v>
      </c>
      <c r="C49" s="5"/>
      <c r="D49" s="5" t="s">
        <v>9156</v>
      </c>
      <c r="E49" s="5"/>
      <c r="F49" s="5" t="s">
        <v>0</v>
      </c>
      <c r="G49" s="5" t="s">
        <v>229</v>
      </c>
      <c r="H49" s="5" t="s">
        <v>9155</v>
      </c>
      <c r="I49" s="5"/>
      <c r="J49" s="5"/>
      <c r="M49" s="1"/>
      <c r="N49"/>
      <c r="O49"/>
      <c r="P49"/>
      <c r="Q49"/>
      <c r="R49"/>
      <c r="S49"/>
      <c r="T49"/>
      <c r="U49"/>
      <c r="V49"/>
      <c r="W49"/>
      <c r="X49"/>
      <c r="Y49"/>
    </row>
    <row r="50" spans="1:25" s="2" customFormat="1" x14ac:dyDescent="0.2">
      <c r="A50" s="5" t="s">
        <v>9154</v>
      </c>
      <c r="B50" s="5" t="s">
        <v>83</v>
      </c>
      <c r="C50" s="5"/>
      <c r="D50" s="5" t="s">
        <v>5503</v>
      </c>
      <c r="E50" s="5" t="s">
        <v>93</v>
      </c>
      <c r="F50" s="5" t="s">
        <v>9153</v>
      </c>
      <c r="G50" s="5" t="s">
        <v>6584</v>
      </c>
      <c r="H50" s="5" t="s">
        <v>3</v>
      </c>
      <c r="I50" s="5"/>
      <c r="J50" s="5"/>
      <c r="M50" s="1"/>
      <c r="N50"/>
      <c r="O50"/>
      <c r="P50"/>
      <c r="Q50"/>
      <c r="R50"/>
      <c r="S50"/>
      <c r="T50"/>
      <c r="U50"/>
      <c r="V50"/>
      <c r="W50"/>
      <c r="X50"/>
      <c r="Y50"/>
    </row>
    <row r="51" spans="1:25" s="2" customFormat="1" x14ac:dyDescent="0.2">
      <c r="A51" s="5" t="s">
        <v>7736</v>
      </c>
      <c r="B51" s="5" t="s">
        <v>83</v>
      </c>
      <c r="C51" s="5"/>
      <c r="D51" s="5" t="s">
        <v>9152</v>
      </c>
      <c r="E51" s="5"/>
      <c r="F51" s="5" t="s">
        <v>7736</v>
      </c>
      <c r="G51" s="5" t="s">
        <v>3059</v>
      </c>
      <c r="H51" s="5" t="s">
        <v>3</v>
      </c>
      <c r="I51" s="5"/>
      <c r="J51" s="5"/>
      <c r="M51" s="1"/>
      <c r="N51"/>
      <c r="O51"/>
      <c r="P51"/>
      <c r="Q51"/>
      <c r="R51"/>
      <c r="S51"/>
      <c r="T51"/>
      <c r="U51"/>
      <c r="V51"/>
      <c r="W51"/>
      <c r="X51"/>
      <c r="Y51"/>
    </row>
    <row r="52" spans="1:25" s="2" customFormat="1" x14ac:dyDescent="0.2">
      <c r="A52" s="5" t="s">
        <v>7741</v>
      </c>
      <c r="B52" s="5" t="s">
        <v>83</v>
      </c>
      <c r="C52" s="5"/>
      <c r="D52" s="5" t="s">
        <v>9102</v>
      </c>
      <c r="E52" s="5"/>
      <c r="F52" s="5" t="s">
        <v>9151</v>
      </c>
      <c r="G52" s="5" t="s">
        <v>118</v>
      </c>
      <c r="H52" s="5" t="s">
        <v>3</v>
      </c>
      <c r="I52" s="5"/>
      <c r="J52" s="5"/>
      <c r="M52" s="1"/>
      <c r="N52"/>
      <c r="O52"/>
      <c r="P52"/>
      <c r="Q52"/>
      <c r="R52"/>
      <c r="S52"/>
      <c r="T52"/>
      <c r="U52"/>
      <c r="V52"/>
      <c r="W52"/>
      <c r="X52"/>
      <c r="Y52"/>
    </row>
    <row r="53" spans="1:25" s="2" customFormat="1" x14ac:dyDescent="0.2">
      <c r="A53" s="5" t="s">
        <v>9150</v>
      </c>
      <c r="B53" s="5" t="s">
        <v>83</v>
      </c>
      <c r="C53" s="5"/>
      <c r="D53" s="5" t="s">
        <v>9149</v>
      </c>
      <c r="E53" s="5"/>
      <c r="F53" s="5" t="s">
        <v>9148</v>
      </c>
      <c r="G53" s="5" t="s">
        <v>328</v>
      </c>
      <c r="H53" s="5" t="s">
        <v>3</v>
      </c>
      <c r="I53" s="5"/>
      <c r="J53" s="5" t="s">
        <v>9147</v>
      </c>
      <c r="M53" s="1"/>
      <c r="N53"/>
      <c r="O53"/>
      <c r="P53"/>
      <c r="Q53"/>
      <c r="R53"/>
      <c r="S53"/>
      <c r="T53"/>
      <c r="U53"/>
      <c r="V53"/>
      <c r="W53"/>
      <c r="X53"/>
      <c r="Y53"/>
    </row>
    <row r="54" spans="1:25" s="2" customFormat="1" ht="25.5" x14ac:dyDescent="0.2">
      <c r="A54" s="5" t="s">
        <v>9146</v>
      </c>
      <c r="B54" s="5" t="s">
        <v>83</v>
      </c>
      <c r="C54" s="5"/>
      <c r="D54" s="5" t="s">
        <v>9145</v>
      </c>
      <c r="E54" s="5"/>
      <c r="F54" s="5" t="s">
        <v>9141</v>
      </c>
      <c r="G54" s="5" t="s">
        <v>105</v>
      </c>
      <c r="H54" s="5" t="s">
        <v>3</v>
      </c>
      <c r="I54" s="5"/>
      <c r="J54" s="5"/>
      <c r="M54" s="1"/>
      <c r="N54"/>
      <c r="O54"/>
      <c r="P54"/>
      <c r="Q54"/>
      <c r="R54"/>
      <c r="S54"/>
      <c r="T54"/>
      <c r="U54"/>
      <c r="V54"/>
      <c r="W54"/>
      <c r="X54"/>
      <c r="Y54"/>
    </row>
    <row r="55" spans="1:25" s="2" customFormat="1" x14ac:dyDescent="0.2">
      <c r="A55" s="5" t="s">
        <v>9144</v>
      </c>
      <c r="B55" s="5" t="s">
        <v>83</v>
      </c>
      <c r="C55" s="5"/>
      <c r="D55" s="5" t="s">
        <v>6387</v>
      </c>
      <c r="E55" s="5"/>
      <c r="F55" s="5"/>
      <c r="G55" s="5" t="s">
        <v>80</v>
      </c>
      <c r="H55" s="5" t="s">
        <v>3</v>
      </c>
      <c r="I55" s="5"/>
      <c r="J55" s="5" t="s">
        <v>9143</v>
      </c>
      <c r="M55" s="1"/>
      <c r="N55"/>
      <c r="O55"/>
      <c r="P55"/>
      <c r="Q55"/>
      <c r="R55"/>
      <c r="S55"/>
      <c r="T55"/>
      <c r="U55"/>
      <c r="V55"/>
      <c r="W55"/>
      <c r="X55"/>
      <c r="Y55"/>
    </row>
    <row r="56" spans="1:25" s="2" customFormat="1" x14ac:dyDescent="0.2">
      <c r="A56" s="5" t="s">
        <v>7391</v>
      </c>
      <c r="B56" s="5" t="s">
        <v>83</v>
      </c>
      <c r="C56" s="5"/>
      <c r="D56" s="5" t="s">
        <v>9142</v>
      </c>
      <c r="E56" s="5"/>
      <c r="F56" s="5" t="s">
        <v>9141</v>
      </c>
      <c r="G56" s="5" t="s">
        <v>105</v>
      </c>
      <c r="H56" s="5" t="s">
        <v>3</v>
      </c>
      <c r="I56" s="5"/>
      <c r="J56" s="5"/>
      <c r="M56" s="1"/>
      <c r="N56"/>
      <c r="O56"/>
      <c r="P56"/>
      <c r="Q56"/>
      <c r="R56"/>
      <c r="S56"/>
      <c r="T56"/>
      <c r="U56"/>
      <c r="V56"/>
      <c r="W56"/>
      <c r="X56"/>
      <c r="Y56"/>
    </row>
    <row r="57" spans="1:25" s="2" customFormat="1" x14ac:dyDescent="0.2">
      <c r="A57" s="5" t="s">
        <v>9140</v>
      </c>
      <c r="B57" s="5" t="s">
        <v>83</v>
      </c>
      <c r="C57" s="5"/>
      <c r="D57" s="5" t="s">
        <v>9139</v>
      </c>
      <c r="E57" s="5"/>
      <c r="F57" s="5"/>
      <c r="G57" s="5" t="s">
        <v>328</v>
      </c>
      <c r="H57" s="5"/>
      <c r="I57" s="5"/>
      <c r="J57" s="5"/>
      <c r="M57" s="1"/>
      <c r="N57"/>
      <c r="O57"/>
      <c r="P57"/>
      <c r="Q57"/>
      <c r="R57"/>
      <c r="S57"/>
      <c r="T57"/>
      <c r="U57"/>
      <c r="V57"/>
      <c r="W57"/>
      <c r="X57"/>
      <c r="Y57"/>
    </row>
    <row r="58" spans="1:25" s="2" customFormat="1" ht="25.5" x14ac:dyDescent="0.2">
      <c r="A58" s="5" t="s">
        <v>7307</v>
      </c>
      <c r="B58" s="5" t="s">
        <v>83</v>
      </c>
      <c r="C58" s="5"/>
      <c r="D58" s="5" t="s">
        <v>7306</v>
      </c>
      <c r="E58" s="5"/>
      <c r="F58" s="5" t="s">
        <v>7305</v>
      </c>
      <c r="G58" s="5" t="s">
        <v>173</v>
      </c>
      <c r="H58" s="5" t="s">
        <v>3</v>
      </c>
      <c r="I58" s="5"/>
      <c r="J58" s="5" t="s">
        <v>7304</v>
      </c>
      <c r="M58" s="1"/>
      <c r="N58"/>
      <c r="O58"/>
      <c r="P58"/>
      <c r="Q58"/>
      <c r="R58"/>
      <c r="S58"/>
      <c r="T58"/>
      <c r="U58"/>
      <c r="V58"/>
      <c r="W58"/>
      <c r="X58"/>
      <c r="Y58"/>
    </row>
    <row r="59" spans="1:25" s="2" customFormat="1" ht="25.5" x14ac:dyDescent="0.2">
      <c r="A59" s="5" t="s">
        <v>9138</v>
      </c>
      <c r="B59" s="5" t="s">
        <v>83</v>
      </c>
      <c r="C59" s="5"/>
      <c r="D59" s="5" t="s">
        <v>9137</v>
      </c>
      <c r="E59" s="5"/>
      <c r="F59" s="5" t="s">
        <v>354</v>
      </c>
      <c r="G59" s="5" t="s">
        <v>173</v>
      </c>
      <c r="H59" s="5" t="s">
        <v>3</v>
      </c>
      <c r="I59" s="5"/>
      <c r="J59" s="5" t="s">
        <v>9136</v>
      </c>
      <c r="M59" s="1"/>
      <c r="N59"/>
      <c r="O59"/>
      <c r="P59"/>
      <c r="Q59"/>
      <c r="R59"/>
      <c r="S59"/>
      <c r="T59"/>
      <c r="U59"/>
      <c r="V59"/>
      <c r="W59"/>
      <c r="X59"/>
      <c r="Y59"/>
    </row>
    <row r="60" spans="1:25" s="2" customFormat="1" x14ac:dyDescent="0.2">
      <c r="A60" s="5" t="s">
        <v>9135</v>
      </c>
      <c r="B60" s="5" t="s">
        <v>83</v>
      </c>
      <c r="C60" s="5"/>
      <c r="D60" s="5" t="s">
        <v>9134</v>
      </c>
      <c r="E60" s="5"/>
      <c r="F60" s="5" t="s">
        <v>7305</v>
      </c>
      <c r="G60" s="5" t="s">
        <v>1527</v>
      </c>
      <c r="H60" s="5" t="s">
        <v>3</v>
      </c>
      <c r="I60" s="5"/>
      <c r="J60" s="5" t="s">
        <v>9133</v>
      </c>
      <c r="M60" s="1"/>
      <c r="N60"/>
      <c r="O60"/>
      <c r="P60"/>
      <c r="Q60"/>
      <c r="R60"/>
      <c r="S60"/>
      <c r="T60"/>
      <c r="U60"/>
      <c r="V60"/>
      <c r="W60"/>
      <c r="X60"/>
      <c r="Y60"/>
    </row>
    <row r="61" spans="1:25" s="2" customFormat="1" ht="25.5" x14ac:dyDescent="0.2">
      <c r="A61" s="5" t="s">
        <v>7299</v>
      </c>
      <c r="B61" s="5" t="s">
        <v>83</v>
      </c>
      <c r="C61" s="5"/>
      <c r="D61" s="5" t="s">
        <v>7298</v>
      </c>
      <c r="E61" s="5"/>
      <c r="F61" s="5" t="s">
        <v>7297</v>
      </c>
      <c r="G61" s="5" t="s">
        <v>7296</v>
      </c>
      <c r="H61" s="5" t="s">
        <v>3</v>
      </c>
      <c r="I61" s="5"/>
      <c r="J61" s="5" t="s">
        <v>7295</v>
      </c>
      <c r="M61" s="1"/>
      <c r="N61"/>
      <c r="O61"/>
      <c r="P61"/>
      <c r="Q61"/>
      <c r="R61"/>
      <c r="S61"/>
      <c r="T61"/>
      <c r="U61"/>
      <c r="V61"/>
      <c r="W61"/>
      <c r="X61"/>
      <c r="Y61"/>
    </row>
    <row r="62" spans="1:25" s="2" customFormat="1" ht="25.5" x14ac:dyDescent="0.2">
      <c r="A62" s="5" t="s">
        <v>9132</v>
      </c>
      <c r="B62" s="5" t="s">
        <v>83</v>
      </c>
      <c r="C62" s="5"/>
      <c r="D62" s="5" t="s">
        <v>9131</v>
      </c>
      <c r="E62" s="5"/>
      <c r="F62" s="5" t="s">
        <v>7297</v>
      </c>
      <c r="G62" s="5" t="s">
        <v>234</v>
      </c>
      <c r="H62" s="5" t="s">
        <v>3</v>
      </c>
      <c r="I62" s="5"/>
      <c r="J62" s="5" t="s">
        <v>7295</v>
      </c>
      <c r="M62" s="1"/>
      <c r="N62"/>
      <c r="O62"/>
      <c r="P62"/>
      <c r="Q62"/>
      <c r="R62"/>
      <c r="S62"/>
      <c r="T62"/>
      <c r="U62"/>
      <c r="V62"/>
      <c r="W62"/>
      <c r="X62"/>
      <c r="Y62"/>
    </row>
    <row r="63" spans="1:25" s="2" customFormat="1" ht="25.5" x14ac:dyDescent="0.2">
      <c r="A63" s="5" t="s">
        <v>7294</v>
      </c>
      <c r="B63" s="5" t="s">
        <v>83</v>
      </c>
      <c r="C63" s="5"/>
      <c r="D63" s="5" t="s">
        <v>8878</v>
      </c>
      <c r="E63" s="5"/>
      <c r="F63" s="5" t="s">
        <v>7294</v>
      </c>
      <c r="G63" s="5" t="s">
        <v>122</v>
      </c>
      <c r="H63" s="5" t="s">
        <v>3</v>
      </c>
      <c r="I63" s="5"/>
      <c r="J63" s="5" t="s">
        <v>9130</v>
      </c>
      <c r="M63" s="1"/>
      <c r="N63"/>
      <c r="O63"/>
      <c r="P63"/>
      <c r="Q63"/>
      <c r="R63"/>
      <c r="S63"/>
      <c r="T63"/>
      <c r="U63"/>
      <c r="V63"/>
      <c r="W63"/>
      <c r="X63"/>
      <c r="Y63"/>
    </row>
    <row r="64" spans="1:25" s="2" customFormat="1" x14ac:dyDescent="0.2">
      <c r="A64" s="5" t="s">
        <v>6532</v>
      </c>
      <c r="B64" s="5" t="s">
        <v>83</v>
      </c>
      <c r="C64" s="5"/>
      <c r="D64" s="5" t="s">
        <v>6531</v>
      </c>
      <c r="E64" s="5"/>
      <c r="F64" s="5" t="s">
        <v>6507</v>
      </c>
      <c r="G64" s="5" t="s">
        <v>6530</v>
      </c>
      <c r="H64" s="5" t="s">
        <v>3</v>
      </c>
      <c r="I64" s="5"/>
      <c r="J64" s="5"/>
      <c r="M64" s="1"/>
      <c r="N64"/>
      <c r="O64"/>
      <c r="P64"/>
      <c r="Q64"/>
      <c r="R64"/>
      <c r="S64"/>
      <c r="T64"/>
      <c r="U64"/>
      <c r="V64"/>
      <c r="W64"/>
      <c r="X64"/>
      <c r="Y64"/>
    </row>
    <row r="65" spans="1:25" s="2" customFormat="1" ht="25.5" x14ac:dyDescent="0.2">
      <c r="A65" s="5" t="s">
        <v>9129</v>
      </c>
      <c r="B65" s="5" t="s">
        <v>83</v>
      </c>
      <c r="C65" s="5"/>
      <c r="D65" s="5" t="s">
        <v>9128</v>
      </c>
      <c r="E65" s="5"/>
      <c r="F65" s="5" t="s">
        <v>9127</v>
      </c>
      <c r="G65" s="5" t="s">
        <v>173</v>
      </c>
      <c r="H65" s="5" t="s">
        <v>3</v>
      </c>
      <c r="I65" s="5"/>
      <c r="J65" s="5" t="s">
        <v>9126</v>
      </c>
      <c r="M65" s="1"/>
      <c r="N65"/>
      <c r="O65"/>
      <c r="P65"/>
      <c r="Q65"/>
      <c r="R65"/>
      <c r="S65"/>
      <c r="T65"/>
      <c r="U65"/>
      <c r="V65"/>
      <c r="W65"/>
      <c r="X65"/>
      <c r="Y65"/>
    </row>
    <row r="66" spans="1:25" s="2" customFormat="1" x14ac:dyDescent="0.2">
      <c r="A66" s="5" t="s">
        <v>9125</v>
      </c>
      <c r="B66" s="5" t="s">
        <v>83</v>
      </c>
      <c r="C66" s="5"/>
      <c r="D66" s="5" t="s">
        <v>9124</v>
      </c>
      <c r="E66" s="5" t="s">
        <v>299</v>
      </c>
      <c r="F66" s="5" t="s">
        <v>9123</v>
      </c>
      <c r="G66" s="5" t="s">
        <v>91</v>
      </c>
      <c r="H66" s="5" t="s">
        <v>3</v>
      </c>
      <c r="I66" s="5"/>
      <c r="J66" s="5" t="s">
        <v>9122</v>
      </c>
      <c r="M66" s="1"/>
      <c r="N66"/>
      <c r="O66"/>
      <c r="P66"/>
      <c r="Q66"/>
      <c r="R66"/>
      <c r="S66"/>
      <c r="T66"/>
      <c r="U66"/>
      <c r="V66"/>
      <c r="W66"/>
      <c r="X66"/>
      <c r="Y66"/>
    </row>
    <row r="67" spans="1:25" s="2" customFormat="1" x14ac:dyDescent="0.2">
      <c r="A67" s="5" t="s">
        <v>9121</v>
      </c>
      <c r="B67" s="5" t="s">
        <v>83</v>
      </c>
      <c r="C67" s="5"/>
      <c r="D67" s="5" t="s">
        <v>9120</v>
      </c>
      <c r="E67" s="5"/>
      <c r="F67" s="5" t="s">
        <v>6446</v>
      </c>
      <c r="G67" s="5" t="s">
        <v>105</v>
      </c>
      <c r="H67" s="5" t="s">
        <v>3</v>
      </c>
      <c r="I67" s="5"/>
      <c r="J67" s="5" t="s">
        <v>6445</v>
      </c>
      <c r="M67" s="1"/>
      <c r="N67"/>
      <c r="O67"/>
      <c r="P67"/>
      <c r="Q67"/>
      <c r="R67"/>
      <c r="S67"/>
      <c r="T67"/>
      <c r="U67"/>
      <c r="V67"/>
      <c r="W67"/>
      <c r="X67"/>
      <c r="Y67"/>
    </row>
    <row r="68" spans="1:25" s="2" customFormat="1" ht="25.5" x14ac:dyDescent="0.2">
      <c r="A68" s="5" t="s">
        <v>6444</v>
      </c>
      <c r="B68" s="5" t="s">
        <v>83</v>
      </c>
      <c r="C68" s="5"/>
      <c r="D68" s="5" t="s">
        <v>9119</v>
      </c>
      <c r="E68" s="5"/>
      <c r="F68" s="5" t="s">
        <v>6442</v>
      </c>
      <c r="G68" s="5" t="s">
        <v>224</v>
      </c>
      <c r="H68" s="5" t="s">
        <v>3</v>
      </c>
      <c r="I68" s="5"/>
      <c r="J68" s="5" t="s">
        <v>6441</v>
      </c>
      <c r="M68" s="1"/>
      <c r="N68"/>
      <c r="O68"/>
      <c r="P68"/>
      <c r="Q68"/>
      <c r="R68"/>
      <c r="S68"/>
      <c r="T68"/>
      <c r="U68"/>
      <c r="V68"/>
      <c r="W68"/>
      <c r="X68"/>
      <c r="Y68"/>
    </row>
    <row r="69" spans="1:25" s="2" customFormat="1" ht="25.5" x14ac:dyDescent="0.2">
      <c r="A69" s="5" t="s">
        <v>9118</v>
      </c>
      <c r="B69" s="5" t="s">
        <v>83</v>
      </c>
      <c r="C69" s="5"/>
      <c r="D69" s="5" t="s">
        <v>9117</v>
      </c>
      <c r="E69" s="5"/>
      <c r="F69" s="5" t="s">
        <v>9116</v>
      </c>
      <c r="G69" s="5" t="s">
        <v>896</v>
      </c>
      <c r="H69" s="5" t="s">
        <v>137</v>
      </c>
      <c r="I69" s="5" t="s">
        <v>9112</v>
      </c>
      <c r="J69" s="5" t="s">
        <v>9115</v>
      </c>
      <c r="M69" s="1"/>
      <c r="N69"/>
      <c r="O69"/>
      <c r="P69"/>
      <c r="Q69"/>
      <c r="R69"/>
      <c r="S69"/>
      <c r="T69"/>
      <c r="U69"/>
      <c r="V69"/>
      <c r="W69"/>
      <c r="X69"/>
      <c r="Y69"/>
    </row>
    <row r="70" spans="1:25" s="2" customFormat="1" ht="25.5" x14ac:dyDescent="0.2">
      <c r="A70" s="5" t="s">
        <v>9114</v>
      </c>
      <c r="B70" s="5" t="s">
        <v>83</v>
      </c>
      <c r="C70" s="5"/>
      <c r="D70" s="5" t="s">
        <v>9113</v>
      </c>
      <c r="E70" s="5"/>
      <c r="F70" s="5" t="s">
        <v>9111</v>
      </c>
      <c r="G70" s="5" t="s">
        <v>4028</v>
      </c>
      <c r="H70" s="5" t="s">
        <v>137</v>
      </c>
      <c r="I70" s="5" t="s">
        <v>9112</v>
      </c>
      <c r="J70" s="5" t="s">
        <v>9111</v>
      </c>
      <c r="M70" s="1"/>
      <c r="N70"/>
      <c r="O70"/>
      <c r="P70"/>
      <c r="Q70"/>
      <c r="R70"/>
      <c r="S70"/>
      <c r="T70"/>
      <c r="U70"/>
      <c r="V70"/>
      <c r="W70"/>
      <c r="X70"/>
      <c r="Y70"/>
    </row>
    <row r="71" spans="1:25" s="2" customFormat="1" ht="25.5" x14ac:dyDescent="0.2">
      <c r="A71" s="5" t="s">
        <v>9109</v>
      </c>
      <c r="B71" s="5" t="s">
        <v>83</v>
      </c>
      <c r="C71" s="5"/>
      <c r="D71" s="5" t="s">
        <v>9110</v>
      </c>
      <c r="E71" s="5"/>
      <c r="F71" s="5" t="s">
        <v>4053</v>
      </c>
      <c r="G71" s="5" t="s">
        <v>6530</v>
      </c>
      <c r="H71" s="5" t="s">
        <v>137</v>
      </c>
      <c r="I71" s="5" t="s">
        <v>9109</v>
      </c>
      <c r="J71" s="5" t="s">
        <v>9108</v>
      </c>
      <c r="M71" s="1"/>
      <c r="N71"/>
      <c r="O71"/>
      <c r="P71"/>
      <c r="Q71"/>
      <c r="R71"/>
      <c r="S71"/>
      <c r="T71"/>
      <c r="U71"/>
      <c r="V71"/>
      <c r="W71"/>
      <c r="X71"/>
      <c r="Y71"/>
    </row>
    <row r="72" spans="1:25" s="2" customFormat="1" ht="25.5" x14ac:dyDescent="0.2">
      <c r="A72" s="5" t="s">
        <v>474</v>
      </c>
      <c r="B72" s="5" t="s">
        <v>83</v>
      </c>
      <c r="C72" s="5"/>
      <c r="D72" s="5" t="s">
        <v>473</v>
      </c>
      <c r="E72" s="5"/>
      <c r="F72" s="5" t="s">
        <v>472</v>
      </c>
      <c r="G72" s="5" t="s">
        <v>173</v>
      </c>
      <c r="H72" s="5" t="s">
        <v>3</v>
      </c>
      <c r="I72" s="5"/>
      <c r="J72" s="5" t="s">
        <v>471</v>
      </c>
      <c r="M72" s="1"/>
      <c r="N72"/>
      <c r="O72"/>
      <c r="P72"/>
      <c r="Q72"/>
      <c r="R72"/>
      <c r="S72"/>
      <c r="T72"/>
      <c r="U72"/>
      <c r="V72"/>
      <c r="W72"/>
      <c r="X72"/>
      <c r="Y72"/>
    </row>
    <row r="73" spans="1:25" s="2" customFormat="1" x14ac:dyDescent="0.2">
      <c r="A73" s="5" t="s">
        <v>9107</v>
      </c>
      <c r="B73" s="5" t="s">
        <v>83</v>
      </c>
      <c r="C73" s="5"/>
      <c r="D73" s="5" t="s">
        <v>9106</v>
      </c>
      <c r="E73" s="5"/>
      <c r="F73" s="5" t="s">
        <v>8844</v>
      </c>
      <c r="G73" s="5" t="s">
        <v>224</v>
      </c>
      <c r="H73" s="5" t="s">
        <v>3</v>
      </c>
      <c r="I73" s="5"/>
      <c r="J73" s="5"/>
      <c r="M73" s="1"/>
      <c r="N73"/>
      <c r="O73"/>
      <c r="P73"/>
      <c r="Q73"/>
      <c r="R73"/>
      <c r="S73"/>
      <c r="T73"/>
      <c r="U73"/>
      <c r="V73"/>
      <c r="W73"/>
      <c r="X73"/>
      <c r="Y73"/>
    </row>
    <row r="74" spans="1:25" s="2" customFormat="1" ht="25.5" x14ac:dyDescent="0.2">
      <c r="A74" s="5" t="s">
        <v>9105</v>
      </c>
      <c r="B74" s="5" t="s">
        <v>83</v>
      </c>
      <c r="C74" s="5"/>
      <c r="D74" s="5" t="s">
        <v>9104</v>
      </c>
      <c r="E74" s="5" t="s">
        <v>0</v>
      </c>
      <c r="F74" s="5" t="s">
        <v>354</v>
      </c>
      <c r="G74" s="5" t="s">
        <v>229</v>
      </c>
      <c r="H74" s="5" t="s">
        <v>3</v>
      </c>
      <c r="I74" s="5"/>
      <c r="J74" s="5"/>
      <c r="M74" s="1"/>
      <c r="N74"/>
      <c r="O74"/>
      <c r="P74"/>
      <c r="Q74"/>
      <c r="R74"/>
      <c r="S74"/>
      <c r="T74"/>
      <c r="U74"/>
      <c r="V74"/>
      <c r="W74"/>
      <c r="X74"/>
      <c r="Y74"/>
    </row>
    <row r="75" spans="1:25" s="2" customFormat="1" x14ac:dyDescent="0.2">
      <c r="A75" s="5" t="s">
        <v>9103</v>
      </c>
      <c r="B75" s="5" t="s">
        <v>83</v>
      </c>
      <c r="C75" s="5"/>
      <c r="D75" s="5" t="s">
        <v>9102</v>
      </c>
      <c r="E75" s="5"/>
      <c r="F75" s="5" t="s">
        <v>9101</v>
      </c>
      <c r="G75" s="5" t="s">
        <v>1527</v>
      </c>
      <c r="H75" s="5" t="s">
        <v>3</v>
      </c>
      <c r="I75" s="5"/>
      <c r="J75" s="5" t="s">
        <v>9100</v>
      </c>
      <c r="M75" s="1"/>
      <c r="N75"/>
      <c r="O75"/>
      <c r="P75"/>
      <c r="Q75"/>
      <c r="R75"/>
      <c r="S75"/>
      <c r="T75"/>
      <c r="U75"/>
      <c r="V75"/>
      <c r="W75"/>
      <c r="X75"/>
      <c r="Y75"/>
    </row>
    <row r="76" spans="1:25" s="2" customFormat="1" ht="25.5" x14ac:dyDescent="0.2">
      <c r="A76" s="5" t="s">
        <v>9099</v>
      </c>
      <c r="B76" s="5" t="s">
        <v>83</v>
      </c>
      <c r="C76" s="5"/>
      <c r="D76" s="5" t="s">
        <v>9098</v>
      </c>
      <c r="E76" s="5"/>
      <c r="F76" s="5" t="s">
        <v>9097</v>
      </c>
      <c r="G76" s="5" t="s">
        <v>7296</v>
      </c>
      <c r="H76" s="5" t="s">
        <v>3</v>
      </c>
      <c r="I76" s="5"/>
      <c r="J76" s="5" t="s">
        <v>9096</v>
      </c>
      <c r="M76" s="1"/>
      <c r="N76"/>
      <c r="O76"/>
      <c r="P76"/>
      <c r="Q76"/>
      <c r="R76"/>
      <c r="S76"/>
      <c r="T76"/>
      <c r="U76"/>
      <c r="V76"/>
      <c r="W76"/>
      <c r="X76"/>
      <c r="Y76"/>
    </row>
    <row r="77" spans="1:25" s="2" customFormat="1" ht="25.5" x14ac:dyDescent="0.2">
      <c r="A77" s="5" t="s">
        <v>257</v>
      </c>
      <c r="B77" s="5" t="s">
        <v>83</v>
      </c>
      <c r="C77" s="5"/>
      <c r="D77" s="5" t="s">
        <v>9095</v>
      </c>
      <c r="E77" s="5"/>
      <c r="F77" s="5" t="s">
        <v>244</v>
      </c>
      <c r="G77" s="5" t="s">
        <v>283</v>
      </c>
      <c r="H77" s="5" t="s">
        <v>137</v>
      </c>
      <c r="I77" s="5" t="s">
        <v>9</v>
      </c>
      <c r="J77" s="5" t="s">
        <v>9094</v>
      </c>
      <c r="M77" s="1"/>
      <c r="N77"/>
      <c r="O77"/>
      <c r="P77"/>
      <c r="Q77"/>
      <c r="R77"/>
      <c r="S77"/>
      <c r="T77"/>
      <c r="U77"/>
      <c r="V77"/>
      <c r="W77"/>
      <c r="X77"/>
      <c r="Y77"/>
    </row>
    <row r="78" spans="1:25" s="2" customFormat="1" ht="25.5" x14ac:dyDescent="0.2">
      <c r="A78" s="5" t="s">
        <v>253</v>
      </c>
      <c r="B78" s="5" t="s">
        <v>83</v>
      </c>
      <c r="C78" s="5"/>
      <c r="D78" s="5" t="s">
        <v>252</v>
      </c>
      <c r="E78" s="5"/>
      <c r="F78" s="5" t="s">
        <v>251</v>
      </c>
      <c r="G78" s="5" t="s">
        <v>224</v>
      </c>
      <c r="H78" s="5" t="s">
        <v>137</v>
      </c>
      <c r="I78" s="5" t="s">
        <v>9</v>
      </c>
      <c r="J78" s="5" t="s">
        <v>250</v>
      </c>
      <c r="M78" s="1"/>
      <c r="N78"/>
      <c r="O78"/>
      <c r="P78"/>
      <c r="Q78"/>
      <c r="R78"/>
      <c r="S78"/>
      <c r="T78"/>
      <c r="U78"/>
      <c r="V78"/>
      <c r="W78"/>
      <c r="X78"/>
      <c r="Y78"/>
    </row>
    <row r="79" spans="1:25" s="2" customFormat="1" ht="25.5" x14ac:dyDescent="0.2">
      <c r="A79" s="5" t="s">
        <v>249</v>
      </c>
      <c r="B79" s="5" t="s">
        <v>83</v>
      </c>
      <c r="C79" s="5"/>
      <c r="D79" s="5" t="s">
        <v>9093</v>
      </c>
      <c r="E79" s="5" t="s">
        <v>247</v>
      </c>
      <c r="F79" s="5" t="s">
        <v>9092</v>
      </c>
      <c r="G79" s="5" t="s">
        <v>6584</v>
      </c>
      <c r="H79" s="5" t="s">
        <v>137</v>
      </c>
      <c r="I79" s="5" t="s">
        <v>9</v>
      </c>
      <c r="J79" s="5" t="s">
        <v>9091</v>
      </c>
      <c r="M79" s="1"/>
      <c r="N79"/>
      <c r="O79"/>
      <c r="P79"/>
      <c r="Q79"/>
      <c r="R79"/>
      <c r="S79"/>
      <c r="T79"/>
      <c r="U79"/>
      <c r="V79"/>
      <c r="W79"/>
      <c r="X79"/>
      <c r="Y79"/>
    </row>
    <row r="80" spans="1:25" s="2" customFormat="1" ht="38.25" x14ac:dyDescent="0.2">
      <c r="A80" s="5" t="s">
        <v>9090</v>
      </c>
      <c r="B80" s="5" t="s">
        <v>83</v>
      </c>
      <c r="C80" s="5"/>
      <c r="D80" s="5" t="s">
        <v>9089</v>
      </c>
      <c r="E80" s="5"/>
      <c r="F80" s="5" t="s">
        <v>9088</v>
      </c>
      <c r="G80" s="5" t="s">
        <v>199</v>
      </c>
      <c r="H80" s="5" t="s">
        <v>3</v>
      </c>
      <c r="I80" s="5"/>
      <c r="J80" s="5" t="s">
        <v>9087</v>
      </c>
      <c r="M80" s="1"/>
      <c r="N80"/>
      <c r="O80"/>
      <c r="P80"/>
      <c r="Q80"/>
      <c r="R80"/>
      <c r="S80"/>
      <c r="T80"/>
      <c r="U80"/>
      <c r="V80"/>
      <c r="W80"/>
      <c r="X80"/>
      <c r="Y80"/>
    </row>
    <row r="81" spans="1:25" s="2" customFormat="1" ht="25.5" x14ac:dyDescent="0.2">
      <c r="A81" s="5" t="s">
        <v>8907</v>
      </c>
      <c r="B81" s="5" t="s">
        <v>8</v>
      </c>
      <c r="C81" s="5"/>
      <c r="D81" s="5" t="s">
        <v>9086</v>
      </c>
      <c r="E81" s="5"/>
      <c r="F81" s="5"/>
      <c r="G81" s="5"/>
      <c r="H81" s="5"/>
      <c r="I81" s="5"/>
      <c r="J81" s="5" t="s">
        <v>9085</v>
      </c>
      <c r="M81" s="1"/>
      <c r="N81"/>
      <c r="O81"/>
      <c r="P81"/>
      <c r="Q81"/>
      <c r="R81"/>
      <c r="S81"/>
      <c r="T81"/>
      <c r="U81"/>
      <c r="V81"/>
      <c r="W81"/>
      <c r="X81"/>
      <c r="Y81"/>
    </row>
    <row r="82" spans="1:25" s="2" customFormat="1" ht="25.5" x14ac:dyDescent="0.2">
      <c r="A82" s="5" t="s">
        <v>78</v>
      </c>
      <c r="B82" s="5" t="s">
        <v>8</v>
      </c>
      <c r="C82" s="5"/>
      <c r="D82" s="5" t="s">
        <v>9084</v>
      </c>
      <c r="E82" s="5"/>
      <c r="F82" s="5"/>
      <c r="G82" s="5"/>
      <c r="H82" s="5"/>
      <c r="I82" s="5"/>
      <c r="J82" s="5" t="s">
        <v>9083</v>
      </c>
      <c r="M82" s="1"/>
      <c r="N82"/>
      <c r="O82"/>
      <c r="P82"/>
      <c r="Q82"/>
      <c r="R82"/>
      <c r="S82"/>
      <c r="T82"/>
      <c r="U82"/>
      <c r="V82"/>
      <c r="W82"/>
      <c r="X82"/>
      <c r="Y82"/>
    </row>
    <row r="83" spans="1:25" s="2" customFormat="1" ht="38.25" x14ac:dyDescent="0.2">
      <c r="A83" s="5" t="s">
        <v>60</v>
      </c>
      <c r="B83" s="5" t="s">
        <v>8</v>
      </c>
      <c r="C83" s="5"/>
      <c r="D83" s="5" t="s">
        <v>9082</v>
      </c>
      <c r="E83" s="5"/>
      <c r="F83" s="5"/>
      <c r="G83" s="5"/>
      <c r="H83" s="5"/>
      <c r="I83" s="5"/>
      <c r="J83" s="5" t="s">
        <v>9081</v>
      </c>
      <c r="M83" s="1"/>
      <c r="N83"/>
      <c r="O83"/>
      <c r="P83"/>
      <c r="Q83"/>
      <c r="R83"/>
      <c r="S83"/>
      <c r="T83"/>
      <c r="U83"/>
      <c r="V83"/>
      <c r="W83"/>
      <c r="X83"/>
      <c r="Y83"/>
    </row>
    <row r="84" spans="1:25" s="2" customFormat="1" x14ac:dyDescent="0.2">
      <c r="A84" s="5" t="s">
        <v>57</v>
      </c>
      <c r="B84" s="5" t="s">
        <v>8</v>
      </c>
      <c r="C84" s="5"/>
      <c r="D84" s="5" t="s">
        <v>9080</v>
      </c>
      <c r="E84" s="5"/>
      <c r="F84" s="5"/>
      <c r="G84" s="5"/>
      <c r="H84" s="5"/>
      <c r="I84" s="5"/>
      <c r="J84" s="5"/>
      <c r="M84" s="1"/>
      <c r="N84"/>
      <c r="O84"/>
      <c r="P84"/>
      <c r="Q84"/>
      <c r="R84"/>
      <c r="S84"/>
      <c r="T84"/>
      <c r="U84"/>
      <c r="V84"/>
      <c r="W84"/>
      <c r="X84"/>
      <c r="Y84"/>
    </row>
    <row r="85" spans="1:25" s="2" customFormat="1" x14ac:dyDescent="0.2">
      <c r="A85" s="5" t="s">
        <v>9079</v>
      </c>
      <c r="B85" s="5" t="s">
        <v>0</v>
      </c>
      <c r="C85" s="5"/>
      <c r="D85" s="5"/>
      <c r="E85" s="5"/>
      <c r="F85" s="5"/>
      <c r="G85" s="5"/>
      <c r="H85" s="5"/>
      <c r="I85" s="5"/>
      <c r="J85" s="5"/>
      <c r="M85" s="1"/>
      <c r="N85"/>
      <c r="O85"/>
      <c r="P85"/>
      <c r="Q85"/>
      <c r="R85"/>
      <c r="S85"/>
      <c r="T85"/>
      <c r="U85"/>
      <c r="V85"/>
      <c r="W85"/>
      <c r="X85"/>
      <c r="Y85"/>
    </row>
    <row r="86" spans="1:25" s="2" customFormat="1" x14ac:dyDescent="0.2">
      <c r="A86" s="5" t="s">
        <v>1</v>
      </c>
      <c r="B86" s="5" t="s">
        <v>0</v>
      </c>
      <c r="C86" s="5"/>
      <c r="D86" s="5">
        <v>17</v>
      </c>
      <c r="E86" s="5"/>
      <c r="F86" s="5"/>
      <c r="G86" s="5"/>
      <c r="H86" s="5"/>
      <c r="I86" s="5"/>
      <c r="J86" s="5"/>
      <c r="M86" s="1"/>
      <c r="N86"/>
      <c r="O86"/>
      <c r="P86"/>
      <c r="Q86"/>
      <c r="R86"/>
      <c r="S86"/>
      <c r="T86"/>
      <c r="U86"/>
      <c r="V86"/>
      <c r="W86"/>
      <c r="X86"/>
      <c r="Y86"/>
    </row>
  </sheetData>
  <autoFilter ref="A3:M3" xr:uid="{B2F118FD-E5B2-4E44-9BD3-D0682A1C8D44}"/>
  <mergeCells count="1">
    <mergeCell ref="G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2E1E-D2FD-4037-A57C-8468B7106ECD}">
  <sheetPr codeName="Sheet19"/>
  <dimension ref="A1:Y31"/>
  <sheetViews>
    <sheetView workbookViewId="0">
      <pane ySplit="6435" topLeftCell="A26"/>
      <selection activeCell="J1" sqref="J1"/>
      <selection pane="bottomLeft" activeCell="M9" sqref="M9"/>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9305</v>
      </c>
      <c r="C1" s="14"/>
      <c r="D1" s="14"/>
      <c r="E1" s="14"/>
      <c r="F1" s="13" t="s">
        <v>8892</v>
      </c>
      <c r="G1" s="16">
        <v>45538</v>
      </c>
      <c r="H1" s="16"/>
      <c r="I1" s="16"/>
      <c r="J1" s="11"/>
    </row>
    <row r="2" spans="1:25" ht="18" x14ac:dyDescent="0.2">
      <c r="A2" s="14">
        <f ca="1">COUNTA(OFFSET(A3,1,0,2222,1))</f>
        <v>28</v>
      </c>
      <c r="B2" s="15"/>
      <c r="C2" s="14">
        <f ca="1">MAX(OFFSET(C3,1,0,2222,1))</f>
        <v>9</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9305</v>
      </c>
      <c r="G4" s="5" t="s">
        <v>229</v>
      </c>
      <c r="H4" s="5" t="s">
        <v>3</v>
      </c>
      <c r="I4" s="5"/>
      <c r="J4" s="5" t="s">
        <v>8874</v>
      </c>
    </row>
    <row r="5" spans="1:25" x14ac:dyDescent="0.2">
      <c r="A5" s="5" t="s">
        <v>8832</v>
      </c>
      <c r="B5" s="5" t="s">
        <v>8584</v>
      </c>
      <c r="C5" s="5">
        <v>0</v>
      </c>
      <c r="D5" s="5"/>
      <c r="E5" s="5"/>
      <c r="F5" s="5" t="s">
        <v>8831</v>
      </c>
      <c r="G5" s="5" t="s">
        <v>896</v>
      </c>
      <c r="H5" s="5" t="s">
        <v>3</v>
      </c>
      <c r="I5" s="5"/>
      <c r="J5" s="5"/>
    </row>
    <row r="6" spans="1:25" ht="25.5" x14ac:dyDescent="0.2">
      <c r="A6" s="5" t="s">
        <v>8354</v>
      </c>
      <c r="B6" s="5" t="s">
        <v>8584</v>
      </c>
      <c r="C6" s="5">
        <v>1</v>
      </c>
      <c r="D6" s="5"/>
      <c r="E6" s="5"/>
      <c r="F6" s="5" t="s">
        <v>5235</v>
      </c>
      <c r="G6" s="5" t="s">
        <v>224</v>
      </c>
      <c r="H6" s="5" t="s">
        <v>3</v>
      </c>
      <c r="I6" s="5"/>
      <c r="J6" s="5" t="s">
        <v>5235</v>
      </c>
    </row>
    <row r="7" spans="1:25" x14ac:dyDescent="0.2">
      <c r="A7" s="5" t="s">
        <v>9304</v>
      </c>
      <c r="B7" s="5" t="s">
        <v>8584</v>
      </c>
      <c r="C7" s="5">
        <v>2</v>
      </c>
      <c r="D7" s="5"/>
      <c r="E7" s="5" t="s">
        <v>150</v>
      </c>
      <c r="F7" s="5" t="s">
        <v>9283</v>
      </c>
      <c r="G7" s="5" t="s">
        <v>148</v>
      </c>
      <c r="H7" s="5" t="s">
        <v>3</v>
      </c>
      <c r="I7" s="5"/>
      <c r="J7" s="5" t="s">
        <v>9303</v>
      </c>
    </row>
    <row r="8" spans="1:25" ht="25.5" x14ac:dyDescent="0.2">
      <c r="A8" s="5" t="s">
        <v>8346</v>
      </c>
      <c r="B8" s="5" t="s">
        <v>8584</v>
      </c>
      <c r="C8" s="5">
        <v>3</v>
      </c>
      <c r="D8" s="5"/>
      <c r="E8" s="5"/>
      <c r="F8" s="5" t="s">
        <v>8348</v>
      </c>
      <c r="G8" s="5" t="s">
        <v>8347</v>
      </c>
      <c r="H8" s="5" t="s">
        <v>137</v>
      </c>
      <c r="I8" s="5" t="s">
        <v>8346</v>
      </c>
      <c r="J8" s="5" t="s">
        <v>8345</v>
      </c>
    </row>
    <row r="9" spans="1:25" x14ac:dyDescent="0.2">
      <c r="A9" s="5" t="s">
        <v>372</v>
      </c>
      <c r="B9" s="5" t="s">
        <v>8584</v>
      </c>
      <c r="C9" s="5">
        <v>4</v>
      </c>
      <c r="D9" s="5"/>
      <c r="E9" s="5"/>
      <c r="F9" s="5" t="s">
        <v>372</v>
      </c>
      <c r="G9" s="5" t="s">
        <v>173</v>
      </c>
      <c r="H9" s="5" t="s">
        <v>3</v>
      </c>
      <c r="I9" s="5"/>
      <c r="J9" s="5" t="s">
        <v>9302</v>
      </c>
    </row>
    <row r="10" spans="1:25" x14ac:dyDescent="0.2">
      <c r="A10" s="5" t="s">
        <v>9227</v>
      </c>
      <c r="B10" s="5" t="s">
        <v>8584</v>
      </c>
      <c r="C10" s="5">
        <v>5</v>
      </c>
      <c r="D10" s="5"/>
      <c r="E10" s="5"/>
      <c r="F10" s="5" t="s">
        <v>9227</v>
      </c>
      <c r="G10" s="5" t="s">
        <v>283</v>
      </c>
      <c r="H10" s="5" t="s">
        <v>3</v>
      </c>
      <c r="I10" s="5"/>
      <c r="J10" s="5" t="s">
        <v>9301</v>
      </c>
    </row>
    <row r="11" spans="1:25" x14ac:dyDescent="0.2">
      <c r="A11" s="5" t="s">
        <v>9300</v>
      </c>
      <c r="B11" s="5" t="s">
        <v>8584</v>
      </c>
      <c r="C11" s="5">
        <v>6</v>
      </c>
      <c r="D11" s="5"/>
      <c r="E11" s="5"/>
      <c r="F11" s="5" t="s">
        <v>9300</v>
      </c>
      <c r="G11" s="5" t="s">
        <v>229</v>
      </c>
      <c r="H11" s="5" t="s">
        <v>137</v>
      </c>
      <c r="I11" s="5" t="s">
        <v>7807</v>
      </c>
      <c r="J11" s="5" t="s">
        <v>9299</v>
      </c>
    </row>
    <row r="12" spans="1:25" s="2" customFormat="1" x14ac:dyDescent="0.2">
      <c r="A12" s="5" t="s">
        <v>9298</v>
      </c>
      <c r="B12" s="5" t="s">
        <v>8584</v>
      </c>
      <c r="C12" s="5">
        <v>8</v>
      </c>
      <c r="D12" s="5"/>
      <c r="E12" s="5"/>
      <c r="F12" s="5" t="s">
        <v>9297</v>
      </c>
      <c r="G12" s="5" t="s">
        <v>283</v>
      </c>
      <c r="H12" s="5" t="s">
        <v>137</v>
      </c>
      <c r="I12" s="5" t="s">
        <v>7807</v>
      </c>
      <c r="J12" s="5" t="s">
        <v>9296</v>
      </c>
      <c r="M12" s="1"/>
      <c r="N12"/>
      <c r="O12"/>
      <c r="P12"/>
      <c r="Q12"/>
      <c r="R12"/>
      <c r="S12"/>
      <c r="T12"/>
      <c r="U12"/>
      <c r="V12"/>
      <c r="W12"/>
      <c r="X12"/>
      <c r="Y12"/>
    </row>
    <row r="13" spans="1:25" s="2" customFormat="1" x14ac:dyDescent="0.2">
      <c r="A13" s="5" t="s">
        <v>9127</v>
      </c>
      <c r="B13" s="5" t="s">
        <v>8584</v>
      </c>
      <c r="C13" s="5">
        <v>9</v>
      </c>
      <c r="D13" s="5"/>
      <c r="E13" s="5"/>
      <c r="F13" s="5" t="s">
        <v>1533</v>
      </c>
      <c r="G13" s="5" t="s">
        <v>118</v>
      </c>
      <c r="H13" s="5" t="s">
        <v>137</v>
      </c>
      <c r="I13" s="5" t="s">
        <v>7807</v>
      </c>
      <c r="J13" s="5" t="s">
        <v>9295</v>
      </c>
      <c r="M13" s="1"/>
      <c r="N13"/>
      <c r="O13"/>
      <c r="P13"/>
      <c r="Q13"/>
      <c r="R13"/>
      <c r="S13"/>
      <c r="T13"/>
      <c r="U13"/>
      <c r="V13"/>
      <c r="W13"/>
      <c r="X13"/>
      <c r="Y13"/>
    </row>
    <row r="14" spans="1:25" s="2" customFormat="1" ht="25.5" x14ac:dyDescent="0.2">
      <c r="A14" s="5" t="s">
        <v>9294</v>
      </c>
      <c r="B14" s="5" t="s">
        <v>83</v>
      </c>
      <c r="C14" s="5"/>
      <c r="D14" s="5" t="s">
        <v>9293</v>
      </c>
      <c r="E14" s="5"/>
      <c r="F14" s="5" t="s">
        <v>5235</v>
      </c>
      <c r="G14" s="5" t="s">
        <v>224</v>
      </c>
      <c r="H14" s="5" t="s">
        <v>3</v>
      </c>
      <c r="I14" s="5"/>
      <c r="J14" s="5" t="s">
        <v>9292</v>
      </c>
      <c r="M14" s="1"/>
      <c r="N14"/>
      <c r="O14"/>
      <c r="P14"/>
      <c r="Q14"/>
      <c r="R14"/>
      <c r="S14"/>
      <c r="T14"/>
      <c r="U14"/>
      <c r="V14"/>
      <c r="W14"/>
      <c r="X14"/>
      <c r="Y14"/>
    </row>
    <row r="15" spans="1:25" s="2" customFormat="1" ht="25.5" x14ac:dyDescent="0.2">
      <c r="A15" s="5" t="s">
        <v>9291</v>
      </c>
      <c r="B15" s="5" t="s">
        <v>83</v>
      </c>
      <c r="C15" s="5"/>
      <c r="D15" s="5" t="s">
        <v>9290</v>
      </c>
      <c r="E15" s="5"/>
      <c r="F15" s="5" t="s">
        <v>9289</v>
      </c>
      <c r="G15" s="5" t="s">
        <v>224</v>
      </c>
      <c r="H15" s="5" t="s">
        <v>3</v>
      </c>
      <c r="I15" s="5"/>
      <c r="J15" s="5" t="s">
        <v>9288</v>
      </c>
      <c r="M15" s="1"/>
      <c r="N15"/>
      <c r="O15"/>
      <c r="P15"/>
      <c r="Q15"/>
      <c r="R15"/>
      <c r="S15"/>
      <c r="T15"/>
      <c r="U15"/>
      <c r="V15"/>
      <c r="W15"/>
      <c r="X15"/>
      <c r="Y15"/>
    </row>
    <row r="16" spans="1:25" s="2" customFormat="1" x14ac:dyDescent="0.2">
      <c r="A16" s="5" t="s">
        <v>8231</v>
      </c>
      <c r="B16" s="5" t="s">
        <v>83</v>
      </c>
      <c r="C16" s="5"/>
      <c r="D16" s="5" t="s">
        <v>7387</v>
      </c>
      <c r="E16" s="5"/>
      <c r="F16" s="5" t="s">
        <v>9287</v>
      </c>
      <c r="G16" s="5" t="s">
        <v>105</v>
      </c>
      <c r="H16" s="5" t="s">
        <v>3</v>
      </c>
      <c r="I16" s="5"/>
      <c r="J16" s="5"/>
      <c r="M16" s="1"/>
      <c r="N16"/>
      <c r="O16"/>
      <c r="P16"/>
      <c r="Q16"/>
      <c r="R16"/>
      <c r="S16"/>
      <c r="T16"/>
      <c r="U16"/>
      <c r="V16"/>
      <c r="W16"/>
      <c r="X16"/>
      <c r="Y16"/>
    </row>
    <row r="17" spans="1:25" s="2" customFormat="1" x14ac:dyDescent="0.2">
      <c r="A17" s="5" t="s">
        <v>8168</v>
      </c>
      <c r="B17" s="5" t="s">
        <v>83</v>
      </c>
      <c r="C17" s="5"/>
      <c r="D17" s="5" t="s">
        <v>9286</v>
      </c>
      <c r="E17" s="5"/>
      <c r="F17" s="5" t="s">
        <v>8166</v>
      </c>
      <c r="G17" s="5" t="s">
        <v>173</v>
      </c>
      <c r="H17" s="5" t="s">
        <v>3</v>
      </c>
      <c r="I17" s="5"/>
      <c r="J17" s="5"/>
      <c r="M17" s="1"/>
      <c r="N17"/>
      <c r="O17"/>
      <c r="P17"/>
      <c r="Q17"/>
      <c r="R17"/>
      <c r="S17"/>
      <c r="T17"/>
      <c r="U17"/>
      <c r="V17"/>
      <c r="W17"/>
      <c r="X17"/>
      <c r="Y17"/>
    </row>
    <row r="18" spans="1:25" s="2" customFormat="1" x14ac:dyDescent="0.2">
      <c r="A18" s="5" t="s">
        <v>9285</v>
      </c>
      <c r="B18" s="5" t="s">
        <v>83</v>
      </c>
      <c r="C18" s="5"/>
      <c r="D18" s="5" t="s">
        <v>9284</v>
      </c>
      <c r="E18" s="5"/>
      <c r="F18" s="5" t="s">
        <v>9283</v>
      </c>
      <c r="G18" s="5" t="s">
        <v>173</v>
      </c>
      <c r="H18" s="5" t="s">
        <v>3</v>
      </c>
      <c r="I18" s="5"/>
      <c r="J18" s="5" t="s">
        <v>9282</v>
      </c>
      <c r="M18" s="1"/>
      <c r="N18"/>
      <c r="O18"/>
      <c r="P18"/>
      <c r="Q18"/>
      <c r="R18"/>
      <c r="S18"/>
      <c r="T18"/>
      <c r="U18"/>
      <c r="V18"/>
      <c r="W18"/>
      <c r="X18"/>
      <c r="Y18"/>
    </row>
    <row r="19" spans="1:25" s="2" customFormat="1" x14ac:dyDescent="0.2">
      <c r="A19" s="5" t="s">
        <v>9281</v>
      </c>
      <c r="B19" s="5" t="s">
        <v>83</v>
      </c>
      <c r="C19" s="5"/>
      <c r="D19" s="5" t="s">
        <v>9280</v>
      </c>
      <c r="E19" s="5"/>
      <c r="F19" s="5"/>
      <c r="G19" s="5" t="s">
        <v>229</v>
      </c>
      <c r="H19" s="5" t="s">
        <v>3</v>
      </c>
      <c r="I19" s="5"/>
      <c r="J19" s="5"/>
      <c r="M19" s="1"/>
      <c r="N19"/>
      <c r="O19"/>
      <c r="P19"/>
      <c r="Q19"/>
      <c r="R19"/>
      <c r="S19"/>
      <c r="T19"/>
      <c r="U19"/>
      <c r="V19"/>
      <c r="W19"/>
      <c r="X19"/>
      <c r="Y19"/>
    </row>
    <row r="20" spans="1:25" s="2" customFormat="1" x14ac:dyDescent="0.2">
      <c r="A20" s="5" t="s">
        <v>9279</v>
      </c>
      <c r="B20" s="5" t="s">
        <v>83</v>
      </c>
      <c r="C20" s="5"/>
      <c r="D20" s="5" t="s">
        <v>9278</v>
      </c>
      <c r="E20" s="5"/>
      <c r="F20" s="5"/>
      <c r="G20" s="5" t="s">
        <v>229</v>
      </c>
      <c r="H20" s="5" t="s">
        <v>3</v>
      </c>
      <c r="I20" s="5"/>
      <c r="J20" s="5"/>
      <c r="M20" s="1"/>
      <c r="N20"/>
      <c r="O20"/>
      <c r="P20"/>
      <c r="Q20"/>
      <c r="R20"/>
      <c r="S20"/>
      <c r="T20"/>
      <c r="U20"/>
      <c r="V20"/>
      <c r="W20"/>
      <c r="X20"/>
      <c r="Y20"/>
    </row>
    <row r="21" spans="1:25" s="2" customFormat="1" ht="25.5" x14ac:dyDescent="0.2">
      <c r="A21" s="5" t="s">
        <v>9277</v>
      </c>
      <c r="B21" s="5" t="s">
        <v>83</v>
      </c>
      <c r="C21" s="5"/>
      <c r="D21" s="5" t="s">
        <v>9276</v>
      </c>
      <c r="E21" s="5" t="s">
        <v>93</v>
      </c>
      <c r="F21" s="5" t="s">
        <v>9275</v>
      </c>
      <c r="G21" s="5" t="s">
        <v>6584</v>
      </c>
      <c r="H21" s="5" t="s">
        <v>3</v>
      </c>
      <c r="I21" s="5"/>
      <c r="J21" s="5"/>
      <c r="M21" s="1"/>
      <c r="N21"/>
      <c r="O21"/>
      <c r="P21"/>
      <c r="Q21"/>
      <c r="R21"/>
      <c r="S21"/>
      <c r="T21"/>
      <c r="U21"/>
      <c r="V21"/>
      <c r="W21"/>
      <c r="X21"/>
      <c r="Y21"/>
    </row>
    <row r="22" spans="1:25" s="2" customFormat="1" x14ac:dyDescent="0.2">
      <c r="A22" s="5" t="s">
        <v>9154</v>
      </c>
      <c r="B22" s="5" t="s">
        <v>83</v>
      </c>
      <c r="C22" s="5"/>
      <c r="D22" s="5" t="s">
        <v>5503</v>
      </c>
      <c r="E22" s="5" t="s">
        <v>93</v>
      </c>
      <c r="F22" s="5" t="s">
        <v>9274</v>
      </c>
      <c r="G22" s="5" t="s">
        <v>6584</v>
      </c>
      <c r="H22" s="5" t="s">
        <v>3</v>
      </c>
      <c r="I22" s="5"/>
      <c r="J22" s="5"/>
      <c r="M22" s="1"/>
      <c r="N22"/>
      <c r="O22"/>
      <c r="P22"/>
      <c r="Q22"/>
      <c r="R22"/>
      <c r="S22"/>
      <c r="T22"/>
      <c r="U22"/>
      <c r="V22"/>
      <c r="W22"/>
      <c r="X22"/>
      <c r="Y22"/>
    </row>
    <row r="23" spans="1:25" s="2" customFormat="1" x14ac:dyDescent="0.2">
      <c r="A23" s="5" t="s">
        <v>9273</v>
      </c>
      <c r="B23" s="5" t="s">
        <v>83</v>
      </c>
      <c r="C23" s="5"/>
      <c r="D23" s="5" t="s">
        <v>9272</v>
      </c>
      <c r="E23" s="5"/>
      <c r="F23" s="5" t="s">
        <v>8858</v>
      </c>
      <c r="G23" s="5" t="s">
        <v>7482</v>
      </c>
      <c r="H23" s="5" t="s">
        <v>137</v>
      </c>
      <c r="I23" s="5" t="s">
        <v>1532</v>
      </c>
      <c r="J23" s="5"/>
      <c r="M23" s="1"/>
      <c r="N23"/>
      <c r="O23"/>
      <c r="P23"/>
      <c r="Q23"/>
      <c r="R23"/>
      <c r="S23"/>
      <c r="T23"/>
      <c r="U23"/>
      <c r="V23"/>
      <c r="W23"/>
      <c r="X23"/>
      <c r="Y23"/>
    </row>
    <row r="24" spans="1:25" s="2" customFormat="1" x14ac:dyDescent="0.2">
      <c r="A24" s="5" t="s">
        <v>9271</v>
      </c>
      <c r="B24" s="5" t="s">
        <v>83</v>
      </c>
      <c r="C24" s="5"/>
      <c r="D24" s="5" t="s">
        <v>9270</v>
      </c>
      <c r="E24" s="5"/>
      <c r="F24" s="5" t="s">
        <v>8834</v>
      </c>
      <c r="G24" s="5" t="s">
        <v>2672</v>
      </c>
      <c r="H24" s="5" t="s">
        <v>137</v>
      </c>
      <c r="I24" s="5" t="s">
        <v>1532</v>
      </c>
      <c r="J24" s="5" t="s">
        <v>8836</v>
      </c>
      <c r="M24" s="1"/>
      <c r="N24"/>
      <c r="O24"/>
      <c r="P24"/>
      <c r="Q24"/>
      <c r="R24"/>
      <c r="S24"/>
      <c r="T24"/>
      <c r="U24"/>
      <c r="V24"/>
      <c r="W24"/>
      <c r="X24"/>
      <c r="Y24"/>
    </row>
    <row r="25" spans="1:25" s="2" customFormat="1" x14ac:dyDescent="0.2">
      <c r="A25" s="5" t="s">
        <v>9269</v>
      </c>
      <c r="B25" s="5" t="s">
        <v>83</v>
      </c>
      <c r="C25" s="5"/>
      <c r="D25" s="5" t="s">
        <v>9268</v>
      </c>
      <c r="E25" s="5"/>
      <c r="F25" s="5"/>
      <c r="G25" s="5" t="s">
        <v>6584</v>
      </c>
      <c r="H25" s="5"/>
      <c r="I25" s="5"/>
      <c r="J25" s="5" t="s">
        <v>9267</v>
      </c>
      <c r="M25" s="1"/>
      <c r="N25"/>
      <c r="O25"/>
      <c r="P25"/>
      <c r="Q25"/>
      <c r="R25"/>
      <c r="S25"/>
      <c r="T25"/>
      <c r="U25"/>
      <c r="V25"/>
      <c r="W25"/>
      <c r="X25"/>
      <c r="Y25"/>
    </row>
    <row r="26" spans="1:25" s="2" customFormat="1" x14ac:dyDescent="0.2">
      <c r="A26" s="5" t="s">
        <v>7321</v>
      </c>
      <c r="B26" s="5" t="s">
        <v>83</v>
      </c>
      <c r="C26" s="5"/>
      <c r="D26" s="5" t="s">
        <v>7387</v>
      </c>
      <c r="E26" s="5"/>
      <c r="F26" s="5" t="s">
        <v>8230</v>
      </c>
      <c r="G26" s="5" t="s">
        <v>105</v>
      </c>
      <c r="H26" s="5" t="s">
        <v>3</v>
      </c>
      <c r="I26" s="5"/>
      <c r="J26" s="5" t="s">
        <v>9266</v>
      </c>
      <c r="M26" s="1"/>
      <c r="N26"/>
      <c r="O26"/>
      <c r="P26"/>
      <c r="Q26"/>
      <c r="R26"/>
      <c r="S26"/>
      <c r="T26"/>
      <c r="U26"/>
      <c r="V26"/>
      <c r="W26"/>
      <c r="X26"/>
      <c r="Y26"/>
    </row>
    <row r="27" spans="1:25" s="2" customFormat="1" x14ac:dyDescent="0.2">
      <c r="A27" s="5" t="s">
        <v>1532</v>
      </c>
      <c r="B27" s="5" t="s">
        <v>83</v>
      </c>
      <c r="C27" s="5"/>
      <c r="D27" s="5" t="s">
        <v>9265</v>
      </c>
      <c r="E27" s="5"/>
      <c r="F27" s="5" t="s">
        <v>8858</v>
      </c>
      <c r="G27" s="5" t="s">
        <v>7482</v>
      </c>
      <c r="H27" s="5" t="s">
        <v>137</v>
      </c>
      <c r="I27" s="5" t="s">
        <v>1532</v>
      </c>
      <c r="J27" s="5"/>
      <c r="M27" s="1"/>
      <c r="N27"/>
      <c r="O27"/>
      <c r="P27"/>
      <c r="Q27"/>
      <c r="R27"/>
      <c r="S27"/>
      <c r="T27"/>
      <c r="U27"/>
      <c r="V27"/>
      <c r="W27"/>
      <c r="X27"/>
      <c r="Y27"/>
    </row>
    <row r="28" spans="1:25" s="2" customFormat="1" x14ac:dyDescent="0.2">
      <c r="A28" s="5" t="s">
        <v>8837</v>
      </c>
      <c r="B28" s="5" t="s">
        <v>83</v>
      </c>
      <c r="C28" s="5"/>
      <c r="D28" s="5" t="s">
        <v>9264</v>
      </c>
      <c r="E28" s="5"/>
      <c r="F28" s="5" t="s">
        <v>8834</v>
      </c>
      <c r="G28" s="5" t="s">
        <v>2672</v>
      </c>
      <c r="H28" s="5" t="s">
        <v>137</v>
      </c>
      <c r="I28" s="5" t="s">
        <v>1532</v>
      </c>
      <c r="J28" s="5" t="s">
        <v>8836</v>
      </c>
      <c r="M28" s="1"/>
      <c r="N28"/>
      <c r="O28"/>
      <c r="P28"/>
      <c r="Q28"/>
      <c r="R28"/>
      <c r="S28"/>
      <c r="T28"/>
      <c r="U28"/>
      <c r="V28"/>
      <c r="W28"/>
      <c r="X28"/>
      <c r="Y28"/>
    </row>
    <row r="29" spans="1:25" s="2" customFormat="1" x14ac:dyDescent="0.2">
      <c r="A29" s="5" t="s">
        <v>9263</v>
      </c>
      <c r="B29" s="5" t="s">
        <v>83</v>
      </c>
      <c r="C29" s="5"/>
      <c r="D29" s="5" t="s">
        <v>9262</v>
      </c>
      <c r="E29" s="5"/>
      <c r="F29" s="5"/>
      <c r="G29" s="5" t="s">
        <v>6584</v>
      </c>
      <c r="H29" s="5"/>
      <c r="I29" s="5"/>
      <c r="J29" s="5" t="s">
        <v>9261</v>
      </c>
      <c r="M29" s="1"/>
      <c r="N29"/>
      <c r="O29"/>
      <c r="P29"/>
      <c r="Q29"/>
      <c r="R29"/>
      <c r="S29"/>
      <c r="T29"/>
      <c r="U29"/>
      <c r="V29"/>
      <c r="W29"/>
      <c r="X29"/>
      <c r="Y29"/>
    </row>
    <row r="30" spans="1:25" s="2" customFormat="1" x14ac:dyDescent="0.2">
      <c r="A30" s="5" t="s">
        <v>9260</v>
      </c>
      <c r="B30" s="5" t="s">
        <v>83</v>
      </c>
      <c r="C30" s="5"/>
      <c r="D30" s="5" t="s">
        <v>9259</v>
      </c>
      <c r="E30" s="5"/>
      <c r="F30" s="5" t="s">
        <v>8685</v>
      </c>
      <c r="G30" s="5" t="s">
        <v>173</v>
      </c>
      <c r="H30" s="5" t="s">
        <v>3</v>
      </c>
      <c r="I30" s="5"/>
      <c r="J30" s="5" t="s">
        <v>9258</v>
      </c>
      <c r="M30" s="1"/>
      <c r="N30"/>
      <c r="O30"/>
      <c r="P30"/>
      <c r="Q30"/>
      <c r="R30"/>
      <c r="S30"/>
      <c r="T30"/>
      <c r="U30"/>
      <c r="V30"/>
      <c r="W30"/>
      <c r="X30"/>
      <c r="Y30"/>
    </row>
    <row r="31" spans="1:25" s="2" customFormat="1" x14ac:dyDescent="0.2">
      <c r="A31" s="5" t="s">
        <v>1</v>
      </c>
      <c r="B31" s="5" t="s">
        <v>0</v>
      </c>
      <c r="C31" s="5"/>
      <c r="D31" s="5">
        <v>10</v>
      </c>
      <c r="E31" s="5"/>
      <c r="F31" s="5"/>
      <c r="G31" s="5"/>
      <c r="H31" s="5"/>
      <c r="I31" s="5"/>
      <c r="J31" s="5"/>
      <c r="M31" s="1"/>
      <c r="N31"/>
      <c r="O31"/>
      <c r="P31"/>
      <c r="Q31"/>
      <c r="R31"/>
      <c r="S31"/>
      <c r="T31"/>
      <c r="U31"/>
      <c r="V31"/>
      <c r="W31"/>
      <c r="X31"/>
      <c r="Y31"/>
    </row>
  </sheetData>
  <autoFilter ref="A3:M3" xr:uid="{B2F118FD-E5B2-4E44-9BD3-D0682A1C8D44}"/>
  <mergeCells count="1">
    <mergeCell ref="G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FA06-EC10-4B0A-B700-915D38EC7845}">
  <sheetPr codeName="Sheet20"/>
  <dimension ref="A1:Y23"/>
  <sheetViews>
    <sheetView workbookViewId="0">
      <pane ySplit="6435" topLeftCell="A26"/>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9324</v>
      </c>
      <c r="C1" s="14"/>
      <c r="D1" s="14"/>
      <c r="E1" s="14"/>
      <c r="F1" s="13" t="s">
        <v>8892</v>
      </c>
      <c r="G1" s="16">
        <v>45538</v>
      </c>
      <c r="H1" s="16"/>
      <c r="I1" s="16"/>
      <c r="J1" s="11"/>
    </row>
    <row r="2" spans="1:25" ht="18" x14ac:dyDescent="0.2">
      <c r="A2" s="14">
        <f ca="1">COUNTA(OFFSET(A3,1,0,2222,1))</f>
        <v>20</v>
      </c>
      <c r="B2" s="15"/>
      <c r="C2" s="14">
        <f ca="1">MAX(OFFSET(C3,1,0,2222,1))</f>
        <v>5</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9324</v>
      </c>
      <c r="G4" s="5" t="s">
        <v>229</v>
      </c>
      <c r="H4" s="5" t="s">
        <v>3</v>
      </c>
      <c r="I4" s="5"/>
      <c r="J4" s="5" t="s">
        <v>8874</v>
      </c>
    </row>
    <row r="5" spans="1:25" x14ac:dyDescent="0.2">
      <c r="A5" s="5" t="s">
        <v>9323</v>
      </c>
      <c r="B5" s="5" t="s">
        <v>8584</v>
      </c>
      <c r="C5" s="5">
        <v>0</v>
      </c>
      <c r="D5" s="5"/>
      <c r="E5" s="5"/>
      <c r="F5" s="5" t="s">
        <v>9127</v>
      </c>
      <c r="G5" s="5" t="s">
        <v>118</v>
      </c>
      <c r="H5" s="5" t="s">
        <v>3</v>
      </c>
      <c r="I5" s="5"/>
      <c r="J5" s="5"/>
    </row>
    <row r="6" spans="1:25" x14ac:dyDescent="0.2">
      <c r="A6" s="5" t="s">
        <v>8884</v>
      </c>
      <c r="B6" s="5" t="s">
        <v>8584</v>
      </c>
      <c r="C6" s="5">
        <v>1</v>
      </c>
      <c r="D6" s="5"/>
      <c r="E6" s="5"/>
      <c r="F6" s="5" t="s">
        <v>8844</v>
      </c>
      <c r="G6" s="5" t="s">
        <v>224</v>
      </c>
      <c r="H6" s="5" t="s">
        <v>3</v>
      </c>
      <c r="I6" s="5"/>
      <c r="J6" s="5" t="s">
        <v>8844</v>
      </c>
    </row>
    <row r="7" spans="1:25" x14ac:dyDescent="0.2">
      <c r="A7" s="5" t="s">
        <v>8758</v>
      </c>
      <c r="B7" s="5" t="s">
        <v>8584</v>
      </c>
      <c r="C7" s="5">
        <v>3</v>
      </c>
      <c r="D7" s="5"/>
      <c r="E7" s="5"/>
      <c r="F7" s="5" t="s">
        <v>9321</v>
      </c>
      <c r="G7" s="5" t="s">
        <v>9322</v>
      </c>
      <c r="H7" s="5" t="s">
        <v>137</v>
      </c>
      <c r="I7" s="5"/>
      <c r="J7" s="5" t="s">
        <v>9321</v>
      </c>
    </row>
    <row r="8" spans="1:25" ht="25.5" x14ac:dyDescent="0.2">
      <c r="A8" s="5" t="s">
        <v>9320</v>
      </c>
      <c r="B8" s="5" t="s">
        <v>8584</v>
      </c>
      <c r="C8" s="5">
        <v>4</v>
      </c>
      <c r="D8" s="5"/>
      <c r="E8" s="5"/>
      <c r="F8" s="5" t="s">
        <v>9319</v>
      </c>
      <c r="G8" s="5" t="s">
        <v>80</v>
      </c>
      <c r="H8" s="5" t="s">
        <v>3</v>
      </c>
      <c r="I8" s="5"/>
      <c r="J8" s="5" t="s">
        <v>9318</v>
      </c>
    </row>
    <row r="9" spans="1:25" ht="25.5" x14ac:dyDescent="0.2">
      <c r="A9" s="5" t="s">
        <v>9317</v>
      </c>
      <c r="B9" s="5" t="s">
        <v>8584</v>
      </c>
      <c r="C9" s="5">
        <v>5</v>
      </c>
      <c r="D9" s="5"/>
      <c r="E9" s="5"/>
      <c r="F9" s="5" t="s">
        <v>5777</v>
      </c>
      <c r="G9" s="5" t="s">
        <v>4</v>
      </c>
      <c r="H9" s="5" t="s">
        <v>3</v>
      </c>
      <c r="I9" s="5"/>
      <c r="J9" s="5" t="s">
        <v>9316</v>
      </c>
    </row>
    <row r="10" spans="1:25" ht="25.5" x14ac:dyDescent="0.2">
      <c r="A10" s="5" t="s">
        <v>8404</v>
      </c>
      <c r="B10" s="5" t="s">
        <v>83</v>
      </c>
      <c r="C10" s="5"/>
      <c r="D10" s="5" t="s">
        <v>8403</v>
      </c>
      <c r="E10" s="5"/>
      <c r="F10" s="5"/>
      <c r="G10" s="5" t="s">
        <v>105</v>
      </c>
      <c r="H10" s="5" t="s">
        <v>3</v>
      </c>
      <c r="I10" s="5"/>
      <c r="J10" s="5" t="s">
        <v>8402</v>
      </c>
    </row>
    <row r="11" spans="1:25" s="2" customFormat="1" x14ac:dyDescent="0.2">
      <c r="A11" s="5" t="s">
        <v>8401</v>
      </c>
      <c r="B11" s="5" t="s">
        <v>83</v>
      </c>
      <c r="C11" s="5"/>
      <c r="D11" s="5" t="s">
        <v>8382</v>
      </c>
      <c r="E11" s="5"/>
      <c r="F11" s="5"/>
      <c r="G11" s="5" t="s">
        <v>105</v>
      </c>
      <c r="H11" s="5" t="s">
        <v>3</v>
      </c>
      <c r="I11" s="5"/>
      <c r="J11" s="5" t="s">
        <v>8400</v>
      </c>
      <c r="M11" s="1"/>
      <c r="N11"/>
      <c r="O11"/>
      <c r="P11"/>
      <c r="Q11"/>
      <c r="R11"/>
      <c r="S11"/>
      <c r="T11"/>
      <c r="U11"/>
      <c r="V11"/>
      <c r="W11"/>
      <c r="X11"/>
      <c r="Y11"/>
    </row>
    <row r="12" spans="1:25" s="2" customFormat="1" x14ac:dyDescent="0.2">
      <c r="A12" s="5" t="s">
        <v>8399</v>
      </c>
      <c r="B12" s="5" t="s">
        <v>83</v>
      </c>
      <c r="C12" s="5"/>
      <c r="D12" s="5" t="s">
        <v>6390</v>
      </c>
      <c r="E12" s="5" t="s">
        <v>150</v>
      </c>
      <c r="F12" s="5" t="s">
        <v>8385</v>
      </c>
      <c r="G12" s="5" t="s">
        <v>148</v>
      </c>
      <c r="H12" s="5" t="s">
        <v>3</v>
      </c>
      <c r="I12" s="5"/>
      <c r="J12" s="5" t="s">
        <v>8398</v>
      </c>
      <c r="M12" s="1"/>
      <c r="N12"/>
      <c r="O12"/>
      <c r="P12"/>
      <c r="Q12"/>
      <c r="R12"/>
      <c r="S12"/>
      <c r="T12"/>
      <c r="U12"/>
      <c r="V12"/>
      <c r="W12"/>
      <c r="X12"/>
      <c r="Y12"/>
    </row>
    <row r="13" spans="1:25" s="2" customFormat="1" x14ac:dyDescent="0.2">
      <c r="A13" s="5" t="s">
        <v>8397</v>
      </c>
      <c r="B13" s="5" t="s">
        <v>83</v>
      </c>
      <c r="C13" s="5"/>
      <c r="D13" s="5" t="s">
        <v>8396</v>
      </c>
      <c r="E13" s="5"/>
      <c r="F13" s="5" t="s">
        <v>8395</v>
      </c>
      <c r="G13" s="5" t="s">
        <v>283</v>
      </c>
      <c r="H13" s="5" t="s">
        <v>3</v>
      </c>
      <c r="I13" s="5"/>
      <c r="J13" s="5" t="s">
        <v>8394</v>
      </c>
      <c r="M13" s="1"/>
      <c r="N13"/>
      <c r="O13"/>
      <c r="P13"/>
      <c r="Q13"/>
      <c r="R13"/>
      <c r="S13"/>
      <c r="T13"/>
      <c r="U13"/>
      <c r="V13"/>
      <c r="W13"/>
      <c r="X13"/>
      <c r="Y13"/>
    </row>
    <row r="14" spans="1:25" s="2" customFormat="1" x14ac:dyDescent="0.2">
      <c r="A14" s="5" t="s">
        <v>8393</v>
      </c>
      <c r="B14" s="5" t="s">
        <v>83</v>
      </c>
      <c r="C14" s="5"/>
      <c r="D14" s="5" t="s">
        <v>8392</v>
      </c>
      <c r="E14" s="5"/>
      <c r="F14" s="5" t="s">
        <v>8391</v>
      </c>
      <c r="G14" s="5" t="s">
        <v>118</v>
      </c>
      <c r="H14" s="5" t="s">
        <v>3</v>
      </c>
      <c r="I14" s="5"/>
      <c r="J14" s="5" t="s">
        <v>8390</v>
      </c>
      <c r="M14" s="1"/>
      <c r="N14"/>
      <c r="O14"/>
      <c r="P14"/>
      <c r="Q14"/>
      <c r="R14"/>
      <c r="S14"/>
      <c r="T14"/>
      <c r="U14"/>
      <c r="V14"/>
      <c r="W14"/>
      <c r="X14"/>
      <c r="Y14"/>
    </row>
    <row r="15" spans="1:25" s="2" customFormat="1" x14ac:dyDescent="0.2">
      <c r="A15" s="5" t="s">
        <v>8988</v>
      </c>
      <c r="B15" s="5" t="s">
        <v>83</v>
      </c>
      <c r="C15" s="5"/>
      <c r="D15" s="5" t="s">
        <v>8987</v>
      </c>
      <c r="E15" s="5"/>
      <c r="F15" s="5" t="s">
        <v>8986</v>
      </c>
      <c r="G15" s="5" t="s">
        <v>118</v>
      </c>
      <c r="H15" s="5" t="s">
        <v>3</v>
      </c>
      <c r="I15" s="5"/>
      <c r="J15" s="5" t="s">
        <v>9315</v>
      </c>
      <c r="M15" s="1"/>
      <c r="N15"/>
      <c r="O15"/>
      <c r="P15"/>
      <c r="Q15"/>
      <c r="R15"/>
      <c r="S15"/>
      <c r="T15"/>
      <c r="U15"/>
      <c r="V15"/>
      <c r="W15"/>
      <c r="X15"/>
      <c r="Y15"/>
    </row>
    <row r="16" spans="1:25" s="2" customFormat="1" x14ac:dyDescent="0.2">
      <c r="A16" s="5" t="s">
        <v>8389</v>
      </c>
      <c r="B16" s="5" t="s">
        <v>83</v>
      </c>
      <c r="C16" s="5"/>
      <c r="D16" s="5" t="s">
        <v>5533</v>
      </c>
      <c r="E16" s="5"/>
      <c r="F16" s="5" t="s">
        <v>8385</v>
      </c>
      <c r="G16" s="5" t="s">
        <v>382</v>
      </c>
      <c r="H16" s="5" t="s">
        <v>3</v>
      </c>
      <c r="I16" s="5"/>
      <c r="J16" s="5" t="s">
        <v>8388</v>
      </c>
      <c r="M16" s="1"/>
      <c r="N16"/>
      <c r="O16"/>
      <c r="P16"/>
      <c r="Q16"/>
      <c r="R16"/>
      <c r="S16"/>
      <c r="T16"/>
      <c r="U16"/>
      <c r="V16"/>
      <c r="W16"/>
      <c r="X16"/>
      <c r="Y16"/>
    </row>
    <row r="17" spans="1:25" s="2" customFormat="1" x14ac:dyDescent="0.2">
      <c r="A17" s="5" t="s">
        <v>8387</v>
      </c>
      <c r="B17" s="5" t="s">
        <v>83</v>
      </c>
      <c r="C17" s="5"/>
      <c r="D17" s="5" t="s">
        <v>8386</v>
      </c>
      <c r="E17" s="5" t="s">
        <v>5520</v>
      </c>
      <c r="F17" s="5" t="s">
        <v>8385</v>
      </c>
      <c r="G17" s="5" t="s">
        <v>207</v>
      </c>
      <c r="H17" s="5" t="s">
        <v>3</v>
      </c>
      <c r="I17" s="5"/>
      <c r="J17" s="5" t="s">
        <v>8384</v>
      </c>
      <c r="M17" s="1"/>
      <c r="N17"/>
      <c r="O17"/>
      <c r="P17"/>
      <c r="Q17"/>
      <c r="R17"/>
      <c r="S17"/>
      <c r="T17"/>
      <c r="U17"/>
      <c r="V17"/>
      <c r="W17"/>
      <c r="X17"/>
      <c r="Y17"/>
    </row>
    <row r="18" spans="1:25" s="2" customFormat="1" x14ac:dyDescent="0.2">
      <c r="A18" s="5" t="s">
        <v>8380</v>
      </c>
      <c r="B18" s="5" t="s">
        <v>83</v>
      </c>
      <c r="C18" s="5"/>
      <c r="D18" s="5" t="s">
        <v>8379</v>
      </c>
      <c r="E18" s="5"/>
      <c r="F18" s="5" t="s">
        <v>9314</v>
      </c>
      <c r="G18" s="5" t="s">
        <v>283</v>
      </c>
      <c r="H18" s="5" t="s">
        <v>3</v>
      </c>
      <c r="I18" s="5"/>
      <c r="J18" s="5" t="s">
        <v>7462</v>
      </c>
      <c r="M18" s="1"/>
      <c r="N18"/>
      <c r="O18"/>
      <c r="P18"/>
      <c r="Q18"/>
      <c r="R18"/>
      <c r="S18"/>
      <c r="T18"/>
      <c r="U18"/>
      <c r="V18"/>
      <c r="W18"/>
      <c r="X18"/>
      <c r="Y18"/>
    </row>
    <row r="19" spans="1:25" s="2" customFormat="1" x14ac:dyDescent="0.2">
      <c r="A19" s="5" t="s">
        <v>9313</v>
      </c>
      <c r="B19" s="5" t="s">
        <v>83</v>
      </c>
      <c r="C19" s="5"/>
      <c r="D19" s="5" t="s">
        <v>9312</v>
      </c>
      <c r="E19" s="5"/>
      <c r="F19" s="5" t="s">
        <v>8844</v>
      </c>
      <c r="G19" s="5" t="s">
        <v>224</v>
      </c>
      <c r="H19" s="5" t="s">
        <v>3</v>
      </c>
      <c r="I19" s="5"/>
      <c r="J19" s="5" t="s">
        <v>9311</v>
      </c>
      <c r="M19" s="1"/>
      <c r="N19"/>
      <c r="O19"/>
      <c r="P19"/>
      <c r="Q19"/>
      <c r="R19"/>
      <c r="S19"/>
      <c r="T19"/>
      <c r="U19"/>
      <c r="V19"/>
      <c r="W19"/>
      <c r="X19"/>
      <c r="Y19"/>
    </row>
    <row r="20" spans="1:25" s="2" customFormat="1" x14ac:dyDescent="0.2">
      <c r="A20" s="5" t="s">
        <v>7665</v>
      </c>
      <c r="B20" s="5" t="s">
        <v>83</v>
      </c>
      <c r="C20" s="5"/>
      <c r="D20" s="5" t="s">
        <v>7664</v>
      </c>
      <c r="E20" s="5" t="s">
        <v>288</v>
      </c>
      <c r="F20" s="5" t="s">
        <v>7663</v>
      </c>
      <c r="G20" s="5" t="s">
        <v>91</v>
      </c>
      <c r="H20" s="5" t="s">
        <v>3</v>
      </c>
      <c r="I20" s="5"/>
      <c r="J20" s="5"/>
      <c r="M20" s="1"/>
      <c r="N20"/>
      <c r="O20"/>
      <c r="P20"/>
      <c r="Q20"/>
      <c r="R20"/>
      <c r="S20"/>
      <c r="T20"/>
      <c r="U20"/>
      <c r="V20"/>
      <c r="W20"/>
      <c r="X20"/>
      <c r="Y20"/>
    </row>
    <row r="21" spans="1:25" s="2" customFormat="1" ht="25.5" x14ac:dyDescent="0.2">
      <c r="A21" s="5" t="s">
        <v>9310</v>
      </c>
      <c r="B21" s="5" t="s">
        <v>83</v>
      </c>
      <c r="C21" s="5"/>
      <c r="D21" s="5" t="s">
        <v>9309</v>
      </c>
      <c r="E21" s="5"/>
      <c r="F21" s="5" t="s">
        <v>9308</v>
      </c>
      <c r="G21" s="5" t="s">
        <v>234</v>
      </c>
      <c r="H21" s="5" t="s">
        <v>3</v>
      </c>
      <c r="I21" s="5"/>
      <c r="J21" s="5" t="s">
        <v>9307</v>
      </c>
      <c r="M21" s="1"/>
      <c r="N21"/>
      <c r="O21"/>
      <c r="P21"/>
      <c r="Q21"/>
      <c r="R21"/>
      <c r="S21"/>
      <c r="T21"/>
      <c r="U21"/>
      <c r="V21"/>
      <c r="W21"/>
      <c r="X21"/>
      <c r="Y21"/>
    </row>
    <row r="22" spans="1:25" s="2" customFormat="1" ht="25.5" x14ac:dyDescent="0.2">
      <c r="A22" s="5" t="s">
        <v>8901</v>
      </c>
      <c r="B22" s="5" t="s">
        <v>8</v>
      </c>
      <c r="C22" s="5"/>
      <c r="D22" s="5" t="s">
        <v>8900</v>
      </c>
      <c r="E22" s="5"/>
      <c r="F22" s="5"/>
      <c r="G22" s="5"/>
      <c r="H22" s="5"/>
      <c r="I22" s="5"/>
      <c r="J22" s="5" t="s">
        <v>9306</v>
      </c>
      <c r="M22" s="1"/>
      <c r="N22"/>
      <c r="O22"/>
      <c r="P22"/>
      <c r="Q22"/>
      <c r="R22"/>
      <c r="S22"/>
      <c r="T22"/>
      <c r="U22"/>
      <c r="V22"/>
      <c r="W22"/>
      <c r="X22"/>
      <c r="Y22"/>
    </row>
    <row r="23" spans="1:25" s="2" customFormat="1" x14ac:dyDescent="0.2">
      <c r="A23" s="5" t="s">
        <v>1</v>
      </c>
      <c r="B23" s="5" t="s">
        <v>0</v>
      </c>
      <c r="C23" s="5"/>
      <c r="D23" s="5">
        <v>6</v>
      </c>
      <c r="E23" s="5"/>
      <c r="F23" s="5"/>
      <c r="G23" s="5"/>
      <c r="H23" s="5"/>
      <c r="I23" s="5"/>
      <c r="J23" s="5"/>
      <c r="M23" s="1"/>
      <c r="N23"/>
      <c r="O23"/>
      <c r="P23"/>
      <c r="Q23"/>
      <c r="R23"/>
      <c r="S23"/>
      <c r="T23"/>
      <c r="U23"/>
      <c r="V23"/>
      <c r="W23"/>
      <c r="X23"/>
      <c r="Y23"/>
    </row>
  </sheetData>
  <autoFilter ref="A3:M3" xr:uid="{B2F118FD-E5B2-4E44-9BD3-D0682A1C8D44}"/>
  <mergeCells count="1">
    <mergeCell ref="G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B39A-C65A-45E8-9F1F-106237C59295}">
  <sheetPr codeName="Sheet21"/>
  <dimension ref="A1:Y176"/>
  <sheetViews>
    <sheetView workbookViewId="0">
      <pane ySplit="6585" topLeftCell="A170"/>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8270</v>
      </c>
      <c r="C1" s="14"/>
      <c r="D1" s="14"/>
      <c r="E1" s="14"/>
      <c r="F1" s="13" t="s">
        <v>8892</v>
      </c>
      <c r="G1" s="16">
        <v>45538</v>
      </c>
      <c r="H1" s="16"/>
      <c r="I1" s="16"/>
      <c r="J1" s="11"/>
    </row>
    <row r="2" spans="1:25" ht="18" x14ac:dyDescent="0.2">
      <c r="A2" s="14">
        <f ca="1">COUNTA(OFFSET(A3,1,0,2222,1))</f>
        <v>173</v>
      </c>
      <c r="B2" s="15"/>
      <c r="C2" s="14">
        <f ca="1">MAX(OFFSET(C3,1,0,2222,1))</f>
        <v>20</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9649</v>
      </c>
      <c r="B4" s="5" t="s">
        <v>8880</v>
      </c>
      <c r="C4" s="5">
        <v>0</v>
      </c>
      <c r="D4" s="5" t="s">
        <v>9648</v>
      </c>
      <c r="E4" s="5"/>
      <c r="F4" s="5"/>
      <c r="G4" s="5"/>
      <c r="H4" s="5"/>
      <c r="I4" s="5"/>
      <c r="J4" s="5"/>
    </row>
    <row r="5" spans="1:25" x14ac:dyDescent="0.2">
      <c r="A5" s="5" t="s">
        <v>9647</v>
      </c>
      <c r="B5" s="5" t="s">
        <v>8880</v>
      </c>
      <c r="C5" s="5">
        <v>0</v>
      </c>
      <c r="D5" s="5" t="s">
        <v>9644</v>
      </c>
      <c r="E5" s="5"/>
      <c r="F5" s="5"/>
      <c r="G5" s="5"/>
      <c r="H5" s="5"/>
      <c r="I5" s="5"/>
      <c r="J5" s="5"/>
    </row>
    <row r="6" spans="1:25" x14ac:dyDescent="0.2">
      <c r="A6" s="5" t="s">
        <v>9646</v>
      </c>
      <c r="B6" s="5" t="s">
        <v>8880</v>
      </c>
      <c r="C6" s="5">
        <v>0</v>
      </c>
      <c r="D6" s="5" t="s">
        <v>9644</v>
      </c>
      <c r="E6" s="5"/>
      <c r="F6" s="5"/>
      <c r="G6" s="5"/>
      <c r="H6" s="5"/>
      <c r="I6" s="5"/>
      <c r="J6" s="5"/>
    </row>
    <row r="7" spans="1:25" x14ac:dyDescent="0.2">
      <c r="A7" s="5" t="s">
        <v>9645</v>
      </c>
      <c r="B7" s="5" t="s">
        <v>8880</v>
      </c>
      <c r="C7" s="5">
        <v>0</v>
      </c>
      <c r="D7" s="5" t="s">
        <v>9644</v>
      </c>
      <c r="E7" s="5"/>
      <c r="F7" s="5"/>
      <c r="G7" s="5"/>
      <c r="H7" s="5"/>
      <c r="I7" s="5"/>
      <c r="J7" s="5"/>
    </row>
    <row r="8" spans="1:25" x14ac:dyDescent="0.2">
      <c r="A8" s="5" t="s">
        <v>9643</v>
      </c>
      <c r="B8" s="5" t="s">
        <v>8880</v>
      </c>
      <c r="C8" s="5">
        <v>0</v>
      </c>
      <c r="D8" s="5" t="s">
        <v>9642</v>
      </c>
      <c r="E8" s="5"/>
      <c r="F8" s="5"/>
      <c r="G8" s="5"/>
      <c r="H8" s="5"/>
      <c r="I8" s="5"/>
      <c r="J8" s="5"/>
    </row>
    <row r="9" spans="1:25" s="2" customFormat="1" x14ac:dyDescent="0.2">
      <c r="A9" s="5" t="s">
        <v>8878</v>
      </c>
      <c r="B9" s="5" t="s">
        <v>8584</v>
      </c>
      <c r="C9" s="5">
        <v>0</v>
      </c>
      <c r="D9" s="5"/>
      <c r="E9" s="5"/>
      <c r="F9" s="5" t="s">
        <v>8270</v>
      </c>
      <c r="G9" s="5" t="s">
        <v>224</v>
      </c>
      <c r="H9" s="5" t="s">
        <v>3</v>
      </c>
      <c r="I9" s="5"/>
      <c r="J9" s="5" t="s">
        <v>8874</v>
      </c>
      <c r="M9" s="1"/>
      <c r="N9"/>
      <c r="O9"/>
      <c r="P9"/>
      <c r="Q9"/>
      <c r="R9"/>
      <c r="S9"/>
      <c r="T9"/>
      <c r="U9"/>
      <c r="V9"/>
      <c r="W9"/>
      <c r="X9"/>
      <c r="Y9"/>
    </row>
    <row r="10" spans="1:25" s="2" customFormat="1" x14ac:dyDescent="0.2">
      <c r="A10" s="5" t="s">
        <v>9641</v>
      </c>
      <c r="B10" s="5" t="s">
        <v>8584</v>
      </c>
      <c r="C10" s="5">
        <v>0</v>
      </c>
      <c r="D10" s="5"/>
      <c r="E10" s="5"/>
      <c r="F10" s="5" t="s">
        <v>8270</v>
      </c>
      <c r="G10" s="5" t="s">
        <v>224</v>
      </c>
      <c r="H10" s="5" t="s">
        <v>3</v>
      </c>
      <c r="I10" s="5"/>
      <c r="J10" s="5" t="s">
        <v>8874</v>
      </c>
      <c r="M10" s="1"/>
      <c r="N10"/>
      <c r="O10"/>
      <c r="P10"/>
      <c r="Q10"/>
      <c r="R10"/>
      <c r="S10"/>
      <c r="T10"/>
      <c r="U10"/>
      <c r="V10"/>
      <c r="W10"/>
      <c r="X10"/>
      <c r="Y10"/>
    </row>
    <row r="11" spans="1:25" s="2" customFormat="1" ht="25.5" x14ac:dyDescent="0.2">
      <c r="A11" s="5" t="s">
        <v>4053</v>
      </c>
      <c r="B11" s="5" t="s">
        <v>8584</v>
      </c>
      <c r="C11" s="5">
        <v>0</v>
      </c>
      <c r="D11" s="5"/>
      <c r="E11" s="5"/>
      <c r="F11" s="5" t="s">
        <v>106</v>
      </c>
      <c r="G11" s="5" t="s">
        <v>882</v>
      </c>
      <c r="H11" s="5" t="s">
        <v>3</v>
      </c>
      <c r="I11" s="5"/>
      <c r="J11" s="5" t="s">
        <v>9640</v>
      </c>
      <c r="M11" s="1"/>
      <c r="N11"/>
      <c r="O11"/>
      <c r="P11"/>
      <c r="Q11"/>
      <c r="R11"/>
      <c r="S11"/>
      <c r="T11"/>
      <c r="U11"/>
      <c r="V11"/>
      <c r="W11"/>
      <c r="X11"/>
      <c r="Y11"/>
    </row>
    <row r="12" spans="1:25" s="2" customFormat="1" x14ac:dyDescent="0.2">
      <c r="A12" s="5" t="s">
        <v>9639</v>
      </c>
      <c r="B12" s="5" t="s">
        <v>8584</v>
      </c>
      <c r="C12" s="5">
        <v>0</v>
      </c>
      <c r="D12" s="5"/>
      <c r="E12" s="5"/>
      <c r="F12" s="5" t="s">
        <v>106</v>
      </c>
      <c r="G12" s="5" t="s">
        <v>3059</v>
      </c>
      <c r="H12" s="5" t="s">
        <v>3</v>
      </c>
      <c r="I12" s="5"/>
      <c r="J12" s="5" t="s">
        <v>8869</v>
      </c>
      <c r="M12" s="1"/>
      <c r="N12"/>
      <c r="O12"/>
      <c r="P12"/>
      <c r="Q12"/>
      <c r="R12"/>
      <c r="S12"/>
      <c r="T12"/>
      <c r="U12"/>
      <c r="V12"/>
      <c r="W12"/>
      <c r="X12"/>
      <c r="Y12"/>
    </row>
    <row r="13" spans="1:25" s="2" customFormat="1" x14ac:dyDescent="0.2">
      <c r="A13" s="5" t="s">
        <v>9638</v>
      </c>
      <c r="B13" s="5" t="s">
        <v>8584</v>
      </c>
      <c r="C13" s="5">
        <v>1</v>
      </c>
      <c r="D13" s="5"/>
      <c r="E13" s="5" t="s">
        <v>138</v>
      </c>
      <c r="F13" s="5" t="s">
        <v>106</v>
      </c>
      <c r="G13" s="5" t="s">
        <v>148</v>
      </c>
      <c r="H13" s="5" t="s">
        <v>3</v>
      </c>
      <c r="I13" s="5"/>
      <c r="J13" s="5" t="s">
        <v>9637</v>
      </c>
      <c r="M13" s="1"/>
      <c r="N13"/>
      <c r="O13"/>
      <c r="P13"/>
      <c r="Q13"/>
      <c r="R13"/>
      <c r="S13"/>
      <c r="T13"/>
      <c r="U13"/>
      <c r="V13"/>
      <c r="W13"/>
      <c r="X13"/>
      <c r="Y13"/>
    </row>
    <row r="14" spans="1:25" s="2" customFormat="1" x14ac:dyDescent="0.2">
      <c r="A14" s="5" t="s">
        <v>331</v>
      </c>
      <c r="B14" s="5" t="s">
        <v>8584</v>
      </c>
      <c r="C14" s="5">
        <v>1</v>
      </c>
      <c r="D14" s="5"/>
      <c r="E14" s="5" t="s">
        <v>138</v>
      </c>
      <c r="F14" s="5" t="s">
        <v>106</v>
      </c>
      <c r="G14" s="5" t="s">
        <v>148</v>
      </c>
      <c r="H14" s="5" t="s">
        <v>3</v>
      </c>
      <c r="I14" s="5"/>
      <c r="J14" s="5" t="s">
        <v>9637</v>
      </c>
      <c r="M14" s="1"/>
      <c r="N14"/>
      <c r="O14"/>
      <c r="P14"/>
      <c r="Q14"/>
      <c r="R14"/>
      <c r="S14"/>
      <c r="T14"/>
      <c r="U14"/>
      <c r="V14"/>
      <c r="W14"/>
      <c r="X14"/>
      <c r="Y14"/>
    </row>
    <row r="15" spans="1:25" s="2" customFormat="1" ht="25.5" x14ac:dyDescent="0.2">
      <c r="A15" s="5" t="s">
        <v>9636</v>
      </c>
      <c r="B15" s="5" t="s">
        <v>8584</v>
      </c>
      <c r="C15" s="5">
        <v>2</v>
      </c>
      <c r="D15" s="5"/>
      <c r="E15" s="5"/>
      <c r="F15" s="5" t="s">
        <v>7577</v>
      </c>
      <c r="G15" s="5" t="s">
        <v>170</v>
      </c>
      <c r="H15" s="5" t="s">
        <v>137</v>
      </c>
      <c r="I15" s="5" t="s">
        <v>55</v>
      </c>
      <c r="J15" s="5" t="s">
        <v>9635</v>
      </c>
      <c r="M15" s="1"/>
      <c r="N15"/>
      <c r="O15"/>
      <c r="P15"/>
      <c r="Q15"/>
      <c r="R15"/>
      <c r="S15"/>
      <c r="T15"/>
      <c r="U15"/>
      <c r="V15"/>
      <c r="W15"/>
      <c r="X15"/>
      <c r="Y15"/>
    </row>
    <row r="16" spans="1:25" s="2" customFormat="1" x14ac:dyDescent="0.2">
      <c r="A16" s="5" t="s">
        <v>7909</v>
      </c>
      <c r="B16" s="5" t="s">
        <v>8584</v>
      </c>
      <c r="C16" s="5">
        <v>2</v>
      </c>
      <c r="D16" s="5"/>
      <c r="E16" s="5"/>
      <c r="F16" s="5" t="s">
        <v>7577</v>
      </c>
      <c r="G16" s="5" t="s">
        <v>118</v>
      </c>
      <c r="H16" s="5" t="s">
        <v>137</v>
      </c>
      <c r="I16" s="5" t="s">
        <v>55</v>
      </c>
      <c r="J16" s="5" t="s">
        <v>7620</v>
      </c>
      <c r="M16" s="1"/>
      <c r="N16"/>
      <c r="O16"/>
      <c r="P16"/>
      <c r="Q16"/>
      <c r="R16"/>
      <c r="S16"/>
      <c r="T16"/>
      <c r="U16"/>
      <c r="V16"/>
      <c r="W16"/>
      <c r="X16"/>
      <c r="Y16"/>
    </row>
    <row r="17" spans="1:25" s="2" customFormat="1" x14ac:dyDescent="0.2">
      <c r="A17" s="5" t="s">
        <v>7894</v>
      </c>
      <c r="B17" s="5" t="s">
        <v>8584</v>
      </c>
      <c r="C17" s="5">
        <v>3</v>
      </c>
      <c r="D17" s="5"/>
      <c r="E17" s="5"/>
      <c r="F17" s="5" t="s">
        <v>9472</v>
      </c>
      <c r="G17" s="5" t="s">
        <v>80</v>
      </c>
      <c r="H17" s="5" t="s">
        <v>3</v>
      </c>
      <c r="I17" s="5"/>
      <c r="J17" s="5" t="s">
        <v>9634</v>
      </c>
      <c r="M17" s="1"/>
      <c r="N17"/>
      <c r="O17"/>
      <c r="P17"/>
      <c r="Q17"/>
      <c r="R17"/>
      <c r="S17"/>
      <c r="T17"/>
      <c r="U17"/>
      <c r="V17"/>
      <c r="W17"/>
      <c r="X17"/>
      <c r="Y17"/>
    </row>
    <row r="18" spans="1:25" s="2" customFormat="1" x14ac:dyDescent="0.2">
      <c r="A18" s="5" t="s">
        <v>9633</v>
      </c>
      <c r="B18" s="5" t="s">
        <v>8584</v>
      </c>
      <c r="C18" s="5">
        <v>3</v>
      </c>
      <c r="D18" s="5"/>
      <c r="E18" s="5" t="s">
        <v>138</v>
      </c>
      <c r="F18" s="5" t="s">
        <v>9632</v>
      </c>
      <c r="G18" s="5" t="s">
        <v>173</v>
      </c>
      <c r="H18" s="5" t="s">
        <v>3</v>
      </c>
      <c r="I18" s="5" t="s">
        <v>55</v>
      </c>
      <c r="J18" s="5" t="s">
        <v>9631</v>
      </c>
      <c r="M18" s="1"/>
      <c r="N18"/>
      <c r="O18"/>
      <c r="P18"/>
      <c r="Q18"/>
      <c r="R18"/>
      <c r="S18"/>
      <c r="T18"/>
      <c r="U18"/>
      <c r="V18"/>
      <c r="W18"/>
      <c r="X18"/>
      <c r="Y18"/>
    </row>
    <row r="19" spans="1:25" s="2" customFormat="1" x14ac:dyDescent="0.2">
      <c r="A19" s="5" t="s">
        <v>7291</v>
      </c>
      <c r="B19" s="5" t="s">
        <v>8584</v>
      </c>
      <c r="C19" s="5">
        <v>3</v>
      </c>
      <c r="D19" s="5"/>
      <c r="E19" s="5"/>
      <c r="F19" s="5" t="s">
        <v>9472</v>
      </c>
      <c r="G19" s="5" t="s">
        <v>114</v>
      </c>
      <c r="H19" s="5" t="s">
        <v>137</v>
      </c>
      <c r="I19" s="5" t="s">
        <v>55</v>
      </c>
      <c r="J19" s="5" t="s">
        <v>7288</v>
      </c>
      <c r="M19" s="1"/>
      <c r="N19"/>
      <c r="O19"/>
      <c r="P19"/>
      <c r="Q19"/>
      <c r="R19"/>
      <c r="S19"/>
      <c r="T19"/>
      <c r="U19"/>
      <c r="V19"/>
      <c r="W19"/>
      <c r="X19"/>
      <c r="Y19"/>
    </row>
    <row r="20" spans="1:25" s="2" customFormat="1" x14ac:dyDescent="0.2">
      <c r="A20" s="5" t="s">
        <v>7630</v>
      </c>
      <c r="B20" s="5" t="s">
        <v>8584</v>
      </c>
      <c r="C20" s="5">
        <v>4</v>
      </c>
      <c r="D20" s="5"/>
      <c r="E20" s="5" t="s">
        <v>93</v>
      </c>
      <c r="F20" s="5" t="s">
        <v>7569</v>
      </c>
      <c r="G20" s="5" t="s">
        <v>195</v>
      </c>
      <c r="H20" s="5" t="s">
        <v>137</v>
      </c>
      <c r="I20" s="5" t="s">
        <v>55</v>
      </c>
      <c r="J20" s="5" t="s">
        <v>9629</v>
      </c>
      <c r="M20" s="1"/>
      <c r="N20"/>
      <c r="O20"/>
      <c r="P20"/>
      <c r="Q20"/>
      <c r="R20"/>
      <c r="S20"/>
      <c r="T20"/>
      <c r="U20"/>
      <c r="V20"/>
      <c r="W20"/>
      <c r="X20"/>
      <c r="Y20"/>
    </row>
    <row r="21" spans="1:25" s="2" customFormat="1" x14ac:dyDescent="0.2">
      <c r="A21" s="5" t="s">
        <v>9630</v>
      </c>
      <c r="B21" s="5" t="s">
        <v>8584</v>
      </c>
      <c r="C21" s="5">
        <v>4</v>
      </c>
      <c r="D21" s="5"/>
      <c r="E21" s="5" t="s">
        <v>368</v>
      </c>
      <c r="F21" s="5" t="s">
        <v>7569</v>
      </c>
      <c r="G21" s="5" t="s">
        <v>195</v>
      </c>
      <c r="H21" s="5" t="s">
        <v>137</v>
      </c>
      <c r="I21" s="5" t="s">
        <v>55</v>
      </c>
      <c r="J21" s="5" t="s">
        <v>9629</v>
      </c>
      <c r="M21" s="1"/>
      <c r="N21"/>
      <c r="O21"/>
      <c r="P21"/>
      <c r="Q21"/>
      <c r="R21"/>
      <c r="S21"/>
      <c r="T21"/>
      <c r="U21"/>
      <c r="V21"/>
      <c r="W21"/>
      <c r="X21"/>
      <c r="Y21"/>
    </row>
    <row r="22" spans="1:25" s="2" customFormat="1" x14ac:dyDescent="0.2">
      <c r="A22" s="5" t="s">
        <v>9628</v>
      </c>
      <c r="B22" s="5" t="s">
        <v>8584</v>
      </c>
      <c r="C22" s="5">
        <v>5</v>
      </c>
      <c r="D22" s="5"/>
      <c r="E22" s="5" t="s">
        <v>150</v>
      </c>
      <c r="F22" s="5" t="s">
        <v>9626</v>
      </c>
      <c r="G22" s="5" t="s">
        <v>148</v>
      </c>
      <c r="H22" s="5" t="s">
        <v>3</v>
      </c>
      <c r="I22" s="5"/>
      <c r="J22" s="5" t="s">
        <v>9625</v>
      </c>
      <c r="M22" s="1"/>
      <c r="N22"/>
      <c r="O22"/>
      <c r="P22"/>
      <c r="Q22"/>
      <c r="R22"/>
      <c r="S22"/>
      <c r="T22"/>
      <c r="U22"/>
      <c r="V22"/>
      <c r="W22"/>
      <c r="X22"/>
      <c r="Y22"/>
    </row>
    <row r="23" spans="1:25" s="2" customFormat="1" x14ac:dyDescent="0.2">
      <c r="A23" s="5" t="s">
        <v>9627</v>
      </c>
      <c r="B23" s="5" t="s">
        <v>8584</v>
      </c>
      <c r="C23" s="5">
        <v>5</v>
      </c>
      <c r="D23" s="5"/>
      <c r="E23" s="5" t="s">
        <v>213</v>
      </c>
      <c r="F23" s="5" t="s">
        <v>9626</v>
      </c>
      <c r="G23" s="5" t="s">
        <v>91</v>
      </c>
      <c r="H23" s="5" t="s">
        <v>3</v>
      </c>
      <c r="I23" s="5"/>
      <c r="J23" s="5" t="s">
        <v>9625</v>
      </c>
      <c r="M23" s="1"/>
      <c r="N23"/>
      <c r="O23"/>
      <c r="P23"/>
      <c r="Q23"/>
      <c r="R23"/>
      <c r="S23"/>
      <c r="T23"/>
      <c r="U23"/>
      <c r="V23"/>
      <c r="W23"/>
      <c r="X23"/>
      <c r="Y23"/>
    </row>
    <row r="24" spans="1:25" s="2" customFormat="1" x14ac:dyDescent="0.2">
      <c r="A24" s="5" t="s">
        <v>372</v>
      </c>
      <c r="B24" s="5" t="s">
        <v>8584</v>
      </c>
      <c r="C24" s="5">
        <v>6</v>
      </c>
      <c r="D24" s="5"/>
      <c r="E24" s="5"/>
      <c r="F24" s="5" t="s">
        <v>372</v>
      </c>
      <c r="G24" s="5" t="s">
        <v>173</v>
      </c>
      <c r="H24" s="5" t="s">
        <v>3</v>
      </c>
      <c r="I24" s="5"/>
      <c r="J24" s="5" t="s">
        <v>9228</v>
      </c>
      <c r="M24" s="1"/>
      <c r="N24"/>
      <c r="O24"/>
      <c r="P24"/>
      <c r="Q24"/>
      <c r="R24"/>
      <c r="S24"/>
      <c r="T24"/>
      <c r="U24"/>
      <c r="V24"/>
      <c r="W24"/>
      <c r="X24"/>
      <c r="Y24"/>
    </row>
    <row r="25" spans="1:25" s="2" customFormat="1" x14ac:dyDescent="0.2">
      <c r="A25" s="5" t="s">
        <v>9227</v>
      </c>
      <c r="B25" s="5" t="s">
        <v>8584</v>
      </c>
      <c r="C25" s="5">
        <v>7</v>
      </c>
      <c r="D25" s="5"/>
      <c r="E25" s="5"/>
      <c r="F25" s="5" t="s">
        <v>9226</v>
      </c>
      <c r="G25" s="5" t="s">
        <v>3059</v>
      </c>
      <c r="H25" s="5" t="s">
        <v>3</v>
      </c>
      <c r="I25" s="5"/>
      <c r="J25" s="5" t="s">
        <v>9624</v>
      </c>
      <c r="M25" s="1"/>
      <c r="N25"/>
      <c r="O25"/>
      <c r="P25"/>
      <c r="Q25"/>
      <c r="R25"/>
      <c r="S25"/>
      <c r="T25"/>
      <c r="U25"/>
      <c r="V25"/>
      <c r="W25"/>
      <c r="X25"/>
      <c r="Y25"/>
    </row>
    <row r="26" spans="1:25" s="2" customFormat="1" x14ac:dyDescent="0.2">
      <c r="A26" s="5" t="s">
        <v>9623</v>
      </c>
      <c r="B26" s="5" t="s">
        <v>8584</v>
      </c>
      <c r="C26" s="5">
        <v>8</v>
      </c>
      <c r="D26" s="5"/>
      <c r="E26" s="5"/>
      <c r="F26" s="5" t="s">
        <v>237</v>
      </c>
      <c r="G26" s="5" t="s">
        <v>3059</v>
      </c>
      <c r="H26" s="5" t="s">
        <v>3</v>
      </c>
      <c r="I26" s="5"/>
      <c r="J26" s="5" t="s">
        <v>9622</v>
      </c>
      <c r="M26" s="1"/>
      <c r="N26"/>
      <c r="O26"/>
      <c r="P26"/>
      <c r="Q26"/>
      <c r="R26"/>
      <c r="S26"/>
      <c r="T26"/>
      <c r="U26"/>
      <c r="V26"/>
      <c r="W26"/>
      <c r="X26"/>
      <c r="Y26"/>
    </row>
    <row r="27" spans="1:25" s="2" customFormat="1" x14ac:dyDescent="0.2">
      <c r="A27" s="5" t="s">
        <v>9621</v>
      </c>
      <c r="B27" s="5" t="s">
        <v>8584</v>
      </c>
      <c r="C27" s="5">
        <v>9</v>
      </c>
      <c r="D27" s="5"/>
      <c r="E27" s="5" t="s">
        <v>150</v>
      </c>
      <c r="F27" s="5" t="s">
        <v>9596</v>
      </c>
      <c r="G27" s="5" t="s">
        <v>283</v>
      </c>
      <c r="H27" s="5" t="s">
        <v>3</v>
      </c>
      <c r="I27" s="5"/>
      <c r="J27" s="5" t="s">
        <v>9619</v>
      </c>
      <c r="M27" s="1"/>
      <c r="N27"/>
      <c r="O27"/>
      <c r="P27"/>
      <c r="Q27"/>
      <c r="R27"/>
      <c r="S27"/>
      <c r="T27"/>
      <c r="U27"/>
      <c r="V27"/>
      <c r="W27"/>
      <c r="X27"/>
      <c r="Y27"/>
    </row>
    <row r="28" spans="1:25" s="2" customFormat="1" x14ac:dyDescent="0.2">
      <c r="A28" s="5" t="s">
        <v>9620</v>
      </c>
      <c r="B28" s="5" t="s">
        <v>8584</v>
      </c>
      <c r="C28" s="5">
        <v>9</v>
      </c>
      <c r="D28" s="5"/>
      <c r="E28" s="5" t="s">
        <v>213</v>
      </c>
      <c r="F28" s="5" t="s">
        <v>9596</v>
      </c>
      <c r="G28" s="5" t="s">
        <v>91</v>
      </c>
      <c r="H28" s="5" t="s">
        <v>3</v>
      </c>
      <c r="I28" s="5"/>
      <c r="J28" s="5" t="s">
        <v>9619</v>
      </c>
      <c r="M28" s="1"/>
      <c r="N28"/>
      <c r="O28"/>
      <c r="P28"/>
      <c r="Q28"/>
      <c r="R28"/>
      <c r="S28"/>
      <c r="T28"/>
      <c r="U28"/>
      <c r="V28"/>
      <c r="W28"/>
      <c r="X28"/>
      <c r="Y28"/>
    </row>
    <row r="29" spans="1:25" s="2" customFormat="1" x14ac:dyDescent="0.2">
      <c r="A29" s="5" t="s">
        <v>9618</v>
      </c>
      <c r="B29" s="5" t="s">
        <v>8584</v>
      </c>
      <c r="C29" s="5">
        <v>9</v>
      </c>
      <c r="D29" s="5"/>
      <c r="E29" s="5" t="s">
        <v>150</v>
      </c>
      <c r="F29" s="5" t="s">
        <v>9609</v>
      </c>
      <c r="G29" s="5" t="s">
        <v>283</v>
      </c>
      <c r="H29" s="5" t="s">
        <v>3</v>
      </c>
      <c r="I29" s="5"/>
      <c r="J29" s="5" t="s">
        <v>9617</v>
      </c>
      <c r="M29" s="1"/>
      <c r="N29"/>
      <c r="O29"/>
      <c r="P29"/>
      <c r="Q29"/>
      <c r="R29"/>
      <c r="S29"/>
      <c r="T29"/>
      <c r="U29"/>
      <c r="V29"/>
      <c r="W29"/>
      <c r="X29"/>
      <c r="Y29"/>
    </row>
    <row r="30" spans="1:25" s="2" customFormat="1" ht="25.5" x14ac:dyDescent="0.2">
      <c r="A30" s="5" t="s">
        <v>9616</v>
      </c>
      <c r="B30" s="5" t="s">
        <v>8584</v>
      </c>
      <c r="C30" s="5">
        <v>10</v>
      </c>
      <c r="D30" s="5"/>
      <c r="E30" s="5" t="s">
        <v>5520</v>
      </c>
      <c r="F30" s="5" t="s">
        <v>9596</v>
      </c>
      <c r="G30" s="5" t="s">
        <v>283</v>
      </c>
      <c r="H30" s="5" t="s">
        <v>3</v>
      </c>
      <c r="I30" s="5"/>
      <c r="J30" s="5" t="s">
        <v>9615</v>
      </c>
      <c r="M30" s="1"/>
      <c r="N30"/>
      <c r="O30"/>
      <c r="P30"/>
      <c r="Q30"/>
      <c r="R30"/>
      <c r="S30"/>
      <c r="T30"/>
      <c r="U30"/>
      <c r="V30"/>
      <c r="W30"/>
      <c r="X30"/>
      <c r="Y30"/>
    </row>
    <row r="31" spans="1:25" s="2" customFormat="1" ht="25.5" x14ac:dyDescent="0.2">
      <c r="A31" s="5" t="s">
        <v>9614</v>
      </c>
      <c r="B31" s="5" t="s">
        <v>8584</v>
      </c>
      <c r="C31" s="5">
        <v>10</v>
      </c>
      <c r="D31" s="5"/>
      <c r="E31" s="5" t="s">
        <v>5520</v>
      </c>
      <c r="F31" s="5" t="s">
        <v>9609</v>
      </c>
      <c r="G31" s="5" t="s">
        <v>283</v>
      </c>
      <c r="H31" s="5" t="s">
        <v>3</v>
      </c>
      <c r="I31" s="5"/>
      <c r="J31" s="5" t="s">
        <v>9613</v>
      </c>
      <c r="M31" s="1"/>
      <c r="N31"/>
      <c r="O31"/>
      <c r="P31"/>
      <c r="Q31"/>
      <c r="R31"/>
      <c r="S31"/>
      <c r="T31"/>
      <c r="U31"/>
      <c r="V31"/>
      <c r="W31"/>
      <c r="X31"/>
      <c r="Y31"/>
    </row>
    <row r="32" spans="1:25" s="2" customFormat="1" ht="25.5" x14ac:dyDescent="0.2">
      <c r="A32" s="5" t="s">
        <v>9612</v>
      </c>
      <c r="B32" s="5" t="s">
        <v>8584</v>
      </c>
      <c r="C32" s="5">
        <v>11</v>
      </c>
      <c r="D32" s="5"/>
      <c r="E32" s="5"/>
      <c r="F32" s="5" t="s">
        <v>9596</v>
      </c>
      <c r="G32" s="5" t="s">
        <v>229</v>
      </c>
      <c r="H32" s="5" t="s">
        <v>3</v>
      </c>
      <c r="I32" s="5"/>
      <c r="J32" s="5" t="s">
        <v>9611</v>
      </c>
      <c r="M32" s="1"/>
      <c r="N32"/>
      <c r="O32"/>
      <c r="P32"/>
      <c r="Q32"/>
      <c r="R32"/>
      <c r="S32"/>
      <c r="T32"/>
      <c r="U32"/>
      <c r="V32"/>
      <c r="W32"/>
      <c r="X32"/>
      <c r="Y32"/>
    </row>
    <row r="33" spans="1:25" s="2" customFormat="1" ht="25.5" x14ac:dyDescent="0.2">
      <c r="A33" s="5" t="s">
        <v>9610</v>
      </c>
      <c r="B33" s="5" t="s">
        <v>8584</v>
      </c>
      <c r="C33" s="5">
        <v>11</v>
      </c>
      <c r="D33" s="5"/>
      <c r="E33" s="5"/>
      <c r="F33" s="5" t="s">
        <v>9609</v>
      </c>
      <c r="G33" s="5" t="s">
        <v>229</v>
      </c>
      <c r="H33" s="5" t="s">
        <v>3</v>
      </c>
      <c r="I33" s="5"/>
      <c r="J33" s="5" t="s">
        <v>9608</v>
      </c>
      <c r="M33" s="1"/>
      <c r="N33"/>
      <c r="O33"/>
      <c r="P33"/>
      <c r="Q33"/>
      <c r="R33"/>
      <c r="S33"/>
      <c r="T33"/>
      <c r="U33"/>
      <c r="V33"/>
      <c r="W33"/>
      <c r="X33"/>
      <c r="Y33"/>
    </row>
    <row r="34" spans="1:25" s="2" customFormat="1" x14ac:dyDescent="0.2">
      <c r="A34" s="5" t="s">
        <v>349</v>
      </c>
      <c r="B34" s="5" t="s">
        <v>8584</v>
      </c>
      <c r="C34" s="5">
        <v>12</v>
      </c>
      <c r="D34" s="5"/>
      <c r="E34" s="5"/>
      <c r="F34" s="5" t="s">
        <v>8685</v>
      </c>
      <c r="G34" s="5" t="s">
        <v>173</v>
      </c>
      <c r="H34" s="5" t="s">
        <v>137</v>
      </c>
      <c r="I34" s="5" t="s">
        <v>55</v>
      </c>
      <c r="J34" s="5" t="s">
        <v>9607</v>
      </c>
      <c r="M34" s="1"/>
      <c r="N34"/>
      <c r="O34"/>
      <c r="P34"/>
      <c r="Q34"/>
      <c r="R34"/>
      <c r="S34"/>
      <c r="T34"/>
      <c r="U34"/>
      <c r="V34"/>
      <c r="W34"/>
      <c r="X34"/>
      <c r="Y34"/>
    </row>
    <row r="35" spans="1:25" s="2" customFormat="1" ht="38.25" x14ac:dyDescent="0.2">
      <c r="A35" s="5" t="s">
        <v>9606</v>
      </c>
      <c r="B35" s="5" t="s">
        <v>8584</v>
      </c>
      <c r="C35" s="5">
        <v>13</v>
      </c>
      <c r="D35" s="5"/>
      <c r="E35" s="5"/>
      <c r="F35" s="5" t="s">
        <v>9605</v>
      </c>
      <c r="G35" s="5" t="s">
        <v>283</v>
      </c>
      <c r="H35" s="5" t="s">
        <v>3</v>
      </c>
      <c r="I35" s="5"/>
      <c r="J35" s="5" t="s">
        <v>9604</v>
      </c>
      <c r="M35" s="1"/>
      <c r="N35"/>
      <c r="O35"/>
      <c r="P35"/>
      <c r="Q35"/>
      <c r="R35"/>
      <c r="S35"/>
      <c r="T35"/>
      <c r="U35"/>
      <c r="V35"/>
      <c r="W35"/>
      <c r="X35"/>
      <c r="Y35"/>
    </row>
    <row r="36" spans="1:25" s="2" customFormat="1" x14ac:dyDescent="0.2">
      <c r="A36" s="5" t="s">
        <v>9603</v>
      </c>
      <c r="B36" s="5" t="s">
        <v>8584</v>
      </c>
      <c r="C36" s="5">
        <v>17</v>
      </c>
      <c r="D36" s="5"/>
      <c r="E36" s="5"/>
      <c r="F36" s="5" t="s">
        <v>9600</v>
      </c>
      <c r="G36" s="5" t="s">
        <v>702</v>
      </c>
      <c r="H36" s="5" t="s">
        <v>3</v>
      </c>
      <c r="I36" s="5"/>
      <c r="J36" s="5" t="s">
        <v>9602</v>
      </c>
      <c r="M36" s="1"/>
      <c r="N36"/>
      <c r="O36"/>
      <c r="P36"/>
      <c r="Q36"/>
      <c r="R36"/>
      <c r="S36"/>
      <c r="T36"/>
      <c r="U36"/>
      <c r="V36"/>
      <c r="W36"/>
      <c r="X36"/>
      <c r="Y36"/>
    </row>
    <row r="37" spans="1:25" s="2" customFormat="1" x14ac:dyDescent="0.2">
      <c r="A37" s="5" t="s">
        <v>9601</v>
      </c>
      <c r="B37" s="5" t="s">
        <v>8584</v>
      </c>
      <c r="C37" s="5">
        <v>18</v>
      </c>
      <c r="D37" s="5"/>
      <c r="E37" s="5"/>
      <c r="F37" s="5" t="s">
        <v>9600</v>
      </c>
      <c r="G37" s="5" t="s">
        <v>702</v>
      </c>
      <c r="H37" s="5" t="s">
        <v>3</v>
      </c>
      <c r="I37" s="5"/>
      <c r="J37" s="5" t="s">
        <v>9599</v>
      </c>
      <c r="M37" s="1"/>
      <c r="N37"/>
      <c r="O37"/>
      <c r="P37"/>
      <c r="Q37"/>
      <c r="R37"/>
      <c r="S37"/>
      <c r="T37"/>
      <c r="U37"/>
      <c r="V37"/>
      <c r="W37"/>
      <c r="X37"/>
      <c r="Y37"/>
    </row>
    <row r="38" spans="1:25" s="2" customFormat="1" x14ac:dyDescent="0.2">
      <c r="A38" s="5" t="s">
        <v>9598</v>
      </c>
      <c r="B38" s="5" t="s">
        <v>8584</v>
      </c>
      <c r="C38" s="5">
        <v>19</v>
      </c>
      <c r="D38" s="5"/>
      <c r="E38" s="5"/>
      <c r="F38" s="5" t="s">
        <v>7577</v>
      </c>
      <c r="G38" s="5" t="s">
        <v>118</v>
      </c>
      <c r="H38" s="5" t="s">
        <v>137</v>
      </c>
      <c r="I38" s="5" t="s">
        <v>55</v>
      </c>
      <c r="J38" s="5" t="s">
        <v>7620</v>
      </c>
      <c r="M38" s="1"/>
      <c r="N38"/>
      <c r="O38"/>
      <c r="P38"/>
      <c r="Q38"/>
      <c r="R38"/>
      <c r="S38"/>
      <c r="T38"/>
      <c r="U38"/>
      <c r="V38"/>
      <c r="W38"/>
      <c r="X38"/>
      <c r="Y38"/>
    </row>
    <row r="39" spans="1:25" s="2" customFormat="1" x14ac:dyDescent="0.2">
      <c r="A39" s="5" t="s">
        <v>9597</v>
      </c>
      <c r="B39" s="5" t="s">
        <v>8584</v>
      </c>
      <c r="C39" s="5">
        <v>20</v>
      </c>
      <c r="D39" s="5"/>
      <c r="E39" s="5"/>
      <c r="F39" s="5" t="s">
        <v>9596</v>
      </c>
      <c r="G39" s="5" t="s">
        <v>9595</v>
      </c>
      <c r="H39" s="5" t="s">
        <v>137</v>
      </c>
      <c r="I39" s="5"/>
      <c r="J39" s="5" t="s">
        <v>9594</v>
      </c>
      <c r="M39" s="1"/>
      <c r="N39"/>
      <c r="O39"/>
      <c r="P39"/>
      <c r="Q39"/>
      <c r="R39"/>
      <c r="S39"/>
      <c r="T39"/>
      <c r="U39"/>
      <c r="V39"/>
      <c r="W39"/>
      <c r="X39"/>
      <c r="Y39"/>
    </row>
    <row r="40" spans="1:25" s="2" customFormat="1" x14ac:dyDescent="0.2">
      <c r="A40" s="5" t="s">
        <v>8578</v>
      </c>
      <c r="B40" s="5" t="s">
        <v>83</v>
      </c>
      <c r="C40" s="5"/>
      <c r="D40" s="5" t="s">
        <v>8577</v>
      </c>
      <c r="E40" s="5" t="s">
        <v>288</v>
      </c>
      <c r="F40" s="5" t="s">
        <v>7832</v>
      </c>
      <c r="G40" s="5" t="s">
        <v>91</v>
      </c>
      <c r="H40" s="5" t="s">
        <v>3</v>
      </c>
      <c r="I40" s="5"/>
      <c r="J40" s="5"/>
      <c r="M40" s="1"/>
      <c r="N40"/>
      <c r="O40"/>
      <c r="P40"/>
      <c r="Q40"/>
      <c r="R40"/>
      <c r="S40"/>
      <c r="T40"/>
      <c r="U40"/>
      <c r="V40"/>
      <c r="W40"/>
      <c r="X40"/>
      <c r="Y40"/>
    </row>
    <row r="41" spans="1:25" s="2" customFormat="1" ht="25.5" x14ac:dyDescent="0.2">
      <c r="A41" s="5" t="s">
        <v>9593</v>
      </c>
      <c r="B41" s="5" t="s">
        <v>83</v>
      </c>
      <c r="C41" s="5"/>
      <c r="D41" s="5" t="s">
        <v>9592</v>
      </c>
      <c r="E41" s="5"/>
      <c r="F41" s="5" t="s">
        <v>9591</v>
      </c>
      <c r="G41" s="5" t="s">
        <v>118</v>
      </c>
      <c r="H41" s="5" t="s">
        <v>137</v>
      </c>
      <c r="I41" s="5" t="s">
        <v>55</v>
      </c>
      <c r="J41" s="5" t="s">
        <v>9590</v>
      </c>
      <c r="M41" s="1"/>
      <c r="N41"/>
      <c r="O41"/>
      <c r="P41"/>
      <c r="Q41"/>
      <c r="R41"/>
      <c r="S41"/>
      <c r="T41"/>
      <c r="U41"/>
      <c r="V41"/>
      <c r="W41"/>
      <c r="X41"/>
      <c r="Y41"/>
    </row>
    <row r="42" spans="1:25" s="2" customFormat="1" x14ac:dyDescent="0.2">
      <c r="A42" s="5" t="s">
        <v>8571</v>
      </c>
      <c r="B42" s="5" t="s">
        <v>83</v>
      </c>
      <c r="C42" s="5"/>
      <c r="D42" s="5" t="s">
        <v>8572</v>
      </c>
      <c r="E42" s="5"/>
      <c r="F42" s="5"/>
      <c r="G42" s="5" t="s">
        <v>3059</v>
      </c>
      <c r="H42" s="5" t="s">
        <v>3</v>
      </c>
      <c r="I42" s="5"/>
      <c r="J42" s="5"/>
      <c r="M42" s="1"/>
      <c r="N42"/>
      <c r="O42"/>
      <c r="P42"/>
      <c r="Q42"/>
      <c r="R42"/>
      <c r="S42"/>
      <c r="T42"/>
      <c r="U42"/>
      <c r="V42"/>
      <c r="W42"/>
      <c r="X42"/>
      <c r="Y42"/>
    </row>
    <row r="43" spans="1:25" s="2" customFormat="1" ht="25.5" x14ac:dyDescent="0.2">
      <c r="A43" s="5" t="s">
        <v>9589</v>
      </c>
      <c r="B43" s="5" t="s">
        <v>83</v>
      </c>
      <c r="C43" s="5"/>
      <c r="D43" s="5" t="s">
        <v>9588</v>
      </c>
      <c r="E43" s="5"/>
      <c r="F43" s="5"/>
      <c r="G43" s="5" t="s">
        <v>882</v>
      </c>
      <c r="H43" s="5" t="s">
        <v>3</v>
      </c>
      <c r="I43" s="5"/>
      <c r="J43" s="5"/>
      <c r="M43" s="1"/>
      <c r="N43"/>
      <c r="O43"/>
      <c r="P43"/>
      <c r="Q43"/>
      <c r="R43"/>
      <c r="S43"/>
      <c r="T43"/>
      <c r="U43"/>
      <c r="V43"/>
      <c r="W43"/>
      <c r="X43"/>
      <c r="Y43"/>
    </row>
    <row r="44" spans="1:25" s="2" customFormat="1" ht="25.5" x14ac:dyDescent="0.2">
      <c r="A44" s="5" t="s">
        <v>9587</v>
      </c>
      <c r="B44" s="5" t="s">
        <v>83</v>
      </c>
      <c r="C44" s="5"/>
      <c r="D44" s="5" t="s">
        <v>9586</v>
      </c>
      <c r="E44" s="5"/>
      <c r="F44" s="5" t="s">
        <v>9585</v>
      </c>
      <c r="G44" s="5" t="s">
        <v>80</v>
      </c>
      <c r="H44" s="5" t="s">
        <v>137</v>
      </c>
      <c r="I44" s="5" t="s">
        <v>55</v>
      </c>
      <c r="J44" s="5" t="s">
        <v>9584</v>
      </c>
      <c r="M44" s="1"/>
      <c r="N44"/>
      <c r="O44"/>
      <c r="P44"/>
      <c r="Q44"/>
      <c r="R44"/>
      <c r="S44"/>
      <c r="T44"/>
      <c r="U44"/>
      <c r="V44"/>
      <c r="W44"/>
      <c r="X44"/>
      <c r="Y44"/>
    </row>
    <row r="45" spans="1:25" s="2" customFormat="1" ht="25.5" x14ac:dyDescent="0.2">
      <c r="A45" s="5" t="s">
        <v>9583</v>
      </c>
      <c r="B45" s="5" t="s">
        <v>83</v>
      </c>
      <c r="C45" s="5"/>
      <c r="D45" s="5" t="s">
        <v>9582</v>
      </c>
      <c r="E45" s="5"/>
      <c r="F45" s="5" t="s">
        <v>9581</v>
      </c>
      <c r="G45" s="5" t="s">
        <v>80</v>
      </c>
      <c r="H45" s="5" t="s">
        <v>3</v>
      </c>
      <c r="I45" s="5"/>
      <c r="J45" s="5" t="s">
        <v>9580</v>
      </c>
      <c r="M45" s="1"/>
      <c r="N45"/>
      <c r="O45"/>
      <c r="P45"/>
      <c r="Q45"/>
      <c r="R45"/>
      <c r="S45"/>
      <c r="T45"/>
      <c r="U45"/>
      <c r="V45"/>
      <c r="W45"/>
      <c r="X45"/>
      <c r="Y45"/>
    </row>
    <row r="46" spans="1:25" s="2" customFormat="1" x14ac:dyDescent="0.2">
      <c r="A46" s="5" t="s">
        <v>9579</v>
      </c>
      <c r="B46" s="5" t="s">
        <v>83</v>
      </c>
      <c r="C46" s="5"/>
      <c r="D46" s="5" t="s">
        <v>9578</v>
      </c>
      <c r="E46" s="5"/>
      <c r="F46" s="5" t="s">
        <v>5747</v>
      </c>
      <c r="G46" s="5" t="s">
        <v>80</v>
      </c>
      <c r="H46" s="5" t="s">
        <v>137</v>
      </c>
      <c r="I46" s="5" t="s">
        <v>55</v>
      </c>
      <c r="J46" s="5" t="s">
        <v>9577</v>
      </c>
      <c r="M46" s="1"/>
      <c r="N46"/>
      <c r="O46"/>
      <c r="P46"/>
      <c r="Q46"/>
      <c r="R46"/>
      <c r="S46"/>
      <c r="T46"/>
      <c r="U46"/>
      <c r="V46"/>
      <c r="W46"/>
      <c r="X46"/>
      <c r="Y46"/>
    </row>
    <row r="47" spans="1:25" s="2" customFormat="1" ht="25.5" x14ac:dyDescent="0.2">
      <c r="A47" s="5" t="s">
        <v>9576</v>
      </c>
      <c r="B47" s="5" t="s">
        <v>83</v>
      </c>
      <c r="C47" s="5"/>
      <c r="D47" s="5" t="s">
        <v>9575</v>
      </c>
      <c r="E47" s="5" t="s">
        <v>368</v>
      </c>
      <c r="F47" s="5" t="s">
        <v>9574</v>
      </c>
      <c r="G47" s="5" t="s">
        <v>207</v>
      </c>
      <c r="H47" s="5" t="s">
        <v>137</v>
      </c>
      <c r="I47" s="5" t="s">
        <v>55</v>
      </c>
      <c r="J47" s="5" t="s">
        <v>9573</v>
      </c>
      <c r="M47" s="1"/>
      <c r="N47"/>
      <c r="O47"/>
      <c r="P47"/>
      <c r="Q47"/>
      <c r="R47"/>
      <c r="S47"/>
      <c r="T47"/>
      <c r="U47"/>
      <c r="V47"/>
      <c r="W47"/>
      <c r="X47"/>
      <c r="Y47"/>
    </row>
    <row r="48" spans="1:25" s="2" customFormat="1" ht="25.5" x14ac:dyDescent="0.2">
      <c r="A48" s="5" t="s">
        <v>9572</v>
      </c>
      <c r="B48" s="5" t="s">
        <v>83</v>
      </c>
      <c r="C48" s="5"/>
      <c r="D48" s="5" t="s">
        <v>9571</v>
      </c>
      <c r="E48" s="5" t="s">
        <v>368</v>
      </c>
      <c r="F48" s="5" t="s">
        <v>9570</v>
      </c>
      <c r="G48" s="5" t="s">
        <v>207</v>
      </c>
      <c r="H48" s="5" t="s">
        <v>137</v>
      </c>
      <c r="I48" s="5" t="s">
        <v>55</v>
      </c>
      <c r="J48" s="5" t="s">
        <v>9569</v>
      </c>
      <c r="M48" s="1"/>
      <c r="N48"/>
      <c r="O48"/>
      <c r="P48"/>
      <c r="Q48"/>
      <c r="R48"/>
      <c r="S48"/>
      <c r="T48"/>
      <c r="U48"/>
      <c r="V48"/>
      <c r="W48"/>
      <c r="X48"/>
      <c r="Y48"/>
    </row>
    <row r="49" spans="1:25" s="2" customFormat="1" ht="25.5" x14ac:dyDescent="0.2">
      <c r="A49" s="5" t="s">
        <v>9568</v>
      </c>
      <c r="B49" s="5" t="s">
        <v>83</v>
      </c>
      <c r="C49" s="5"/>
      <c r="D49" s="5" t="s">
        <v>9567</v>
      </c>
      <c r="E49" s="5"/>
      <c r="F49" s="5" t="s">
        <v>9566</v>
      </c>
      <c r="G49" s="5" t="s">
        <v>2308</v>
      </c>
      <c r="H49" s="5" t="s">
        <v>137</v>
      </c>
      <c r="I49" s="5" t="s">
        <v>55</v>
      </c>
      <c r="J49" s="5" t="s">
        <v>9565</v>
      </c>
      <c r="M49" s="1"/>
      <c r="N49"/>
      <c r="O49"/>
      <c r="P49"/>
      <c r="Q49"/>
      <c r="R49"/>
      <c r="S49"/>
      <c r="T49"/>
      <c r="U49"/>
      <c r="V49"/>
      <c r="W49"/>
      <c r="X49"/>
      <c r="Y49"/>
    </row>
    <row r="50" spans="1:25" s="2" customFormat="1" ht="25.5" x14ac:dyDescent="0.2">
      <c r="A50" s="5" t="s">
        <v>9564</v>
      </c>
      <c r="B50" s="5" t="s">
        <v>83</v>
      </c>
      <c r="C50" s="5"/>
      <c r="D50" s="5" t="s">
        <v>9563</v>
      </c>
      <c r="E50" s="5"/>
      <c r="F50" s="5" t="s">
        <v>9562</v>
      </c>
      <c r="G50" s="5" t="s">
        <v>229</v>
      </c>
      <c r="H50" s="5" t="s">
        <v>137</v>
      </c>
      <c r="I50" s="5" t="s">
        <v>55</v>
      </c>
      <c r="J50" s="5" t="s">
        <v>9561</v>
      </c>
      <c r="M50" s="1"/>
      <c r="N50"/>
      <c r="O50"/>
      <c r="P50"/>
      <c r="Q50"/>
      <c r="R50"/>
      <c r="S50"/>
      <c r="T50"/>
      <c r="U50"/>
      <c r="V50"/>
      <c r="W50"/>
      <c r="X50"/>
      <c r="Y50"/>
    </row>
    <row r="51" spans="1:25" s="2" customFormat="1" ht="25.5" x14ac:dyDescent="0.2">
      <c r="A51" s="5" t="s">
        <v>9560</v>
      </c>
      <c r="B51" s="5" t="s">
        <v>83</v>
      </c>
      <c r="C51" s="5"/>
      <c r="D51" s="5" t="s">
        <v>9559</v>
      </c>
      <c r="E51" s="5"/>
      <c r="F51" s="5" t="s">
        <v>9558</v>
      </c>
      <c r="G51" s="5" t="s">
        <v>328</v>
      </c>
      <c r="H51" s="5" t="s">
        <v>137</v>
      </c>
      <c r="I51" s="5" t="s">
        <v>55</v>
      </c>
      <c r="J51" s="5" t="s">
        <v>9557</v>
      </c>
      <c r="M51" s="1"/>
      <c r="N51"/>
      <c r="O51"/>
      <c r="P51"/>
      <c r="Q51"/>
      <c r="R51"/>
      <c r="S51"/>
      <c r="T51"/>
      <c r="U51"/>
      <c r="V51"/>
      <c r="W51"/>
      <c r="X51"/>
      <c r="Y51"/>
    </row>
    <row r="52" spans="1:25" s="2" customFormat="1" ht="25.5" x14ac:dyDescent="0.2">
      <c r="A52" s="5" t="s">
        <v>8527</v>
      </c>
      <c r="B52" s="5" t="s">
        <v>83</v>
      </c>
      <c r="C52" s="5"/>
      <c r="D52" s="5" t="s">
        <v>8526</v>
      </c>
      <c r="E52" s="5"/>
      <c r="F52" s="5" t="s">
        <v>7653</v>
      </c>
      <c r="G52" s="5" t="s">
        <v>224</v>
      </c>
      <c r="H52" s="5" t="s">
        <v>137</v>
      </c>
      <c r="I52" s="5" t="s">
        <v>55</v>
      </c>
      <c r="J52" s="5" t="s">
        <v>8525</v>
      </c>
      <c r="M52" s="1"/>
      <c r="N52"/>
      <c r="O52"/>
      <c r="P52"/>
      <c r="Q52"/>
      <c r="R52"/>
      <c r="S52"/>
      <c r="T52"/>
      <c r="U52"/>
      <c r="V52"/>
      <c r="W52"/>
      <c r="X52"/>
      <c r="Y52"/>
    </row>
    <row r="53" spans="1:25" s="2" customFormat="1" ht="25.5" x14ac:dyDescent="0.2">
      <c r="A53" s="5" t="s">
        <v>8524</v>
      </c>
      <c r="B53" s="5" t="s">
        <v>83</v>
      </c>
      <c r="C53" s="5"/>
      <c r="D53" s="5" t="s">
        <v>8523</v>
      </c>
      <c r="E53" s="5"/>
      <c r="F53" s="5" t="s">
        <v>7895</v>
      </c>
      <c r="G53" s="5" t="s">
        <v>118</v>
      </c>
      <c r="H53" s="5" t="s">
        <v>137</v>
      </c>
      <c r="I53" s="5" t="s">
        <v>55</v>
      </c>
      <c r="J53" s="5" t="s">
        <v>9556</v>
      </c>
      <c r="M53" s="1"/>
      <c r="N53"/>
      <c r="O53"/>
      <c r="P53"/>
      <c r="Q53"/>
      <c r="R53"/>
      <c r="S53"/>
      <c r="T53"/>
      <c r="U53"/>
      <c r="V53"/>
      <c r="W53"/>
      <c r="X53"/>
      <c r="Y53"/>
    </row>
    <row r="54" spans="1:25" s="2" customFormat="1" ht="25.5" x14ac:dyDescent="0.2">
      <c r="A54" s="5" t="s">
        <v>8521</v>
      </c>
      <c r="B54" s="5" t="s">
        <v>83</v>
      </c>
      <c r="C54" s="5"/>
      <c r="D54" s="5" t="s">
        <v>8520</v>
      </c>
      <c r="E54" s="5" t="s">
        <v>93</v>
      </c>
      <c r="F54" s="5" t="s">
        <v>7569</v>
      </c>
      <c r="G54" s="5" t="s">
        <v>91</v>
      </c>
      <c r="H54" s="5" t="s">
        <v>137</v>
      </c>
      <c r="I54" s="5" t="s">
        <v>55</v>
      </c>
      <c r="J54" s="5" t="s">
        <v>8519</v>
      </c>
      <c r="M54" s="1"/>
      <c r="N54"/>
      <c r="O54"/>
      <c r="P54"/>
      <c r="Q54"/>
      <c r="R54"/>
      <c r="S54"/>
      <c r="T54"/>
      <c r="U54"/>
      <c r="V54"/>
      <c r="W54"/>
      <c r="X54"/>
      <c r="Y54"/>
    </row>
    <row r="55" spans="1:25" s="2" customFormat="1" ht="25.5" x14ac:dyDescent="0.2">
      <c r="A55" s="5" t="s">
        <v>9555</v>
      </c>
      <c r="B55" s="5" t="s">
        <v>83</v>
      </c>
      <c r="C55" s="5"/>
      <c r="D55" s="5" t="s">
        <v>9554</v>
      </c>
      <c r="E55" s="5"/>
      <c r="F55" s="5" t="s">
        <v>9551</v>
      </c>
      <c r="G55" s="5" t="s">
        <v>382</v>
      </c>
      <c r="H55" s="5" t="s">
        <v>137</v>
      </c>
      <c r="I55" s="5" t="s">
        <v>55</v>
      </c>
      <c r="J55" s="5" t="s">
        <v>9550</v>
      </c>
      <c r="M55" s="1"/>
      <c r="N55"/>
      <c r="O55"/>
      <c r="P55"/>
      <c r="Q55"/>
      <c r="R55"/>
      <c r="S55"/>
      <c r="T55"/>
      <c r="U55"/>
      <c r="V55"/>
      <c r="W55"/>
      <c r="X55"/>
      <c r="Y55"/>
    </row>
    <row r="56" spans="1:25" s="2" customFormat="1" ht="25.5" x14ac:dyDescent="0.2">
      <c r="A56" s="5" t="s">
        <v>8518</v>
      </c>
      <c r="B56" s="5" t="s">
        <v>83</v>
      </c>
      <c r="C56" s="5"/>
      <c r="D56" s="5" t="s">
        <v>8517</v>
      </c>
      <c r="E56" s="5"/>
      <c r="F56" s="5" t="s">
        <v>345</v>
      </c>
      <c r="G56" s="5" t="s">
        <v>173</v>
      </c>
      <c r="H56" s="5" t="s">
        <v>137</v>
      </c>
      <c r="I56" s="5" t="s">
        <v>55</v>
      </c>
      <c r="J56" s="5" t="s">
        <v>8516</v>
      </c>
      <c r="M56" s="1"/>
      <c r="N56"/>
      <c r="O56"/>
      <c r="P56"/>
      <c r="Q56"/>
      <c r="R56"/>
      <c r="S56"/>
      <c r="T56"/>
      <c r="U56"/>
      <c r="V56"/>
      <c r="W56"/>
      <c r="X56"/>
      <c r="Y56"/>
    </row>
    <row r="57" spans="1:25" s="2" customFormat="1" ht="25.5" x14ac:dyDescent="0.2">
      <c r="A57" s="5" t="s">
        <v>8474</v>
      </c>
      <c r="B57" s="5" t="s">
        <v>83</v>
      </c>
      <c r="C57" s="5"/>
      <c r="D57" s="5" t="s">
        <v>8473</v>
      </c>
      <c r="E57" s="5"/>
      <c r="F57" s="5" t="s">
        <v>8472</v>
      </c>
      <c r="G57" s="5" t="s">
        <v>105</v>
      </c>
      <c r="H57" s="5" t="s">
        <v>3</v>
      </c>
      <c r="I57" s="5"/>
      <c r="J57" s="5" t="s">
        <v>8471</v>
      </c>
      <c r="M57" s="1"/>
      <c r="N57"/>
      <c r="O57"/>
      <c r="P57"/>
      <c r="Q57"/>
      <c r="R57"/>
      <c r="S57"/>
      <c r="T57"/>
      <c r="U57"/>
      <c r="V57"/>
      <c r="W57"/>
      <c r="X57"/>
      <c r="Y57"/>
    </row>
    <row r="58" spans="1:25" s="2" customFormat="1" ht="25.5" x14ac:dyDescent="0.2">
      <c r="A58" s="5" t="s">
        <v>9553</v>
      </c>
      <c r="B58" s="5" t="s">
        <v>83</v>
      </c>
      <c r="C58" s="5"/>
      <c r="D58" s="5" t="s">
        <v>9552</v>
      </c>
      <c r="E58" s="5"/>
      <c r="F58" s="5" t="s">
        <v>9551</v>
      </c>
      <c r="G58" s="5" t="s">
        <v>382</v>
      </c>
      <c r="H58" s="5" t="s">
        <v>137</v>
      </c>
      <c r="I58" s="5" t="s">
        <v>55</v>
      </c>
      <c r="J58" s="5" t="s">
        <v>9550</v>
      </c>
      <c r="M58" s="1"/>
      <c r="N58"/>
      <c r="O58"/>
      <c r="P58"/>
      <c r="Q58"/>
      <c r="R58"/>
      <c r="S58"/>
      <c r="T58"/>
      <c r="U58"/>
      <c r="V58"/>
      <c r="W58"/>
      <c r="X58"/>
      <c r="Y58"/>
    </row>
    <row r="59" spans="1:25" s="2" customFormat="1" ht="25.5" x14ac:dyDescent="0.2">
      <c r="A59" s="5" t="s">
        <v>8404</v>
      </c>
      <c r="B59" s="5" t="s">
        <v>83</v>
      </c>
      <c r="C59" s="5"/>
      <c r="D59" s="5" t="s">
        <v>8403</v>
      </c>
      <c r="E59" s="5"/>
      <c r="F59" s="5"/>
      <c r="G59" s="5" t="s">
        <v>105</v>
      </c>
      <c r="H59" s="5" t="s">
        <v>3</v>
      </c>
      <c r="I59" s="5"/>
      <c r="J59" s="5" t="s">
        <v>8402</v>
      </c>
      <c r="M59" s="1"/>
      <c r="N59"/>
      <c r="O59"/>
      <c r="P59"/>
      <c r="Q59"/>
      <c r="R59"/>
      <c r="S59"/>
      <c r="T59"/>
      <c r="U59"/>
      <c r="V59"/>
      <c r="W59"/>
      <c r="X59"/>
      <c r="Y59"/>
    </row>
    <row r="60" spans="1:25" s="2" customFormat="1" ht="25.5" x14ac:dyDescent="0.2">
      <c r="A60" s="5" t="s">
        <v>8401</v>
      </c>
      <c r="B60" s="5" t="s">
        <v>83</v>
      </c>
      <c r="C60" s="5"/>
      <c r="D60" s="5" t="s">
        <v>9549</v>
      </c>
      <c r="E60" s="5"/>
      <c r="F60" s="5" t="s">
        <v>8385</v>
      </c>
      <c r="G60" s="5" t="s">
        <v>105</v>
      </c>
      <c r="H60" s="5" t="s">
        <v>3</v>
      </c>
      <c r="I60" s="5"/>
      <c r="J60" s="5" t="s">
        <v>8400</v>
      </c>
      <c r="M60" s="1"/>
      <c r="N60"/>
      <c r="O60"/>
      <c r="P60"/>
      <c r="Q60"/>
      <c r="R60"/>
      <c r="S60"/>
      <c r="T60"/>
      <c r="U60"/>
      <c r="V60"/>
      <c r="W60"/>
      <c r="X60"/>
      <c r="Y60"/>
    </row>
    <row r="61" spans="1:25" s="2" customFormat="1" x14ac:dyDescent="0.2">
      <c r="A61" s="5" t="s">
        <v>8399</v>
      </c>
      <c r="B61" s="5" t="s">
        <v>83</v>
      </c>
      <c r="C61" s="5"/>
      <c r="D61" s="5" t="s">
        <v>6390</v>
      </c>
      <c r="E61" s="5" t="s">
        <v>150</v>
      </c>
      <c r="F61" s="5" t="s">
        <v>8381</v>
      </c>
      <c r="G61" s="5" t="s">
        <v>148</v>
      </c>
      <c r="H61" s="5" t="s">
        <v>3</v>
      </c>
      <c r="I61" s="5"/>
      <c r="J61" s="5" t="s">
        <v>8398</v>
      </c>
      <c r="M61" s="1"/>
      <c r="N61"/>
      <c r="O61"/>
      <c r="P61"/>
      <c r="Q61"/>
      <c r="R61"/>
      <c r="S61"/>
      <c r="T61"/>
      <c r="U61"/>
      <c r="V61"/>
      <c r="W61"/>
      <c r="X61"/>
      <c r="Y61"/>
    </row>
    <row r="62" spans="1:25" s="2" customFormat="1" x14ac:dyDescent="0.2">
      <c r="A62" s="5" t="s">
        <v>8397</v>
      </c>
      <c r="B62" s="5" t="s">
        <v>83</v>
      </c>
      <c r="C62" s="5"/>
      <c r="D62" s="5" t="s">
        <v>8396</v>
      </c>
      <c r="E62" s="5"/>
      <c r="F62" s="5" t="s">
        <v>8381</v>
      </c>
      <c r="G62" s="5" t="s">
        <v>283</v>
      </c>
      <c r="H62" s="5" t="s">
        <v>3</v>
      </c>
      <c r="I62" s="5"/>
      <c r="J62" s="5" t="s">
        <v>8394</v>
      </c>
      <c r="M62" s="1"/>
      <c r="N62"/>
      <c r="O62"/>
      <c r="P62"/>
      <c r="Q62"/>
      <c r="R62"/>
      <c r="S62"/>
      <c r="T62"/>
      <c r="U62"/>
      <c r="V62"/>
      <c r="W62"/>
      <c r="X62"/>
      <c r="Y62"/>
    </row>
    <row r="63" spans="1:25" s="2" customFormat="1" ht="25.5" x14ac:dyDescent="0.2">
      <c r="A63" s="5" t="s">
        <v>9548</v>
      </c>
      <c r="B63" s="5" t="s">
        <v>83</v>
      </c>
      <c r="C63" s="5"/>
      <c r="D63" s="5" t="s">
        <v>9547</v>
      </c>
      <c r="E63" s="5"/>
      <c r="F63" s="5"/>
      <c r="G63" s="5" t="s">
        <v>229</v>
      </c>
      <c r="H63" s="5"/>
      <c r="I63" s="5"/>
      <c r="J63" s="5" t="s">
        <v>9495</v>
      </c>
      <c r="M63" s="1"/>
      <c r="N63"/>
      <c r="O63"/>
      <c r="P63"/>
      <c r="Q63"/>
      <c r="R63"/>
      <c r="S63"/>
      <c r="T63"/>
      <c r="U63"/>
      <c r="V63"/>
      <c r="W63"/>
      <c r="X63"/>
      <c r="Y63"/>
    </row>
    <row r="64" spans="1:25" s="2" customFormat="1" ht="25.5" x14ac:dyDescent="0.2">
      <c r="A64" s="5" t="s">
        <v>8393</v>
      </c>
      <c r="B64" s="5" t="s">
        <v>83</v>
      </c>
      <c r="C64" s="5"/>
      <c r="D64" s="5" t="s">
        <v>9546</v>
      </c>
      <c r="E64" s="5"/>
      <c r="F64" s="5" t="s">
        <v>106</v>
      </c>
      <c r="G64" s="5" t="s">
        <v>882</v>
      </c>
      <c r="H64" s="5" t="s">
        <v>3</v>
      </c>
      <c r="I64" s="5"/>
      <c r="J64" s="5" t="s">
        <v>8390</v>
      </c>
      <c r="M64" s="1"/>
      <c r="N64"/>
      <c r="O64"/>
      <c r="P64"/>
      <c r="Q64"/>
      <c r="R64"/>
      <c r="S64"/>
      <c r="T64"/>
      <c r="U64"/>
      <c r="V64"/>
      <c r="W64"/>
      <c r="X64"/>
      <c r="Y64"/>
    </row>
    <row r="65" spans="1:25" s="2" customFormat="1" x14ac:dyDescent="0.2">
      <c r="A65" s="5" t="s">
        <v>9545</v>
      </c>
      <c r="B65" s="5" t="s">
        <v>83</v>
      </c>
      <c r="C65" s="5"/>
      <c r="D65" s="5" t="s">
        <v>8392</v>
      </c>
      <c r="E65" s="5"/>
      <c r="F65" s="5" t="s">
        <v>8390</v>
      </c>
      <c r="G65" s="5" t="s">
        <v>229</v>
      </c>
      <c r="H65" s="5" t="s">
        <v>3</v>
      </c>
      <c r="I65" s="5"/>
      <c r="J65" s="5"/>
      <c r="M65" s="1"/>
      <c r="N65"/>
      <c r="O65"/>
      <c r="P65"/>
      <c r="Q65"/>
      <c r="R65"/>
      <c r="S65"/>
      <c r="T65"/>
      <c r="U65"/>
      <c r="V65"/>
      <c r="W65"/>
      <c r="X65"/>
      <c r="Y65"/>
    </row>
    <row r="66" spans="1:25" s="2" customFormat="1" ht="25.5" x14ac:dyDescent="0.2">
      <c r="A66" s="5" t="s">
        <v>9544</v>
      </c>
      <c r="B66" s="5" t="s">
        <v>83</v>
      </c>
      <c r="C66" s="5"/>
      <c r="D66" s="5" t="s">
        <v>9543</v>
      </c>
      <c r="E66" s="5"/>
      <c r="F66" s="5" t="s">
        <v>106</v>
      </c>
      <c r="G66" s="5" t="s">
        <v>882</v>
      </c>
      <c r="H66" s="5" t="s">
        <v>3</v>
      </c>
      <c r="I66" s="5"/>
      <c r="J66" s="5" t="s">
        <v>8390</v>
      </c>
      <c r="M66" s="1"/>
      <c r="N66"/>
      <c r="O66"/>
      <c r="P66"/>
      <c r="Q66"/>
      <c r="R66"/>
      <c r="S66"/>
      <c r="T66"/>
      <c r="U66"/>
      <c r="V66"/>
      <c r="W66"/>
      <c r="X66"/>
      <c r="Y66"/>
    </row>
    <row r="67" spans="1:25" s="2" customFormat="1" x14ac:dyDescent="0.2">
      <c r="A67" s="5" t="s">
        <v>8389</v>
      </c>
      <c r="B67" s="5" t="s">
        <v>83</v>
      </c>
      <c r="C67" s="5"/>
      <c r="D67" s="5" t="s">
        <v>5533</v>
      </c>
      <c r="E67" s="5"/>
      <c r="F67" s="5" t="s">
        <v>8385</v>
      </c>
      <c r="G67" s="5" t="s">
        <v>382</v>
      </c>
      <c r="H67" s="5" t="s">
        <v>3</v>
      </c>
      <c r="I67" s="5"/>
      <c r="J67" s="5" t="s">
        <v>8388</v>
      </c>
      <c r="M67" s="1"/>
      <c r="N67"/>
      <c r="O67"/>
      <c r="P67"/>
      <c r="Q67"/>
      <c r="R67"/>
      <c r="S67"/>
      <c r="T67"/>
      <c r="U67"/>
      <c r="V67"/>
      <c r="W67"/>
      <c r="X67"/>
      <c r="Y67"/>
    </row>
    <row r="68" spans="1:25" s="2" customFormat="1" x14ac:dyDescent="0.2">
      <c r="A68" s="5" t="s">
        <v>8387</v>
      </c>
      <c r="B68" s="5" t="s">
        <v>83</v>
      </c>
      <c r="C68" s="5"/>
      <c r="D68" s="5" t="s">
        <v>8386</v>
      </c>
      <c r="E68" s="5" t="s">
        <v>665</v>
      </c>
      <c r="F68" s="5" t="s">
        <v>8385</v>
      </c>
      <c r="G68" s="5" t="s">
        <v>148</v>
      </c>
      <c r="H68" s="5" t="s">
        <v>3</v>
      </c>
      <c r="I68" s="5"/>
      <c r="J68" s="5" t="s">
        <v>8384</v>
      </c>
      <c r="M68" s="1"/>
      <c r="N68"/>
      <c r="O68"/>
      <c r="P68"/>
      <c r="Q68"/>
      <c r="R68"/>
      <c r="S68"/>
      <c r="T68"/>
      <c r="U68"/>
      <c r="V68"/>
      <c r="W68"/>
      <c r="X68"/>
      <c r="Y68"/>
    </row>
    <row r="69" spans="1:25" s="2" customFormat="1" ht="25.5" x14ac:dyDescent="0.2">
      <c r="A69" s="5" t="s">
        <v>8380</v>
      </c>
      <c r="B69" s="5" t="s">
        <v>83</v>
      </c>
      <c r="C69" s="5"/>
      <c r="D69" s="5" t="s">
        <v>9542</v>
      </c>
      <c r="E69" s="5"/>
      <c r="F69" s="5" t="s">
        <v>8378</v>
      </c>
      <c r="G69" s="5" t="s">
        <v>3059</v>
      </c>
      <c r="H69" s="5" t="s">
        <v>3</v>
      </c>
      <c r="I69" s="5"/>
      <c r="J69" s="5" t="s">
        <v>7462</v>
      </c>
      <c r="M69" s="1"/>
      <c r="N69"/>
      <c r="O69"/>
      <c r="P69"/>
      <c r="Q69"/>
      <c r="R69"/>
      <c r="S69"/>
      <c r="T69"/>
      <c r="U69"/>
      <c r="V69"/>
      <c r="W69"/>
      <c r="X69"/>
      <c r="Y69"/>
    </row>
    <row r="70" spans="1:25" s="2" customFormat="1" x14ac:dyDescent="0.2">
      <c r="A70" s="5" t="s">
        <v>8372</v>
      </c>
      <c r="B70" s="5" t="s">
        <v>83</v>
      </c>
      <c r="C70" s="5"/>
      <c r="D70" s="5" t="s">
        <v>8371</v>
      </c>
      <c r="E70" s="5"/>
      <c r="F70" s="5" t="s">
        <v>9245</v>
      </c>
      <c r="G70" s="5" t="s">
        <v>4</v>
      </c>
      <c r="H70" s="5" t="s">
        <v>3</v>
      </c>
      <c r="I70" s="5"/>
      <c r="J70" s="5" t="s">
        <v>9244</v>
      </c>
      <c r="M70" s="1"/>
      <c r="N70"/>
      <c r="O70"/>
      <c r="P70"/>
      <c r="Q70"/>
      <c r="R70"/>
      <c r="S70"/>
      <c r="T70"/>
      <c r="U70"/>
      <c r="V70"/>
      <c r="W70"/>
      <c r="X70"/>
      <c r="Y70"/>
    </row>
    <row r="71" spans="1:25" s="2" customFormat="1" x14ac:dyDescent="0.2">
      <c r="A71" s="5" t="s">
        <v>9541</v>
      </c>
      <c r="B71" s="5" t="s">
        <v>83</v>
      </c>
      <c r="C71" s="5"/>
      <c r="D71" s="5" t="s">
        <v>9540</v>
      </c>
      <c r="E71" s="5" t="s">
        <v>138</v>
      </c>
      <c r="F71" s="5" t="s">
        <v>9030</v>
      </c>
      <c r="G71" s="5" t="s">
        <v>148</v>
      </c>
      <c r="H71" s="5" t="s">
        <v>137</v>
      </c>
      <c r="I71" s="5"/>
      <c r="J71" s="5" t="s">
        <v>9539</v>
      </c>
      <c r="M71" s="1"/>
      <c r="N71"/>
      <c r="O71"/>
      <c r="P71"/>
      <c r="Q71"/>
      <c r="R71"/>
      <c r="S71"/>
      <c r="T71"/>
      <c r="U71"/>
      <c r="V71"/>
      <c r="W71"/>
      <c r="X71"/>
      <c r="Y71"/>
    </row>
    <row r="72" spans="1:25" s="2" customFormat="1" ht="25.5" x14ac:dyDescent="0.2">
      <c r="A72" s="5" t="s">
        <v>8354</v>
      </c>
      <c r="B72" s="5" t="s">
        <v>83</v>
      </c>
      <c r="C72" s="5"/>
      <c r="D72" s="5" t="s">
        <v>8353</v>
      </c>
      <c r="E72" s="5"/>
      <c r="F72" s="5" t="s">
        <v>5235</v>
      </c>
      <c r="G72" s="5" t="s">
        <v>224</v>
      </c>
      <c r="H72" s="5" t="s">
        <v>3</v>
      </c>
      <c r="I72" s="5"/>
      <c r="J72" s="5" t="s">
        <v>5235</v>
      </c>
      <c r="M72" s="1"/>
      <c r="N72"/>
      <c r="O72"/>
      <c r="P72"/>
      <c r="Q72"/>
      <c r="R72"/>
      <c r="S72"/>
      <c r="T72"/>
      <c r="U72"/>
      <c r="V72"/>
      <c r="W72"/>
      <c r="X72"/>
      <c r="Y72"/>
    </row>
    <row r="73" spans="1:25" s="2" customFormat="1" ht="25.5" x14ac:dyDescent="0.2">
      <c r="A73" s="5" t="s">
        <v>8334</v>
      </c>
      <c r="B73" s="5" t="s">
        <v>83</v>
      </c>
      <c r="C73" s="5"/>
      <c r="D73" s="5" t="s">
        <v>8102</v>
      </c>
      <c r="E73" s="5"/>
      <c r="F73" s="5" t="s">
        <v>8101</v>
      </c>
      <c r="G73" s="5" t="s">
        <v>7296</v>
      </c>
      <c r="H73" s="5" t="s">
        <v>3</v>
      </c>
      <c r="I73" s="5"/>
      <c r="J73" s="5"/>
      <c r="M73" s="1"/>
      <c r="N73"/>
      <c r="O73"/>
      <c r="P73"/>
      <c r="Q73"/>
      <c r="R73"/>
      <c r="S73"/>
      <c r="T73"/>
      <c r="U73"/>
      <c r="V73"/>
      <c r="W73"/>
      <c r="X73"/>
      <c r="Y73"/>
    </row>
    <row r="74" spans="1:25" s="2" customFormat="1" ht="25.5" x14ac:dyDescent="0.2">
      <c r="A74" s="5" t="s">
        <v>9538</v>
      </c>
      <c r="B74" s="5" t="s">
        <v>83</v>
      </c>
      <c r="C74" s="5"/>
      <c r="D74" s="5" t="s">
        <v>9374</v>
      </c>
      <c r="E74" s="5"/>
      <c r="F74" s="5" t="s">
        <v>9537</v>
      </c>
      <c r="G74" s="5" t="s">
        <v>118</v>
      </c>
      <c r="H74" s="5" t="s">
        <v>3</v>
      </c>
      <c r="I74" s="5"/>
      <c r="J74" s="5" t="s">
        <v>9536</v>
      </c>
      <c r="M74" s="1"/>
      <c r="N74"/>
      <c r="O74"/>
      <c r="P74"/>
      <c r="Q74"/>
      <c r="R74"/>
      <c r="S74"/>
      <c r="T74"/>
      <c r="U74"/>
      <c r="V74"/>
      <c r="W74"/>
      <c r="X74"/>
      <c r="Y74"/>
    </row>
    <row r="75" spans="1:25" s="2" customFormat="1" x14ac:dyDescent="0.2">
      <c r="A75" s="5" t="s">
        <v>9535</v>
      </c>
      <c r="B75" s="5" t="s">
        <v>83</v>
      </c>
      <c r="C75" s="5"/>
      <c r="D75" s="5" t="s">
        <v>9534</v>
      </c>
      <c r="E75" s="5"/>
      <c r="F75" s="5" t="s">
        <v>7591</v>
      </c>
      <c r="G75" s="5" t="s">
        <v>328</v>
      </c>
      <c r="H75" s="5" t="s">
        <v>3</v>
      </c>
      <c r="I75" s="5"/>
      <c r="J75" s="5" t="s">
        <v>9533</v>
      </c>
      <c r="M75" s="1"/>
      <c r="N75"/>
      <c r="O75"/>
      <c r="P75"/>
      <c r="Q75"/>
      <c r="R75"/>
      <c r="S75"/>
      <c r="T75"/>
      <c r="U75"/>
      <c r="V75"/>
      <c r="W75"/>
      <c r="X75"/>
      <c r="Y75"/>
    </row>
    <row r="76" spans="1:25" s="2" customFormat="1" x14ac:dyDescent="0.2">
      <c r="A76" s="5" t="s">
        <v>8273</v>
      </c>
      <c r="B76" s="5" t="s">
        <v>83</v>
      </c>
      <c r="C76" s="5"/>
      <c r="D76" s="5" t="s">
        <v>9532</v>
      </c>
      <c r="E76" s="5"/>
      <c r="F76" s="5" t="s">
        <v>8270</v>
      </c>
      <c r="G76" s="5" t="s">
        <v>229</v>
      </c>
      <c r="H76" s="5" t="s">
        <v>3</v>
      </c>
      <c r="I76" s="5"/>
      <c r="J76" s="5"/>
      <c r="M76" s="1"/>
      <c r="N76"/>
      <c r="O76"/>
      <c r="P76"/>
      <c r="Q76"/>
      <c r="R76"/>
      <c r="S76"/>
      <c r="T76"/>
      <c r="U76"/>
      <c r="V76"/>
      <c r="W76"/>
      <c r="X76"/>
      <c r="Y76"/>
    </row>
    <row r="77" spans="1:25" s="2" customFormat="1" ht="25.5" x14ac:dyDescent="0.2">
      <c r="A77" s="5" t="s">
        <v>9531</v>
      </c>
      <c r="B77" s="5" t="s">
        <v>83</v>
      </c>
      <c r="C77" s="5"/>
      <c r="D77" s="5" t="s">
        <v>9530</v>
      </c>
      <c r="E77" s="5"/>
      <c r="F77" s="5" t="s">
        <v>9529</v>
      </c>
      <c r="G77" s="5" t="s">
        <v>207</v>
      </c>
      <c r="H77" s="5" t="s">
        <v>3</v>
      </c>
      <c r="I77" s="5"/>
      <c r="J77" s="5" t="s">
        <v>9528</v>
      </c>
      <c r="M77" s="1"/>
      <c r="N77"/>
      <c r="O77"/>
      <c r="P77"/>
      <c r="Q77"/>
      <c r="R77"/>
      <c r="S77"/>
      <c r="T77"/>
      <c r="U77"/>
      <c r="V77"/>
      <c r="W77"/>
      <c r="X77"/>
      <c r="Y77"/>
    </row>
    <row r="78" spans="1:25" s="2" customFormat="1" ht="25.5" x14ac:dyDescent="0.2">
      <c r="A78" s="5" t="s">
        <v>9527</v>
      </c>
      <c r="B78" s="5" t="s">
        <v>83</v>
      </c>
      <c r="C78" s="5"/>
      <c r="D78" s="5" t="s">
        <v>7950</v>
      </c>
      <c r="E78" s="5"/>
      <c r="F78" s="5" t="s">
        <v>7949</v>
      </c>
      <c r="G78" s="5" t="s">
        <v>80</v>
      </c>
      <c r="H78" s="5" t="s">
        <v>137</v>
      </c>
      <c r="I78" s="5" t="s">
        <v>55</v>
      </c>
      <c r="J78" s="5" t="s">
        <v>7948</v>
      </c>
      <c r="M78" s="1"/>
      <c r="N78"/>
      <c r="O78"/>
      <c r="P78"/>
      <c r="Q78"/>
      <c r="R78"/>
      <c r="S78"/>
      <c r="T78"/>
      <c r="U78"/>
      <c r="V78"/>
      <c r="W78"/>
      <c r="X78"/>
      <c r="Y78"/>
    </row>
    <row r="79" spans="1:25" s="2" customFormat="1" ht="25.5" x14ac:dyDescent="0.2">
      <c r="A79" s="5" t="s">
        <v>8145</v>
      </c>
      <c r="B79" s="5" t="s">
        <v>83</v>
      </c>
      <c r="C79" s="5"/>
      <c r="D79" s="5" t="s">
        <v>8144</v>
      </c>
      <c r="E79" s="5"/>
      <c r="F79" s="5" t="s">
        <v>237</v>
      </c>
      <c r="G79" s="5" t="s">
        <v>105</v>
      </c>
      <c r="H79" s="5" t="s">
        <v>137</v>
      </c>
      <c r="I79" s="5" t="s">
        <v>8140</v>
      </c>
      <c r="J79" s="5" t="s">
        <v>8143</v>
      </c>
      <c r="M79" s="1"/>
      <c r="N79"/>
      <c r="O79"/>
      <c r="P79"/>
      <c r="Q79"/>
      <c r="R79"/>
      <c r="S79"/>
      <c r="T79"/>
      <c r="U79"/>
      <c r="V79"/>
      <c r="W79"/>
      <c r="X79"/>
      <c r="Y79"/>
    </row>
    <row r="80" spans="1:25" s="2" customFormat="1" ht="25.5" x14ac:dyDescent="0.2">
      <c r="A80" s="5" t="s">
        <v>8142</v>
      </c>
      <c r="B80" s="5" t="s">
        <v>83</v>
      </c>
      <c r="C80" s="5"/>
      <c r="D80" s="5" t="s">
        <v>8141</v>
      </c>
      <c r="E80" s="5"/>
      <c r="F80" s="5" t="s">
        <v>110</v>
      </c>
      <c r="G80" s="5" t="s">
        <v>105</v>
      </c>
      <c r="H80" s="5" t="s">
        <v>137</v>
      </c>
      <c r="I80" s="5" t="s">
        <v>8140</v>
      </c>
      <c r="J80" s="5" t="s">
        <v>8139</v>
      </c>
      <c r="M80" s="1"/>
      <c r="N80"/>
      <c r="O80"/>
      <c r="P80"/>
      <c r="Q80"/>
      <c r="R80"/>
      <c r="S80"/>
      <c r="T80"/>
      <c r="U80"/>
      <c r="V80"/>
      <c r="W80"/>
      <c r="X80"/>
      <c r="Y80"/>
    </row>
    <row r="81" spans="1:25" s="2" customFormat="1" x14ac:dyDescent="0.2">
      <c r="A81" s="5" t="s">
        <v>9526</v>
      </c>
      <c r="B81" s="5" t="s">
        <v>83</v>
      </c>
      <c r="C81" s="5"/>
      <c r="D81" s="5" t="s">
        <v>9525</v>
      </c>
      <c r="E81" s="5"/>
      <c r="F81" s="5" t="s">
        <v>9524</v>
      </c>
      <c r="G81" s="5" t="s">
        <v>105</v>
      </c>
      <c r="H81" s="5" t="s">
        <v>137</v>
      </c>
      <c r="I81" s="5" t="s">
        <v>55</v>
      </c>
      <c r="J81" s="5" t="s">
        <v>9523</v>
      </c>
      <c r="M81" s="1"/>
      <c r="N81"/>
      <c r="O81"/>
      <c r="P81"/>
      <c r="Q81"/>
      <c r="R81"/>
      <c r="S81"/>
      <c r="T81"/>
      <c r="U81"/>
      <c r="V81"/>
      <c r="W81"/>
      <c r="X81"/>
      <c r="Y81"/>
    </row>
    <row r="82" spans="1:25" s="2" customFormat="1" ht="25.5" x14ac:dyDescent="0.2">
      <c r="A82" s="5" t="s">
        <v>9522</v>
      </c>
      <c r="B82" s="5" t="s">
        <v>83</v>
      </c>
      <c r="C82" s="5"/>
      <c r="D82" s="5" t="s">
        <v>9521</v>
      </c>
      <c r="E82" s="5"/>
      <c r="F82" s="5" t="s">
        <v>9520</v>
      </c>
      <c r="G82" s="5" t="s">
        <v>118</v>
      </c>
      <c r="H82" s="5" t="s">
        <v>3</v>
      </c>
      <c r="I82" s="5"/>
      <c r="J82" s="5" t="s">
        <v>9519</v>
      </c>
      <c r="M82" s="1"/>
      <c r="N82"/>
      <c r="O82"/>
      <c r="P82"/>
      <c r="Q82"/>
      <c r="R82"/>
      <c r="S82"/>
      <c r="T82"/>
      <c r="U82"/>
      <c r="V82"/>
      <c r="W82"/>
      <c r="X82"/>
      <c r="Y82"/>
    </row>
    <row r="83" spans="1:25" s="2" customFormat="1" ht="25.5" x14ac:dyDescent="0.2">
      <c r="A83" s="5" t="s">
        <v>9518</v>
      </c>
      <c r="B83" s="5" t="s">
        <v>83</v>
      </c>
      <c r="C83" s="5"/>
      <c r="D83" s="5" t="s">
        <v>9517</v>
      </c>
      <c r="E83" s="5" t="s">
        <v>368</v>
      </c>
      <c r="F83" s="5" t="s">
        <v>9507</v>
      </c>
      <c r="G83" s="5" t="s">
        <v>91</v>
      </c>
      <c r="H83" s="5" t="s">
        <v>137</v>
      </c>
      <c r="I83" s="5" t="s">
        <v>55</v>
      </c>
      <c r="J83" s="5" t="s">
        <v>9516</v>
      </c>
      <c r="M83" s="1"/>
      <c r="N83"/>
      <c r="O83"/>
      <c r="P83"/>
      <c r="Q83"/>
      <c r="R83"/>
      <c r="S83"/>
      <c r="T83"/>
      <c r="U83"/>
      <c r="V83"/>
      <c r="W83"/>
      <c r="X83"/>
      <c r="Y83"/>
    </row>
    <row r="84" spans="1:25" s="2" customFormat="1" ht="38.25" x14ac:dyDescent="0.2">
      <c r="A84" s="5" t="s">
        <v>9515</v>
      </c>
      <c r="B84" s="5" t="s">
        <v>83</v>
      </c>
      <c r="C84" s="5"/>
      <c r="D84" s="5" t="s">
        <v>9514</v>
      </c>
      <c r="E84" s="5" t="s">
        <v>368</v>
      </c>
      <c r="F84" s="5" t="s">
        <v>9507</v>
      </c>
      <c r="G84" s="5" t="s">
        <v>91</v>
      </c>
      <c r="H84" s="5" t="s">
        <v>3</v>
      </c>
      <c r="I84" s="5"/>
      <c r="J84" s="5" t="s">
        <v>9513</v>
      </c>
      <c r="M84" s="1"/>
      <c r="N84"/>
      <c r="O84"/>
      <c r="P84"/>
      <c r="Q84"/>
      <c r="R84"/>
      <c r="S84"/>
      <c r="T84"/>
      <c r="U84"/>
      <c r="V84"/>
      <c r="W84"/>
      <c r="X84"/>
      <c r="Y84"/>
    </row>
    <row r="85" spans="1:25" s="2" customFormat="1" ht="25.5" x14ac:dyDescent="0.2">
      <c r="A85" s="5" t="s">
        <v>9512</v>
      </c>
      <c r="B85" s="5" t="s">
        <v>83</v>
      </c>
      <c r="C85" s="5"/>
      <c r="D85" s="5" t="s">
        <v>9511</v>
      </c>
      <c r="E85" s="5" t="s">
        <v>299</v>
      </c>
      <c r="F85" s="5" t="s">
        <v>9507</v>
      </c>
      <c r="G85" s="5" t="s">
        <v>91</v>
      </c>
      <c r="H85" s="5" t="s">
        <v>3</v>
      </c>
      <c r="I85" s="5"/>
      <c r="J85" s="5" t="s">
        <v>9510</v>
      </c>
      <c r="M85" s="1"/>
      <c r="N85"/>
      <c r="O85"/>
      <c r="P85"/>
      <c r="Q85"/>
      <c r="R85"/>
      <c r="S85"/>
      <c r="T85"/>
      <c r="U85"/>
      <c r="V85"/>
      <c r="W85"/>
      <c r="X85"/>
      <c r="Y85"/>
    </row>
    <row r="86" spans="1:25" s="2" customFormat="1" ht="25.5" x14ac:dyDescent="0.2">
      <c r="A86" s="5" t="s">
        <v>9509</v>
      </c>
      <c r="B86" s="5" t="s">
        <v>83</v>
      </c>
      <c r="C86" s="5"/>
      <c r="D86" s="5" t="s">
        <v>9508</v>
      </c>
      <c r="E86" s="5" t="s">
        <v>299</v>
      </c>
      <c r="F86" s="5" t="s">
        <v>9507</v>
      </c>
      <c r="G86" s="5" t="s">
        <v>91</v>
      </c>
      <c r="H86" s="5" t="s">
        <v>137</v>
      </c>
      <c r="I86" s="5" t="s">
        <v>55</v>
      </c>
      <c r="J86" s="5" t="s">
        <v>9506</v>
      </c>
      <c r="M86" s="1"/>
      <c r="N86"/>
      <c r="O86"/>
      <c r="P86"/>
      <c r="Q86"/>
      <c r="R86"/>
      <c r="S86"/>
      <c r="T86"/>
      <c r="U86"/>
      <c r="V86"/>
      <c r="W86"/>
      <c r="X86"/>
      <c r="Y86"/>
    </row>
    <row r="87" spans="1:25" s="2" customFormat="1" ht="25.5" x14ac:dyDescent="0.2">
      <c r="A87" s="5" t="s">
        <v>9505</v>
      </c>
      <c r="B87" s="5" t="s">
        <v>83</v>
      </c>
      <c r="C87" s="5"/>
      <c r="D87" s="5" t="s">
        <v>9504</v>
      </c>
      <c r="E87" s="5"/>
      <c r="F87" s="5" t="s">
        <v>9503</v>
      </c>
      <c r="G87" s="5" t="s">
        <v>170</v>
      </c>
      <c r="H87" s="5" t="s">
        <v>137</v>
      </c>
      <c r="I87" s="5" t="s">
        <v>55</v>
      </c>
      <c r="J87" s="5" t="s">
        <v>9502</v>
      </c>
      <c r="M87" s="1"/>
      <c r="N87"/>
      <c r="O87"/>
      <c r="P87"/>
      <c r="Q87"/>
      <c r="R87"/>
      <c r="S87"/>
      <c r="T87"/>
      <c r="U87"/>
      <c r="V87"/>
      <c r="W87"/>
      <c r="X87"/>
      <c r="Y87"/>
    </row>
    <row r="88" spans="1:25" s="2" customFormat="1" x14ac:dyDescent="0.2">
      <c r="A88" s="5" t="s">
        <v>9501</v>
      </c>
      <c r="B88" s="5" t="s">
        <v>83</v>
      </c>
      <c r="C88" s="5"/>
      <c r="D88" s="5" t="s">
        <v>8480</v>
      </c>
      <c r="E88" s="5"/>
      <c r="F88" s="5"/>
      <c r="G88" s="5" t="s">
        <v>382</v>
      </c>
      <c r="H88" s="5" t="s">
        <v>3</v>
      </c>
      <c r="I88" s="5"/>
      <c r="J88" s="5" t="s">
        <v>9500</v>
      </c>
      <c r="M88" s="1"/>
      <c r="N88"/>
      <c r="O88"/>
      <c r="P88"/>
      <c r="Q88"/>
      <c r="R88"/>
      <c r="S88"/>
      <c r="T88"/>
      <c r="U88"/>
      <c r="V88"/>
      <c r="W88"/>
      <c r="X88"/>
      <c r="Y88"/>
    </row>
    <row r="89" spans="1:25" s="2" customFormat="1" ht="25.5" x14ac:dyDescent="0.2">
      <c r="A89" s="5" t="s">
        <v>7947</v>
      </c>
      <c r="B89" s="5" t="s">
        <v>83</v>
      </c>
      <c r="C89" s="5"/>
      <c r="D89" s="5" t="s">
        <v>7946</v>
      </c>
      <c r="E89" s="5"/>
      <c r="F89" s="5" t="s">
        <v>9499</v>
      </c>
      <c r="G89" s="5" t="s">
        <v>224</v>
      </c>
      <c r="H89" s="5" t="s">
        <v>137</v>
      </c>
      <c r="I89" s="5" t="s">
        <v>55</v>
      </c>
      <c r="J89" s="5" t="s">
        <v>9443</v>
      </c>
      <c r="M89" s="1"/>
      <c r="N89"/>
      <c r="O89"/>
      <c r="P89"/>
      <c r="Q89"/>
      <c r="R89"/>
      <c r="S89"/>
      <c r="T89"/>
      <c r="U89"/>
      <c r="V89"/>
      <c r="W89"/>
      <c r="X89"/>
      <c r="Y89"/>
    </row>
    <row r="90" spans="1:25" s="2" customFormat="1" x14ac:dyDescent="0.2">
      <c r="A90" s="5" t="s">
        <v>7939</v>
      </c>
      <c r="B90" s="5" t="s">
        <v>83</v>
      </c>
      <c r="C90" s="5"/>
      <c r="D90" s="5" t="s">
        <v>7938</v>
      </c>
      <c r="E90" s="5"/>
      <c r="F90" s="5" t="s">
        <v>7906</v>
      </c>
      <c r="G90" s="5" t="s">
        <v>80</v>
      </c>
      <c r="H90" s="5" t="s">
        <v>137</v>
      </c>
      <c r="I90" s="5" t="s">
        <v>55</v>
      </c>
      <c r="J90" s="5" t="s">
        <v>7937</v>
      </c>
      <c r="M90" s="1"/>
      <c r="N90"/>
      <c r="O90"/>
      <c r="P90"/>
      <c r="Q90"/>
      <c r="R90"/>
      <c r="S90"/>
      <c r="T90"/>
      <c r="U90"/>
      <c r="V90"/>
      <c r="W90"/>
      <c r="X90"/>
      <c r="Y90"/>
    </row>
    <row r="91" spans="1:25" s="2" customFormat="1" x14ac:dyDescent="0.2">
      <c r="A91" s="5" t="s">
        <v>9498</v>
      </c>
      <c r="B91" s="5" t="s">
        <v>83</v>
      </c>
      <c r="C91" s="5"/>
      <c r="D91" s="5" t="s">
        <v>9497</v>
      </c>
      <c r="E91" s="5" t="s">
        <v>93</v>
      </c>
      <c r="F91" s="5" t="s">
        <v>7909</v>
      </c>
      <c r="G91" s="5" t="s">
        <v>6584</v>
      </c>
      <c r="H91" s="5" t="s">
        <v>137</v>
      </c>
      <c r="I91" s="5" t="s">
        <v>55</v>
      </c>
      <c r="J91" s="5" t="s">
        <v>9496</v>
      </c>
      <c r="M91" s="1"/>
      <c r="N91"/>
      <c r="O91"/>
      <c r="P91"/>
      <c r="Q91"/>
      <c r="R91"/>
      <c r="S91"/>
      <c r="T91"/>
      <c r="U91"/>
      <c r="V91"/>
      <c r="W91"/>
      <c r="X91"/>
      <c r="Y91"/>
    </row>
    <row r="92" spans="1:25" s="2" customFormat="1" ht="25.5" x14ac:dyDescent="0.2">
      <c r="A92" s="5" t="s">
        <v>7914</v>
      </c>
      <c r="B92" s="5" t="s">
        <v>83</v>
      </c>
      <c r="C92" s="5"/>
      <c r="D92" s="5" t="s">
        <v>6383</v>
      </c>
      <c r="E92" s="5"/>
      <c r="F92" s="5"/>
      <c r="G92" s="5" t="s">
        <v>229</v>
      </c>
      <c r="H92" s="5"/>
      <c r="I92" s="5"/>
      <c r="J92" s="5" t="s">
        <v>9495</v>
      </c>
      <c r="M92" s="1"/>
      <c r="N92"/>
      <c r="O92"/>
      <c r="P92"/>
      <c r="Q92"/>
      <c r="R92"/>
      <c r="S92"/>
      <c r="T92"/>
      <c r="U92"/>
      <c r="V92"/>
      <c r="W92"/>
      <c r="X92"/>
      <c r="Y92"/>
    </row>
    <row r="93" spans="1:25" s="2" customFormat="1" x14ac:dyDescent="0.2">
      <c r="A93" s="5" t="s">
        <v>7911</v>
      </c>
      <c r="B93" s="5" t="s">
        <v>83</v>
      </c>
      <c r="C93" s="5"/>
      <c r="D93" s="5" t="s">
        <v>9494</v>
      </c>
      <c r="E93" s="5"/>
      <c r="F93" s="5"/>
      <c r="G93" s="5" t="s">
        <v>229</v>
      </c>
      <c r="H93" s="5" t="s">
        <v>137</v>
      </c>
      <c r="I93" s="5"/>
      <c r="J93" s="5"/>
      <c r="M93" s="1"/>
      <c r="N93"/>
      <c r="O93"/>
      <c r="P93"/>
      <c r="Q93"/>
      <c r="R93"/>
      <c r="S93"/>
      <c r="T93"/>
      <c r="U93"/>
      <c r="V93"/>
      <c r="W93"/>
      <c r="X93"/>
      <c r="Y93"/>
    </row>
    <row r="94" spans="1:25" s="2" customFormat="1" ht="25.5" x14ac:dyDescent="0.2">
      <c r="A94" s="5" t="s">
        <v>9493</v>
      </c>
      <c r="B94" s="5" t="s">
        <v>83</v>
      </c>
      <c r="C94" s="5"/>
      <c r="D94" s="5" t="s">
        <v>9492</v>
      </c>
      <c r="E94" s="5"/>
      <c r="F94" s="5"/>
      <c r="G94" s="5" t="s">
        <v>229</v>
      </c>
      <c r="H94" s="5" t="s">
        <v>137</v>
      </c>
      <c r="I94" s="5"/>
      <c r="J94" s="5"/>
      <c r="M94" s="1"/>
      <c r="N94"/>
      <c r="O94"/>
      <c r="P94"/>
      <c r="Q94"/>
      <c r="R94"/>
      <c r="S94"/>
      <c r="T94"/>
      <c r="U94"/>
      <c r="V94"/>
      <c r="W94"/>
      <c r="X94"/>
      <c r="Y94"/>
    </row>
    <row r="95" spans="1:25" s="2" customFormat="1" x14ac:dyDescent="0.2">
      <c r="A95" s="5" t="s">
        <v>9491</v>
      </c>
      <c r="B95" s="5" t="s">
        <v>83</v>
      </c>
      <c r="C95" s="5"/>
      <c r="D95" s="5" t="s">
        <v>9490</v>
      </c>
      <c r="E95" s="5"/>
      <c r="F95" s="5" t="s">
        <v>9489</v>
      </c>
      <c r="G95" s="5" t="s">
        <v>118</v>
      </c>
      <c r="H95" s="5" t="s">
        <v>137</v>
      </c>
      <c r="I95" s="5" t="s">
        <v>55</v>
      </c>
      <c r="J95" s="5"/>
      <c r="M95" s="1"/>
      <c r="N95"/>
      <c r="O95"/>
      <c r="P95"/>
      <c r="Q95"/>
      <c r="R95"/>
      <c r="S95"/>
      <c r="T95"/>
      <c r="U95"/>
      <c r="V95"/>
      <c r="W95"/>
      <c r="X95"/>
      <c r="Y95"/>
    </row>
    <row r="96" spans="1:25" s="2" customFormat="1" x14ac:dyDescent="0.2">
      <c r="A96" s="5" t="s">
        <v>9488</v>
      </c>
      <c r="B96" s="5" t="s">
        <v>83</v>
      </c>
      <c r="C96" s="5"/>
      <c r="D96" s="5" t="s">
        <v>9487</v>
      </c>
      <c r="E96" s="5"/>
      <c r="F96" s="5" t="s">
        <v>7906</v>
      </c>
      <c r="G96" s="5" t="s">
        <v>80</v>
      </c>
      <c r="H96" s="5" t="s">
        <v>137</v>
      </c>
      <c r="I96" s="5" t="s">
        <v>55</v>
      </c>
      <c r="J96" s="5" t="s">
        <v>9486</v>
      </c>
      <c r="M96" s="1"/>
      <c r="N96"/>
      <c r="O96"/>
      <c r="P96"/>
      <c r="Q96"/>
      <c r="R96"/>
      <c r="S96"/>
      <c r="T96"/>
      <c r="U96"/>
      <c r="V96"/>
      <c r="W96"/>
      <c r="X96"/>
      <c r="Y96"/>
    </row>
    <row r="97" spans="1:25" s="2" customFormat="1" ht="25.5" x14ac:dyDescent="0.2">
      <c r="A97" s="5" t="s">
        <v>9485</v>
      </c>
      <c r="B97" s="5" t="s">
        <v>83</v>
      </c>
      <c r="C97" s="5"/>
      <c r="D97" s="5" t="s">
        <v>9484</v>
      </c>
      <c r="E97" s="5"/>
      <c r="F97" s="5" t="s">
        <v>7577</v>
      </c>
      <c r="G97" s="5" t="s">
        <v>118</v>
      </c>
      <c r="H97" s="5" t="s">
        <v>137</v>
      </c>
      <c r="I97" s="5" t="s">
        <v>55</v>
      </c>
      <c r="J97" s="5" t="s">
        <v>9483</v>
      </c>
      <c r="M97" s="1"/>
      <c r="N97"/>
      <c r="O97"/>
      <c r="P97"/>
      <c r="Q97"/>
      <c r="R97"/>
      <c r="S97"/>
      <c r="T97"/>
      <c r="U97"/>
      <c r="V97"/>
      <c r="W97"/>
      <c r="X97"/>
      <c r="Y97"/>
    </row>
    <row r="98" spans="1:25" s="2" customFormat="1" x14ac:dyDescent="0.2">
      <c r="A98" s="5" t="s">
        <v>9482</v>
      </c>
      <c r="B98" s="5" t="s">
        <v>83</v>
      </c>
      <c r="C98" s="5"/>
      <c r="D98" s="5" t="s">
        <v>9444</v>
      </c>
      <c r="E98" s="5"/>
      <c r="F98" s="5" t="s">
        <v>7653</v>
      </c>
      <c r="G98" s="5" t="s">
        <v>224</v>
      </c>
      <c r="H98" s="5" t="s">
        <v>137</v>
      </c>
      <c r="I98" s="5" t="s">
        <v>55</v>
      </c>
      <c r="J98" s="5" t="s">
        <v>9443</v>
      </c>
      <c r="M98" s="1"/>
      <c r="N98"/>
      <c r="O98"/>
      <c r="P98"/>
      <c r="Q98"/>
      <c r="R98"/>
      <c r="S98"/>
      <c r="T98"/>
      <c r="U98"/>
      <c r="V98"/>
      <c r="W98"/>
      <c r="X98"/>
      <c r="Y98"/>
    </row>
    <row r="99" spans="1:25" s="2" customFormat="1" x14ac:dyDescent="0.2">
      <c r="A99" s="5" t="s">
        <v>9481</v>
      </c>
      <c r="B99" s="5" t="s">
        <v>83</v>
      </c>
      <c r="C99" s="5"/>
      <c r="D99" s="5" t="s">
        <v>9480</v>
      </c>
      <c r="E99" s="5"/>
      <c r="F99" s="5" t="s">
        <v>9472</v>
      </c>
      <c r="G99" s="5" t="s">
        <v>105</v>
      </c>
      <c r="H99" s="5" t="s">
        <v>3</v>
      </c>
      <c r="I99" s="5"/>
      <c r="J99" s="5" t="s">
        <v>9472</v>
      </c>
      <c r="M99" s="1"/>
      <c r="N99"/>
      <c r="O99"/>
      <c r="P99"/>
      <c r="Q99"/>
      <c r="R99"/>
      <c r="S99"/>
      <c r="T99"/>
      <c r="U99"/>
      <c r="V99"/>
      <c r="W99"/>
      <c r="X99"/>
      <c r="Y99"/>
    </row>
    <row r="100" spans="1:25" s="2" customFormat="1" ht="25.5" x14ac:dyDescent="0.2">
      <c r="A100" s="5" t="s">
        <v>9479</v>
      </c>
      <c r="B100" s="5" t="s">
        <v>83</v>
      </c>
      <c r="C100" s="5"/>
      <c r="D100" s="5" t="s">
        <v>9477</v>
      </c>
      <c r="E100" s="5"/>
      <c r="F100" s="5" t="s">
        <v>9476</v>
      </c>
      <c r="G100" s="5" t="s">
        <v>234</v>
      </c>
      <c r="H100" s="5" t="s">
        <v>3</v>
      </c>
      <c r="I100" s="5"/>
      <c r="J100" s="5" t="s">
        <v>9475</v>
      </c>
      <c r="M100" s="1"/>
      <c r="N100"/>
      <c r="O100"/>
      <c r="P100"/>
      <c r="Q100"/>
      <c r="R100"/>
      <c r="S100"/>
      <c r="T100"/>
      <c r="U100"/>
      <c r="V100"/>
      <c r="W100"/>
      <c r="X100"/>
      <c r="Y100"/>
    </row>
    <row r="101" spans="1:25" s="2" customFormat="1" ht="25.5" x14ac:dyDescent="0.2">
      <c r="A101" s="5" t="s">
        <v>9478</v>
      </c>
      <c r="B101" s="5" t="s">
        <v>83</v>
      </c>
      <c r="C101" s="5"/>
      <c r="D101" s="5" t="s">
        <v>9477</v>
      </c>
      <c r="E101" s="5"/>
      <c r="F101" s="5" t="s">
        <v>9476</v>
      </c>
      <c r="G101" s="5" t="s">
        <v>234</v>
      </c>
      <c r="H101" s="5" t="s">
        <v>3</v>
      </c>
      <c r="I101" s="5"/>
      <c r="J101" s="5" t="s">
        <v>9475</v>
      </c>
      <c r="M101" s="1"/>
      <c r="N101"/>
      <c r="O101"/>
      <c r="P101"/>
      <c r="Q101"/>
      <c r="R101"/>
      <c r="S101"/>
      <c r="T101"/>
      <c r="U101"/>
      <c r="V101"/>
      <c r="W101"/>
      <c r="X101"/>
      <c r="Y101"/>
    </row>
    <row r="102" spans="1:25" s="2" customFormat="1" x14ac:dyDescent="0.2">
      <c r="A102" s="5" t="s">
        <v>9474</v>
      </c>
      <c r="B102" s="5" t="s">
        <v>83</v>
      </c>
      <c r="C102" s="5"/>
      <c r="D102" s="5" t="s">
        <v>9473</v>
      </c>
      <c r="E102" s="5"/>
      <c r="F102" s="5" t="s">
        <v>9472</v>
      </c>
      <c r="G102" s="5" t="s">
        <v>315</v>
      </c>
      <c r="H102" s="5" t="s">
        <v>3</v>
      </c>
      <c r="I102" s="5"/>
      <c r="J102" s="5" t="s">
        <v>9471</v>
      </c>
      <c r="M102" s="1"/>
      <c r="N102"/>
      <c r="O102"/>
      <c r="P102"/>
      <c r="Q102"/>
      <c r="R102"/>
      <c r="S102"/>
      <c r="T102"/>
      <c r="U102"/>
      <c r="V102"/>
      <c r="W102"/>
      <c r="X102"/>
      <c r="Y102"/>
    </row>
    <row r="103" spans="1:25" s="2" customFormat="1" x14ac:dyDescent="0.2">
      <c r="A103" s="5" t="s">
        <v>9470</v>
      </c>
      <c r="B103" s="5" t="s">
        <v>83</v>
      </c>
      <c r="C103" s="5"/>
      <c r="D103" s="5" t="s">
        <v>9469</v>
      </c>
      <c r="E103" s="5"/>
      <c r="F103" s="5" t="s">
        <v>9468</v>
      </c>
      <c r="G103" s="5" t="s">
        <v>229</v>
      </c>
      <c r="H103" s="5" t="s">
        <v>3</v>
      </c>
      <c r="I103" s="5"/>
      <c r="J103" s="5" t="s">
        <v>9467</v>
      </c>
      <c r="M103" s="1"/>
      <c r="N103"/>
      <c r="O103"/>
      <c r="P103"/>
      <c r="Q103"/>
      <c r="R103"/>
      <c r="S103"/>
      <c r="T103"/>
      <c r="U103"/>
      <c r="V103"/>
      <c r="W103"/>
      <c r="X103"/>
      <c r="Y103"/>
    </row>
    <row r="104" spans="1:25" s="2" customFormat="1" x14ac:dyDescent="0.2">
      <c r="A104" s="5" t="s">
        <v>7888</v>
      </c>
      <c r="B104" s="5" t="s">
        <v>83</v>
      </c>
      <c r="C104" s="5"/>
      <c r="D104" s="5" t="s">
        <v>9466</v>
      </c>
      <c r="E104" s="5"/>
      <c r="F104" s="5" t="s">
        <v>4861</v>
      </c>
      <c r="G104" s="5" t="s">
        <v>6385</v>
      </c>
      <c r="H104" s="5" t="s">
        <v>3</v>
      </c>
      <c r="I104" s="5"/>
      <c r="J104" s="5" t="s">
        <v>9465</v>
      </c>
      <c r="M104" s="1"/>
      <c r="N104"/>
      <c r="O104"/>
      <c r="P104"/>
      <c r="Q104"/>
      <c r="R104"/>
      <c r="S104"/>
      <c r="T104"/>
      <c r="U104"/>
      <c r="V104"/>
      <c r="W104"/>
      <c r="X104"/>
      <c r="Y104"/>
    </row>
    <row r="105" spans="1:25" s="2" customFormat="1" x14ac:dyDescent="0.2">
      <c r="A105" s="5" t="s">
        <v>9464</v>
      </c>
      <c r="B105" s="5" t="s">
        <v>83</v>
      </c>
      <c r="C105" s="5"/>
      <c r="D105" s="5" t="s">
        <v>9463</v>
      </c>
      <c r="E105" s="5"/>
      <c r="F105" s="5" t="s">
        <v>9462</v>
      </c>
      <c r="G105" s="5" t="s">
        <v>9461</v>
      </c>
      <c r="H105" s="5" t="s">
        <v>137</v>
      </c>
      <c r="I105" s="5"/>
      <c r="J105" s="5" t="s">
        <v>9460</v>
      </c>
      <c r="M105" s="1"/>
      <c r="N105"/>
      <c r="O105"/>
      <c r="P105"/>
      <c r="Q105"/>
      <c r="R105"/>
      <c r="S105"/>
      <c r="T105"/>
      <c r="U105"/>
      <c r="V105"/>
      <c r="W105"/>
      <c r="X105"/>
      <c r="Y105"/>
    </row>
    <row r="106" spans="1:25" s="2" customFormat="1" x14ac:dyDescent="0.2">
      <c r="A106" s="5" t="s">
        <v>8737</v>
      </c>
      <c r="B106" s="5" t="s">
        <v>83</v>
      </c>
      <c r="C106" s="5"/>
      <c r="D106" s="5" t="s">
        <v>5175</v>
      </c>
      <c r="E106" s="5"/>
      <c r="F106" s="5"/>
      <c r="G106" s="5" t="s">
        <v>105</v>
      </c>
      <c r="H106" s="5" t="s">
        <v>3</v>
      </c>
      <c r="I106" s="5"/>
      <c r="J106" s="5" t="s">
        <v>9458</v>
      </c>
      <c r="M106" s="1"/>
      <c r="N106"/>
      <c r="O106"/>
      <c r="P106"/>
      <c r="Q106"/>
      <c r="R106"/>
      <c r="S106"/>
      <c r="T106"/>
      <c r="U106"/>
      <c r="V106"/>
      <c r="W106"/>
      <c r="X106"/>
      <c r="Y106"/>
    </row>
    <row r="107" spans="1:25" s="2" customFormat="1" x14ac:dyDescent="0.2">
      <c r="A107" s="5" t="s">
        <v>7848</v>
      </c>
      <c r="B107" s="5" t="s">
        <v>83</v>
      </c>
      <c r="C107" s="5"/>
      <c r="D107" s="5" t="s">
        <v>9459</v>
      </c>
      <c r="E107" s="5"/>
      <c r="F107" s="5"/>
      <c r="G107" s="5" t="s">
        <v>105</v>
      </c>
      <c r="H107" s="5" t="s">
        <v>3</v>
      </c>
      <c r="I107" s="5"/>
      <c r="J107" s="5" t="s">
        <v>9458</v>
      </c>
      <c r="M107" s="1"/>
      <c r="N107"/>
      <c r="O107"/>
      <c r="P107"/>
      <c r="Q107"/>
      <c r="R107"/>
      <c r="S107"/>
      <c r="T107"/>
      <c r="U107"/>
      <c r="V107"/>
      <c r="W107"/>
      <c r="X107"/>
      <c r="Y107"/>
    </row>
    <row r="108" spans="1:25" s="2" customFormat="1" x14ac:dyDescent="0.2">
      <c r="A108" s="5" t="s">
        <v>9457</v>
      </c>
      <c r="B108" s="5" t="s">
        <v>83</v>
      </c>
      <c r="C108" s="5"/>
      <c r="D108" s="5" t="s">
        <v>9456</v>
      </c>
      <c r="E108" s="5"/>
      <c r="F108" s="5" t="s">
        <v>8737</v>
      </c>
      <c r="G108" s="5" t="s">
        <v>6584</v>
      </c>
      <c r="H108" s="5" t="s">
        <v>3</v>
      </c>
      <c r="I108" s="5"/>
      <c r="J108" s="5" t="s">
        <v>9455</v>
      </c>
      <c r="M108" s="1"/>
      <c r="N108"/>
      <c r="O108"/>
      <c r="P108"/>
      <c r="Q108"/>
      <c r="R108"/>
      <c r="S108"/>
      <c r="T108"/>
      <c r="U108"/>
      <c r="V108"/>
      <c r="W108"/>
      <c r="X108"/>
      <c r="Y108"/>
    </row>
    <row r="109" spans="1:25" s="2" customFormat="1" x14ac:dyDescent="0.2">
      <c r="A109" s="5" t="s">
        <v>7843</v>
      </c>
      <c r="B109" s="5" t="s">
        <v>83</v>
      </c>
      <c r="C109" s="5"/>
      <c r="D109" s="5" t="s">
        <v>7842</v>
      </c>
      <c r="E109" s="5"/>
      <c r="F109" s="5" t="s">
        <v>7841</v>
      </c>
      <c r="G109" s="5" t="s">
        <v>105</v>
      </c>
      <c r="H109" s="5" t="s">
        <v>3</v>
      </c>
      <c r="I109" s="5"/>
      <c r="J109" s="5" t="s">
        <v>7840</v>
      </c>
      <c r="M109" s="1"/>
      <c r="N109"/>
      <c r="O109"/>
      <c r="P109"/>
      <c r="Q109"/>
      <c r="R109"/>
      <c r="S109"/>
      <c r="T109"/>
      <c r="U109"/>
      <c r="V109"/>
      <c r="W109"/>
      <c r="X109"/>
      <c r="Y109"/>
    </row>
    <row r="110" spans="1:25" s="2" customFormat="1" x14ac:dyDescent="0.2">
      <c r="A110" s="5" t="s">
        <v>7665</v>
      </c>
      <c r="B110" s="5" t="s">
        <v>83</v>
      </c>
      <c r="C110" s="5"/>
      <c r="D110" s="5" t="s">
        <v>7664</v>
      </c>
      <c r="E110" s="5" t="s">
        <v>288</v>
      </c>
      <c r="F110" s="5" t="s">
        <v>7663</v>
      </c>
      <c r="G110" s="5" t="s">
        <v>91</v>
      </c>
      <c r="H110" s="5" t="s">
        <v>3</v>
      </c>
      <c r="I110" s="5"/>
      <c r="J110" s="5"/>
      <c r="M110" s="1"/>
      <c r="N110"/>
      <c r="O110"/>
      <c r="P110"/>
      <c r="Q110"/>
      <c r="R110"/>
      <c r="S110"/>
      <c r="T110"/>
      <c r="U110"/>
      <c r="V110"/>
      <c r="W110"/>
      <c r="X110"/>
      <c r="Y110"/>
    </row>
    <row r="111" spans="1:25" s="2" customFormat="1" x14ac:dyDescent="0.2">
      <c r="A111" s="5" t="s">
        <v>9454</v>
      </c>
      <c r="B111" s="5" t="s">
        <v>83</v>
      </c>
      <c r="C111" s="5"/>
      <c r="D111" s="5" t="s">
        <v>5503</v>
      </c>
      <c r="E111" s="5"/>
      <c r="F111" s="5" t="s">
        <v>9453</v>
      </c>
      <c r="G111" s="5" t="s">
        <v>328</v>
      </c>
      <c r="H111" s="5" t="s">
        <v>3</v>
      </c>
      <c r="I111" s="5"/>
      <c r="J111" s="5" t="s">
        <v>9452</v>
      </c>
      <c r="M111" s="1"/>
      <c r="N111"/>
      <c r="O111"/>
      <c r="P111"/>
      <c r="Q111"/>
      <c r="R111"/>
      <c r="S111"/>
      <c r="T111"/>
      <c r="U111"/>
      <c r="V111"/>
      <c r="W111"/>
      <c r="X111"/>
      <c r="Y111"/>
    </row>
    <row r="112" spans="1:25" s="2" customFormat="1" x14ac:dyDescent="0.2">
      <c r="A112" s="5" t="s">
        <v>7634</v>
      </c>
      <c r="B112" s="5" t="s">
        <v>83</v>
      </c>
      <c r="C112" s="5"/>
      <c r="D112" s="5" t="s">
        <v>7633</v>
      </c>
      <c r="E112" s="5"/>
      <c r="F112" s="5"/>
      <c r="G112" s="5" t="s">
        <v>86</v>
      </c>
      <c r="H112" s="5" t="s">
        <v>3</v>
      </c>
      <c r="I112" s="5"/>
      <c r="J112" s="5"/>
      <c r="M112" s="1"/>
      <c r="N112"/>
      <c r="O112"/>
      <c r="P112"/>
      <c r="Q112"/>
      <c r="R112"/>
      <c r="S112"/>
      <c r="T112"/>
      <c r="U112"/>
      <c r="V112"/>
      <c r="W112"/>
      <c r="X112"/>
      <c r="Y112"/>
    </row>
    <row r="113" spans="1:25" s="2" customFormat="1" ht="25.5" x14ac:dyDescent="0.2">
      <c r="A113" s="5" t="s">
        <v>9451</v>
      </c>
      <c r="B113" s="5" t="s">
        <v>83</v>
      </c>
      <c r="C113" s="5"/>
      <c r="D113" s="5" t="s">
        <v>9374</v>
      </c>
      <c r="E113" s="5"/>
      <c r="F113" s="5" t="s">
        <v>9450</v>
      </c>
      <c r="G113" s="5" t="s">
        <v>2672</v>
      </c>
      <c r="H113" s="5" t="s">
        <v>3</v>
      </c>
      <c r="I113" s="5"/>
      <c r="J113" s="5" t="s">
        <v>9449</v>
      </c>
      <c r="M113" s="1"/>
      <c r="N113"/>
      <c r="O113"/>
      <c r="P113"/>
      <c r="Q113"/>
      <c r="R113"/>
      <c r="S113"/>
      <c r="T113"/>
      <c r="U113"/>
      <c r="V113"/>
      <c r="W113"/>
      <c r="X113"/>
      <c r="Y113"/>
    </row>
    <row r="114" spans="1:25" s="2" customFormat="1" ht="25.5" x14ac:dyDescent="0.2">
      <c r="A114" s="5" t="s">
        <v>9448</v>
      </c>
      <c r="B114" s="5" t="s">
        <v>83</v>
      </c>
      <c r="C114" s="5"/>
      <c r="D114" s="5" t="s">
        <v>9447</v>
      </c>
      <c r="E114" s="5"/>
      <c r="F114" s="5" t="s">
        <v>9446</v>
      </c>
      <c r="G114" s="5" t="s">
        <v>882</v>
      </c>
      <c r="H114" s="5" t="s">
        <v>3</v>
      </c>
      <c r="I114" s="5"/>
      <c r="J114" s="5" t="s">
        <v>9445</v>
      </c>
      <c r="M114" s="1"/>
      <c r="N114"/>
      <c r="O114"/>
      <c r="P114"/>
      <c r="Q114"/>
      <c r="R114"/>
      <c r="S114"/>
      <c r="T114"/>
      <c r="U114"/>
      <c r="V114"/>
      <c r="W114"/>
      <c r="X114"/>
      <c r="Y114"/>
    </row>
    <row r="115" spans="1:25" s="2" customFormat="1" x14ac:dyDescent="0.2">
      <c r="A115" s="5" t="s">
        <v>7465</v>
      </c>
      <c r="B115" s="5" t="s">
        <v>83</v>
      </c>
      <c r="C115" s="5"/>
      <c r="D115" s="5" t="s">
        <v>9444</v>
      </c>
      <c r="E115" s="5"/>
      <c r="F115" s="5" t="s">
        <v>7653</v>
      </c>
      <c r="G115" s="5" t="s">
        <v>224</v>
      </c>
      <c r="H115" s="5" t="s">
        <v>137</v>
      </c>
      <c r="I115" s="5" t="s">
        <v>55</v>
      </c>
      <c r="J115" s="5" t="s">
        <v>9443</v>
      </c>
      <c r="M115" s="1"/>
      <c r="N115"/>
      <c r="O115"/>
      <c r="P115"/>
      <c r="Q115"/>
      <c r="R115"/>
      <c r="S115"/>
      <c r="T115"/>
      <c r="U115"/>
      <c r="V115"/>
      <c r="W115"/>
      <c r="X115"/>
      <c r="Y115"/>
    </row>
    <row r="116" spans="1:25" s="2" customFormat="1" x14ac:dyDescent="0.2">
      <c r="A116" s="5" t="s">
        <v>9442</v>
      </c>
      <c r="B116" s="5" t="s">
        <v>83</v>
      </c>
      <c r="C116" s="5"/>
      <c r="D116" s="5" t="s">
        <v>9441</v>
      </c>
      <c r="E116" s="5"/>
      <c r="F116" s="5"/>
      <c r="G116" s="5" t="s">
        <v>229</v>
      </c>
      <c r="H116" s="5" t="s">
        <v>3</v>
      </c>
      <c r="I116" s="5"/>
      <c r="J116" s="5"/>
      <c r="M116" s="1"/>
      <c r="N116"/>
      <c r="O116"/>
      <c r="P116"/>
      <c r="Q116"/>
      <c r="R116"/>
      <c r="S116"/>
      <c r="T116"/>
      <c r="U116"/>
      <c r="V116"/>
      <c r="W116"/>
      <c r="X116"/>
      <c r="Y116"/>
    </row>
    <row r="117" spans="1:25" s="2" customFormat="1" x14ac:dyDescent="0.2">
      <c r="A117" s="5" t="s">
        <v>9440</v>
      </c>
      <c r="B117" s="5" t="s">
        <v>83</v>
      </c>
      <c r="C117" s="5"/>
      <c r="D117" s="5" t="s">
        <v>8480</v>
      </c>
      <c r="E117" s="5"/>
      <c r="F117" s="5"/>
      <c r="G117" s="5" t="s">
        <v>91</v>
      </c>
      <c r="H117" s="5" t="s">
        <v>137</v>
      </c>
      <c r="I117" s="5"/>
      <c r="J117" s="5"/>
      <c r="M117" s="1"/>
      <c r="N117"/>
      <c r="O117"/>
      <c r="P117"/>
      <c r="Q117"/>
      <c r="R117"/>
      <c r="S117"/>
      <c r="T117"/>
      <c r="U117"/>
      <c r="V117"/>
      <c r="W117"/>
      <c r="X117"/>
      <c r="Y117"/>
    </row>
    <row r="118" spans="1:25" s="2" customFormat="1" x14ac:dyDescent="0.2">
      <c r="A118" s="5" t="s">
        <v>9439</v>
      </c>
      <c r="B118" s="5" t="s">
        <v>83</v>
      </c>
      <c r="C118" s="5"/>
      <c r="D118" s="5" t="s">
        <v>9438</v>
      </c>
      <c r="E118" s="5"/>
      <c r="F118" s="5" t="s">
        <v>9437</v>
      </c>
      <c r="G118" s="5" t="s">
        <v>148</v>
      </c>
      <c r="H118" s="5" t="s">
        <v>3</v>
      </c>
      <c r="I118" s="5"/>
      <c r="J118" s="5" t="s">
        <v>9436</v>
      </c>
      <c r="M118" s="1"/>
      <c r="N118"/>
      <c r="O118"/>
      <c r="P118"/>
      <c r="Q118"/>
      <c r="R118"/>
      <c r="S118"/>
      <c r="T118"/>
      <c r="U118"/>
      <c r="V118"/>
      <c r="W118"/>
      <c r="X118"/>
      <c r="Y118"/>
    </row>
    <row r="119" spans="1:25" s="2" customFormat="1" x14ac:dyDescent="0.2">
      <c r="A119" s="5" t="s">
        <v>9435</v>
      </c>
      <c r="B119" s="5" t="s">
        <v>83</v>
      </c>
      <c r="C119" s="5"/>
      <c r="D119" s="5" t="s">
        <v>9434</v>
      </c>
      <c r="E119" s="5"/>
      <c r="F119" s="5" t="s">
        <v>9433</v>
      </c>
      <c r="G119" s="5" t="s">
        <v>105</v>
      </c>
      <c r="H119" s="5" t="s">
        <v>137</v>
      </c>
      <c r="I119" s="5" t="s">
        <v>55</v>
      </c>
      <c r="J119" s="5" t="s">
        <v>9432</v>
      </c>
      <c r="M119" s="1"/>
      <c r="N119"/>
      <c r="O119"/>
      <c r="P119"/>
      <c r="Q119"/>
      <c r="R119"/>
      <c r="S119"/>
      <c r="T119"/>
      <c r="U119"/>
      <c r="V119"/>
      <c r="W119"/>
      <c r="X119"/>
      <c r="Y119"/>
    </row>
    <row r="120" spans="1:25" s="2" customFormat="1" ht="25.5" x14ac:dyDescent="0.2">
      <c r="A120" s="5" t="s">
        <v>9431</v>
      </c>
      <c r="B120" s="5" t="s">
        <v>83</v>
      </c>
      <c r="C120" s="5"/>
      <c r="D120" s="5" t="s">
        <v>9430</v>
      </c>
      <c r="E120" s="5"/>
      <c r="F120" s="5" t="s">
        <v>9429</v>
      </c>
      <c r="G120" s="5" t="s">
        <v>328</v>
      </c>
      <c r="H120" s="5" t="s">
        <v>137</v>
      </c>
      <c r="I120" s="5" t="s">
        <v>55</v>
      </c>
      <c r="J120" s="5" t="s">
        <v>9428</v>
      </c>
      <c r="M120" s="1"/>
      <c r="N120"/>
      <c r="O120"/>
      <c r="P120"/>
      <c r="Q120"/>
      <c r="R120"/>
      <c r="S120"/>
      <c r="T120"/>
      <c r="U120"/>
      <c r="V120"/>
      <c r="W120"/>
      <c r="X120"/>
      <c r="Y120"/>
    </row>
    <row r="121" spans="1:25" s="2" customFormat="1" x14ac:dyDescent="0.2">
      <c r="A121" s="5" t="s">
        <v>9427</v>
      </c>
      <c r="B121" s="5" t="s">
        <v>83</v>
      </c>
      <c r="C121" s="5"/>
      <c r="D121" s="5" t="s">
        <v>9426</v>
      </c>
      <c r="E121" s="5" t="s">
        <v>93</v>
      </c>
      <c r="F121" s="5" t="s">
        <v>9425</v>
      </c>
      <c r="G121" s="5" t="s">
        <v>3059</v>
      </c>
      <c r="H121" s="5" t="s">
        <v>3</v>
      </c>
      <c r="I121" s="5"/>
      <c r="J121" s="5"/>
      <c r="M121" s="1"/>
      <c r="N121"/>
      <c r="O121"/>
      <c r="P121"/>
      <c r="Q121"/>
      <c r="R121"/>
      <c r="S121"/>
      <c r="T121"/>
      <c r="U121"/>
      <c r="V121"/>
      <c r="W121"/>
      <c r="X121"/>
      <c r="Y121"/>
    </row>
    <row r="122" spans="1:25" s="2" customFormat="1" ht="25.5" x14ac:dyDescent="0.2">
      <c r="A122" s="5" t="s">
        <v>9424</v>
      </c>
      <c r="B122" s="5" t="s">
        <v>83</v>
      </c>
      <c r="C122" s="5"/>
      <c r="D122" s="5" t="s">
        <v>9423</v>
      </c>
      <c r="E122" s="5"/>
      <c r="F122" s="5" t="s">
        <v>9245</v>
      </c>
      <c r="G122" s="5" t="s">
        <v>105</v>
      </c>
      <c r="H122" s="5" t="s">
        <v>3</v>
      </c>
      <c r="I122" s="5"/>
      <c r="J122" s="5"/>
      <c r="M122" s="1"/>
      <c r="N122"/>
      <c r="O122"/>
      <c r="P122"/>
      <c r="Q122"/>
      <c r="R122"/>
      <c r="S122"/>
      <c r="T122"/>
      <c r="U122"/>
      <c r="V122"/>
      <c r="W122"/>
      <c r="X122"/>
      <c r="Y122"/>
    </row>
    <row r="123" spans="1:25" s="2" customFormat="1" ht="25.5" x14ac:dyDescent="0.2">
      <c r="A123" s="5" t="s">
        <v>6626</v>
      </c>
      <c r="B123" s="5" t="s">
        <v>83</v>
      </c>
      <c r="C123" s="5"/>
      <c r="D123" s="5" t="s">
        <v>6625</v>
      </c>
      <c r="E123" s="5"/>
      <c r="F123" s="5" t="s">
        <v>6621</v>
      </c>
      <c r="G123" s="5" t="s">
        <v>315</v>
      </c>
      <c r="H123" s="5" t="s">
        <v>3</v>
      </c>
      <c r="I123" s="5"/>
      <c r="J123" s="5" t="s">
        <v>6624</v>
      </c>
      <c r="M123" s="1"/>
      <c r="N123"/>
      <c r="O123"/>
      <c r="P123"/>
      <c r="Q123"/>
      <c r="R123"/>
      <c r="S123"/>
      <c r="T123"/>
      <c r="U123"/>
      <c r="V123"/>
      <c r="W123"/>
      <c r="X123"/>
      <c r="Y123"/>
    </row>
    <row r="124" spans="1:25" s="2" customFormat="1" x14ac:dyDescent="0.2">
      <c r="A124" s="5" t="s">
        <v>6623</v>
      </c>
      <c r="B124" s="5" t="s">
        <v>83</v>
      </c>
      <c r="C124" s="5"/>
      <c r="D124" s="5" t="s">
        <v>9422</v>
      </c>
      <c r="E124" s="5"/>
      <c r="F124" s="5" t="s">
        <v>6621</v>
      </c>
      <c r="G124" s="5" t="s">
        <v>276</v>
      </c>
      <c r="H124" s="5" t="s">
        <v>3</v>
      </c>
      <c r="I124" s="5"/>
      <c r="J124" s="5" t="s">
        <v>6620</v>
      </c>
      <c r="M124" s="1"/>
      <c r="N124"/>
      <c r="O124"/>
      <c r="P124"/>
      <c r="Q124"/>
      <c r="R124"/>
      <c r="S124"/>
      <c r="T124"/>
      <c r="U124"/>
      <c r="V124"/>
      <c r="W124"/>
      <c r="X124"/>
      <c r="Y124"/>
    </row>
    <row r="125" spans="1:25" s="2" customFormat="1" ht="25.5" x14ac:dyDescent="0.2">
      <c r="A125" s="5" t="s">
        <v>6578</v>
      </c>
      <c r="B125" s="5" t="s">
        <v>83</v>
      </c>
      <c r="C125" s="5"/>
      <c r="D125" s="5" t="s">
        <v>9421</v>
      </c>
      <c r="E125" s="5"/>
      <c r="F125" s="5" t="s">
        <v>2219</v>
      </c>
      <c r="G125" s="5" t="s">
        <v>2672</v>
      </c>
      <c r="H125" s="5" t="s">
        <v>137</v>
      </c>
      <c r="I125" s="5" t="s">
        <v>263</v>
      </c>
      <c r="J125" s="5" t="s">
        <v>6588</v>
      </c>
      <c r="M125" s="1"/>
      <c r="N125"/>
      <c r="O125"/>
      <c r="P125"/>
      <c r="Q125"/>
      <c r="R125"/>
      <c r="S125"/>
      <c r="T125"/>
      <c r="U125"/>
      <c r="V125"/>
      <c r="W125"/>
      <c r="X125"/>
      <c r="Y125"/>
    </row>
    <row r="126" spans="1:25" s="2" customFormat="1" x14ac:dyDescent="0.2">
      <c r="A126" s="5" t="s">
        <v>9420</v>
      </c>
      <c r="B126" s="5" t="s">
        <v>83</v>
      </c>
      <c r="C126" s="5"/>
      <c r="D126" s="5" t="s">
        <v>9419</v>
      </c>
      <c r="E126" s="5"/>
      <c r="F126" s="5" t="s">
        <v>6534</v>
      </c>
      <c r="G126" s="5" t="s">
        <v>105</v>
      </c>
      <c r="H126" s="5" t="s">
        <v>137</v>
      </c>
      <c r="I126" s="5" t="s">
        <v>55</v>
      </c>
      <c r="J126" s="5" t="s">
        <v>9418</v>
      </c>
      <c r="M126" s="1"/>
      <c r="N126"/>
      <c r="O126"/>
      <c r="P126"/>
      <c r="Q126"/>
      <c r="R126"/>
      <c r="S126"/>
      <c r="T126"/>
      <c r="U126"/>
      <c r="V126"/>
      <c r="W126"/>
      <c r="X126"/>
      <c r="Y126"/>
    </row>
    <row r="127" spans="1:25" x14ac:dyDescent="0.2">
      <c r="A127" s="5" t="s">
        <v>6532</v>
      </c>
      <c r="B127" s="5" t="s">
        <v>83</v>
      </c>
      <c r="C127" s="5"/>
      <c r="D127" s="5" t="s">
        <v>9417</v>
      </c>
      <c r="E127" s="5"/>
      <c r="F127" s="5" t="s">
        <v>9416</v>
      </c>
      <c r="G127" s="5" t="s">
        <v>3059</v>
      </c>
      <c r="H127" s="5" t="s">
        <v>137</v>
      </c>
      <c r="I127" s="5" t="s">
        <v>55</v>
      </c>
      <c r="J127" s="5" t="s">
        <v>9415</v>
      </c>
    </row>
    <row r="128" spans="1:25" x14ac:dyDescent="0.2">
      <c r="A128" s="5" t="s">
        <v>9414</v>
      </c>
      <c r="B128" s="5" t="s">
        <v>83</v>
      </c>
      <c r="C128" s="5"/>
      <c r="D128" s="5" t="s">
        <v>9413</v>
      </c>
      <c r="E128" s="5"/>
      <c r="F128" s="5" t="s">
        <v>9412</v>
      </c>
      <c r="G128" s="5" t="s">
        <v>173</v>
      </c>
      <c r="H128" s="5" t="s">
        <v>3</v>
      </c>
      <c r="I128" s="5"/>
      <c r="J128" s="5"/>
    </row>
    <row r="129" spans="1:10" ht="25.5" x14ac:dyDescent="0.2">
      <c r="A129" s="5" t="s">
        <v>6448</v>
      </c>
      <c r="B129" s="5" t="s">
        <v>83</v>
      </c>
      <c r="C129" s="5"/>
      <c r="D129" s="5" t="s">
        <v>6447</v>
      </c>
      <c r="E129" s="5"/>
      <c r="F129" s="5" t="s">
        <v>6446</v>
      </c>
      <c r="G129" s="5" t="s">
        <v>199</v>
      </c>
      <c r="H129" s="5" t="s">
        <v>3</v>
      </c>
      <c r="I129" s="5"/>
      <c r="J129" s="5" t="s">
        <v>9411</v>
      </c>
    </row>
    <row r="130" spans="1:10" x14ac:dyDescent="0.2">
      <c r="A130" s="5" t="s">
        <v>6384</v>
      </c>
      <c r="B130" s="5" t="s">
        <v>83</v>
      </c>
      <c r="C130" s="5"/>
      <c r="D130" s="5" t="s">
        <v>6383</v>
      </c>
      <c r="E130" s="5"/>
      <c r="F130" s="5" t="s">
        <v>6382</v>
      </c>
      <c r="G130" s="5" t="s">
        <v>114</v>
      </c>
      <c r="H130" s="5" t="s">
        <v>3</v>
      </c>
      <c r="I130" s="5"/>
      <c r="J130" s="5"/>
    </row>
    <row r="131" spans="1:10" ht="25.5" x14ac:dyDescent="0.2">
      <c r="A131" s="5" t="s">
        <v>5</v>
      </c>
      <c r="B131" s="5" t="s">
        <v>83</v>
      </c>
      <c r="C131" s="5"/>
      <c r="D131" s="5" t="s">
        <v>9410</v>
      </c>
      <c r="E131" s="5"/>
      <c r="F131" s="5" t="s">
        <v>9245</v>
      </c>
      <c r="G131" s="5" t="s">
        <v>4</v>
      </c>
      <c r="H131" s="5" t="s">
        <v>3</v>
      </c>
      <c r="I131" s="5"/>
      <c r="J131" s="5" t="s">
        <v>9409</v>
      </c>
    </row>
    <row r="132" spans="1:10" ht="25.5" x14ac:dyDescent="0.2">
      <c r="A132" s="5" t="s">
        <v>5543</v>
      </c>
      <c r="B132" s="5" t="s">
        <v>83</v>
      </c>
      <c r="C132" s="5"/>
      <c r="D132" s="5" t="s">
        <v>5542</v>
      </c>
      <c r="E132" s="5"/>
      <c r="F132" s="5" t="s">
        <v>106</v>
      </c>
      <c r="G132" s="5" t="s">
        <v>114</v>
      </c>
      <c r="H132" s="5" t="s">
        <v>3</v>
      </c>
      <c r="I132" s="5"/>
      <c r="J132" s="5" t="s">
        <v>5541</v>
      </c>
    </row>
    <row r="133" spans="1:10" x14ac:dyDescent="0.2">
      <c r="A133" s="5" t="s">
        <v>9408</v>
      </c>
      <c r="B133" s="5" t="s">
        <v>83</v>
      </c>
      <c r="C133" s="5"/>
      <c r="D133" s="5" t="s">
        <v>9407</v>
      </c>
      <c r="E133" s="5"/>
      <c r="F133" s="5" t="s">
        <v>8305</v>
      </c>
      <c r="G133" s="5" t="s">
        <v>122</v>
      </c>
      <c r="H133" s="5" t="s">
        <v>3</v>
      </c>
      <c r="I133" s="5"/>
      <c r="J133" s="5" t="s">
        <v>9406</v>
      </c>
    </row>
    <row r="134" spans="1:10" ht="25.5" x14ac:dyDescent="0.2">
      <c r="A134" s="5" t="s">
        <v>9405</v>
      </c>
      <c r="B134" s="5" t="s">
        <v>83</v>
      </c>
      <c r="C134" s="5"/>
      <c r="D134" s="5" t="s">
        <v>9404</v>
      </c>
      <c r="E134" s="5"/>
      <c r="F134" s="5" t="s">
        <v>8101</v>
      </c>
      <c r="G134" s="5" t="s">
        <v>7296</v>
      </c>
      <c r="H134" s="5" t="s">
        <v>3</v>
      </c>
      <c r="I134" s="5"/>
      <c r="J134" s="5"/>
    </row>
    <row r="135" spans="1:10" x14ac:dyDescent="0.2">
      <c r="A135" s="5" t="s">
        <v>9403</v>
      </c>
      <c r="B135" s="5" t="s">
        <v>83</v>
      </c>
      <c r="C135" s="5"/>
      <c r="D135" s="5" t="s">
        <v>9402</v>
      </c>
      <c r="E135" s="5"/>
      <c r="F135" s="5" t="s">
        <v>8660</v>
      </c>
      <c r="G135" s="5" t="s">
        <v>7378</v>
      </c>
      <c r="H135" s="5" t="s">
        <v>3</v>
      </c>
      <c r="I135" s="5"/>
      <c r="J135" s="5" t="s">
        <v>9401</v>
      </c>
    </row>
    <row r="136" spans="1:10" x14ac:dyDescent="0.2">
      <c r="A136" s="5" t="s">
        <v>8701</v>
      </c>
      <c r="B136" s="5" t="s">
        <v>83</v>
      </c>
      <c r="C136" s="5"/>
      <c r="D136" s="5" t="s">
        <v>9400</v>
      </c>
      <c r="E136" s="5"/>
      <c r="F136" s="5" t="s">
        <v>106</v>
      </c>
      <c r="G136" s="5" t="s">
        <v>105</v>
      </c>
      <c r="H136" s="5" t="s">
        <v>3</v>
      </c>
      <c r="I136" s="5"/>
      <c r="J136" s="5" t="s">
        <v>8699</v>
      </c>
    </row>
    <row r="137" spans="1:10" ht="25.5" x14ac:dyDescent="0.2">
      <c r="A137" s="5" t="s">
        <v>9399</v>
      </c>
      <c r="B137" s="5" t="s">
        <v>83</v>
      </c>
      <c r="C137" s="5"/>
      <c r="D137" s="5" t="s">
        <v>9398</v>
      </c>
      <c r="E137" s="5" t="s">
        <v>9397</v>
      </c>
      <c r="F137" s="5" t="s">
        <v>9396</v>
      </c>
      <c r="G137" s="5" t="s">
        <v>207</v>
      </c>
      <c r="H137" s="5" t="s">
        <v>137</v>
      </c>
      <c r="I137" s="5" t="s">
        <v>55</v>
      </c>
      <c r="J137" s="5" t="s">
        <v>9395</v>
      </c>
    </row>
    <row r="138" spans="1:10" x14ac:dyDescent="0.2">
      <c r="A138" s="5" t="s">
        <v>8829</v>
      </c>
      <c r="B138" s="5" t="s">
        <v>83</v>
      </c>
      <c r="C138" s="5"/>
      <c r="D138" s="5" t="s">
        <v>9394</v>
      </c>
      <c r="E138" s="5"/>
      <c r="F138" s="5" t="s">
        <v>7823</v>
      </c>
      <c r="G138" s="5" t="s">
        <v>195</v>
      </c>
      <c r="H138" s="5" t="s">
        <v>3</v>
      </c>
      <c r="I138" s="5"/>
      <c r="J138" s="5" t="s">
        <v>8827</v>
      </c>
    </row>
    <row r="139" spans="1:10" ht="25.5" x14ac:dyDescent="0.2">
      <c r="A139" s="5" t="s">
        <v>8837</v>
      </c>
      <c r="B139" s="5" t="s">
        <v>83</v>
      </c>
      <c r="C139" s="5"/>
      <c r="D139" s="5" t="s">
        <v>9374</v>
      </c>
      <c r="E139" s="5"/>
      <c r="F139" s="5" t="s">
        <v>8834</v>
      </c>
      <c r="G139" s="5" t="s">
        <v>2672</v>
      </c>
      <c r="H139" s="5" t="s">
        <v>3</v>
      </c>
      <c r="I139" s="5"/>
      <c r="J139" s="5" t="s">
        <v>8836</v>
      </c>
    </row>
    <row r="140" spans="1:10" ht="25.5" x14ac:dyDescent="0.2">
      <c r="A140" s="5" t="s">
        <v>5024</v>
      </c>
      <c r="B140" s="5" t="s">
        <v>83</v>
      </c>
      <c r="C140" s="5"/>
      <c r="D140" s="5" t="s">
        <v>5023</v>
      </c>
      <c r="E140" s="5" t="s">
        <v>93</v>
      </c>
      <c r="F140" s="5" t="s">
        <v>5022</v>
      </c>
      <c r="G140" s="5" t="s">
        <v>148</v>
      </c>
      <c r="H140" s="5" t="s">
        <v>3</v>
      </c>
      <c r="I140" s="5"/>
      <c r="J140" s="5" t="s">
        <v>5021</v>
      </c>
    </row>
    <row r="141" spans="1:10" ht="38.25" x14ac:dyDescent="0.2">
      <c r="A141" s="5" t="s">
        <v>8822</v>
      </c>
      <c r="B141" s="5" t="s">
        <v>83</v>
      </c>
      <c r="C141" s="5"/>
      <c r="D141" s="5" t="s">
        <v>9393</v>
      </c>
      <c r="E141" s="5"/>
      <c r="F141" s="5" t="s">
        <v>8559</v>
      </c>
      <c r="G141" s="5" t="s">
        <v>382</v>
      </c>
      <c r="H141" s="5" t="s">
        <v>3</v>
      </c>
      <c r="I141" s="5"/>
      <c r="J141" s="5" t="s">
        <v>8821</v>
      </c>
    </row>
    <row r="142" spans="1:10" x14ac:dyDescent="0.2">
      <c r="A142" s="5" t="s">
        <v>4054</v>
      </c>
      <c r="B142" s="5" t="s">
        <v>83</v>
      </c>
      <c r="C142" s="5"/>
      <c r="D142" s="5" t="s">
        <v>9392</v>
      </c>
      <c r="E142" s="5" t="s">
        <v>138</v>
      </c>
      <c r="F142" s="5" t="s">
        <v>4053</v>
      </c>
      <c r="G142" s="5" t="s">
        <v>195</v>
      </c>
      <c r="H142" s="5" t="s">
        <v>3</v>
      </c>
      <c r="I142" s="5"/>
      <c r="J142" s="5" t="s">
        <v>4052</v>
      </c>
    </row>
    <row r="143" spans="1:10" x14ac:dyDescent="0.2">
      <c r="A143" s="5" t="s">
        <v>3939</v>
      </c>
      <c r="B143" s="5" t="s">
        <v>83</v>
      </c>
      <c r="C143" s="5"/>
      <c r="D143" s="5" t="s">
        <v>9391</v>
      </c>
      <c r="E143" s="5"/>
      <c r="F143" s="5"/>
      <c r="G143" s="5" t="s">
        <v>91</v>
      </c>
      <c r="H143" s="5" t="s">
        <v>137</v>
      </c>
      <c r="I143" s="5"/>
      <c r="J143" s="5"/>
    </row>
    <row r="144" spans="1:10" x14ac:dyDescent="0.2">
      <c r="A144" s="5" t="s">
        <v>9390</v>
      </c>
      <c r="B144" s="5" t="s">
        <v>83</v>
      </c>
      <c r="C144" s="5"/>
      <c r="D144" s="5" t="s">
        <v>9389</v>
      </c>
      <c r="E144" s="5"/>
      <c r="F144" s="5"/>
      <c r="G144" s="5" t="s">
        <v>118</v>
      </c>
      <c r="H144" s="5" t="s">
        <v>3</v>
      </c>
      <c r="I144" s="5"/>
      <c r="J144" s="5"/>
    </row>
    <row r="145" spans="1:10" x14ac:dyDescent="0.2">
      <c r="A145" s="5" t="s">
        <v>3055</v>
      </c>
      <c r="B145" s="5" t="s">
        <v>83</v>
      </c>
      <c r="C145" s="5"/>
      <c r="D145" s="5" t="s">
        <v>9388</v>
      </c>
      <c r="E145" s="5"/>
      <c r="F145" s="5" t="s">
        <v>3053</v>
      </c>
      <c r="G145" s="5" t="s">
        <v>105</v>
      </c>
      <c r="H145" s="5" t="s">
        <v>3</v>
      </c>
      <c r="I145" s="5"/>
      <c r="J145" s="5" t="s">
        <v>3052</v>
      </c>
    </row>
    <row r="146" spans="1:10" ht="25.5" x14ac:dyDescent="0.2">
      <c r="A146" s="5" t="s">
        <v>9387</v>
      </c>
      <c r="B146" s="5" t="s">
        <v>83</v>
      </c>
      <c r="C146" s="5"/>
      <c r="D146" s="5" t="s">
        <v>9386</v>
      </c>
      <c r="E146" s="5" t="s">
        <v>368</v>
      </c>
      <c r="F146" s="5" t="s">
        <v>9385</v>
      </c>
      <c r="G146" s="5" t="s">
        <v>91</v>
      </c>
      <c r="H146" s="5" t="s">
        <v>137</v>
      </c>
      <c r="I146" s="5" t="s">
        <v>55</v>
      </c>
      <c r="J146" s="5" t="s">
        <v>9384</v>
      </c>
    </row>
    <row r="147" spans="1:10" x14ac:dyDescent="0.2">
      <c r="A147" s="5" t="s">
        <v>2217</v>
      </c>
      <c r="B147" s="5" t="s">
        <v>83</v>
      </c>
      <c r="C147" s="5"/>
      <c r="D147" s="5" t="s">
        <v>2216</v>
      </c>
      <c r="E147" s="5"/>
      <c r="F147" s="5" t="s">
        <v>2215</v>
      </c>
      <c r="G147" s="5" t="s">
        <v>148</v>
      </c>
      <c r="H147" s="5" t="s">
        <v>3</v>
      </c>
      <c r="I147" s="5"/>
      <c r="J147" s="5" t="s">
        <v>2214</v>
      </c>
    </row>
    <row r="148" spans="1:10" x14ac:dyDescent="0.2">
      <c r="A148" s="5" t="s">
        <v>9383</v>
      </c>
      <c r="B148" s="5" t="s">
        <v>83</v>
      </c>
      <c r="C148" s="5"/>
      <c r="D148" s="5" t="s">
        <v>9382</v>
      </c>
      <c r="E148" s="5"/>
      <c r="F148" s="5" t="s">
        <v>9381</v>
      </c>
      <c r="G148" s="5" t="s">
        <v>105</v>
      </c>
      <c r="H148" s="5" t="s">
        <v>137</v>
      </c>
      <c r="I148" s="5" t="s">
        <v>55</v>
      </c>
      <c r="J148" s="5" t="s">
        <v>9380</v>
      </c>
    </row>
    <row r="149" spans="1:10" x14ac:dyDescent="0.2">
      <c r="A149" s="5" t="s">
        <v>9379</v>
      </c>
      <c r="B149" s="5" t="s">
        <v>83</v>
      </c>
      <c r="C149" s="5"/>
      <c r="D149" s="5" t="s">
        <v>9378</v>
      </c>
      <c r="E149" s="5" t="s">
        <v>138</v>
      </c>
      <c r="F149" s="5" t="s">
        <v>9377</v>
      </c>
      <c r="G149" s="5" t="s">
        <v>148</v>
      </c>
      <c r="H149" s="5" t="s">
        <v>137</v>
      </c>
      <c r="I149" s="5"/>
      <c r="J149" s="5" t="s">
        <v>9376</v>
      </c>
    </row>
    <row r="150" spans="1:10" ht="25.5" x14ac:dyDescent="0.2">
      <c r="A150" s="5" t="s">
        <v>9375</v>
      </c>
      <c r="B150" s="5" t="s">
        <v>83</v>
      </c>
      <c r="C150" s="5"/>
      <c r="D150" s="5" t="s">
        <v>9374</v>
      </c>
      <c r="E150" s="5"/>
      <c r="F150" s="5" t="s">
        <v>8834</v>
      </c>
      <c r="G150" s="5" t="s">
        <v>2672</v>
      </c>
      <c r="H150" s="5" t="s">
        <v>3</v>
      </c>
      <c r="I150" s="5"/>
      <c r="J150" s="5" t="s">
        <v>8836</v>
      </c>
    </row>
    <row r="151" spans="1:10" x14ac:dyDescent="0.2">
      <c r="A151" s="5" t="s">
        <v>9373</v>
      </c>
      <c r="B151" s="5" t="s">
        <v>83</v>
      </c>
      <c r="C151" s="5"/>
      <c r="D151" s="5" t="s">
        <v>9372</v>
      </c>
      <c r="E151" s="5"/>
      <c r="F151" s="5" t="s">
        <v>4121</v>
      </c>
      <c r="G151" s="5" t="s">
        <v>105</v>
      </c>
      <c r="H151" s="5" t="s">
        <v>3</v>
      </c>
      <c r="I151" s="5"/>
      <c r="J151" s="5" t="s">
        <v>9371</v>
      </c>
    </row>
    <row r="152" spans="1:10" ht="25.5" x14ac:dyDescent="0.2">
      <c r="A152" s="5" t="s">
        <v>1529</v>
      </c>
      <c r="B152" s="5" t="s">
        <v>83</v>
      </c>
      <c r="C152" s="5"/>
      <c r="D152" s="5" t="s">
        <v>9370</v>
      </c>
      <c r="E152" s="5"/>
      <c r="F152" s="5" t="s">
        <v>8794</v>
      </c>
      <c r="G152" s="5" t="s">
        <v>1527</v>
      </c>
      <c r="H152" s="5" t="s">
        <v>3</v>
      </c>
      <c r="I152" s="5"/>
      <c r="J152" s="5"/>
    </row>
    <row r="153" spans="1:10" x14ac:dyDescent="0.2">
      <c r="A153" s="5" t="s">
        <v>1538</v>
      </c>
      <c r="B153" s="5" t="s">
        <v>83</v>
      </c>
      <c r="C153" s="5"/>
      <c r="D153" s="5" t="s">
        <v>1537</v>
      </c>
      <c r="E153" s="5"/>
      <c r="F153" s="5" t="s">
        <v>1533</v>
      </c>
      <c r="G153" s="5" t="s">
        <v>224</v>
      </c>
      <c r="H153" s="5" t="s">
        <v>3</v>
      </c>
      <c r="I153" s="5"/>
      <c r="J153" s="5" t="s">
        <v>9369</v>
      </c>
    </row>
    <row r="154" spans="1:10" x14ac:dyDescent="0.2">
      <c r="A154" s="5" t="s">
        <v>8853</v>
      </c>
      <c r="B154" s="5" t="s">
        <v>83</v>
      </c>
      <c r="C154" s="5"/>
      <c r="D154" s="5" t="s">
        <v>9368</v>
      </c>
      <c r="E154" s="5"/>
      <c r="F154" s="5" t="s">
        <v>4009</v>
      </c>
      <c r="G154" s="5" t="s">
        <v>7378</v>
      </c>
      <c r="H154" s="5" t="s">
        <v>3</v>
      </c>
      <c r="I154" s="5"/>
      <c r="J154" s="5" t="s">
        <v>8848</v>
      </c>
    </row>
    <row r="155" spans="1:10" x14ac:dyDescent="0.2">
      <c r="A155" s="5" t="s">
        <v>790</v>
      </c>
      <c r="B155" s="5" t="s">
        <v>83</v>
      </c>
      <c r="C155" s="5"/>
      <c r="D155" s="5" t="s">
        <v>788</v>
      </c>
      <c r="E155" s="5"/>
      <c r="F155" s="5" t="s">
        <v>784</v>
      </c>
      <c r="G155" s="5" t="s">
        <v>118</v>
      </c>
      <c r="H155" s="5" t="s">
        <v>3</v>
      </c>
      <c r="I155" s="5"/>
      <c r="J155" s="5" t="s">
        <v>787</v>
      </c>
    </row>
    <row r="156" spans="1:10" x14ac:dyDescent="0.2">
      <c r="A156" s="5" t="s">
        <v>9367</v>
      </c>
      <c r="B156" s="5" t="s">
        <v>83</v>
      </c>
      <c r="C156" s="5"/>
      <c r="D156" s="5" t="s">
        <v>9366</v>
      </c>
      <c r="E156" s="5"/>
      <c r="F156" s="5" t="s">
        <v>123</v>
      </c>
      <c r="G156" s="5" t="s">
        <v>173</v>
      </c>
      <c r="H156" s="5" t="s">
        <v>3</v>
      </c>
      <c r="I156" s="5"/>
      <c r="J156" s="5" t="s">
        <v>9365</v>
      </c>
    </row>
    <row r="157" spans="1:10" x14ac:dyDescent="0.2">
      <c r="A157" s="5" t="s">
        <v>759</v>
      </c>
      <c r="B157" s="5" t="s">
        <v>83</v>
      </c>
      <c r="C157" s="5"/>
      <c r="D157" s="5" t="s">
        <v>758</v>
      </c>
      <c r="E157" s="5"/>
      <c r="F157" s="5" t="s">
        <v>123</v>
      </c>
      <c r="G157" s="5" t="s">
        <v>80</v>
      </c>
      <c r="H157" s="5" t="s">
        <v>3</v>
      </c>
      <c r="I157" s="5"/>
      <c r="J157" s="5"/>
    </row>
    <row r="158" spans="1:10" ht="25.5" x14ac:dyDescent="0.2">
      <c r="A158" s="5" t="s">
        <v>705</v>
      </c>
      <c r="B158" s="5" t="s">
        <v>83</v>
      </c>
      <c r="C158" s="5"/>
      <c r="D158" s="5" t="s">
        <v>700</v>
      </c>
      <c r="E158" s="5" t="s">
        <v>138</v>
      </c>
      <c r="F158" s="5" t="s">
        <v>331</v>
      </c>
      <c r="G158" s="5" t="s">
        <v>181</v>
      </c>
      <c r="H158" s="5" t="s">
        <v>3</v>
      </c>
      <c r="I158" s="5"/>
      <c r="J158" s="5" t="s">
        <v>90</v>
      </c>
    </row>
    <row r="159" spans="1:10" ht="25.5" x14ac:dyDescent="0.2">
      <c r="A159" s="5" t="s">
        <v>9364</v>
      </c>
      <c r="B159" s="5" t="s">
        <v>83</v>
      </c>
      <c r="C159" s="5"/>
      <c r="D159" s="5" t="s">
        <v>9363</v>
      </c>
      <c r="E159" s="5" t="s">
        <v>368</v>
      </c>
      <c r="F159" s="5" t="s">
        <v>386</v>
      </c>
      <c r="G159" s="5" t="s">
        <v>91</v>
      </c>
      <c r="H159" s="5" t="s">
        <v>3</v>
      </c>
      <c r="I159" s="5"/>
      <c r="J159" s="5" t="s">
        <v>9362</v>
      </c>
    </row>
    <row r="160" spans="1:10" ht="25.5" x14ac:dyDescent="0.2">
      <c r="A160" s="5" t="s">
        <v>9361</v>
      </c>
      <c r="B160" s="5" t="s">
        <v>83</v>
      </c>
      <c r="C160" s="5"/>
      <c r="D160" s="5" t="s">
        <v>9360</v>
      </c>
      <c r="E160" s="5" t="s">
        <v>299</v>
      </c>
      <c r="F160" s="5" t="s">
        <v>9359</v>
      </c>
      <c r="G160" s="5" t="s">
        <v>91</v>
      </c>
      <c r="H160" s="5" t="s">
        <v>3</v>
      </c>
      <c r="I160" s="5"/>
      <c r="J160" s="5" t="s">
        <v>9358</v>
      </c>
    </row>
    <row r="161" spans="1:10" x14ac:dyDescent="0.2">
      <c r="A161" s="5" t="s">
        <v>388</v>
      </c>
      <c r="B161" s="5" t="s">
        <v>83</v>
      </c>
      <c r="C161" s="5"/>
      <c r="D161" s="5" t="s">
        <v>9357</v>
      </c>
      <c r="E161" s="5"/>
      <c r="F161" s="5" t="s">
        <v>386</v>
      </c>
      <c r="G161" s="5" t="s">
        <v>148</v>
      </c>
      <c r="H161" s="5" t="s">
        <v>3</v>
      </c>
      <c r="I161" s="5"/>
      <c r="J161" s="5" t="s">
        <v>385</v>
      </c>
    </row>
    <row r="162" spans="1:10" ht="25.5" x14ac:dyDescent="0.2">
      <c r="A162" s="5" t="s">
        <v>9356</v>
      </c>
      <c r="B162" s="5" t="s">
        <v>83</v>
      </c>
      <c r="C162" s="5"/>
      <c r="D162" s="5" t="s">
        <v>9355</v>
      </c>
      <c r="E162" s="5"/>
      <c r="F162" s="5" t="s">
        <v>386</v>
      </c>
      <c r="G162" s="5" t="s">
        <v>382</v>
      </c>
      <c r="H162" s="5" t="s">
        <v>3</v>
      </c>
      <c r="I162" s="5"/>
      <c r="J162" s="5" t="s">
        <v>9354</v>
      </c>
    </row>
    <row r="163" spans="1:10" x14ac:dyDescent="0.2">
      <c r="A163" s="5" t="s">
        <v>9353</v>
      </c>
      <c r="B163" s="5" t="s">
        <v>83</v>
      </c>
      <c r="C163" s="5"/>
      <c r="D163" s="5" t="s">
        <v>9352</v>
      </c>
      <c r="E163" s="5" t="s">
        <v>138</v>
      </c>
      <c r="F163" s="5" t="s">
        <v>9351</v>
      </c>
      <c r="G163" s="5" t="s">
        <v>148</v>
      </c>
      <c r="H163" s="5" t="s">
        <v>137</v>
      </c>
      <c r="I163" s="5"/>
      <c r="J163" s="5" t="s">
        <v>9350</v>
      </c>
    </row>
    <row r="164" spans="1:10" x14ac:dyDescent="0.2">
      <c r="A164" s="5" t="s">
        <v>9349</v>
      </c>
      <c r="B164" s="5" t="s">
        <v>83</v>
      </c>
      <c r="C164" s="5"/>
      <c r="D164" s="5" t="s">
        <v>9348</v>
      </c>
      <c r="E164" s="5"/>
      <c r="F164" s="5" t="s">
        <v>9347</v>
      </c>
      <c r="G164" s="5" t="s">
        <v>148</v>
      </c>
      <c r="H164" s="5" t="s">
        <v>3</v>
      </c>
      <c r="I164" s="5"/>
      <c r="J164" s="5" t="s">
        <v>9346</v>
      </c>
    </row>
    <row r="165" spans="1:10" ht="25.5" x14ac:dyDescent="0.2">
      <c r="A165" s="5" t="s">
        <v>367</v>
      </c>
      <c r="B165" s="5" t="s">
        <v>83</v>
      </c>
      <c r="C165" s="5"/>
      <c r="D165" s="5" t="s">
        <v>9345</v>
      </c>
      <c r="E165" s="5" t="s">
        <v>299</v>
      </c>
      <c r="F165" s="5" t="s">
        <v>365</v>
      </c>
      <c r="G165" s="5" t="s">
        <v>91</v>
      </c>
      <c r="H165" s="5" t="s">
        <v>137</v>
      </c>
      <c r="I165" s="5" t="s">
        <v>55</v>
      </c>
      <c r="J165" s="5" t="s">
        <v>364</v>
      </c>
    </row>
    <row r="166" spans="1:10" ht="25.5" x14ac:dyDescent="0.2">
      <c r="A166" s="5" t="s">
        <v>9344</v>
      </c>
      <c r="B166" s="5" t="s">
        <v>83</v>
      </c>
      <c r="C166" s="5"/>
      <c r="D166" s="5" t="s">
        <v>9343</v>
      </c>
      <c r="E166" s="5"/>
      <c r="F166" s="5" t="s">
        <v>9342</v>
      </c>
      <c r="G166" s="5" t="s">
        <v>170</v>
      </c>
      <c r="H166" s="5" t="s">
        <v>137</v>
      </c>
      <c r="I166" s="5" t="s">
        <v>55</v>
      </c>
      <c r="J166" s="5" t="s">
        <v>9341</v>
      </c>
    </row>
    <row r="167" spans="1:10" x14ac:dyDescent="0.2">
      <c r="A167" s="5" t="s">
        <v>9340</v>
      </c>
      <c r="B167" s="5" t="s">
        <v>83</v>
      </c>
      <c r="C167" s="5"/>
      <c r="D167" s="5" t="s">
        <v>9339</v>
      </c>
      <c r="E167" s="5" t="s">
        <v>138</v>
      </c>
      <c r="F167" s="5" t="s">
        <v>106</v>
      </c>
      <c r="G167" s="5" t="s">
        <v>148</v>
      </c>
      <c r="H167" s="5" t="s">
        <v>3</v>
      </c>
      <c r="I167" s="5"/>
      <c r="J167" s="5"/>
    </row>
    <row r="168" spans="1:10" x14ac:dyDescent="0.2">
      <c r="A168" s="5" t="s">
        <v>9337</v>
      </c>
      <c r="B168" s="5" t="s">
        <v>83</v>
      </c>
      <c r="C168" s="5"/>
      <c r="D168" s="5" t="s">
        <v>9338</v>
      </c>
      <c r="E168" s="5"/>
      <c r="F168" s="5" t="s">
        <v>9337</v>
      </c>
      <c r="G168" s="5" t="s">
        <v>173</v>
      </c>
      <c r="H168" s="5" t="s">
        <v>3</v>
      </c>
      <c r="I168" s="5"/>
      <c r="J168" s="5" t="s">
        <v>9147</v>
      </c>
    </row>
    <row r="169" spans="1:10" x14ac:dyDescent="0.2">
      <c r="A169" s="5" t="s">
        <v>9336</v>
      </c>
      <c r="B169" s="5" t="s">
        <v>83</v>
      </c>
      <c r="C169" s="5"/>
      <c r="D169" s="5" t="s">
        <v>9335</v>
      </c>
      <c r="E169" s="5"/>
      <c r="F169" s="5" t="s">
        <v>354</v>
      </c>
      <c r="G169" s="5" t="s">
        <v>173</v>
      </c>
      <c r="H169" s="5" t="s">
        <v>3</v>
      </c>
      <c r="I169" s="5"/>
      <c r="J169" s="5" t="s">
        <v>9334</v>
      </c>
    </row>
    <row r="170" spans="1:10" x14ac:dyDescent="0.2">
      <c r="A170" s="5" t="s">
        <v>9333</v>
      </c>
      <c r="B170" s="5" t="s">
        <v>83</v>
      </c>
      <c r="C170" s="5"/>
      <c r="D170" s="5" t="s">
        <v>9332</v>
      </c>
      <c r="E170" s="5"/>
      <c r="F170" s="5" t="s">
        <v>9331</v>
      </c>
      <c r="G170" s="5" t="s">
        <v>80</v>
      </c>
      <c r="H170" s="5" t="s">
        <v>3</v>
      </c>
      <c r="I170" s="5"/>
      <c r="J170" s="5" t="s">
        <v>9330</v>
      </c>
    </row>
    <row r="171" spans="1:10" x14ac:dyDescent="0.2">
      <c r="A171" s="5" t="s">
        <v>8674</v>
      </c>
      <c r="B171" s="5" t="s">
        <v>83</v>
      </c>
      <c r="C171" s="5"/>
      <c r="D171" s="5" t="s">
        <v>9329</v>
      </c>
      <c r="E171" s="5"/>
      <c r="F171" s="5" t="s">
        <v>237</v>
      </c>
      <c r="G171" s="5" t="s">
        <v>80</v>
      </c>
      <c r="H171" s="5" t="s">
        <v>3</v>
      </c>
      <c r="I171" s="5"/>
      <c r="J171" s="5" t="s">
        <v>225</v>
      </c>
    </row>
    <row r="172" spans="1:10" ht="25.5" x14ac:dyDescent="0.2">
      <c r="A172" s="5" t="s">
        <v>112</v>
      </c>
      <c r="B172" s="5" t="s">
        <v>83</v>
      </c>
      <c r="C172" s="5"/>
      <c r="D172" s="5" t="s">
        <v>111</v>
      </c>
      <c r="E172" s="5"/>
      <c r="F172" s="5" t="s">
        <v>110</v>
      </c>
      <c r="G172" s="5" t="s">
        <v>105</v>
      </c>
      <c r="H172" s="5" t="s">
        <v>3</v>
      </c>
      <c r="I172" s="5"/>
      <c r="J172" s="5" t="s">
        <v>109</v>
      </c>
    </row>
    <row r="173" spans="1:10" ht="25.5" x14ac:dyDescent="0.2">
      <c r="A173" s="5" t="s">
        <v>9328</v>
      </c>
      <c r="B173" s="5" t="s">
        <v>8</v>
      </c>
      <c r="C173" s="5"/>
      <c r="D173" s="5" t="s">
        <v>9327</v>
      </c>
      <c r="E173" s="5"/>
      <c r="F173" s="5"/>
      <c r="G173" s="5"/>
      <c r="H173" s="5"/>
      <c r="I173" s="5"/>
      <c r="J173" s="5"/>
    </row>
    <row r="174" spans="1:10" x14ac:dyDescent="0.2">
      <c r="A174" s="5" t="s">
        <v>55</v>
      </c>
      <c r="B174" s="5" t="s">
        <v>8</v>
      </c>
      <c r="C174" s="5"/>
      <c r="D174" s="5" t="s">
        <v>9326</v>
      </c>
      <c r="E174" s="5"/>
      <c r="F174" s="5"/>
      <c r="G174" s="5"/>
      <c r="H174" s="5"/>
      <c r="I174" s="5"/>
      <c r="J174" s="5" t="s">
        <v>9325</v>
      </c>
    </row>
    <row r="175" spans="1:10" ht="25.5" x14ac:dyDescent="0.2">
      <c r="A175" s="5" t="s">
        <v>53</v>
      </c>
      <c r="B175" s="5" t="s">
        <v>8</v>
      </c>
      <c r="C175" s="5"/>
      <c r="D175" s="5" t="s">
        <v>52</v>
      </c>
      <c r="E175" s="5"/>
      <c r="F175" s="5"/>
      <c r="G175" s="5"/>
      <c r="H175" s="5"/>
      <c r="I175" s="5"/>
      <c r="J175" s="5" t="s">
        <v>51</v>
      </c>
    </row>
    <row r="176" spans="1:10" x14ac:dyDescent="0.2">
      <c r="A176" s="5" t="s">
        <v>1</v>
      </c>
      <c r="B176" s="5" t="s">
        <v>0</v>
      </c>
      <c r="C176" s="5"/>
      <c r="D176" s="5">
        <v>21</v>
      </c>
      <c r="E176" s="5"/>
      <c r="F176" s="5"/>
      <c r="G176" s="5"/>
      <c r="H176" s="5"/>
      <c r="I176" s="5"/>
      <c r="J176" s="5"/>
    </row>
  </sheetData>
  <autoFilter ref="A3:M3" xr:uid="{B2F118FD-E5B2-4E44-9BD3-D0682A1C8D44}"/>
  <mergeCells count="1">
    <mergeCell ref="G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3FF8-0396-4BB9-B6B3-C1D03A491EF4}">
  <sheetPr codeName="Sheet22"/>
  <dimension ref="A1:Y327"/>
  <sheetViews>
    <sheetView workbookViewId="0">
      <pane ySplit="8115" topLeftCell="A323"/>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10435</v>
      </c>
      <c r="C1" s="14"/>
      <c r="D1" s="14"/>
      <c r="E1" s="14"/>
      <c r="F1" s="13" t="s">
        <v>8892</v>
      </c>
      <c r="G1" s="16">
        <v>45538</v>
      </c>
      <c r="H1" s="16"/>
      <c r="I1" s="16"/>
      <c r="J1" s="11"/>
    </row>
    <row r="2" spans="1:25" ht="18" x14ac:dyDescent="0.2">
      <c r="A2" s="14">
        <f ca="1">COUNTA(OFFSET(A3,1,0,2222,1))</f>
        <v>324</v>
      </c>
      <c r="B2" s="15"/>
      <c r="C2" s="14">
        <f ca="1">MAX(OFFSET(C3,1,0,2222,1))</f>
        <v>23</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ht="25.5" x14ac:dyDescent="0.2">
      <c r="A4" s="5" t="s">
        <v>8878</v>
      </c>
      <c r="B4" s="5" t="s">
        <v>8584</v>
      </c>
      <c r="C4" s="5">
        <v>0</v>
      </c>
      <c r="D4" s="5"/>
      <c r="E4" s="5"/>
      <c r="F4" s="5" t="s">
        <v>10435</v>
      </c>
      <c r="G4" s="5" t="s">
        <v>229</v>
      </c>
      <c r="H4" s="5" t="s">
        <v>3</v>
      </c>
      <c r="I4" s="5"/>
      <c r="J4" s="5" t="s">
        <v>8874</v>
      </c>
    </row>
    <row r="5" spans="1:25" x14ac:dyDescent="0.2">
      <c r="A5" s="5" t="s">
        <v>8872</v>
      </c>
      <c r="B5" s="5" t="s">
        <v>8584</v>
      </c>
      <c r="C5" s="5">
        <v>0</v>
      </c>
      <c r="D5" s="5"/>
      <c r="E5" s="5"/>
      <c r="F5" s="5" t="s">
        <v>4053</v>
      </c>
      <c r="G5" s="5" t="s">
        <v>382</v>
      </c>
      <c r="H5" s="5" t="s">
        <v>3</v>
      </c>
      <c r="I5" s="5"/>
      <c r="J5" s="5" t="s">
        <v>8869</v>
      </c>
    </row>
    <row r="6" spans="1:25" x14ac:dyDescent="0.2">
      <c r="A6" s="5" t="s">
        <v>4053</v>
      </c>
      <c r="B6" s="5" t="s">
        <v>8584</v>
      </c>
      <c r="C6" s="5">
        <v>0</v>
      </c>
      <c r="D6" s="5"/>
      <c r="E6" s="5"/>
      <c r="F6" s="5" t="s">
        <v>10434</v>
      </c>
      <c r="G6" s="5" t="s">
        <v>4057</v>
      </c>
      <c r="H6" s="5" t="s">
        <v>3</v>
      </c>
      <c r="I6" s="5"/>
      <c r="J6" s="5"/>
    </row>
    <row r="7" spans="1:25" x14ac:dyDescent="0.2">
      <c r="A7" s="5" t="s">
        <v>8837</v>
      </c>
      <c r="B7" s="5" t="s">
        <v>8584</v>
      </c>
      <c r="C7" s="5">
        <v>1</v>
      </c>
      <c r="D7" s="5"/>
      <c r="E7" s="5"/>
      <c r="F7" s="5" t="s">
        <v>1554</v>
      </c>
      <c r="G7" s="5" t="s">
        <v>2672</v>
      </c>
      <c r="H7" s="5" t="s">
        <v>3</v>
      </c>
      <c r="I7" s="5"/>
      <c r="J7" s="5" t="s">
        <v>10433</v>
      </c>
    </row>
    <row r="8" spans="1:25" x14ac:dyDescent="0.2">
      <c r="A8" s="5" t="s">
        <v>8829</v>
      </c>
      <c r="B8" s="5" t="s">
        <v>8584</v>
      </c>
      <c r="C8" s="5">
        <v>2</v>
      </c>
      <c r="D8" s="5"/>
      <c r="E8" s="5"/>
      <c r="F8" s="5" t="s">
        <v>7823</v>
      </c>
      <c r="G8" s="5" t="s">
        <v>10432</v>
      </c>
      <c r="H8" s="5" t="s">
        <v>3</v>
      </c>
      <c r="I8" s="5"/>
      <c r="J8" s="5" t="s">
        <v>10431</v>
      </c>
    </row>
    <row r="9" spans="1:25" x14ac:dyDescent="0.2">
      <c r="A9" s="5" t="s">
        <v>10430</v>
      </c>
      <c r="B9" s="5" t="s">
        <v>8584</v>
      </c>
      <c r="C9" s="5">
        <v>3</v>
      </c>
      <c r="D9" s="5"/>
      <c r="E9" s="5"/>
      <c r="F9" s="5" t="s">
        <v>10429</v>
      </c>
      <c r="G9" s="5" t="s">
        <v>283</v>
      </c>
      <c r="H9" s="5" t="s">
        <v>3</v>
      </c>
      <c r="I9" s="5"/>
      <c r="J9" s="5" t="s">
        <v>10428</v>
      </c>
    </row>
    <row r="10" spans="1:25" x14ac:dyDescent="0.2">
      <c r="A10" s="5" t="s">
        <v>10427</v>
      </c>
      <c r="B10" s="5" t="s">
        <v>8584</v>
      </c>
      <c r="C10" s="5">
        <v>4</v>
      </c>
      <c r="D10" s="5"/>
      <c r="E10" s="5"/>
      <c r="F10" s="5" t="s">
        <v>9764</v>
      </c>
      <c r="G10" s="5" t="s">
        <v>122</v>
      </c>
      <c r="H10" s="5" t="s">
        <v>3</v>
      </c>
      <c r="I10" s="5"/>
      <c r="J10" s="5" t="s">
        <v>10426</v>
      </c>
    </row>
    <row r="11" spans="1:25" s="2" customFormat="1" ht="25.5" x14ac:dyDescent="0.2">
      <c r="A11" s="5" t="s">
        <v>10425</v>
      </c>
      <c r="B11" s="5" t="s">
        <v>8584</v>
      </c>
      <c r="C11" s="5">
        <v>5</v>
      </c>
      <c r="D11" s="5"/>
      <c r="E11" s="5" t="s">
        <v>138</v>
      </c>
      <c r="F11" s="5" t="s">
        <v>2219</v>
      </c>
      <c r="G11" s="5" t="s">
        <v>91</v>
      </c>
      <c r="H11" s="5" t="s">
        <v>137</v>
      </c>
      <c r="I11" s="5" t="s">
        <v>263</v>
      </c>
      <c r="J11" s="5" t="s">
        <v>2218</v>
      </c>
      <c r="M11" s="1"/>
      <c r="N11"/>
      <c r="O11"/>
      <c r="P11"/>
      <c r="Q11"/>
      <c r="R11"/>
      <c r="S11"/>
      <c r="T11"/>
      <c r="U11"/>
      <c r="V11"/>
      <c r="W11"/>
      <c r="X11"/>
      <c r="Y11"/>
    </row>
    <row r="12" spans="1:25" s="2" customFormat="1" ht="25.5" x14ac:dyDescent="0.2">
      <c r="A12" s="5" t="s">
        <v>10424</v>
      </c>
      <c r="B12" s="5" t="s">
        <v>8584</v>
      </c>
      <c r="C12" s="5">
        <v>5</v>
      </c>
      <c r="D12" s="5"/>
      <c r="E12" s="5" t="s">
        <v>93</v>
      </c>
      <c r="F12" s="5" t="s">
        <v>92</v>
      </c>
      <c r="G12" s="5" t="s">
        <v>91</v>
      </c>
      <c r="H12" s="5" t="s">
        <v>137</v>
      </c>
      <c r="I12" s="5" t="s">
        <v>263</v>
      </c>
      <c r="J12" s="5" t="s">
        <v>2218</v>
      </c>
      <c r="M12" s="1"/>
      <c r="N12"/>
      <c r="O12"/>
      <c r="P12"/>
      <c r="Q12"/>
      <c r="R12"/>
      <c r="S12"/>
      <c r="T12"/>
      <c r="U12"/>
      <c r="V12"/>
      <c r="W12"/>
      <c r="X12"/>
      <c r="Y12"/>
    </row>
    <row r="13" spans="1:25" s="2" customFormat="1" ht="25.5" x14ac:dyDescent="0.2">
      <c r="A13" s="5" t="s">
        <v>6402</v>
      </c>
      <c r="B13" s="5" t="s">
        <v>8584</v>
      </c>
      <c r="C13" s="5">
        <v>5</v>
      </c>
      <c r="D13" s="5"/>
      <c r="E13" s="5" t="s">
        <v>138</v>
      </c>
      <c r="F13" s="5" t="s">
        <v>2219</v>
      </c>
      <c r="G13" s="5" t="s">
        <v>91</v>
      </c>
      <c r="H13" s="5" t="s">
        <v>137</v>
      </c>
      <c r="I13" s="5" t="s">
        <v>263</v>
      </c>
      <c r="J13" s="5" t="s">
        <v>2218</v>
      </c>
      <c r="M13" s="1"/>
      <c r="N13"/>
      <c r="O13"/>
      <c r="P13"/>
      <c r="Q13"/>
      <c r="R13"/>
      <c r="S13"/>
      <c r="T13"/>
      <c r="U13"/>
      <c r="V13"/>
      <c r="W13"/>
      <c r="X13"/>
      <c r="Y13"/>
    </row>
    <row r="14" spans="1:25" s="2" customFormat="1" ht="25.5" x14ac:dyDescent="0.2">
      <c r="A14" s="5" t="s">
        <v>10423</v>
      </c>
      <c r="B14" s="5" t="s">
        <v>8584</v>
      </c>
      <c r="C14" s="5">
        <v>5</v>
      </c>
      <c r="D14" s="5"/>
      <c r="E14" s="5" t="s">
        <v>3057</v>
      </c>
      <c r="F14" s="5" t="s">
        <v>2219</v>
      </c>
      <c r="G14" s="5" t="s">
        <v>91</v>
      </c>
      <c r="H14" s="5" t="s">
        <v>137</v>
      </c>
      <c r="I14" s="5" t="s">
        <v>263</v>
      </c>
      <c r="J14" s="5" t="s">
        <v>2218</v>
      </c>
      <c r="M14" s="1"/>
      <c r="N14"/>
      <c r="O14"/>
      <c r="P14"/>
      <c r="Q14"/>
      <c r="R14"/>
      <c r="S14"/>
      <c r="T14"/>
      <c r="U14"/>
      <c r="V14"/>
      <c r="W14"/>
      <c r="X14"/>
      <c r="Y14"/>
    </row>
    <row r="15" spans="1:25" s="2" customFormat="1" ht="25.5" x14ac:dyDescent="0.2">
      <c r="A15" s="5" t="s">
        <v>10422</v>
      </c>
      <c r="B15" s="5" t="s">
        <v>8584</v>
      </c>
      <c r="C15" s="5">
        <v>6</v>
      </c>
      <c r="D15" s="5"/>
      <c r="E15" s="5" t="s">
        <v>368</v>
      </c>
      <c r="F15" s="5" t="s">
        <v>10421</v>
      </c>
      <c r="G15" s="5" t="s">
        <v>91</v>
      </c>
      <c r="H15" s="5" t="s">
        <v>137</v>
      </c>
      <c r="I15" s="5" t="s">
        <v>263</v>
      </c>
      <c r="J15" s="5" t="s">
        <v>10420</v>
      </c>
      <c r="M15" s="1"/>
      <c r="N15"/>
      <c r="O15"/>
      <c r="P15"/>
      <c r="Q15"/>
      <c r="R15"/>
      <c r="S15"/>
      <c r="T15"/>
      <c r="U15"/>
      <c r="V15"/>
      <c r="W15"/>
      <c r="X15"/>
      <c r="Y15"/>
    </row>
    <row r="16" spans="1:25" s="2" customFormat="1" ht="25.5" x14ac:dyDescent="0.2">
      <c r="A16" s="5" t="s">
        <v>6578</v>
      </c>
      <c r="B16" s="5" t="s">
        <v>8584</v>
      </c>
      <c r="C16" s="5">
        <v>7</v>
      </c>
      <c r="D16" s="5"/>
      <c r="E16" s="5"/>
      <c r="F16" s="5" t="s">
        <v>2219</v>
      </c>
      <c r="G16" s="5" t="s">
        <v>2672</v>
      </c>
      <c r="H16" s="5" t="s">
        <v>137</v>
      </c>
      <c r="I16" s="5" t="s">
        <v>263</v>
      </c>
      <c r="J16" s="5" t="s">
        <v>6588</v>
      </c>
      <c r="M16" s="1"/>
      <c r="N16"/>
      <c r="O16"/>
      <c r="P16"/>
      <c r="Q16"/>
      <c r="R16"/>
      <c r="S16"/>
      <c r="T16"/>
      <c r="U16"/>
      <c r="V16"/>
      <c r="W16"/>
      <c r="X16"/>
      <c r="Y16"/>
    </row>
    <row r="17" spans="1:25" s="2" customFormat="1" x14ac:dyDescent="0.2">
      <c r="A17" s="5" t="s">
        <v>705</v>
      </c>
      <c r="B17" s="5" t="s">
        <v>8584</v>
      </c>
      <c r="C17" s="5">
        <v>8</v>
      </c>
      <c r="D17" s="5"/>
      <c r="E17" s="5" t="s">
        <v>368</v>
      </c>
      <c r="F17" s="5" t="s">
        <v>9187</v>
      </c>
      <c r="G17" s="5" t="s">
        <v>148</v>
      </c>
      <c r="H17" s="5" t="s">
        <v>3</v>
      </c>
      <c r="I17" s="5"/>
      <c r="J17" s="5" t="s">
        <v>10419</v>
      </c>
      <c r="M17" s="1"/>
      <c r="N17"/>
      <c r="O17"/>
      <c r="P17"/>
      <c r="Q17"/>
      <c r="R17"/>
      <c r="S17"/>
      <c r="T17"/>
      <c r="U17"/>
      <c r="V17"/>
      <c r="W17"/>
      <c r="X17"/>
      <c r="Y17"/>
    </row>
    <row r="18" spans="1:25" s="2" customFormat="1" x14ac:dyDescent="0.2">
      <c r="A18" s="5" t="s">
        <v>4222</v>
      </c>
      <c r="B18" s="5" t="s">
        <v>8584</v>
      </c>
      <c r="C18" s="5">
        <v>9</v>
      </c>
      <c r="D18" s="5"/>
      <c r="E18" s="5" t="s">
        <v>368</v>
      </c>
      <c r="F18" s="5" t="s">
        <v>10418</v>
      </c>
      <c r="G18" s="5" t="s">
        <v>148</v>
      </c>
      <c r="H18" s="5" t="s">
        <v>3</v>
      </c>
      <c r="I18" s="5"/>
      <c r="J18" s="5" t="s">
        <v>10417</v>
      </c>
      <c r="M18" s="1"/>
      <c r="N18"/>
      <c r="O18"/>
      <c r="P18"/>
      <c r="Q18"/>
      <c r="R18"/>
      <c r="S18"/>
      <c r="T18"/>
      <c r="U18"/>
      <c r="V18"/>
      <c r="W18"/>
      <c r="X18"/>
      <c r="Y18"/>
    </row>
    <row r="19" spans="1:25" s="2" customFormat="1" ht="25.5" x14ac:dyDescent="0.2">
      <c r="A19" s="5" t="s">
        <v>10416</v>
      </c>
      <c r="B19" s="5" t="s">
        <v>8584</v>
      </c>
      <c r="C19" s="5">
        <v>10</v>
      </c>
      <c r="D19" s="5"/>
      <c r="E19" s="5" t="s">
        <v>138</v>
      </c>
      <c r="F19" s="5" t="s">
        <v>10407</v>
      </c>
      <c r="G19" s="5" t="s">
        <v>148</v>
      </c>
      <c r="H19" s="5" t="s">
        <v>137</v>
      </c>
      <c r="I19" s="5" t="s">
        <v>10406</v>
      </c>
      <c r="J19" s="5" t="s">
        <v>10415</v>
      </c>
      <c r="M19" s="1"/>
      <c r="N19"/>
      <c r="O19"/>
      <c r="P19"/>
      <c r="Q19"/>
      <c r="R19"/>
      <c r="S19"/>
      <c r="T19"/>
      <c r="U19"/>
      <c r="V19"/>
      <c r="W19"/>
      <c r="X19"/>
      <c r="Y19"/>
    </row>
    <row r="20" spans="1:25" s="2" customFormat="1" x14ac:dyDescent="0.2">
      <c r="A20" s="5" t="s">
        <v>10414</v>
      </c>
      <c r="B20" s="5" t="s">
        <v>8584</v>
      </c>
      <c r="C20" s="5">
        <v>10</v>
      </c>
      <c r="D20" s="5"/>
      <c r="E20" s="5"/>
      <c r="F20" s="5" t="s">
        <v>10413</v>
      </c>
      <c r="G20" s="5" t="s">
        <v>283</v>
      </c>
      <c r="H20" s="5" t="s">
        <v>3</v>
      </c>
      <c r="I20" s="5"/>
      <c r="J20" s="5" t="s">
        <v>10413</v>
      </c>
      <c r="M20" s="1"/>
      <c r="N20"/>
      <c r="O20"/>
      <c r="P20"/>
      <c r="Q20"/>
      <c r="R20"/>
      <c r="S20"/>
      <c r="T20"/>
      <c r="U20"/>
      <c r="V20"/>
      <c r="W20"/>
      <c r="X20"/>
      <c r="Y20"/>
    </row>
    <row r="21" spans="1:25" s="2" customFormat="1" ht="25.5" x14ac:dyDescent="0.2">
      <c r="A21" s="5" t="s">
        <v>10412</v>
      </c>
      <c r="B21" s="5" t="s">
        <v>8584</v>
      </c>
      <c r="C21" s="5">
        <v>11</v>
      </c>
      <c r="D21" s="5"/>
      <c r="E21" s="5" t="s">
        <v>368</v>
      </c>
      <c r="F21" s="5" t="s">
        <v>10407</v>
      </c>
      <c r="G21" s="5" t="s">
        <v>148</v>
      </c>
      <c r="H21" s="5" t="s">
        <v>137</v>
      </c>
      <c r="I21" s="5" t="s">
        <v>10406</v>
      </c>
      <c r="J21" s="5" t="s">
        <v>10411</v>
      </c>
      <c r="M21" s="1"/>
      <c r="N21"/>
      <c r="O21"/>
      <c r="P21"/>
      <c r="Q21"/>
      <c r="R21"/>
      <c r="S21"/>
      <c r="T21"/>
      <c r="U21"/>
      <c r="V21"/>
      <c r="W21"/>
      <c r="X21"/>
      <c r="Y21"/>
    </row>
    <row r="22" spans="1:25" s="2" customFormat="1" x14ac:dyDescent="0.2">
      <c r="A22" s="5" t="s">
        <v>7807</v>
      </c>
      <c r="B22" s="5" t="s">
        <v>8584</v>
      </c>
      <c r="C22" s="5">
        <v>11</v>
      </c>
      <c r="D22" s="5"/>
      <c r="E22" s="5"/>
      <c r="F22" s="5" t="s">
        <v>10410</v>
      </c>
      <c r="G22" s="5" t="s">
        <v>382</v>
      </c>
      <c r="H22" s="5" t="s">
        <v>3</v>
      </c>
      <c r="I22" s="5"/>
      <c r="J22" s="5" t="s">
        <v>10409</v>
      </c>
      <c r="M22" s="1"/>
      <c r="N22"/>
      <c r="O22"/>
      <c r="P22"/>
      <c r="Q22"/>
      <c r="R22"/>
      <c r="S22"/>
      <c r="T22"/>
      <c r="U22"/>
      <c r="V22"/>
      <c r="W22"/>
      <c r="X22"/>
      <c r="Y22"/>
    </row>
    <row r="23" spans="1:25" s="2" customFormat="1" ht="25.5" x14ac:dyDescent="0.2">
      <c r="A23" s="5" t="s">
        <v>10408</v>
      </c>
      <c r="B23" s="5" t="s">
        <v>8584</v>
      </c>
      <c r="C23" s="5">
        <v>12</v>
      </c>
      <c r="D23" s="5"/>
      <c r="E23" s="5"/>
      <c r="F23" s="5" t="s">
        <v>10407</v>
      </c>
      <c r="G23" s="5" t="s">
        <v>2672</v>
      </c>
      <c r="H23" s="5" t="s">
        <v>137</v>
      </c>
      <c r="I23" s="5" t="s">
        <v>10406</v>
      </c>
      <c r="J23" s="5" t="s">
        <v>10405</v>
      </c>
      <c r="M23" s="1"/>
      <c r="N23"/>
      <c r="O23"/>
      <c r="P23"/>
      <c r="Q23"/>
      <c r="R23"/>
      <c r="S23"/>
      <c r="T23"/>
      <c r="U23"/>
      <c r="V23"/>
      <c r="W23"/>
      <c r="X23"/>
      <c r="Y23"/>
    </row>
    <row r="24" spans="1:25" s="2" customFormat="1" x14ac:dyDescent="0.2">
      <c r="A24" s="5" t="s">
        <v>10404</v>
      </c>
      <c r="B24" s="5" t="s">
        <v>8584</v>
      </c>
      <c r="C24" s="5">
        <v>12</v>
      </c>
      <c r="D24" s="5"/>
      <c r="E24" s="5"/>
      <c r="F24" s="5" t="s">
        <v>10403</v>
      </c>
      <c r="G24" s="5" t="s">
        <v>382</v>
      </c>
      <c r="H24" s="5" t="s">
        <v>3</v>
      </c>
      <c r="I24" s="5"/>
      <c r="J24" s="5" t="s">
        <v>10402</v>
      </c>
      <c r="M24" s="1"/>
      <c r="N24"/>
      <c r="O24"/>
      <c r="P24"/>
      <c r="Q24"/>
      <c r="R24"/>
      <c r="S24"/>
      <c r="T24"/>
      <c r="U24"/>
      <c r="V24"/>
      <c r="W24"/>
      <c r="X24"/>
      <c r="Y24"/>
    </row>
    <row r="25" spans="1:25" s="2" customFormat="1" ht="25.5" x14ac:dyDescent="0.2">
      <c r="A25" s="5" t="s">
        <v>10401</v>
      </c>
      <c r="B25" s="5" t="s">
        <v>8584</v>
      </c>
      <c r="C25" s="5">
        <v>13</v>
      </c>
      <c r="D25" s="5"/>
      <c r="E25" s="5"/>
      <c r="F25" s="5" t="s">
        <v>10401</v>
      </c>
      <c r="G25" s="5" t="s">
        <v>4</v>
      </c>
      <c r="H25" s="5" t="s">
        <v>3</v>
      </c>
      <c r="I25" s="5"/>
      <c r="J25" s="5" t="s">
        <v>10400</v>
      </c>
      <c r="M25" s="1"/>
      <c r="N25"/>
      <c r="O25"/>
      <c r="P25"/>
      <c r="Q25"/>
      <c r="R25"/>
      <c r="S25"/>
      <c r="T25"/>
      <c r="U25"/>
      <c r="V25"/>
      <c r="W25"/>
      <c r="X25"/>
      <c r="Y25"/>
    </row>
    <row r="26" spans="1:25" s="2" customFormat="1" ht="25.5" x14ac:dyDescent="0.2">
      <c r="A26" s="5" t="s">
        <v>8567</v>
      </c>
      <c r="B26" s="5" t="s">
        <v>8584</v>
      </c>
      <c r="C26" s="5">
        <v>14</v>
      </c>
      <c r="D26" s="5"/>
      <c r="E26" s="5"/>
      <c r="F26" s="5" t="s">
        <v>8565</v>
      </c>
      <c r="G26" s="5" t="s">
        <v>283</v>
      </c>
      <c r="H26" s="5" t="s">
        <v>137</v>
      </c>
      <c r="I26" s="5" t="s">
        <v>408</v>
      </c>
      <c r="J26" s="5" t="s">
        <v>8564</v>
      </c>
      <c r="M26" s="1"/>
      <c r="N26"/>
      <c r="O26"/>
      <c r="P26"/>
      <c r="Q26"/>
      <c r="R26"/>
      <c r="S26"/>
      <c r="T26"/>
      <c r="U26"/>
      <c r="V26"/>
      <c r="W26"/>
      <c r="X26"/>
      <c r="Y26"/>
    </row>
    <row r="27" spans="1:25" s="2" customFormat="1" ht="25.5" x14ac:dyDescent="0.2">
      <c r="A27" s="5" t="s">
        <v>10325</v>
      </c>
      <c r="B27" s="5" t="s">
        <v>8584</v>
      </c>
      <c r="C27" s="5">
        <v>14</v>
      </c>
      <c r="D27" s="5"/>
      <c r="E27" s="5"/>
      <c r="F27" s="5" t="s">
        <v>8565</v>
      </c>
      <c r="G27" s="5" t="s">
        <v>283</v>
      </c>
      <c r="H27" s="5" t="s">
        <v>137</v>
      </c>
      <c r="I27" s="5" t="s">
        <v>10325</v>
      </c>
      <c r="J27" s="5" t="s">
        <v>8564</v>
      </c>
      <c r="M27" s="1"/>
      <c r="N27"/>
      <c r="O27"/>
      <c r="P27"/>
      <c r="Q27"/>
      <c r="R27"/>
      <c r="S27"/>
      <c r="T27"/>
      <c r="U27"/>
      <c r="V27"/>
      <c r="W27"/>
      <c r="X27"/>
      <c r="Y27"/>
    </row>
    <row r="28" spans="1:25" s="2" customFormat="1" ht="25.5" x14ac:dyDescent="0.2">
      <c r="A28" s="5" t="s">
        <v>10399</v>
      </c>
      <c r="B28" s="5" t="s">
        <v>8584</v>
      </c>
      <c r="C28" s="5">
        <v>15</v>
      </c>
      <c r="D28" s="5"/>
      <c r="E28" s="5" t="s">
        <v>299</v>
      </c>
      <c r="F28" s="5" t="s">
        <v>8565</v>
      </c>
      <c r="G28" s="5" t="s">
        <v>702</v>
      </c>
      <c r="H28" s="5" t="s">
        <v>137</v>
      </c>
      <c r="I28" s="5" t="s">
        <v>408</v>
      </c>
      <c r="J28" s="5" t="s">
        <v>10396</v>
      </c>
      <c r="M28" s="1"/>
      <c r="N28"/>
      <c r="O28"/>
      <c r="P28"/>
      <c r="Q28"/>
      <c r="R28"/>
      <c r="S28"/>
      <c r="T28"/>
      <c r="U28"/>
      <c r="V28"/>
      <c r="W28"/>
      <c r="X28"/>
      <c r="Y28"/>
    </row>
    <row r="29" spans="1:25" s="2" customFormat="1" ht="25.5" x14ac:dyDescent="0.2">
      <c r="A29" s="5" t="s">
        <v>10398</v>
      </c>
      <c r="B29" s="5" t="s">
        <v>8584</v>
      </c>
      <c r="C29" s="5">
        <v>15</v>
      </c>
      <c r="D29" s="5"/>
      <c r="E29" s="5" t="s">
        <v>299</v>
      </c>
      <c r="F29" s="5" t="s">
        <v>8565</v>
      </c>
      <c r="G29" s="5" t="s">
        <v>702</v>
      </c>
      <c r="H29" s="5" t="s">
        <v>137</v>
      </c>
      <c r="I29" s="5" t="s">
        <v>408</v>
      </c>
      <c r="J29" s="5" t="s">
        <v>10396</v>
      </c>
      <c r="M29" s="1"/>
      <c r="N29"/>
      <c r="O29"/>
      <c r="P29"/>
      <c r="Q29"/>
      <c r="R29"/>
      <c r="S29"/>
      <c r="T29"/>
      <c r="U29"/>
      <c r="V29"/>
      <c r="W29"/>
      <c r="X29"/>
      <c r="Y29"/>
    </row>
    <row r="30" spans="1:25" s="2" customFormat="1" ht="25.5" x14ac:dyDescent="0.2">
      <c r="A30" s="5" t="s">
        <v>10397</v>
      </c>
      <c r="B30" s="5" t="s">
        <v>8584</v>
      </c>
      <c r="C30" s="5">
        <v>15</v>
      </c>
      <c r="D30" s="5"/>
      <c r="E30" s="5" t="s">
        <v>299</v>
      </c>
      <c r="F30" s="5" t="s">
        <v>8565</v>
      </c>
      <c r="G30" s="5" t="s">
        <v>702</v>
      </c>
      <c r="H30" s="5" t="s">
        <v>137</v>
      </c>
      <c r="I30" s="5" t="s">
        <v>10325</v>
      </c>
      <c r="J30" s="5" t="s">
        <v>10396</v>
      </c>
      <c r="M30" s="1"/>
      <c r="N30"/>
      <c r="O30"/>
      <c r="P30"/>
      <c r="Q30"/>
      <c r="R30"/>
      <c r="S30"/>
      <c r="T30"/>
      <c r="U30"/>
      <c r="V30"/>
      <c r="W30"/>
      <c r="X30"/>
      <c r="Y30"/>
    </row>
    <row r="31" spans="1:25" s="2" customFormat="1" x14ac:dyDescent="0.2">
      <c r="A31" s="5" t="s">
        <v>7539</v>
      </c>
      <c r="B31" s="5" t="s">
        <v>8584</v>
      </c>
      <c r="C31" s="5">
        <v>16</v>
      </c>
      <c r="D31" s="5"/>
      <c r="E31" s="5" t="s">
        <v>150</v>
      </c>
      <c r="F31" s="5" t="s">
        <v>7513</v>
      </c>
      <c r="G31" s="5" t="s">
        <v>148</v>
      </c>
      <c r="H31" s="5" t="s">
        <v>3</v>
      </c>
      <c r="I31" s="5"/>
      <c r="J31" s="5" t="s">
        <v>10395</v>
      </c>
      <c r="M31" s="1"/>
      <c r="N31"/>
      <c r="O31"/>
      <c r="P31"/>
      <c r="Q31"/>
      <c r="R31"/>
      <c r="S31"/>
      <c r="T31"/>
      <c r="U31"/>
      <c r="V31"/>
      <c r="W31"/>
      <c r="X31"/>
      <c r="Y31"/>
    </row>
    <row r="32" spans="1:25" s="2" customFormat="1" ht="25.5" x14ac:dyDescent="0.2">
      <c r="A32" s="5" t="s">
        <v>10394</v>
      </c>
      <c r="B32" s="5" t="s">
        <v>8584</v>
      </c>
      <c r="C32" s="5">
        <v>17</v>
      </c>
      <c r="D32" s="5"/>
      <c r="E32" s="5" t="s">
        <v>368</v>
      </c>
      <c r="F32" s="5" t="s">
        <v>10393</v>
      </c>
      <c r="G32" s="5" t="s">
        <v>181</v>
      </c>
      <c r="H32" s="5" t="s">
        <v>137</v>
      </c>
      <c r="I32" s="5" t="s">
        <v>263</v>
      </c>
      <c r="J32" s="5" t="s">
        <v>10392</v>
      </c>
      <c r="M32" s="1"/>
      <c r="N32"/>
      <c r="O32"/>
      <c r="P32"/>
      <c r="Q32"/>
      <c r="R32"/>
      <c r="S32"/>
      <c r="T32"/>
      <c r="U32"/>
      <c r="V32"/>
      <c r="W32"/>
      <c r="X32"/>
      <c r="Y32"/>
    </row>
    <row r="33" spans="1:25" s="2" customFormat="1" ht="25.5" x14ac:dyDescent="0.2">
      <c r="A33" s="5" t="s">
        <v>7662</v>
      </c>
      <c r="B33" s="5" t="s">
        <v>8584</v>
      </c>
      <c r="C33" s="5">
        <v>18</v>
      </c>
      <c r="D33" s="5"/>
      <c r="E33" s="5"/>
      <c r="F33" s="5" t="s">
        <v>7661</v>
      </c>
      <c r="G33" s="5" t="s">
        <v>122</v>
      </c>
      <c r="H33" s="5" t="s">
        <v>3</v>
      </c>
      <c r="I33" s="5"/>
      <c r="J33" s="5" t="s">
        <v>10391</v>
      </c>
      <c r="M33" s="1"/>
      <c r="N33"/>
      <c r="O33"/>
      <c r="P33"/>
      <c r="Q33"/>
      <c r="R33"/>
      <c r="S33"/>
      <c r="T33"/>
      <c r="U33"/>
      <c r="V33"/>
      <c r="W33"/>
      <c r="X33"/>
      <c r="Y33"/>
    </row>
    <row r="34" spans="1:25" s="2" customFormat="1" ht="25.5" x14ac:dyDescent="0.2">
      <c r="A34" s="5" t="s">
        <v>392</v>
      </c>
      <c r="B34" s="5" t="s">
        <v>8584</v>
      </c>
      <c r="C34" s="5">
        <v>19</v>
      </c>
      <c r="D34" s="5"/>
      <c r="E34" s="5"/>
      <c r="F34" s="5" t="s">
        <v>409</v>
      </c>
      <c r="G34" s="5" t="s">
        <v>148</v>
      </c>
      <c r="H34" s="5" t="s">
        <v>137</v>
      </c>
      <c r="I34" s="5" t="s">
        <v>392</v>
      </c>
      <c r="J34" s="5" t="s">
        <v>8562</v>
      </c>
      <c r="M34" s="1"/>
      <c r="N34"/>
      <c r="O34"/>
      <c r="P34"/>
      <c r="Q34"/>
      <c r="R34"/>
      <c r="S34"/>
      <c r="T34"/>
      <c r="U34"/>
      <c r="V34"/>
      <c r="W34"/>
      <c r="X34"/>
      <c r="Y34"/>
    </row>
    <row r="35" spans="1:25" s="2" customFormat="1" ht="25.5" x14ac:dyDescent="0.2">
      <c r="A35" s="5" t="s">
        <v>10339</v>
      </c>
      <c r="B35" s="5" t="s">
        <v>8584</v>
      </c>
      <c r="C35" s="5">
        <v>19</v>
      </c>
      <c r="D35" s="5"/>
      <c r="E35" s="5"/>
      <c r="F35" s="5" t="s">
        <v>409</v>
      </c>
      <c r="G35" s="5" t="s">
        <v>148</v>
      </c>
      <c r="H35" s="5" t="s">
        <v>137</v>
      </c>
      <c r="I35" s="5" t="s">
        <v>10339</v>
      </c>
      <c r="J35" s="5" t="s">
        <v>8562</v>
      </c>
      <c r="M35" s="1"/>
      <c r="N35"/>
      <c r="O35"/>
      <c r="P35"/>
      <c r="Q35"/>
      <c r="R35"/>
      <c r="S35"/>
      <c r="T35"/>
      <c r="U35"/>
      <c r="V35"/>
      <c r="W35"/>
      <c r="X35"/>
      <c r="Y35"/>
    </row>
    <row r="36" spans="1:25" s="2" customFormat="1" ht="25.5" x14ac:dyDescent="0.2">
      <c r="A36" s="5" t="s">
        <v>10390</v>
      </c>
      <c r="B36" s="5" t="s">
        <v>8584</v>
      </c>
      <c r="C36" s="5">
        <v>20</v>
      </c>
      <c r="D36" s="5"/>
      <c r="E36" s="5"/>
      <c r="F36" s="5"/>
      <c r="G36" s="5" t="s">
        <v>3059</v>
      </c>
      <c r="H36" s="5" t="s">
        <v>137</v>
      </c>
      <c r="I36" s="5" t="s">
        <v>10241</v>
      </c>
      <c r="J36" s="5" t="s">
        <v>10389</v>
      </c>
      <c r="M36" s="1"/>
      <c r="N36"/>
      <c r="O36"/>
      <c r="P36"/>
      <c r="Q36"/>
      <c r="R36"/>
      <c r="S36"/>
      <c r="T36"/>
      <c r="U36"/>
      <c r="V36"/>
      <c r="W36"/>
      <c r="X36"/>
      <c r="Y36"/>
    </row>
    <row r="37" spans="1:25" s="2" customFormat="1" x14ac:dyDescent="0.2">
      <c r="A37" s="5" t="s">
        <v>10388</v>
      </c>
      <c r="B37" s="5" t="s">
        <v>8584</v>
      </c>
      <c r="C37" s="5">
        <v>21</v>
      </c>
      <c r="D37" s="5"/>
      <c r="E37" s="5" t="s">
        <v>138</v>
      </c>
      <c r="F37" s="5"/>
      <c r="G37" s="5" t="s">
        <v>148</v>
      </c>
      <c r="H37" s="5" t="s">
        <v>137</v>
      </c>
      <c r="I37" s="5" t="s">
        <v>10241</v>
      </c>
      <c r="J37" s="5" t="s">
        <v>10387</v>
      </c>
      <c r="M37" s="1"/>
      <c r="N37"/>
      <c r="O37"/>
      <c r="P37"/>
      <c r="Q37"/>
      <c r="R37"/>
      <c r="S37"/>
      <c r="T37"/>
      <c r="U37"/>
      <c r="V37"/>
      <c r="W37"/>
      <c r="X37"/>
      <c r="Y37"/>
    </row>
    <row r="38" spans="1:25" s="2" customFormat="1" ht="25.5" x14ac:dyDescent="0.2">
      <c r="A38" s="5" t="s">
        <v>10386</v>
      </c>
      <c r="B38" s="5" t="s">
        <v>8584</v>
      </c>
      <c r="C38" s="5">
        <v>22</v>
      </c>
      <c r="D38" s="5"/>
      <c r="E38" s="5" t="s">
        <v>299</v>
      </c>
      <c r="F38" s="5" t="s">
        <v>10384</v>
      </c>
      <c r="G38" s="5" t="s">
        <v>702</v>
      </c>
      <c r="H38" s="5" t="s">
        <v>137</v>
      </c>
      <c r="I38" s="5" t="s">
        <v>392</v>
      </c>
      <c r="J38" s="5" t="s">
        <v>10383</v>
      </c>
      <c r="M38" s="1"/>
      <c r="N38"/>
      <c r="O38"/>
      <c r="P38"/>
      <c r="Q38"/>
      <c r="R38"/>
      <c r="S38"/>
      <c r="T38"/>
      <c r="U38"/>
      <c r="V38"/>
      <c r="W38"/>
      <c r="X38"/>
      <c r="Y38"/>
    </row>
    <row r="39" spans="1:25" s="2" customFormat="1" ht="25.5" x14ac:dyDescent="0.2">
      <c r="A39" s="5" t="s">
        <v>10385</v>
      </c>
      <c r="B39" s="5" t="s">
        <v>8584</v>
      </c>
      <c r="C39" s="5">
        <v>22</v>
      </c>
      <c r="D39" s="5"/>
      <c r="E39" s="5" t="s">
        <v>299</v>
      </c>
      <c r="F39" s="5" t="s">
        <v>10384</v>
      </c>
      <c r="G39" s="5" t="s">
        <v>702</v>
      </c>
      <c r="H39" s="5" t="s">
        <v>137</v>
      </c>
      <c r="I39" s="5" t="s">
        <v>10339</v>
      </c>
      <c r="J39" s="5" t="s">
        <v>10383</v>
      </c>
      <c r="M39" s="1"/>
      <c r="N39"/>
      <c r="O39"/>
      <c r="P39"/>
      <c r="Q39"/>
      <c r="R39"/>
      <c r="S39"/>
      <c r="T39"/>
      <c r="U39"/>
      <c r="V39"/>
      <c r="W39"/>
      <c r="X39"/>
      <c r="Y39"/>
    </row>
    <row r="40" spans="1:25" s="2" customFormat="1" x14ac:dyDescent="0.2">
      <c r="A40" s="5" t="s">
        <v>6375</v>
      </c>
      <c r="B40" s="5" t="s">
        <v>8584</v>
      </c>
      <c r="C40" s="5">
        <v>23</v>
      </c>
      <c r="D40" s="5"/>
      <c r="E40" s="5" t="s">
        <v>138</v>
      </c>
      <c r="F40" s="5"/>
      <c r="G40" s="5" t="s">
        <v>91</v>
      </c>
      <c r="H40" s="5" t="s">
        <v>3</v>
      </c>
      <c r="I40" s="5"/>
      <c r="J40" s="5" t="s">
        <v>6373</v>
      </c>
      <c r="M40" s="1"/>
      <c r="N40"/>
      <c r="O40"/>
      <c r="P40"/>
      <c r="Q40"/>
      <c r="R40"/>
      <c r="S40"/>
      <c r="T40"/>
      <c r="U40"/>
      <c r="V40"/>
      <c r="W40"/>
      <c r="X40"/>
      <c r="Y40"/>
    </row>
    <row r="41" spans="1:25" s="2" customFormat="1" x14ac:dyDescent="0.2">
      <c r="A41" s="5" t="s">
        <v>8571</v>
      </c>
      <c r="B41" s="5" t="s">
        <v>83</v>
      </c>
      <c r="C41" s="5"/>
      <c r="D41" s="5" t="s">
        <v>8572</v>
      </c>
      <c r="E41" s="5"/>
      <c r="F41" s="5" t="s">
        <v>8571</v>
      </c>
      <c r="G41" s="5" t="s">
        <v>315</v>
      </c>
      <c r="H41" s="5" t="s">
        <v>3</v>
      </c>
      <c r="I41" s="5"/>
      <c r="J41" s="5"/>
      <c r="M41" s="1"/>
      <c r="N41"/>
      <c r="O41"/>
      <c r="P41"/>
      <c r="Q41"/>
      <c r="R41"/>
      <c r="S41"/>
      <c r="T41"/>
      <c r="U41"/>
      <c r="V41"/>
      <c r="W41"/>
      <c r="X41"/>
      <c r="Y41"/>
    </row>
    <row r="42" spans="1:25" s="2" customFormat="1" x14ac:dyDescent="0.2">
      <c r="A42" s="5" t="s">
        <v>10382</v>
      </c>
      <c r="B42" s="5" t="s">
        <v>83</v>
      </c>
      <c r="C42" s="5"/>
      <c r="D42" s="5" t="s">
        <v>10358</v>
      </c>
      <c r="E42" s="5"/>
      <c r="F42" s="5" t="s">
        <v>10326</v>
      </c>
      <c r="G42" s="5" t="s">
        <v>170</v>
      </c>
      <c r="H42" s="5" t="s">
        <v>137</v>
      </c>
      <c r="I42" s="5" t="s">
        <v>408</v>
      </c>
      <c r="J42" s="5" t="s">
        <v>10324</v>
      </c>
      <c r="M42" s="1"/>
      <c r="N42"/>
      <c r="O42"/>
      <c r="P42"/>
      <c r="Q42"/>
      <c r="R42"/>
      <c r="S42"/>
      <c r="T42"/>
      <c r="U42"/>
      <c r="V42"/>
      <c r="W42"/>
      <c r="X42"/>
      <c r="Y42"/>
    </row>
    <row r="43" spans="1:25" s="2" customFormat="1" ht="25.5" x14ac:dyDescent="0.2">
      <c r="A43" s="5" t="s">
        <v>10381</v>
      </c>
      <c r="B43" s="5" t="s">
        <v>83</v>
      </c>
      <c r="C43" s="5"/>
      <c r="D43" s="5" t="s">
        <v>10331</v>
      </c>
      <c r="E43" s="5"/>
      <c r="F43" s="5" t="s">
        <v>10380</v>
      </c>
      <c r="G43" s="5" t="s">
        <v>224</v>
      </c>
      <c r="H43" s="5" t="s">
        <v>137</v>
      </c>
      <c r="I43" s="5"/>
      <c r="J43" s="5" t="s">
        <v>10379</v>
      </c>
      <c r="M43" s="1"/>
      <c r="N43"/>
      <c r="O43"/>
      <c r="P43"/>
      <c r="Q43"/>
      <c r="R43"/>
      <c r="S43"/>
      <c r="T43"/>
      <c r="U43"/>
      <c r="V43"/>
      <c r="W43"/>
      <c r="X43"/>
      <c r="Y43"/>
    </row>
    <row r="44" spans="1:25" s="2" customFormat="1" ht="25.5" x14ac:dyDescent="0.2">
      <c r="A44" s="5" t="s">
        <v>10378</v>
      </c>
      <c r="B44" s="5" t="s">
        <v>83</v>
      </c>
      <c r="C44" s="5"/>
      <c r="D44" s="5" t="s">
        <v>10377</v>
      </c>
      <c r="E44" s="5"/>
      <c r="F44" s="5" t="s">
        <v>10330</v>
      </c>
      <c r="G44" s="5" t="s">
        <v>224</v>
      </c>
      <c r="H44" s="5" t="s">
        <v>137</v>
      </c>
      <c r="I44" s="5" t="s">
        <v>408</v>
      </c>
      <c r="J44" s="5" t="s">
        <v>10329</v>
      </c>
      <c r="M44" s="1"/>
      <c r="N44"/>
      <c r="O44"/>
      <c r="P44"/>
      <c r="Q44"/>
      <c r="R44"/>
      <c r="S44"/>
      <c r="T44"/>
      <c r="U44"/>
      <c r="V44"/>
      <c r="W44"/>
      <c r="X44"/>
      <c r="Y44"/>
    </row>
    <row r="45" spans="1:25" s="2" customFormat="1" x14ac:dyDescent="0.2">
      <c r="A45" s="5" t="s">
        <v>10376</v>
      </c>
      <c r="B45" s="5" t="s">
        <v>83</v>
      </c>
      <c r="C45" s="5"/>
      <c r="D45" s="5" t="s">
        <v>10375</v>
      </c>
      <c r="E45" s="5"/>
      <c r="F45" s="5" t="s">
        <v>358</v>
      </c>
      <c r="G45" s="5" t="s">
        <v>224</v>
      </c>
      <c r="H45" s="5" t="s">
        <v>137</v>
      </c>
      <c r="I45" s="5" t="s">
        <v>408</v>
      </c>
      <c r="J45" s="5" t="s">
        <v>10374</v>
      </c>
      <c r="M45" s="1"/>
      <c r="N45"/>
      <c r="O45"/>
      <c r="P45"/>
      <c r="Q45"/>
      <c r="R45"/>
      <c r="S45"/>
      <c r="T45"/>
      <c r="U45"/>
      <c r="V45"/>
      <c r="W45"/>
      <c r="X45"/>
      <c r="Y45"/>
    </row>
    <row r="46" spans="1:25" s="2" customFormat="1" x14ac:dyDescent="0.2">
      <c r="A46" s="5" t="s">
        <v>8534</v>
      </c>
      <c r="B46" s="5" t="s">
        <v>83</v>
      </c>
      <c r="C46" s="5"/>
      <c r="D46" s="5" t="s">
        <v>10373</v>
      </c>
      <c r="E46" s="5" t="s">
        <v>368</v>
      </c>
      <c r="F46" s="5"/>
      <c r="G46" s="5" t="s">
        <v>91</v>
      </c>
      <c r="H46" s="5" t="s">
        <v>3</v>
      </c>
      <c r="I46" s="5"/>
      <c r="J46" s="5"/>
      <c r="M46" s="1"/>
      <c r="N46"/>
      <c r="O46"/>
      <c r="P46"/>
      <c r="Q46"/>
      <c r="R46"/>
      <c r="S46"/>
      <c r="T46"/>
      <c r="U46"/>
      <c r="V46"/>
      <c r="W46"/>
      <c r="X46"/>
      <c r="Y46"/>
    </row>
    <row r="47" spans="1:25" s="2" customFormat="1" ht="25.5" x14ac:dyDescent="0.2">
      <c r="A47" s="5" t="s">
        <v>10372</v>
      </c>
      <c r="B47" s="5" t="s">
        <v>83</v>
      </c>
      <c r="C47" s="5"/>
      <c r="D47" s="5" t="s">
        <v>10371</v>
      </c>
      <c r="E47" s="5"/>
      <c r="F47" s="5" t="s">
        <v>10362</v>
      </c>
      <c r="G47" s="5" t="s">
        <v>224</v>
      </c>
      <c r="H47" s="5" t="s">
        <v>137</v>
      </c>
      <c r="I47" s="5" t="s">
        <v>10361</v>
      </c>
      <c r="J47" s="5" t="s">
        <v>10370</v>
      </c>
      <c r="M47" s="1"/>
      <c r="N47"/>
      <c r="O47"/>
      <c r="P47"/>
      <c r="Q47"/>
      <c r="R47"/>
      <c r="S47"/>
      <c r="T47"/>
      <c r="U47"/>
      <c r="V47"/>
      <c r="W47"/>
      <c r="X47"/>
      <c r="Y47"/>
    </row>
    <row r="48" spans="1:25" s="2" customFormat="1" ht="25.5" x14ac:dyDescent="0.2">
      <c r="A48" s="5" t="s">
        <v>10369</v>
      </c>
      <c r="B48" s="5" t="s">
        <v>83</v>
      </c>
      <c r="C48" s="5"/>
      <c r="D48" s="5" t="s">
        <v>10368</v>
      </c>
      <c r="E48" s="5"/>
      <c r="F48" s="5" t="s">
        <v>10362</v>
      </c>
      <c r="G48" s="5" t="s">
        <v>105</v>
      </c>
      <c r="H48" s="5" t="s">
        <v>137</v>
      </c>
      <c r="I48" s="5" t="s">
        <v>10361</v>
      </c>
      <c r="J48" s="5" t="s">
        <v>10367</v>
      </c>
      <c r="M48" s="1"/>
      <c r="N48"/>
      <c r="O48"/>
      <c r="P48"/>
      <c r="Q48"/>
      <c r="R48"/>
      <c r="S48"/>
      <c r="T48"/>
      <c r="U48"/>
      <c r="V48"/>
      <c r="W48"/>
      <c r="X48"/>
      <c r="Y48"/>
    </row>
    <row r="49" spans="1:25" s="2" customFormat="1" ht="25.5" x14ac:dyDescent="0.2">
      <c r="A49" s="5" t="s">
        <v>10366</v>
      </c>
      <c r="B49" s="5" t="s">
        <v>83</v>
      </c>
      <c r="C49" s="5"/>
      <c r="D49" s="5" t="s">
        <v>10365</v>
      </c>
      <c r="E49" s="5"/>
      <c r="F49" s="5" t="s">
        <v>10362</v>
      </c>
      <c r="G49" s="5" t="s">
        <v>170</v>
      </c>
      <c r="H49" s="5" t="s">
        <v>137</v>
      </c>
      <c r="I49" s="5" t="s">
        <v>10361</v>
      </c>
      <c r="J49" s="5" t="s">
        <v>10364</v>
      </c>
      <c r="M49" s="1"/>
      <c r="N49"/>
      <c r="O49"/>
      <c r="P49"/>
      <c r="Q49"/>
      <c r="R49"/>
      <c r="S49"/>
      <c r="T49"/>
      <c r="U49"/>
      <c r="V49"/>
      <c r="W49"/>
      <c r="X49"/>
      <c r="Y49"/>
    </row>
    <row r="50" spans="1:25" s="2" customFormat="1" ht="25.5" x14ac:dyDescent="0.2">
      <c r="A50" s="5" t="s">
        <v>10361</v>
      </c>
      <c r="B50" s="5" t="s">
        <v>83</v>
      </c>
      <c r="C50" s="5"/>
      <c r="D50" s="5" t="s">
        <v>10363</v>
      </c>
      <c r="E50" s="5"/>
      <c r="F50" s="5" t="s">
        <v>10362</v>
      </c>
      <c r="G50" s="5" t="s">
        <v>148</v>
      </c>
      <c r="H50" s="5" t="s">
        <v>137</v>
      </c>
      <c r="I50" s="5" t="s">
        <v>10361</v>
      </c>
      <c r="J50" s="5" t="s">
        <v>10360</v>
      </c>
      <c r="M50" s="1"/>
      <c r="N50"/>
      <c r="O50"/>
      <c r="P50"/>
      <c r="Q50"/>
      <c r="R50"/>
      <c r="S50"/>
      <c r="T50"/>
      <c r="U50"/>
      <c r="V50"/>
      <c r="W50"/>
      <c r="X50"/>
      <c r="Y50"/>
    </row>
    <row r="51" spans="1:25" s="2" customFormat="1" x14ac:dyDescent="0.2">
      <c r="A51" s="5" t="s">
        <v>10359</v>
      </c>
      <c r="B51" s="5" t="s">
        <v>83</v>
      </c>
      <c r="C51" s="5"/>
      <c r="D51" s="5" t="s">
        <v>10358</v>
      </c>
      <c r="E51" s="5"/>
      <c r="F51" s="5" t="s">
        <v>10326</v>
      </c>
      <c r="G51" s="5" t="s">
        <v>170</v>
      </c>
      <c r="H51" s="5" t="s">
        <v>137</v>
      </c>
      <c r="I51" s="5" t="s">
        <v>408</v>
      </c>
      <c r="J51" s="5" t="s">
        <v>10324</v>
      </c>
      <c r="M51" s="1"/>
      <c r="N51"/>
      <c r="O51"/>
      <c r="P51"/>
      <c r="Q51"/>
      <c r="R51"/>
      <c r="S51"/>
      <c r="T51"/>
      <c r="U51"/>
      <c r="V51"/>
      <c r="W51"/>
      <c r="X51"/>
      <c r="Y51"/>
    </row>
    <row r="52" spans="1:25" s="2" customFormat="1" x14ac:dyDescent="0.2">
      <c r="A52" s="5" t="s">
        <v>10357</v>
      </c>
      <c r="B52" s="5" t="s">
        <v>83</v>
      </c>
      <c r="C52" s="5"/>
      <c r="D52" s="5" t="s">
        <v>10356</v>
      </c>
      <c r="E52" s="5"/>
      <c r="F52" s="5" t="s">
        <v>6472</v>
      </c>
      <c r="G52" s="5" t="s">
        <v>170</v>
      </c>
      <c r="H52" s="5" t="s">
        <v>137</v>
      </c>
      <c r="I52" s="5" t="s">
        <v>408</v>
      </c>
      <c r="J52" s="5" t="s">
        <v>10355</v>
      </c>
      <c r="M52" s="1"/>
      <c r="N52"/>
      <c r="O52"/>
      <c r="P52"/>
      <c r="Q52"/>
      <c r="R52"/>
      <c r="S52"/>
      <c r="T52"/>
      <c r="U52"/>
      <c r="V52"/>
      <c r="W52"/>
      <c r="X52"/>
      <c r="Y52"/>
    </row>
    <row r="53" spans="1:25" s="2" customFormat="1" ht="25.5" x14ac:dyDescent="0.2">
      <c r="A53" s="5" t="s">
        <v>10354</v>
      </c>
      <c r="B53" s="5" t="s">
        <v>83</v>
      </c>
      <c r="C53" s="5"/>
      <c r="D53" s="5" t="s">
        <v>10353</v>
      </c>
      <c r="E53" s="5" t="s">
        <v>368</v>
      </c>
      <c r="F53" s="5" t="s">
        <v>10349</v>
      </c>
      <c r="G53" s="5" t="s">
        <v>207</v>
      </c>
      <c r="H53" s="5" t="s">
        <v>3</v>
      </c>
      <c r="I53" s="5"/>
      <c r="J53" s="5" t="s">
        <v>10352</v>
      </c>
      <c r="M53" s="1"/>
      <c r="N53"/>
      <c r="O53"/>
      <c r="P53"/>
      <c r="Q53"/>
      <c r="R53"/>
      <c r="S53"/>
      <c r="T53"/>
      <c r="U53"/>
      <c r="V53"/>
      <c r="W53"/>
      <c r="X53"/>
      <c r="Y53"/>
    </row>
    <row r="54" spans="1:25" s="2" customFormat="1" x14ac:dyDescent="0.2">
      <c r="A54" s="5" t="s">
        <v>10351</v>
      </c>
      <c r="B54" s="5" t="s">
        <v>83</v>
      </c>
      <c r="C54" s="5"/>
      <c r="D54" s="5" t="s">
        <v>10350</v>
      </c>
      <c r="E54" s="5" t="s">
        <v>368</v>
      </c>
      <c r="F54" s="5" t="s">
        <v>10349</v>
      </c>
      <c r="G54" s="5" t="s">
        <v>207</v>
      </c>
      <c r="H54" s="5" t="s">
        <v>3</v>
      </c>
      <c r="I54" s="5"/>
      <c r="J54" s="5" t="s">
        <v>10348</v>
      </c>
      <c r="M54" s="1"/>
      <c r="N54"/>
      <c r="O54"/>
      <c r="P54"/>
      <c r="Q54"/>
      <c r="R54"/>
      <c r="S54"/>
      <c r="T54"/>
      <c r="U54"/>
      <c r="V54"/>
      <c r="W54"/>
      <c r="X54"/>
      <c r="Y54"/>
    </row>
    <row r="55" spans="1:25" s="2" customFormat="1" ht="25.5" x14ac:dyDescent="0.2">
      <c r="A55" s="5" t="s">
        <v>10347</v>
      </c>
      <c r="B55" s="5" t="s">
        <v>83</v>
      </c>
      <c r="C55" s="5"/>
      <c r="D55" s="5" t="s">
        <v>10346</v>
      </c>
      <c r="E55" s="5" t="s">
        <v>3057</v>
      </c>
      <c r="F55" s="5" t="s">
        <v>9658</v>
      </c>
      <c r="G55" s="5" t="s">
        <v>382</v>
      </c>
      <c r="H55" s="5" t="s">
        <v>137</v>
      </c>
      <c r="I55" s="5" t="s">
        <v>263</v>
      </c>
      <c r="J55" s="5"/>
      <c r="M55" s="1"/>
      <c r="N55"/>
      <c r="O55"/>
      <c r="P55"/>
      <c r="Q55"/>
      <c r="R55"/>
      <c r="S55"/>
      <c r="T55"/>
      <c r="U55"/>
      <c r="V55"/>
      <c r="W55"/>
      <c r="X55"/>
      <c r="Y55"/>
    </row>
    <row r="56" spans="1:25" s="2" customFormat="1" ht="25.5" x14ac:dyDescent="0.2">
      <c r="A56" s="5" t="s">
        <v>10345</v>
      </c>
      <c r="B56" s="5" t="s">
        <v>83</v>
      </c>
      <c r="C56" s="5"/>
      <c r="D56" s="5" t="s">
        <v>10344</v>
      </c>
      <c r="E56" s="5" t="s">
        <v>3057</v>
      </c>
      <c r="F56" s="5" t="s">
        <v>9658</v>
      </c>
      <c r="G56" s="5" t="s">
        <v>382</v>
      </c>
      <c r="H56" s="5" t="s">
        <v>137</v>
      </c>
      <c r="I56" s="5"/>
      <c r="J56" s="5" t="s">
        <v>9657</v>
      </c>
      <c r="M56" s="1"/>
      <c r="N56"/>
      <c r="O56"/>
      <c r="P56"/>
      <c r="Q56"/>
      <c r="R56"/>
      <c r="S56"/>
      <c r="T56"/>
      <c r="U56"/>
      <c r="V56"/>
      <c r="W56"/>
      <c r="X56"/>
      <c r="Y56"/>
    </row>
    <row r="57" spans="1:25" s="2" customFormat="1" ht="25.5" x14ac:dyDescent="0.2">
      <c r="A57" s="5" t="s">
        <v>8354</v>
      </c>
      <c r="B57" s="5" t="s">
        <v>83</v>
      </c>
      <c r="C57" s="5"/>
      <c r="D57" s="5" t="s">
        <v>10343</v>
      </c>
      <c r="E57" s="5"/>
      <c r="F57" s="5" t="s">
        <v>5235</v>
      </c>
      <c r="G57" s="5" t="s">
        <v>224</v>
      </c>
      <c r="H57" s="5"/>
      <c r="I57" s="5"/>
      <c r="J57" s="5" t="s">
        <v>5235</v>
      </c>
      <c r="M57" s="1"/>
      <c r="N57"/>
      <c r="O57"/>
      <c r="P57"/>
      <c r="Q57"/>
      <c r="R57"/>
      <c r="S57"/>
      <c r="T57"/>
      <c r="U57"/>
      <c r="V57"/>
      <c r="W57"/>
      <c r="X57"/>
      <c r="Y57"/>
    </row>
    <row r="58" spans="1:25" s="2" customFormat="1" ht="25.5" x14ac:dyDescent="0.2">
      <c r="A58" s="5" t="s">
        <v>8344</v>
      </c>
      <c r="B58" s="5" t="s">
        <v>83</v>
      </c>
      <c r="C58" s="5"/>
      <c r="D58" s="5" t="s">
        <v>10342</v>
      </c>
      <c r="E58" s="5"/>
      <c r="F58" s="5" t="s">
        <v>472</v>
      </c>
      <c r="G58" s="5" t="s">
        <v>1542</v>
      </c>
      <c r="H58" s="5" t="s">
        <v>3</v>
      </c>
      <c r="I58" s="5"/>
      <c r="J58" s="5"/>
      <c r="M58" s="1"/>
      <c r="N58"/>
      <c r="O58"/>
      <c r="P58"/>
      <c r="Q58"/>
      <c r="R58"/>
      <c r="S58"/>
      <c r="T58"/>
      <c r="U58"/>
      <c r="V58"/>
      <c r="W58"/>
      <c r="X58"/>
      <c r="Y58"/>
    </row>
    <row r="59" spans="1:25" s="2" customFormat="1" ht="25.5" x14ac:dyDescent="0.2">
      <c r="A59" s="5" t="s">
        <v>9254</v>
      </c>
      <c r="B59" s="5" t="s">
        <v>83</v>
      </c>
      <c r="C59" s="5"/>
      <c r="D59" s="5" t="s">
        <v>10341</v>
      </c>
      <c r="E59" s="5"/>
      <c r="F59" s="5" t="s">
        <v>472</v>
      </c>
      <c r="G59" s="5" t="s">
        <v>6530</v>
      </c>
      <c r="H59" s="5" t="s">
        <v>3</v>
      </c>
      <c r="I59" s="5"/>
      <c r="J59" s="5"/>
      <c r="M59" s="1"/>
      <c r="N59"/>
      <c r="O59"/>
      <c r="P59"/>
      <c r="Q59"/>
      <c r="R59"/>
      <c r="S59"/>
      <c r="T59"/>
      <c r="U59"/>
      <c r="V59"/>
      <c r="W59"/>
      <c r="X59"/>
      <c r="Y59"/>
    </row>
    <row r="60" spans="1:25" s="2" customFormat="1" ht="25.5" x14ac:dyDescent="0.2">
      <c r="A60" s="5" t="s">
        <v>10340</v>
      </c>
      <c r="B60" s="5" t="s">
        <v>83</v>
      </c>
      <c r="C60" s="5"/>
      <c r="D60" s="5" t="s">
        <v>10255</v>
      </c>
      <c r="E60" s="5"/>
      <c r="F60" s="5" t="s">
        <v>8844</v>
      </c>
      <c r="G60" s="5" t="s">
        <v>393</v>
      </c>
      <c r="H60" s="5" t="s">
        <v>137</v>
      </c>
      <c r="I60" s="5" t="s">
        <v>10339</v>
      </c>
      <c r="J60" s="5" t="s">
        <v>10338</v>
      </c>
      <c r="M60" s="1"/>
      <c r="N60"/>
      <c r="O60"/>
      <c r="P60"/>
      <c r="Q60"/>
      <c r="R60"/>
      <c r="S60"/>
      <c r="T60"/>
      <c r="U60"/>
      <c r="V60"/>
      <c r="W60"/>
      <c r="X60"/>
      <c r="Y60"/>
    </row>
    <row r="61" spans="1:25" s="2" customFormat="1" ht="25.5" x14ac:dyDescent="0.2">
      <c r="A61" s="5" t="s">
        <v>10337</v>
      </c>
      <c r="B61" s="5" t="s">
        <v>83</v>
      </c>
      <c r="C61" s="5"/>
      <c r="D61" s="5" t="s">
        <v>10336</v>
      </c>
      <c r="E61" s="5"/>
      <c r="F61" s="5"/>
      <c r="G61" s="5" t="s">
        <v>118</v>
      </c>
      <c r="H61" s="5" t="s">
        <v>137</v>
      </c>
      <c r="I61" s="5" t="s">
        <v>263</v>
      </c>
      <c r="J61" s="5" t="s">
        <v>10333</v>
      </c>
      <c r="M61" s="1"/>
      <c r="N61"/>
      <c r="O61"/>
      <c r="P61"/>
      <c r="Q61"/>
      <c r="R61"/>
      <c r="S61"/>
      <c r="T61"/>
      <c r="U61"/>
      <c r="V61"/>
      <c r="W61"/>
      <c r="X61"/>
      <c r="Y61"/>
    </row>
    <row r="62" spans="1:25" s="2" customFormat="1" ht="25.5" x14ac:dyDescent="0.2">
      <c r="A62" s="5" t="s">
        <v>10335</v>
      </c>
      <c r="B62" s="5" t="s">
        <v>83</v>
      </c>
      <c r="C62" s="5"/>
      <c r="D62" s="5" t="s">
        <v>10334</v>
      </c>
      <c r="E62" s="5"/>
      <c r="F62" s="5" t="s">
        <v>10333</v>
      </c>
      <c r="G62" s="5" t="s">
        <v>224</v>
      </c>
      <c r="H62" s="5" t="s">
        <v>137</v>
      </c>
      <c r="I62" s="5" t="s">
        <v>263</v>
      </c>
      <c r="J62" s="5"/>
      <c r="M62" s="1"/>
      <c r="N62"/>
      <c r="O62"/>
      <c r="P62"/>
      <c r="Q62"/>
      <c r="R62"/>
      <c r="S62"/>
      <c r="T62"/>
      <c r="U62"/>
      <c r="V62"/>
      <c r="W62"/>
      <c r="X62"/>
      <c r="Y62"/>
    </row>
    <row r="63" spans="1:25" s="2" customFormat="1" ht="25.5" x14ac:dyDescent="0.2">
      <c r="A63" s="5" t="s">
        <v>10332</v>
      </c>
      <c r="B63" s="5" t="s">
        <v>83</v>
      </c>
      <c r="C63" s="5"/>
      <c r="D63" s="5" t="s">
        <v>10331</v>
      </c>
      <c r="E63" s="5"/>
      <c r="F63" s="5" t="s">
        <v>10330</v>
      </c>
      <c r="G63" s="5" t="s">
        <v>224</v>
      </c>
      <c r="H63" s="5" t="s">
        <v>137</v>
      </c>
      <c r="I63" s="5" t="s">
        <v>10325</v>
      </c>
      <c r="J63" s="5" t="s">
        <v>10329</v>
      </c>
      <c r="M63" s="1"/>
      <c r="N63"/>
      <c r="O63"/>
      <c r="P63"/>
      <c r="Q63"/>
      <c r="R63"/>
      <c r="S63"/>
      <c r="T63"/>
      <c r="U63"/>
      <c r="V63"/>
      <c r="W63"/>
      <c r="X63"/>
      <c r="Y63"/>
    </row>
    <row r="64" spans="1:25" s="2" customFormat="1" ht="25.5" x14ac:dyDescent="0.2">
      <c r="A64" s="5" t="s">
        <v>10328</v>
      </c>
      <c r="B64" s="5" t="s">
        <v>83</v>
      </c>
      <c r="C64" s="5"/>
      <c r="D64" s="5" t="s">
        <v>10327</v>
      </c>
      <c r="E64" s="5"/>
      <c r="F64" s="5" t="s">
        <v>10326</v>
      </c>
      <c r="G64" s="5" t="s">
        <v>170</v>
      </c>
      <c r="H64" s="5" t="s">
        <v>137</v>
      </c>
      <c r="I64" s="5" t="s">
        <v>10325</v>
      </c>
      <c r="J64" s="5" t="s">
        <v>10324</v>
      </c>
      <c r="M64" s="1"/>
      <c r="N64"/>
      <c r="O64"/>
      <c r="P64"/>
      <c r="Q64"/>
      <c r="R64"/>
      <c r="S64"/>
      <c r="T64"/>
      <c r="U64"/>
      <c r="V64"/>
      <c r="W64"/>
      <c r="X64"/>
      <c r="Y64"/>
    </row>
    <row r="65" spans="1:25" s="2" customFormat="1" x14ac:dyDescent="0.2">
      <c r="A65" s="5" t="s">
        <v>10323</v>
      </c>
      <c r="B65" s="5" t="s">
        <v>83</v>
      </c>
      <c r="C65" s="5"/>
      <c r="D65" s="5" t="s">
        <v>10322</v>
      </c>
      <c r="E65" s="5"/>
      <c r="F65" s="5" t="s">
        <v>8479</v>
      </c>
      <c r="G65" s="5" t="s">
        <v>6584</v>
      </c>
      <c r="H65" s="5" t="s">
        <v>3</v>
      </c>
      <c r="I65" s="5"/>
      <c r="J65" s="5" t="s">
        <v>10321</v>
      </c>
      <c r="M65" s="1"/>
      <c r="N65"/>
      <c r="O65"/>
      <c r="P65"/>
      <c r="Q65"/>
      <c r="R65"/>
      <c r="S65"/>
      <c r="T65"/>
      <c r="U65"/>
      <c r="V65"/>
      <c r="W65"/>
      <c r="X65"/>
      <c r="Y65"/>
    </row>
    <row r="66" spans="1:25" s="2" customFormat="1" ht="25.5" x14ac:dyDescent="0.2">
      <c r="A66" s="5" t="s">
        <v>8145</v>
      </c>
      <c r="B66" s="5" t="s">
        <v>83</v>
      </c>
      <c r="C66" s="5"/>
      <c r="D66" s="5" t="s">
        <v>8144</v>
      </c>
      <c r="E66" s="5"/>
      <c r="F66" s="5" t="s">
        <v>237</v>
      </c>
      <c r="G66" s="5" t="s">
        <v>105</v>
      </c>
      <c r="H66" s="5" t="s">
        <v>137</v>
      </c>
      <c r="I66" s="5" t="s">
        <v>8140</v>
      </c>
      <c r="J66" s="5" t="s">
        <v>8143</v>
      </c>
      <c r="M66" s="1"/>
      <c r="N66"/>
      <c r="O66"/>
      <c r="P66"/>
      <c r="Q66"/>
      <c r="R66"/>
      <c r="S66"/>
      <c r="T66"/>
      <c r="U66"/>
      <c r="V66"/>
      <c r="W66"/>
      <c r="X66"/>
      <c r="Y66"/>
    </row>
    <row r="67" spans="1:25" s="2" customFormat="1" ht="25.5" x14ac:dyDescent="0.2">
      <c r="A67" s="5" t="s">
        <v>8142</v>
      </c>
      <c r="B67" s="5" t="s">
        <v>83</v>
      </c>
      <c r="C67" s="5"/>
      <c r="D67" s="5" t="s">
        <v>8141</v>
      </c>
      <c r="E67" s="5"/>
      <c r="F67" s="5" t="s">
        <v>110</v>
      </c>
      <c r="G67" s="5" t="s">
        <v>105</v>
      </c>
      <c r="H67" s="5" t="s">
        <v>137</v>
      </c>
      <c r="I67" s="5" t="s">
        <v>8140</v>
      </c>
      <c r="J67" s="5" t="s">
        <v>8139</v>
      </c>
      <c r="M67" s="1"/>
      <c r="N67"/>
      <c r="O67"/>
      <c r="P67"/>
      <c r="Q67"/>
      <c r="R67"/>
      <c r="S67"/>
      <c r="T67"/>
      <c r="U67"/>
      <c r="V67"/>
      <c r="W67"/>
      <c r="X67"/>
      <c r="Y67"/>
    </row>
    <row r="68" spans="1:25" s="2" customFormat="1" ht="25.5" x14ac:dyDescent="0.2">
      <c r="A68" s="5" t="s">
        <v>8884</v>
      </c>
      <c r="B68" s="5" t="s">
        <v>83</v>
      </c>
      <c r="C68" s="5"/>
      <c r="D68" s="5" t="s">
        <v>10255</v>
      </c>
      <c r="E68" s="5"/>
      <c r="F68" s="5" t="s">
        <v>8844</v>
      </c>
      <c r="G68" s="5" t="s">
        <v>393</v>
      </c>
      <c r="H68" s="5" t="s">
        <v>137</v>
      </c>
      <c r="I68" s="5" t="s">
        <v>392</v>
      </c>
      <c r="J68" s="5" t="s">
        <v>10254</v>
      </c>
      <c r="M68" s="1"/>
      <c r="N68"/>
      <c r="O68"/>
      <c r="P68"/>
      <c r="Q68"/>
      <c r="R68"/>
      <c r="S68"/>
      <c r="T68"/>
      <c r="U68"/>
      <c r="V68"/>
      <c r="W68"/>
      <c r="X68"/>
      <c r="Y68"/>
    </row>
    <row r="69" spans="1:25" s="2" customFormat="1" ht="25.5" x14ac:dyDescent="0.2">
      <c r="A69" s="5" t="s">
        <v>8103</v>
      </c>
      <c r="B69" s="5" t="s">
        <v>83</v>
      </c>
      <c r="C69" s="5"/>
      <c r="D69" s="5" t="s">
        <v>9404</v>
      </c>
      <c r="E69" s="5"/>
      <c r="F69" s="5" t="s">
        <v>8101</v>
      </c>
      <c r="G69" s="5" t="s">
        <v>7296</v>
      </c>
      <c r="H69" s="5" t="s">
        <v>3</v>
      </c>
      <c r="I69" s="5"/>
      <c r="J69" s="5"/>
      <c r="M69" s="1"/>
      <c r="N69"/>
      <c r="O69"/>
      <c r="P69"/>
      <c r="Q69"/>
      <c r="R69"/>
      <c r="S69"/>
      <c r="T69"/>
      <c r="U69"/>
      <c r="V69"/>
      <c r="W69"/>
      <c r="X69"/>
      <c r="Y69"/>
    </row>
    <row r="70" spans="1:25" s="2" customFormat="1" ht="25.5" x14ac:dyDescent="0.2">
      <c r="A70" s="5" t="s">
        <v>10320</v>
      </c>
      <c r="B70" s="5" t="s">
        <v>83</v>
      </c>
      <c r="C70" s="5"/>
      <c r="D70" s="5" t="s">
        <v>8102</v>
      </c>
      <c r="E70" s="5"/>
      <c r="F70" s="5" t="s">
        <v>8101</v>
      </c>
      <c r="G70" s="5" t="s">
        <v>7296</v>
      </c>
      <c r="H70" s="5" t="s">
        <v>3</v>
      </c>
      <c r="I70" s="5"/>
      <c r="J70" s="5" t="s">
        <v>10319</v>
      </c>
      <c r="M70" s="1"/>
      <c r="N70"/>
      <c r="O70"/>
      <c r="P70"/>
      <c r="Q70"/>
      <c r="R70"/>
      <c r="S70"/>
      <c r="T70"/>
      <c r="U70"/>
      <c r="V70"/>
      <c r="W70"/>
      <c r="X70"/>
      <c r="Y70"/>
    </row>
    <row r="71" spans="1:25" s="2" customFormat="1" ht="38.25" x14ac:dyDescent="0.2">
      <c r="A71" s="5" t="s">
        <v>10318</v>
      </c>
      <c r="B71" s="5" t="s">
        <v>83</v>
      </c>
      <c r="C71" s="5"/>
      <c r="D71" s="5" t="s">
        <v>10317</v>
      </c>
      <c r="E71" s="5" t="s">
        <v>138</v>
      </c>
      <c r="F71" s="5" t="s">
        <v>10316</v>
      </c>
      <c r="G71" s="5" t="s">
        <v>181</v>
      </c>
      <c r="H71" s="5" t="s">
        <v>3</v>
      </c>
      <c r="I71" s="5"/>
      <c r="J71" s="5" t="s">
        <v>10315</v>
      </c>
      <c r="M71" s="1"/>
      <c r="N71"/>
      <c r="O71"/>
      <c r="P71"/>
      <c r="Q71"/>
      <c r="R71"/>
      <c r="S71"/>
      <c r="T71"/>
      <c r="U71"/>
      <c r="V71"/>
      <c r="W71"/>
      <c r="X71"/>
      <c r="Y71"/>
    </row>
    <row r="72" spans="1:25" s="2" customFormat="1" ht="25.5" x14ac:dyDescent="0.2">
      <c r="A72" s="5" t="s">
        <v>6367</v>
      </c>
      <c r="B72" s="5" t="s">
        <v>83</v>
      </c>
      <c r="C72" s="5"/>
      <c r="D72" s="5" t="s">
        <v>10314</v>
      </c>
      <c r="E72" s="5"/>
      <c r="F72" s="5" t="s">
        <v>10313</v>
      </c>
      <c r="G72" s="5" t="s">
        <v>105</v>
      </c>
      <c r="H72" s="5" t="s">
        <v>137</v>
      </c>
      <c r="I72" s="5" t="s">
        <v>392</v>
      </c>
      <c r="J72" s="5" t="s">
        <v>10312</v>
      </c>
      <c r="M72" s="1"/>
      <c r="N72"/>
      <c r="O72"/>
      <c r="P72"/>
      <c r="Q72"/>
      <c r="R72"/>
      <c r="S72"/>
      <c r="T72"/>
      <c r="U72"/>
      <c r="V72"/>
      <c r="W72"/>
      <c r="X72"/>
      <c r="Y72"/>
    </row>
    <row r="73" spans="1:25" s="2" customFormat="1" x14ac:dyDescent="0.2">
      <c r="A73" s="5" t="s">
        <v>10311</v>
      </c>
      <c r="B73" s="5" t="s">
        <v>83</v>
      </c>
      <c r="C73" s="5"/>
      <c r="D73" s="5" t="s">
        <v>10310</v>
      </c>
      <c r="E73" s="5"/>
      <c r="F73" s="5" t="s">
        <v>8685</v>
      </c>
      <c r="G73" s="5" t="s">
        <v>7378</v>
      </c>
      <c r="H73" s="5" t="s">
        <v>137</v>
      </c>
      <c r="I73" s="5"/>
      <c r="J73" s="5"/>
      <c r="M73" s="1"/>
      <c r="N73"/>
      <c r="O73"/>
      <c r="P73"/>
      <c r="Q73"/>
      <c r="R73"/>
      <c r="S73"/>
      <c r="T73"/>
      <c r="U73"/>
      <c r="V73"/>
      <c r="W73"/>
      <c r="X73"/>
      <c r="Y73"/>
    </row>
    <row r="74" spans="1:25" s="2" customFormat="1" ht="25.5" x14ac:dyDescent="0.2">
      <c r="A74" s="5" t="s">
        <v>7947</v>
      </c>
      <c r="B74" s="5" t="s">
        <v>83</v>
      </c>
      <c r="C74" s="5"/>
      <c r="D74" s="5" t="s">
        <v>7946</v>
      </c>
      <c r="E74" s="5"/>
      <c r="F74" s="5" t="s">
        <v>9499</v>
      </c>
      <c r="G74" s="5" t="s">
        <v>224</v>
      </c>
      <c r="H74" s="5" t="s">
        <v>137</v>
      </c>
      <c r="I74" s="5" t="s">
        <v>55</v>
      </c>
      <c r="J74" s="5" t="s">
        <v>9443</v>
      </c>
      <c r="M74" s="1"/>
      <c r="N74"/>
      <c r="O74"/>
      <c r="P74"/>
      <c r="Q74"/>
      <c r="R74"/>
      <c r="S74"/>
      <c r="T74"/>
      <c r="U74"/>
      <c r="V74"/>
      <c r="W74"/>
      <c r="X74"/>
      <c r="Y74"/>
    </row>
    <row r="75" spans="1:25" s="2" customFormat="1" x14ac:dyDescent="0.2">
      <c r="A75" s="5" t="s">
        <v>7909</v>
      </c>
      <c r="B75" s="5" t="s">
        <v>83</v>
      </c>
      <c r="C75" s="5"/>
      <c r="D75" s="5" t="s">
        <v>10309</v>
      </c>
      <c r="E75" s="5"/>
      <c r="F75" s="5" t="s">
        <v>7577</v>
      </c>
      <c r="G75" s="5" t="s">
        <v>118</v>
      </c>
      <c r="H75" s="5" t="s">
        <v>137</v>
      </c>
      <c r="I75" s="5" t="s">
        <v>55</v>
      </c>
      <c r="J75" s="5" t="s">
        <v>7620</v>
      </c>
      <c r="M75" s="1"/>
      <c r="N75"/>
      <c r="O75"/>
      <c r="P75"/>
      <c r="Q75"/>
      <c r="R75"/>
      <c r="S75"/>
      <c r="T75"/>
      <c r="U75"/>
      <c r="V75"/>
      <c r="W75"/>
      <c r="X75"/>
      <c r="Y75"/>
    </row>
    <row r="76" spans="1:25" s="2" customFormat="1" x14ac:dyDescent="0.2">
      <c r="A76" s="5" t="s">
        <v>10308</v>
      </c>
      <c r="B76" s="5" t="s">
        <v>83</v>
      </c>
      <c r="C76" s="5"/>
      <c r="D76" s="5" t="s">
        <v>10257</v>
      </c>
      <c r="E76" s="5" t="s">
        <v>93</v>
      </c>
      <c r="F76" s="5" t="s">
        <v>7569</v>
      </c>
      <c r="G76" s="5" t="s">
        <v>195</v>
      </c>
      <c r="H76" s="5" t="s">
        <v>137</v>
      </c>
      <c r="I76" s="5" t="s">
        <v>55</v>
      </c>
      <c r="J76" s="5" t="s">
        <v>9629</v>
      </c>
      <c r="M76" s="1"/>
      <c r="N76"/>
      <c r="O76"/>
      <c r="P76"/>
      <c r="Q76"/>
      <c r="R76"/>
      <c r="S76"/>
      <c r="T76"/>
      <c r="U76"/>
      <c r="V76"/>
      <c r="W76"/>
      <c r="X76"/>
      <c r="Y76"/>
    </row>
    <row r="77" spans="1:25" s="2" customFormat="1" ht="25.5" x14ac:dyDescent="0.2">
      <c r="A77" s="5" t="s">
        <v>10307</v>
      </c>
      <c r="B77" s="5" t="s">
        <v>83</v>
      </c>
      <c r="C77" s="5"/>
      <c r="D77" s="5" t="s">
        <v>10306</v>
      </c>
      <c r="E77" s="5"/>
      <c r="F77" s="5" t="s">
        <v>10305</v>
      </c>
      <c r="G77" s="5" t="s">
        <v>393</v>
      </c>
      <c r="H77" s="5" t="s">
        <v>137</v>
      </c>
      <c r="I77" s="5" t="s">
        <v>263</v>
      </c>
      <c r="J77" s="5" t="s">
        <v>10304</v>
      </c>
      <c r="M77" s="1"/>
      <c r="N77"/>
      <c r="O77"/>
      <c r="P77"/>
      <c r="Q77"/>
      <c r="R77"/>
      <c r="S77"/>
      <c r="T77"/>
      <c r="U77"/>
      <c r="V77"/>
      <c r="W77"/>
      <c r="X77"/>
      <c r="Y77"/>
    </row>
    <row r="78" spans="1:25" s="2" customFormat="1" ht="25.5" x14ac:dyDescent="0.2">
      <c r="A78" s="5" t="s">
        <v>10303</v>
      </c>
      <c r="B78" s="5" t="s">
        <v>83</v>
      </c>
      <c r="C78" s="5"/>
      <c r="D78" s="5" t="s">
        <v>10302</v>
      </c>
      <c r="E78" s="5"/>
      <c r="F78" s="5" t="s">
        <v>10299</v>
      </c>
      <c r="G78" s="5" t="s">
        <v>118</v>
      </c>
      <c r="H78" s="5" t="s">
        <v>137</v>
      </c>
      <c r="I78" s="5" t="s">
        <v>263</v>
      </c>
      <c r="J78" s="5" t="s">
        <v>10299</v>
      </c>
      <c r="M78" s="1"/>
      <c r="N78"/>
      <c r="O78"/>
      <c r="P78"/>
      <c r="Q78"/>
      <c r="R78"/>
      <c r="S78"/>
      <c r="T78"/>
      <c r="U78"/>
      <c r="V78"/>
      <c r="W78"/>
      <c r="X78"/>
      <c r="Y78"/>
    </row>
    <row r="79" spans="1:25" s="2" customFormat="1" ht="25.5" x14ac:dyDescent="0.2">
      <c r="A79" s="5" t="s">
        <v>10301</v>
      </c>
      <c r="B79" s="5" t="s">
        <v>83</v>
      </c>
      <c r="C79" s="5"/>
      <c r="D79" s="5" t="s">
        <v>10300</v>
      </c>
      <c r="E79" s="5"/>
      <c r="F79" s="5" t="s">
        <v>10299</v>
      </c>
      <c r="G79" s="5" t="s">
        <v>3059</v>
      </c>
      <c r="H79" s="5" t="s">
        <v>137</v>
      </c>
      <c r="I79" s="5" t="s">
        <v>263</v>
      </c>
      <c r="J79" s="5" t="s">
        <v>10298</v>
      </c>
      <c r="M79" s="1"/>
      <c r="N79"/>
      <c r="O79"/>
      <c r="P79"/>
      <c r="Q79"/>
      <c r="R79"/>
      <c r="S79"/>
      <c r="T79"/>
      <c r="U79"/>
      <c r="V79"/>
      <c r="W79"/>
      <c r="X79"/>
      <c r="Y79"/>
    </row>
    <row r="80" spans="1:25" s="2" customFormat="1" ht="25.5" x14ac:dyDescent="0.2">
      <c r="A80" s="5" t="s">
        <v>10297</v>
      </c>
      <c r="B80" s="5" t="s">
        <v>83</v>
      </c>
      <c r="C80" s="5"/>
      <c r="D80" s="5" t="s">
        <v>10296</v>
      </c>
      <c r="E80" s="5"/>
      <c r="F80" s="5" t="s">
        <v>10295</v>
      </c>
      <c r="G80" s="5" t="s">
        <v>3059</v>
      </c>
      <c r="H80" s="5" t="s">
        <v>137</v>
      </c>
      <c r="I80" s="5" t="s">
        <v>263</v>
      </c>
      <c r="J80" s="5" t="s">
        <v>10294</v>
      </c>
      <c r="M80" s="1"/>
      <c r="N80"/>
      <c r="O80"/>
      <c r="P80"/>
      <c r="Q80"/>
      <c r="R80"/>
      <c r="S80"/>
      <c r="T80"/>
      <c r="U80"/>
      <c r="V80"/>
      <c r="W80"/>
      <c r="X80"/>
      <c r="Y80"/>
    </row>
    <row r="81" spans="1:25" s="2" customFormat="1" ht="25.5" x14ac:dyDescent="0.2">
      <c r="A81" s="5" t="s">
        <v>10293</v>
      </c>
      <c r="B81" s="5" t="s">
        <v>83</v>
      </c>
      <c r="C81" s="5"/>
      <c r="D81" s="5" t="s">
        <v>10292</v>
      </c>
      <c r="E81" s="5"/>
      <c r="F81" s="5" t="s">
        <v>10289</v>
      </c>
      <c r="G81" s="5" t="s">
        <v>118</v>
      </c>
      <c r="H81" s="5" t="s">
        <v>137</v>
      </c>
      <c r="I81" s="5" t="s">
        <v>263</v>
      </c>
      <c r="J81" s="5" t="s">
        <v>10289</v>
      </c>
      <c r="M81" s="1"/>
      <c r="N81"/>
      <c r="O81"/>
      <c r="P81"/>
      <c r="Q81"/>
      <c r="R81"/>
      <c r="S81"/>
      <c r="T81"/>
      <c r="U81"/>
      <c r="V81"/>
      <c r="W81"/>
      <c r="X81"/>
      <c r="Y81"/>
    </row>
    <row r="82" spans="1:25" s="2" customFormat="1" ht="25.5" x14ac:dyDescent="0.2">
      <c r="A82" s="5" t="s">
        <v>10291</v>
      </c>
      <c r="B82" s="5" t="s">
        <v>83</v>
      </c>
      <c r="C82" s="5"/>
      <c r="D82" s="5" t="s">
        <v>10290</v>
      </c>
      <c r="E82" s="5"/>
      <c r="F82" s="5" t="s">
        <v>10289</v>
      </c>
      <c r="G82" s="5" t="s">
        <v>3059</v>
      </c>
      <c r="H82" s="5" t="s">
        <v>137</v>
      </c>
      <c r="I82" s="5" t="s">
        <v>263</v>
      </c>
      <c r="J82" s="5" t="s">
        <v>10288</v>
      </c>
      <c r="M82" s="1"/>
      <c r="N82"/>
      <c r="O82"/>
      <c r="P82"/>
      <c r="Q82"/>
      <c r="R82"/>
      <c r="S82"/>
      <c r="T82"/>
      <c r="U82"/>
      <c r="V82"/>
      <c r="W82"/>
      <c r="X82"/>
      <c r="Y82"/>
    </row>
    <row r="83" spans="1:25" s="2" customFormat="1" ht="25.5" x14ac:dyDescent="0.2">
      <c r="A83" s="5" t="s">
        <v>10287</v>
      </c>
      <c r="B83" s="5" t="s">
        <v>83</v>
      </c>
      <c r="C83" s="5"/>
      <c r="D83" s="5" t="s">
        <v>10286</v>
      </c>
      <c r="E83" s="5"/>
      <c r="F83" s="5" t="s">
        <v>10283</v>
      </c>
      <c r="G83" s="5" t="s">
        <v>118</v>
      </c>
      <c r="H83" s="5" t="s">
        <v>137</v>
      </c>
      <c r="I83" s="5" t="s">
        <v>263</v>
      </c>
      <c r="J83" s="5" t="s">
        <v>10283</v>
      </c>
      <c r="M83" s="1"/>
      <c r="N83"/>
      <c r="O83"/>
      <c r="P83"/>
      <c r="Q83"/>
      <c r="R83"/>
      <c r="S83"/>
      <c r="T83"/>
      <c r="U83"/>
      <c r="V83"/>
      <c r="W83"/>
      <c r="X83"/>
      <c r="Y83"/>
    </row>
    <row r="84" spans="1:25" s="2" customFormat="1" ht="25.5" x14ac:dyDescent="0.2">
      <c r="A84" s="5" t="s">
        <v>10285</v>
      </c>
      <c r="B84" s="5" t="s">
        <v>83</v>
      </c>
      <c r="C84" s="5"/>
      <c r="D84" s="5" t="s">
        <v>10284</v>
      </c>
      <c r="E84" s="5"/>
      <c r="F84" s="5" t="s">
        <v>10283</v>
      </c>
      <c r="G84" s="5" t="s">
        <v>3059</v>
      </c>
      <c r="H84" s="5" t="s">
        <v>137</v>
      </c>
      <c r="I84" s="5" t="s">
        <v>263</v>
      </c>
      <c r="J84" s="5" t="s">
        <v>10282</v>
      </c>
      <c r="M84" s="1"/>
      <c r="N84"/>
      <c r="O84"/>
      <c r="P84"/>
      <c r="Q84"/>
      <c r="R84"/>
      <c r="S84"/>
      <c r="T84"/>
      <c r="U84"/>
      <c r="V84"/>
      <c r="W84"/>
      <c r="X84"/>
      <c r="Y84"/>
    </row>
    <row r="85" spans="1:25" s="2" customFormat="1" ht="25.5" x14ac:dyDescent="0.2">
      <c r="A85" s="5" t="s">
        <v>10281</v>
      </c>
      <c r="B85" s="5" t="s">
        <v>83</v>
      </c>
      <c r="C85" s="5"/>
      <c r="D85" s="5" t="s">
        <v>10280</v>
      </c>
      <c r="E85" s="5"/>
      <c r="F85" s="5" t="s">
        <v>10279</v>
      </c>
      <c r="G85" s="5" t="s">
        <v>118</v>
      </c>
      <c r="H85" s="5" t="s">
        <v>137</v>
      </c>
      <c r="I85" s="5" t="s">
        <v>263</v>
      </c>
      <c r="J85" s="5" t="s">
        <v>10276</v>
      </c>
      <c r="M85" s="1"/>
      <c r="N85"/>
      <c r="O85"/>
      <c r="P85"/>
      <c r="Q85"/>
      <c r="R85"/>
      <c r="S85"/>
      <c r="T85"/>
      <c r="U85"/>
      <c r="V85"/>
      <c r="W85"/>
      <c r="X85"/>
      <c r="Y85"/>
    </row>
    <row r="86" spans="1:25" s="2" customFormat="1" ht="25.5" x14ac:dyDescent="0.2">
      <c r="A86" s="5" t="s">
        <v>10278</v>
      </c>
      <c r="B86" s="5" t="s">
        <v>83</v>
      </c>
      <c r="C86" s="5"/>
      <c r="D86" s="5" t="s">
        <v>10277</v>
      </c>
      <c r="E86" s="5"/>
      <c r="F86" s="5" t="s">
        <v>10276</v>
      </c>
      <c r="G86" s="5" t="s">
        <v>3059</v>
      </c>
      <c r="H86" s="5" t="s">
        <v>137</v>
      </c>
      <c r="I86" s="5" t="s">
        <v>263</v>
      </c>
      <c r="J86" s="5" t="s">
        <v>10275</v>
      </c>
      <c r="M86" s="1"/>
      <c r="N86"/>
      <c r="O86"/>
      <c r="P86"/>
      <c r="Q86"/>
      <c r="R86"/>
      <c r="S86"/>
      <c r="T86"/>
      <c r="U86"/>
      <c r="V86"/>
      <c r="W86"/>
      <c r="X86"/>
      <c r="Y86"/>
    </row>
    <row r="87" spans="1:25" s="2" customFormat="1" ht="25.5" x14ac:dyDescent="0.2">
      <c r="A87" s="5" t="s">
        <v>10274</v>
      </c>
      <c r="B87" s="5" t="s">
        <v>83</v>
      </c>
      <c r="C87" s="5"/>
      <c r="D87" s="5" t="s">
        <v>10273</v>
      </c>
      <c r="E87" s="5"/>
      <c r="F87" s="5" t="s">
        <v>10270</v>
      </c>
      <c r="G87" s="5" t="s">
        <v>118</v>
      </c>
      <c r="H87" s="5" t="s">
        <v>137</v>
      </c>
      <c r="I87" s="5" t="s">
        <v>263</v>
      </c>
      <c r="J87" s="5" t="s">
        <v>10270</v>
      </c>
      <c r="M87" s="1"/>
      <c r="N87"/>
      <c r="O87"/>
      <c r="P87"/>
      <c r="Q87"/>
      <c r="R87"/>
      <c r="S87"/>
      <c r="T87"/>
      <c r="U87"/>
      <c r="V87"/>
      <c r="W87"/>
      <c r="X87"/>
      <c r="Y87"/>
    </row>
    <row r="88" spans="1:25" s="2" customFormat="1" ht="25.5" x14ac:dyDescent="0.2">
      <c r="A88" s="5" t="s">
        <v>10272</v>
      </c>
      <c r="B88" s="5" t="s">
        <v>83</v>
      </c>
      <c r="C88" s="5"/>
      <c r="D88" s="5" t="s">
        <v>10271</v>
      </c>
      <c r="E88" s="5"/>
      <c r="F88" s="5" t="s">
        <v>10270</v>
      </c>
      <c r="G88" s="5" t="s">
        <v>3059</v>
      </c>
      <c r="H88" s="5" t="s">
        <v>137</v>
      </c>
      <c r="I88" s="5" t="s">
        <v>263</v>
      </c>
      <c r="J88" s="5" t="s">
        <v>10269</v>
      </c>
      <c r="M88" s="1"/>
      <c r="N88"/>
      <c r="O88"/>
      <c r="P88"/>
      <c r="Q88"/>
      <c r="R88"/>
      <c r="S88"/>
      <c r="T88"/>
      <c r="U88"/>
      <c r="V88"/>
      <c r="W88"/>
      <c r="X88"/>
      <c r="Y88"/>
    </row>
    <row r="89" spans="1:25" s="2" customFormat="1" x14ac:dyDescent="0.2">
      <c r="A89" s="5" t="s">
        <v>9481</v>
      </c>
      <c r="B89" s="5" t="s">
        <v>83</v>
      </c>
      <c r="C89" s="5"/>
      <c r="D89" s="5" t="s">
        <v>9480</v>
      </c>
      <c r="E89" s="5"/>
      <c r="F89" s="5" t="s">
        <v>9472</v>
      </c>
      <c r="G89" s="5" t="s">
        <v>105</v>
      </c>
      <c r="H89" s="5" t="s">
        <v>3</v>
      </c>
      <c r="I89" s="5"/>
      <c r="J89" s="5"/>
      <c r="M89" s="1"/>
      <c r="N89"/>
      <c r="O89"/>
      <c r="P89"/>
      <c r="Q89"/>
      <c r="R89"/>
      <c r="S89"/>
      <c r="T89"/>
      <c r="U89"/>
      <c r="V89"/>
      <c r="W89"/>
      <c r="X89"/>
      <c r="Y89"/>
    </row>
    <row r="90" spans="1:25" s="2" customFormat="1" x14ac:dyDescent="0.2">
      <c r="A90" s="5" t="s">
        <v>7894</v>
      </c>
      <c r="B90" s="5" t="s">
        <v>83</v>
      </c>
      <c r="C90" s="5"/>
      <c r="D90" s="5" t="s">
        <v>10268</v>
      </c>
      <c r="E90" s="5"/>
      <c r="F90" s="5" t="s">
        <v>9472</v>
      </c>
      <c r="G90" s="5" t="s">
        <v>80</v>
      </c>
      <c r="H90" s="5" t="s">
        <v>3</v>
      </c>
      <c r="I90" s="5"/>
      <c r="J90" s="5" t="s">
        <v>9634</v>
      </c>
      <c r="M90" s="1"/>
      <c r="N90"/>
      <c r="O90"/>
      <c r="P90"/>
      <c r="Q90"/>
      <c r="R90"/>
      <c r="S90"/>
      <c r="T90"/>
      <c r="U90"/>
      <c r="V90"/>
      <c r="W90"/>
      <c r="X90"/>
      <c r="Y90"/>
    </row>
    <row r="91" spans="1:25" s="2" customFormat="1" ht="38.25" x14ac:dyDescent="0.2">
      <c r="A91" s="5" t="s">
        <v>10267</v>
      </c>
      <c r="B91" s="5" t="s">
        <v>83</v>
      </c>
      <c r="C91" s="5"/>
      <c r="D91" s="5" t="s">
        <v>10264</v>
      </c>
      <c r="E91" s="5"/>
      <c r="F91" s="5" t="s">
        <v>8183</v>
      </c>
      <c r="G91" s="5" t="s">
        <v>8278</v>
      </c>
      <c r="H91" s="5" t="s">
        <v>137</v>
      </c>
      <c r="I91" s="5" t="s">
        <v>10266</v>
      </c>
      <c r="J91" s="5" t="s">
        <v>10263</v>
      </c>
      <c r="M91" s="1"/>
      <c r="N91"/>
      <c r="O91"/>
      <c r="P91"/>
      <c r="Q91"/>
      <c r="R91"/>
      <c r="S91"/>
      <c r="T91"/>
      <c r="U91"/>
      <c r="V91"/>
      <c r="W91"/>
      <c r="X91"/>
      <c r="Y91"/>
    </row>
    <row r="92" spans="1:25" s="2" customFormat="1" ht="38.25" x14ac:dyDescent="0.2">
      <c r="A92" s="5" t="s">
        <v>10265</v>
      </c>
      <c r="B92" s="5" t="s">
        <v>83</v>
      </c>
      <c r="C92" s="5"/>
      <c r="D92" s="5" t="s">
        <v>10264</v>
      </c>
      <c r="E92" s="5"/>
      <c r="F92" s="5" t="s">
        <v>8152</v>
      </c>
      <c r="G92" s="5" t="s">
        <v>8278</v>
      </c>
      <c r="H92" s="5" t="s">
        <v>137</v>
      </c>
      <c r="I92" s="5"/>
      <c r="J92" s="5" t="s">
        <v>10263</v>
      </c>
      <c r="M92" s="1"/>
      <c r="N92"/>
      <c r="O92"/>
      <c r="P92"/>
      <c r="Q92"/>
      <c r="R92"/>
      <c r="S92"/>
      <c r="T92"/>
      <c r="U92"/>
      <c r="V92"/>
      <c r="W92"/>
      <c r="X92"/>
      <c r="Y92"/>
    </row>
    <row r="93" spans="1:25" s="2" customFormat="1" x14ac:dyDescent="0.2">
      <c r="A93" s="5" t="s">
        <v>7843</v>
      </c>
      <c r="B93" s="5" t="s">
        <v>83</v>
      </c>
      <c r="C93" s="5"/>
      <c r="D93" s="5" t="s">
        <v>7842</v>
      </c>
      <c r="E93" s="5"/>
      <c r="F93" s="5" t="s">
        <v>7841</v>
      </c>
      <c r="G93" s="5" t="s">
        <v>105</v>
      </c>
      <c r="H93" s="5" t="s">
        <v>3</v>
      </c>
      <c r="I93" s="5"/>
      <c r="J93" s="5" t="s">
        <v>7840</v>
      </c>
      <c r="M93" s="1"/>
      <c r="N93"/>
      <c r="O93"/>
      <c r="P93"/>
      <c r="Q93"/>
      <c r="R93"/>
      <c r="S93"/>
      <c r="T93"/>
      <c r="U93"/>
      <c r="V93"/>
      <c r="W93"/>
      <c r="X93"/>
      <c r="Y93"/>
    </row>
    <row r="94" spans="1:25" s="2" customFormat="1" ht="25.5" x14ac:dyDescent="0.2">
      <c r="A94" s="5" t="s">
        <v>7389</v>
      </c>
      <c r="B94" s="5" t="s">
        <v>83</v>
      </c>
      <c r="C94" s="5"/>
      <c r="D94" s="5" t="s">
        <v>10252</v>
      </c>
      <c r="E94" s="5"/>
      <c r="F94" s="5" t="s">
        <v>10251</v>
      </c>
      <c r="G94" s="5" t="s">
        <v>229</v>
      </c>
      <c r="H94" s="5" t="s">
        <v>137</v>
      </c>
      <c r="I94" s="5" t="s">
        <v>392</v>
      </c>
      <c r="J94" s="5" t="s">
        <v>10250</v>
      </c>
      <c r="M94" s="1"/>
      <c r="N94"/>
      <c r="O94"/>
      <c r="P94"/>
      <c r="Q94"/>
      <c r="R94"/>
      <c r="S94"/>
      <c r="T94"/>
      <c r="U94"/>
      <c r="V94"/>
      <c r="W94"/>
      <c r="X94"/>
      <c r="Y94"/>
    </row>
    <row r="95" spans="1:25" s="2" customFormat="1" x14ac:dyDescent="0.2">
      <c r="A95" s="5" t="s">
        <v>10262</v>
      </c>
      <c r="B95" s="5" t="s">
        <v>83</v>
      </c>
      <c r="C95" s="5"/>
      <c r="D95" s="5" t="s">
        <v>9768</v>
      </c>
      <c r="E95" s="5"/>
      <c r="F95" s="5" t="s">
        <v>10261</v>
      </c>
      <c r="G95" s="5" t="s">
        <v>229</v>
      </c>
      <c r="H95" s="5" t="s">
        <v>137</v>
      </c>
      <c r="I95" s="5" t="s">
        <v>408</v>
      </c>
      <c r="J95" s="5" t="s">
        <v>9766</v>
      </c>
      <c r="M95" s="1"/>
      <c r="N95"/>
      <c r="O95"/>
      <c r="P95"/>
      <c r="Q95"/>
      <c r="R95"/>
      <c r="S95"/>
      <c r="T95"/>
      <c r="U95"/>
      <c r="V95"/>
      <c r="W95"/>
      <c r="X95"/>
      <c r="Y95"/>
    </row>
    <row r="96" spans="1:25" s="2" customFormat="1" ht="25.5" x14ac:dyDescent="0.2">
      <c r="A96" s="5" t="s">
        <v>10260</v>
      </c>
      <c r="B96" s="5" t="s">
        <v>83</v>
      </c>
      <c r="C96" s="5"/>
      <c r="D96" s="5" t="s">
        <v>10259</v>
      </c>
      <c r="E96" s="5"/>
      <c r="F96" s="5" t="s">
        <v>10258</v>
      </c>
      <c r="G96" s="5" t="s">
        <v>328</v>
      </c>
      <c r="H96" s="5" t="s">
        <v>137</v>
      </c>
      <c r="I96" s="5" t="s">
        <v>263</v>
      </c>
      <c r="J96" s="5"/>
      <c r="M96" s="1"/>
      <c r="N96"/>
      <c r="O96"/>
      <c r="P96"/>
      <c r="Q96"/>
      <c r="R96"/>
      <c r="S96"/>
      <c r="T96"/>
      <c r="U96"/>
      <c r="V96"/>
      <c r="W96"/>
      <c r="X96"/>
      <c r="Y96"/>
    </row>
    <row r="97" spans="1:25" s="2" customFormat="1" x14ac:dyDescent="0.2">
      <c r="A97" s="5" t="s">
        <v>7634</v>
      </c>
      <c r="B97" s="5" t="s">
        <v>83</v>
      </c>
      <c r="C97" s="5"/>
      <c r="D97" s="5" t="s">
        <v>7633</v>
      </c>
      <c r="E97" s="5"/>
      <c r="F97" s="5"/>
      <c r="G97" s="5" t="s">
        <v>86</v>
      </c>
      <c r="H97" s="5" t="s">
        <v>3</v>
      </c>
      <c r="I97" s="5"/>
      <c r="J97" s="5"/>
      <c r="M97" s="1"/>
      <c r="N97"/>
      <c r="O97"/>
      <c r="P97"/>
      <c r="Q97"/>
      <c r="R97"/>
      <c r="S97"/>
      <c r="T97"/>
      <c r="U97"/>
      <c r="V97"/>
      <c r="W97"/>
      <c r="X97"/>
      <c r="Y97"/>
    </row>
    <row r="98" spans="1:25" s="2" customFormat="1" x14ac:dyDescent="0.2">
      <c r="A98" s="5" t="s">
        <v>7630</v>
      </c>
      <c r="B98" s="5" t="s">
        <v>83</v>
      </c>
      <c r="C98" s="5"/>
      <c r="D98" s="5" t="s">
        <v>10257</v>
      </c>
      <c r="E98" s="5" t="s">
        <v>93</v>
      </c>
      <c r="F98" s="5" t="s">
        <v>7569</v>
      </c>
      <c r="G98" s="5" t="s">
        <v>195</v>
      </c>
      <c r="H98" s="5" t="s">
        <v>137</v>
      </c>
      <c r="I98" s="5" t="s">
        <v>55</v>
      </c>
      <c r="J98" s="5" t="s">
        <v>9629</v>
      </c>
      <c r="M98" s="1"/>
      <c r="N98"/>
      <c r="O98"/>
      <c r="P98"/>
      <c r="Q98"/>
      <c r="R98"/>
      <c r="S98"/>
      <c r="T98"/>
      <c r="U98"/>
      <c r="V98"/>
      <c r="W98"/>
      <c r="X98"/>
      <c r="Y98"/>
    </row>
    <row r="99" spans="1:25" s="2" customFormat="1" ht="25.5" x14ac:dyDescent="0.2">
      <c r="A99" s="5" t="s">
        <v>10256</v>
      </c>
      <c r="B99" s="5" t="s">
        <v>83</v>
      </c>
      <c r="C99" s="5"/>
      <c r="D99" s="5" t="s">
        <v>10255</v>
      </c>
      <c r="E99" s="5"/>
      <c r="F99" s="5" t="s">
        <v>8844</v>
      </c>
      <c r="G99" s="5" t="s">
        <v>393</v>
      </c>
      <c r="H99" s="5" t="s">
        <v>137</v>
      </c>
      <c r="I99" s="5" t="s">
        <v>392</v>
      </c>
      <c r="J99" s="5" t="s">
        <v>10254</v>
      </c>
      <c r="M99" s="1"/>
      <c r="N99"/>
      <c r="O99"/>
      <c r="P99"/>
      <c r="Q99"/>
      <c r="R99"/>
      <c r="S99"/>
      <c r="T99"/>
      <c r="U99"/>
      <c r="V99"/>
      <c r="W99"/>
      <c r="X99"/>
      <c r="Y99"/>
    </row>
    <row r="100" spans="1:25" s="2" customFormat="1" ht="25.5" x14ac:dyDescent="0.2">
      <c r="A100" s="5" t="s">
        <v>10253</v>
      </c>
      <c r="B100" s="5" t="s">
        <v>83</v>
      </c>
      <c r="C100" s="5"/>
      <c r="D100" s="5" t="s">
        <v>10252</v>
      </c>
      <c r="E100" s="5"/>
      <c r="F100" s="5" t="s">
        <v>10251</v>
      </c>
      <c r="G100" s="5" t="s">
        <v>229</v>
      </c>
      <c r="H100" s="5" t="s">
        <v>137</v>
      </c>
      <c r="I100" s="5" t="s">
        <v>392</v>
      </c>
      <c r="J100" s="5" t="s">
        <v>10250</v>
      </c>
      <c r="M100" s="1"/>
      <c r="N100"/>
      <c r="O100"/>
      <c r="P100"/>
      <c r="Q100"/>
      <c r="R100"/>
      <c r="S100"/>
      <c r="T100"/>
      <c r="U100"/>
      <c r="V100"/>
      <c r="W100"/>
      <c r="X100"/>
      <c r="Y100"/>
    </row>
    <row r="101" spans="1:25" s="2" customFormat="1" x14ac:dyDescent="0.2">
      <c r="A101" s="5" t="s">
        <v>10249</v>
      </c>
      <c r="B101" s="5" t="s">
        <v>83</v>
      </c>
      <c r="C101" s="5"/>
      <c r="D101" s="5" t="s">
        <v>10248</v>
      </c>
      <c r="E101" s="5" t="s">
        <v>150</v>
      </c>
      <c r="F101" s="5"/>
      <c r="G101" s="5" t="s">
        <v>148</v>
      </c>
      <c r="H101" s="5" t="s">
        <v>137</v>
      </c>
      <c r="I101" s="5" t="s">
        <v>10241</v>
      </c>
      <c r="J101" s="5" t="s">
        <v>10247</v>
      </c>
      <c r="M101" s="1"/>
      <c r="N101"/>
      <c r="O101"/>
      <c r="P101"/>
      <c r="Q101"/>
      <c r="R101"/>
      <c r="S101"/>
      <c r="T101"/>
      <c r="U101"/>
      <c r="V101"/>
      <c r="W101"/>
      <c r="X101"/>
      <c r="Y101"/>
    </row>
    <row r="102" spans="1:25" s="2" customFormat="1" x14ac:dyDescent="0.2">
      <c r="A102" s="5" t="s">
        <v>10246</v>
      </c>
      <c r="B102" s="5" t="s">
        <v>83</v>
      </c>
      <c r="C102" s="5"/>
      <c r="D102" s="5" t="s">
        <v>10245</v>
      </c>
      <c r="E102" s="5"/>
      <c r="F102" s="5"/>
      <c r="G102" s="5" t="s">
        <v>6584</v>
      </c>
      <c r="H102" s="5" t="s">
        <v>137</v>
      </c>
      <c r="I102" s="5"/>
      <c r="J102" s="5" t="s">
        <v>10244</v>
      </c>
      <c r="M102" s="1"/>
      <c r="N102"/>
      <c r="O102"/>
      <c r="P102"/>
      <c r="Q102"/>
      <c r="R102"/>
      <c r="S102"/>
      <c r="T102"/>
      <c r="U102"/>
      <c r="V102"/>
      <c r="W102"/>
      <c r="X102"/>
      <c r="Y102"/>
    </row>
    <row r="103" spans="1:25" s="2" customFormat="1" x14ac:dyDescent="0.2">
      <c r="A103" s="5" t="s">
        <v>10243</v>
      </c>
      <c r="B103" s="5" t="s">
        <v>83</v>
      </c>
      <c r="C103" s="5"/>
      <c r="D103" s="5" t="s">
        <v>10242</v>
      </c>
      <c r="E103" s="5" t="s">
        <v>5520</v>
      </c>
      <c r="F103" s="5"/>
      <c r="G103" s="5" t="s">
        <v>207</v>
      </c>
      <c r="H103" s="5" t="s">
        <v>137</v>
      </c>
      <c r="I103" s="5" t="s">
        <v>10241</v>
      </c>
      <c r="J103" s="5" t="s">
        <v>10240</v>
      </c>
      <c r="M103" s="1"/>
      <c r="N103"/>
      <c r="O103"/>
      <c r="P103"/>
      <c r="Q103"/>
      <c r="R103"/>
      <c r="S103"/>
      <c r="T103"/>
      <c r="U103"/>
      <c r="V103"/>
      <c r="W103"/>
      <c r="X103"/>
      <c r="Y103"/>
    </row>
    <row r="104" spans="1:25" s="2" customFormat="1" ht="25.5" x14ac:dyDescent="0.2">
      <c r="A104" s="5" t="s">
        <v>10239</v>
      </c>
      <c r="B104" s="5" t="s">
        <v>83</v>
      </c>
      <c r="C104" s="5"/>
      <c r="D104" s="5" t="s">
        <v>9725</v>
      </c>
      <c r="E104" s="5"/>
      <c r="F104" s="5" t="s">
        <v>7823</v>
      </c>
      <c r="G104" s="5" t="s">
        <v>122</v>
      </c>
      <c r="H104" s="5" t="s">
        <v>137</v>
      </c>
      <c r="I104" s="5" t="s">
        <v>10232</v>
      </c>
      <c r="J104" s="5" t="s">
        <v>10238</v>
      </c>
      <c r="M104" s="1"/>
      <c r="N104"/>
      <c r="O104"/>
      <c r="P104"/>
      <c r="Q104"/>
      <c r="R104"/>
      <c r="S104"/>
      <c r="T104"/>
      <c r="U104"/>
      <c r="V104"/>
      <c r="W104"/>
      <c r="X104"/>
      <c r="Y104"/>
    </row>
    <row r="105" spans="1:25" s="2" customFormat="1" ht="25.5" x14ac:dyDescent="0.2">
      <c r="A105" s="5" t="s">
        <v>10237</v>
      </c>
      <c r="B105" s="5" t="s">
        <v>83</v>
      </c>
      <c r="C105" s="5"/>
      <c r="D105" s="5" t="s">
        <v>9724</v>
      </c>
      <c r="E105" s="5"/>
      <c r="F105" s="5" t="s">
        <v>8834</v>
      </c>
      <c r="G105" s="5" t="s">
        <v>122</v>
      </c>
      <c r="H105" s="5" t="s">
        <v>137</v>
      </c>
      <c r="I105" s="5" t="s">
        <v>10232</v>
      </c>
      <c r="J105" s="5" t="s">
        <v>9723</v>
      </c>
      <c r="M105" s="1"/>
      <c r="N105"/>
      <c r="O105"/>
      <c r="P105"/>
      <c r="Q105"/>
      <c r="R105"/>
      <c r="S105"/>
      <c r="T105"/>
      <c r="U105"/>
      <c r="V105"/>
      <c r="W105"/>
      <c r="X105"/>
      <c r="Y105"/>
    </row>
    <row r="106" spans="1:25" s="2" customFormat="1" ht="25.5" x14ac:dyDescent="0.2">
      <c r="A106" s="5" t="s">
        <v>10236</v>
      </c>
      <c r="B106" s="5" t="s">
        <v>83</v>
      </c>
      <c r="C106" s="5"/>
      <c r="D106" s="5" t="s">
        <v>10235</v>
      </c>
      <c r="E106" s="5"/>
      <c r="F106" s="5" t="s">
        <v>8101</v>
      </c>
      <c r="G106" s="5" t="s">
        <v>224</v>
      </c>
      <c r="H106" s="5" t="s">
        <v>137</v>
      </c>
      <c r="I106" s="5" t="s">
        <v>10232</v>
      </c>
      <c r="J106" s="5" t="s">
        <v>8314</v>
      </c>
      <c r="M106" s="1"/>
      <c r="N106"/>
      <c r="O106"/>
      <c r="P106"/>
      <c r="Q106"/>
      <c r="R106"/>
      <c r="S106"/>
      <c r="T106"/>
      <c r="U106"/>
      <c r="V106"/>
      <c r="W106"/>
      <c r="X106"/>
      <c r="Y106"/>
    </row>
    <row r="107" spans="1:25" s="2" customFormat="1" ht="25.5" x14ac:dyDescent="0.2">
      <c r="A107" s="5" t="s">
        <v>10234</v>
      </c>
      <c r="B107" s="5" t="s">
        <v>83</v>
      </c>
      <c r="C107" s="5"/>
      <c r="D107" s="5" t="s">
        <v>9719</v>
      </c>
      <c r="E107" s="5" t="s">
        <v>368</v>
      </c>
      <c r="F107" s="5" t="s">
        <v>4009</v>
      </c>
      <c r="G107" s="5" t="s">
        <v>148</v>
      </c>
      <c r="H107" s="5" t="s">
        <v>137</v>
      </c>
      <c r="I107" s="5" t="s">
        <v>10232</v>
      </c>
      <c r="J107" s="5"/>
      <c r="M107" s="1"/>
      <c r="N107"/>
      <c r="O107"/>
      <c r="P107"/>
      <c r="Q107"/>
      <c r="R107"/>
      <c r="S107"/>
      <c r="T107"/>
      <c r="U107"/>
      <c r="V107"/>
      <c r="W107"/>
      <c r="X107"/>
      <c r="Y107"/>
    </row>
    <row r="108" spans="1:25" s="2" customFormat="1" ht="25.5" x14ac:dyDescent="0.2">
      <c r="A108" s="5" t="s">
        <v>10233</v>
      </c>
      <c r="B108" s="5" t="s">
        <v>83</v>
      </c>
      <c r="C108" s="5"/>
      <c r="D108" s="5" t="s">
        <v>9720</v>
      </c>
      <c r="E108" s="5" t="s">
        <v>138</v>
      </c>
      <c r="F108" s="5" t="s">
        <v>331</v>
      </c>
      <c r="G108" s="5" t="s">
        <v>181</v>
      </c>
      <c r="H108" s="5" t="s">
        <v>137</v>
      </c>
      <c r="I108" s="5" t="s">
        <v>10232</v>
      </c>
      <c r="J108" s="5" t="s">
        <v>90</v>
      </c>
      <c r="M108" s="1"/>
      <c r="N108"/>
      <c r="O108"/>
      <c r="P108"/>
      <c r="Q108"/>
      <c r="R108"/>
      <c r="S108"/>
      <c r="T108"/>
      <c r="U108"/>
      <c r="V108"/>
      <c r="W108"/>
      <c r="X108"/>
      <c r="Y108"/>
    </row>
    <row r="109" spans="1:25" s="2" customFormat="1" x14ac:dyDescent="0.2">
      <c r="A109" s="5" t="s">
        <v>10231</v>
      </c>
      <c r="B109" s="5" t="s">
        <v>83</v>
      </c>
      <c r="C109" s="5"/>
      <c r="D109" s="5" t="s">
        <v>698</v>
      </c>
      <c r="E109" s="5" t="s">
        <v>368</v>
      </c>
      <c r="F109" s="5" t="s">
        <v>10230</v>
      </c>
      <c r="G109" s="5" t="s">
        <v>181</v>
      </c>
      <c r="H109" s="5" t="s">
        <v>3</v>
      </c>
      <c r="I109" s="5"/>
      <c r="J109" s="5"/>
      <c r="M109" s="1"/>
      <c r="N109"/>
      <c r="O109"/>
      <c r="P109"/>
      <c r="Q109"/>
      <c r="R109"/>
      <c r="S109"/>
      <c r="T109"/>
      <c r="U109"/>
      <c r="V109"/>
      <c r="W109"/>
      <c r="X109"/>
      <c r="Y109"/>
    </row>
    <row r="110" spans="1:25" s="2" customFormat="1" ht="25.5" x14ac:dyDescent="0.2">
      <c r="A110" s="5" t="s">
        <v>10229</v>
      </c>
      <c r="B110" s="5" t="s">
        <v>83</v>
      </c>
      <c r="C110" s="5"/>
      <c r="D110" s="5" t="s">
        <v>10228</v>
      </c>
      <c r="E110" s="5"/>
      <c r="F110" s="5" t="s">
        <v>10227</v>
      </c>
      <c r="G110" s="5" t="s">
        <v>105</v>
      </c>
      <c r="H110" s="5" t="s">
        <v>137</v>
      </c>
      <c r="I110" s="5" t="s">
        <v>263</v>
      </c>
      <c r="J110" s="5" t="s">
        <v>10226</v>
      </c>
      <c r="M110" s="1"/>
      <c r="N110"/>
      <c r="O110"/>
      <c r="P110"/>
      <c r="Q110"/>
      <c r="R110"/>
      <c r="S110"/>
      <c r="T110"/>
      <c r="U110"/>
      <c r="V110"/>
      <c r="W110"/>
      <c r="X110"/>
      <c r="Y110"/>
    </row>
    <row r="111" spans="1:25" s="2" customFormat="1" ht="25.5" x14ac:dyDescent="0.2">
      <c r="A111" s="5" t="s">
        <v>7340</v>
      </c>
      <c r="B111" s="5" t="s">
        <v>83</v>
      </c>
      <c r="C111" s="5"/>
      <c r="D111" s="5" t="s">
        <v>10225</v>
      </c>
      <c r="E111" s="5"/>
      <c r="F111" s="5"/>
      <c r="G111" s="5" t="s">
        <v>118</v>
      </c>
      <c r="H111" s="5" t="s">
        <v>137</v>
      </c>
      <c r="I111" s="5" t="s">
        <v>263</v>
      </c>
      <c r="J111" s="5" t="s">
        <v>10222</v>
      </c>
      <c r="M111" s="1"/>
      <c r="N111"/>
      <c r="O111"/>
      <c r="P111"/>
      <c r="Q111"/>
      <c r="R111"/>
      <c r="S111"/>
      <c r="T111"/>
      <c r="U111"/>
      <c r="V111"/>
      <c r="W111"/>
      <c r="X111"/>
      <c r="Y111"/>
    </row>
    <row r="112" spans="1:25" s="2" customFormat="1" ht="25.5" x14ac:dyDescent="0.2">
      <c r="A112" s="5" t="s">
        <v>10224</v>
      </c>
      <c r="B112" s="5" t="s">
        <v>83</v>
      </c>
      <c r="C112" s="5"/>
      <c r="D112" s="5" t="s">
        <v>10223</v>
      </c>
      <c r="E112" s="5"/>
      <c r="F112" s="5" t="s">
        <v>10222</v>
      </c>
      <c r="G112" s="5" t="s">
        <v>224</v>
      </c>
      <c r="H112" s="5" t="s">
        <v>137</v>
      </c>
      <c r="I112" s="5" t="s">
        <v>263</v>
      </c>
      <c r="J112" s="5"/>
      <c r="M112" s="1"/>
      <c r="N112"/>
      <c r="O112"/>
      <c r="P112"/>
      <c r="Q112"/>
      <c r="R112"/>
      <c r="S112"/>
      <c r="T112"/>
      <c r="U112"/>
      <c r="V112"/>
      <c r="W112"/>
      <c r="X112"/>
      <c r="Y112"/>
    </row>
    <row r="113" spans="1:25" s="2" customFormat="1" ht="25.5" x14ac:dyDescent="0.2">
      <c r="A113" s="5" t="s">
        <v>10221</v>
      </c>
      <c r="B113" s="5" t="s">
        <v>83</v>
      </c>
      <c r="C113" s="5"/>
      <c r="D113" s="5" t="s">
        <v>10220</v>
      </c>
      <c r="E113" s="5" t="s">
        <v>368</v>
      </c>
      <c r="F113" s="5"/>
      <c r="G113" s="5" t="s">
        <v>382</v>
      </c>
      <c r="H113" s="5" t="s">
        <v>137</v>
      </c>
      <c r="I113" s="5" t="s">
        <v>10195</v>
      </c>
      <c r="J113" s="5"/>
      <c r="M113" s="1"/>
      <c r="N113"/>
      <c r="O113"/>
      <c r="P113"/>
      <c r="Q113"/>
      <c r="R113"/>
      <c r="S113"/>
      <c r="T113"/>
      <c r="U113"/>
      <c r="V113"/>
      <c r="W113"/>
      <c r="X113"/>
      <c r="Y113"/>
    </row>
    <row r="114" spans="1:25" s="2" customFormat="1" x14ac:dyDescent="0.2">
      <c r="A114" s="5" t="s">
        <v>10219</v>
      </c>
      <c r="B114" s="5" t="s">
        <v>83</v>
      </c>
      <c r="C114" s="5"/>
      <c r="D114" s="5" t="s">
        <v>10218</v>
      </c>
      <c r="E114" s="5"/>
      <c r="F114" s="5"/>
      <c r="G114" s="5" t="s">
        <v>118</v>
      </c>
      <c r="H114" s="5" t="s">
        <v>137</v>
      </c>
      <c r="I114" s="5" t="s">
        <v>10195</v>
      </c>
      <c r="J114" s="5"/>
      <c r="M114" s="1"/>
      <c r="N114"/>
      <c r="O114"/>
      <c r="P114"/>
      <c r="Q114"/>
      <c r="R114"/>
      <c r="S114"/>
      <c r="T114"/>
      <c r="U114"/>
      <c r="V114"/>
      <c r="W114"/>
      <c r="X114"/>
      <c r="Y114"/>
    </row>
    <row r="115" spans="1:25" s="2" customFormat="1" ht="25.5" x14ac:dyDescent="0.2">
      <c r="A115" s="5" t="s">
        <v>10217</v>
      </c>
      <c r="B115" s="5" t="s">
        <v>83</v>
      </c>
      <c r="C115" s="5"/>
      <c r="D115" s="5" t="s">
        <v>10216</v>
      </c>
      <c r="E115" s="5"/>
      <c r="F115" s="5" t="s">
        <v>7970</v>
      </c>
      <c r="G115" s="5" t="s">
        <v>122</v>
      </c>
      <c r="H115" s="5" t="s">
        <v>137</v>
      </c>
      <c r="I115" s="5" t="s">
        <v>10207</v>
      </c>
      <c r="J115" s="5" t="s">
        <v>7966</v>
      </c>
      <c r="M115" s="1"/>
      <c r="N115"/>
      <c r="O115"/>
      <c r="P115"/>
      <c r="Q115"/>
      <c r="R115"/>
      <c r="S115"/>
      <c r="T115"/>
      <c r="U115"/>
      <c r="V115"/>
      <c r="W115"/>
      <c r="X115"/>
      <c r="Y115"/>
    </row>
    <row r="116" spans="1:25" s="2" customFormat="1" ht="25.5" x14ac:dyDescent="0.2">
      <c r="A116" s="5" t="s">
        <v>10215</v>
      </c>
      <c r="B116" s="5" t="s">
        <v>83</v>
      </c>
      <c r="C116" s="5"/>
      <c r="D116" s="5" t="s">
        <v>10214</v>
      </c>
      <c r="E116" s="5" t="s">
        <v>138</v>
      </c>
      <c r="F116" s="5" t="s">
        <v>7569</v>
      </c>
      <c r="G116" s="5" t="s">
        <v>91</v>
      </c>
      <c r="H116" s="5" t="s">
        <v>137</v>
      </c>
      <c r="I116" s="5" t="s">
        <v>10207</v>
      </c>
      <c r="J116" s="5" t="s">
        <v>10213</v>
      </c>
      <c r="M116" s="1"/>
      <c r="N116"/>
      <c r="O116"/>
      <c r="P116"/>
      <c r="Q116"/>
      <c r="R116"/>
      <c r="S116"/>
      <c r="T116"/>
      <c r="U116"/>
      <c r="V116"/>
      <c r="W116"/>
      <c r="X116"/>
      <c r="Y116"/>
    </row>
    <row r="117" spans="1:25" s="2" customFormat="1" ht="25.5" x14ac:dyDescent="0.2">
      <c r="A117" s="5" t="s">
        <v>10212</v>
      </c>
      <c r="B117" s="5" t="s">
        <v>83</v>
      </c>
      <c r="C117" s="5"/>
      <c r="D117" s="5" t="s">
        <v>10211</v>
      </c>
      <c r="E117" s="5" t="s">
        <v>368</v>
      </c>
      <c r="F117" s="5"/>
      <c r="G117" s="5" t="s">
        <v>382</v>
      </c>
      <c r="H117" s="5" t="s">
        <v>137</v>
      </c>
      <c r="I117" s="5" t="s">
        <v>10207</v>
      </c>
      <c r="J117" s="5"/>
      <c r="M117" s="1"/>
      <c r="N117"/>
      <c r="O117"/>
      <c r="P117"/>
      <c r="Q117"/>
      <c r="R117"/>
      <c r="S117"/>
      <c r="T117"/>
      <c r="U117"/>
      <c r="V117"/>
      <c r="W117"/>
      <c r="X117"/>
      <c r="Y117"/>
    </row>
    <row r="118" spans="1:25" s="2" customFormat="1" ht="25.5" x14ac:dyDescent="0.2">
      <c r="A118" s="5" t="s">
        <v>10210</v>
      </c>
      <c r="B118" s="5" t="s">
        <v>83</v>
      </c>
      <c r="C118" s="5"/>
      <c r="D118" s="5" t="s">
        <v>10209</v>
      </c>
      <c r="E118" s="5" t="s">
        <v>368</v>
      </c>
      <c r="F118" s="5" t="s">
        <v>10208</v>
      </c>
      <c r="G118" s="5" t="s">
        <v>91</v>
      </c>
      <c r="H118" s="5" t="s">
        <v>137</v>
      </c>
      <c r="I118" s="5" t="s">
        <v>10207</v>
      </c>
      <c r="J118" s="5" t="s">
        <v>10206</v>
      </c>
      <c r="M118" s="1"/>
      <c r="N118"/>
      <c r="O118"/>
      <c r="P118"/>
      <c r="Q118"/>
      <c r="R118"/>
      <c r="S118"/>
      <c r="T118"/>
      <c r="U118"/>
      <c r="V118"/>
      <c r="W118"/>
      <c r="X118"/>
      <c r="Y118"/>
    </row>
    <row r="119" spans="1:25" s="2" customFormat="1" x14ac:dyDescent="0.2">
      <c r="A119" s="5" t="s">
        <v>10205</v>
      </c>
      <c r="B119" s="5" t="s">
        <v>83</v>
      </c>
      <c r="C119" s="5"/>
      <c r="D119" s="5" t="s">
        <v>10204</v>
      </c>
      <c r="E119" s="5"/>
      <c r="F119" s="5"/>
      <c r="G119" s="5" t="s">
        <v>224</v>
      </c>
      <c r="H119" s="5" t="s">
        <v>137</v>
      </c>
      <c r="I119" s="5" t="s">
        <v>10195</v>
      </c>
      <c r="J119" s="5"/>
      <c r="M119" s="1"/>
      <c r="N119"/>
      <c r="O119"/>
      <c r="P119"/>
      <c r="Q119"/>
      <c r="R119"/>
      <c r="S119"/>
      <c r="T119"/>
      <c r="U119"/>
      <c r="V119"/>
      <c r="W119"/>
      <c r="X119"/>
      <c r="Y119"/>
    </row>
    <row r="120" spans="1:25" s="2" customFormat="1" x14ac:dyDescent="0.2">
      <c r="A120" s="5" t="s">
        <v>10203</v>
      </c>
      <c r="B120" s="5" t="s">
        <v>83</v>
      </c>
      <c r="C120" s="5"/>
      <c r="D120" s="5" t="s">
        <v>6375</v>
      </c>
      <c r="E120" s="5" t="s">
        <v>138</v>
      </c>
      <c r="F120" s="5"/>
      <c r="G120" s="5" t="s">
        <v>91</v>
      </c>
      <c r="H120" s="5" t="s">
        <v>3</v>
      </c>
      <c r="I120" s="5"/>
      <c r="J120" s="5"/>
      <c r="M120" s="1"/>
      <c r="N120"/>
      <c r="O120"/>
      <c r="P120"/>
      <c r="Q120"/>
      <c r="R120"/>
      <c r="S120"/>
      <c r="T120"/>
      <c r="U120"/>
      <c r="V120"/>
      <c r="W120"/>
      <c r="X120"/>
      <c r="Y120"/>
    </row>
    <row r="121" spans="1:25" s="2" customFormat="1" ht="25.5" x14ac:dyDescent="0.2">
      <c r="A121" s="5" t="s">
        <v>10202</v>
      </c>
      <c r="B121" s="5" t="s">
        <v>83</v>
      </c>
      <c r="C121" s="5"/>
      <c r="D121" s="5" t="s">
        <v>9728</v>
      </c>
      <c r="E121" s="5" t="s">
        <v>368</v>
      </c>
      <c r="F121" s="5"/>
      <c r="G121" s="5" t="s">
        <v>382</v>
      </c>
      <c r="H121" s="5" t="s">
        <v>3</v>
      </c>
      <c r="I121" s="5"/>
      <c r="J121" s="5"/>
      <c r="M121" s="1"/>
      <c r="N121"/>
      <c r="O121"/>
      <c r="P121"/>
      <c r="Q121"/>
      <c r="R121"/>
      <c r="S121"/>
      <c r="T121"/>
      <c r="U121"/>
      <c r="V121"/>
      <c r="W121"/>
      <c r="X121"/>
      <c r="Y121"/>
    </row>
    <row r="122" spans="1:25" s="2" customFormat="1" x14ac:dyDescent="0.2">
      <c r="A122" s="5" t="s">
        <v>10201</v>
      </c>
      <c r="B122" s="5" t="s">
        <v>83</v>
      </c>
      <c r="C122" s="5"/>
      <c r="D122" s="5" t="s">
        <v>10200</v>
      </c>
      <c r="E122" s="5"/>
      <c r="F122" s="5"/>
      <c r="G122" s="5" t="s">
        <v>118</v>
      </c>
      <c r="H122" s="5" t="s">
        <v>137</v>
      </c>
      <c r="I122" s="5" t="s">
        <v>10195</v>
      </c>
      <c r="J122" s="5"/>
      <c r="M122" s="1"/>
      <c r="N122"/>
      <c r="O122"/>
      <c r="P122"/>
      <c r="Q122"/>
      <c r="R122"/>
      <c r="S122"/>
      <c r="T122"/>
      <c r="U122"/>
      <c r="V122"/>
      <c r="W122"/>
      <c r="X122"/>
      <c r="Y122"/>
    </row>
    <row r="123" spans="1:25" s="2" customFormat="1" x14ac:dyDescent="0.2">
      <c r="A123" s="5" t="s">
        <v>10199</v>
      </c>
      <c r="B123" s="5" t="s">
        <v>83</v>
      </c>
      <c r="C123" s="5"/>
      <c r="D123" s="5" t="s">
        <v>10198</v>
      </c>
      <c r="E123" s="5"/>
      <c r="F123" s="5"/>
      <c r="G123" s="5" t="s">
        <v>4028</v>
      </c>
      <c r="H123" s="5" t="s">
        <v>137</v>
      </c>
      <c r="I123" s="5" t="s">
        <v>10195</v>
      </c>
      <c r="J123" s="5"/>
      <c r="M123" s="1"/>
      <c r="N123"/>
      <c r="O123"/>
      <c r="P123"/>
      <c r="Q123"/>
      <c r="R123"/>
      <c r="S123"/>
      <c r="T123"/>
      <c r="U123"/>
      <c r="V123"/>
      <c r="W123"/>
      <c r="X123"/>
      <c r="Y123"/>
    </row>
    <row r="124" spans="1:25" s="2" customFormat="1" x14ac:dyDescent="0.2">
      <c r="A124" s="5" t="s">
        <v>10197</v>
      </c>
      <c r="B124" s="5" t="s">
        <v>83</v>
      </c>
      <c r="C124" s="5"/>
      <c r="D124" s="5" t="s">
        <v>10196</v>
      </c>
      <c r="E124" s="5"/>
      <c r="F124" s="5"/>
      <c r="G124" s="5" t="s">
        <v>118</v>
      </c>
      <c r="H124" s="5" t="s">
        <v>137</v>
      </c>
      <c r="I124" s="5" t="s">
        <v>10195</v>
      </c>
      <c r="J124" s="5"/>
      <c r="M124" s="1"/>
      <c r="N124"/>
      <c r="O124"/>
      <c r="P124"/>
      <c r="Q124"/>
      <c r="R124"/>
      <c r="S124"/>
      <c r="T124"/>
      <c r="U124"/>
      <c r="V124"/>
      <c r="W124"/>
      <c r="X124"/>
      <c r="Y124"/>
    </row>
    <row r="125" spans="1:25" s="2" customFormat="1" ht="25.5" x14ac:dyDescent="0.2">
      <c r="A125" s="5" t="s">
        <v>10194</v>
      </c>
      <c r="B125" s="5" t="s">
        <v>83</v>
      </c>
      <c r="C125" s="5"/>
      <c r="D125" s="5" t="s">
        <v>10193</v>
      </c>
      <c r="E125" s="5" t="s">
        <v>368</v>
      </c>
      <c r="F125" s="5" t="s">
        <v>9744</v>
      </c>
      <c r="G125" s="5" t="s">
        <v>382</v>
      </c>
      <c r="H125" s="5" t="s">
        <v>137</v>
      </c>
      <c r="I125" s="5" t="s">
        <v>263</v>
      </c>
      <c r="J125" s="5" t="s">
        <v>9743</v>
      </c>
      <c r="M125" s="1"/>
      <c r="N125"/>
      <c r="O125"/>
      <c r="P125"/>
      <c r="Q125"/>
      <c r="R125"/>
      <c r="S125"/>
      <c r="T125"/>
      <c r="U125"/>
      <c r="V125"/>
      <c r="W125"/>
      <c r="X125"/>
      <c r="Y125"/>
    </row>
    <row r="126" spans="1:25" s="2" customFormat="1" x14ac:dyDescent="0.2">
      <c r="A126" s="5" t="s">
        <v>10192</v>
      </c>
      <c r="B126" s="5" t="s">
        <v>83</v>
      </c>
      <c r="C126" s="5"/>
      <c r="D126" s="5" t="s">
        <v>10191</v>
      </c>
      <c r="E126" s="5" t="s">
        <v>368</v>
      </c>
      <c r="F126" s="5" t="s">
        <v>10190</v>
      </c>
      <c r="G126" s="5" t="s">
        <v>382</v>
      </c>
      <c r="H126" s="5" t="s">
        <v>3</v>
      </c>
      <c r="I126" s="5"/>
      <c r="J126" s="5" t="s">
        <v>10190</v>
      </c>
      <c r="M126" s="1"/>
      <c r="N126"/>
      <c r="O126"/>
      <c r="P126"/>
      <c r="Q126"/>
      <c r="R126"/>
      <c r="S126"/>
      <c r="T126"/>
      <c r="U126"/>
      <c r="V126"/>
      <c r="W126"/>
      <c r="X126"/>
      <c r="Y126"/>
    </row>
    <row r="127" spans="1:25" s="2" customFormat="1" x14ac:dyDescent="0.2">
      <c r="A127" s="5" t="s">
        <v>10189</v>
      </c>
      <c r="B127" s="5" t="s">
        <v>83</v>
      </c>
      <c r="C127" s="5"/>
      <c r="D127" s="5" t="s">
        <v>10188</v>
      </c>
      <c r="E127" s="5" t="s">
        <v>368</v>
      </c>
      <c r="F127" s="5" t="s">
        <v>10187</v>
      </c>
      <c r="G127" s="5" t="s">
        <v>382</v>
      </c>
      <c r="H127" s="5" t="s">
        <v>3</v>
      </c>
      <c r="I127" s="5"/>
      <c r="J127" s="5" t="s">
        <v>10187</v>
      </c>
      <c r="M127" s="1"/>
      <c r="N127"/>
      <c r="O127"/>
      <c r="P127"/>
      <c r="Q127"/>
      <c r="R127"/>
      <c r="S127"/>
      <c r="T127"/>
      <c r="U127"/>
      <c r="V127"/>
      <c r="W127"/>
      <c r="X127"/>
      <c r="Y127"/>
    </row>
    <row r="128" spans="1:25" s="2" customFormat="1" x14ac:dyDescent="0.2">
      <c r="A128" s="5" t="s">
        <v>10186</v>
      </c>
      <c r="B128" s="5" t="s">
        <v>83</v>
      </c>
      <c r="C128" s="5"/>
      <c r="D128" s="5" t="s">
        <v>10185</v>
      </c>
      <c r="E128" s="5" t="s">
        <v>368</v>
      </c>
      <c r="F128" s="5" t="s">
        <v>10184</v>
      </c>
      <c r="G128" s="5" t="s">
        <v>382</v>
      </c>
      <c r="H128" s="5" t="s">
        <v>3</v>
      </c>
      <c r="I128" s="5"/>
      <c r="J128" s="5" t="s">
        <v>10184</v>
      </c>
      <c r="M128" s="1"/>
      <c r="N128"/>
      <c r="O128"/>
      <c r="P128"/>
      <c r="Q128"/>
      <c r="R128"/>
      <c r="S128"/>
      <c r="T128"/>
      <c r="U128"/>
      <c r="V128"/>
      <c r="W128"/>
      <c r="X128"/>
      <c r="Y128"/>
    </row>
    <row r="129" spans="1:25" s="2" customFormat="1" x14ac:dyDescent="0.2">
      <c r="A129" s="5" t="s">
        <v>10183</v>
      </c>
      <c r="B129" s="5" t="s">
        <v>83</v>
      </c>
      <c r="C129" s="5"/>
      <c r="D129" s="5" t="s">
        <v>10182</v>
      </c>
      <c r="E129" s="5" t="s">
        <v>368</v>
      </c>
      <c r="F129" s="5" t="s">
        <v>10181</v>
      </c>
      <c r="G129" s="5" t="s">
        <v>382</v>
      </c>
      <c r="H129" s="5" t="s">
        <v>3</v>
      </c>
      <c r="I129" s="5"/>
      <c r="J129" s="5" t="s">
        <v>10181</v>
      </c>
      <c r="M129" s="1"/>
      <c r="N129"/>
      <c r="O129"/>
      <c r="P129"/>
      <c r="Q129"/>
      <c r="R129"/>
      <c r="S129"/>
      <c r="T129"/>
      <c r="U129"/>
      <c r="V129"/>
      <c r="W129"/>
      <c r="X129"/>
      <c r="Y129"/>
    </row>
    <row r="130" spans="1:25" s="2" customFormat="1" x14ac:dyDescent="0.2">
      <c r="A130" s="5" t="s">
        <v>10180</v>
      </c>
      <c r="B130" s="5" t="s">
        <v>83</v>
      </c>
      <c r="C130" s="5"/>
      <c r="D130" s="5" t="s">
        <v>10179</v>
      </c>
      <c r="E130" s="5" t="s">
        <v>368</v>
      </c>
      <c r="F130" s="5" t="s">
        <v>10178</v>
      </c>
      <c r="G130" s="5" t="s">
        <v>382</v>
      </c>
      <c r="H130" s="5" t="s">
        <v>3</v>
      </c>
      <c r="I130" s="5"/>
      <c r="J130" s="5" t="s">
        <v>10178</v>
      </c>
      <c r="M130" s="1"/>
      <c r="N130"/>
      <c r="O130"/>
      <c r="P130"/>
      <c r="Q130"/>
      <c r="R130"/>
      <c r="S130"/>
      <c r="T130"/>
      <c r="U130"/>
      <c r="V130"/>
      <c r="W130"/>
      <c r="X130"/>
      <c r="Y130"/>
    </row>
    <row r="131" spans="1:25" s="2" customFormat="1" x14ac:dyDescent="0.2">
      <c r="A131" s="5" t="s">
        <v>10177</v>
      </c>
      <c r="B131" s="5" t="s">
        <v>83</v>
      </c>
      <c r="C131" s="5"/>
      <c r="D131" s="5" t="s">
        <v>10176</v>
      </c>
      <c r="E131" s="5" t="s">
        <v>368</v>
      </c>
      <c r="F131" s="5" t="s">
        <v>10175</v>
      </c>
      <c r="G131" s="5" t="s">
        <v>382</v>
      </c>
      <c r="H131" s="5" t="s">
        <v>3</v>
      </c>
      <c r="I131" s="5"/>
      <c r="J131" s="5" t="s">
        <v>10175</v>
      </c>
      <c r="M131" s="1"/>
      <c r="N131"/>
      <c r="O131"/>
      <c r="P131"/>
      <c r="Q131"/>
      <c r="R131"/>
      <c r="S131"/>
      <c r="T131"/>
      <c r="U131"/>
      <c r="V131"/>
      <c r="W131"/>
      <c r="X131"/>
      <c r="Y131"/>
    </row>
    <row r="132" spans="1:25" s="2" customFormat="1" x14ac:dyDescent="0.2">
      <c r="A132" s="5" t="s">
        <v>10174</v>
      </c>
      <c r="B132" s="5" t="s">
        <v>83</v>
      </c>
      <c r="C132" s="5"/>
      <c r="D132" s="5" t="s">
        <v>10173</v>
      </c>
      <c r="E132" s="5" t="s">
        <v>368</v>
      </c>
      <c r="F132" s="5" t="s">
        <v>10172</v>
      </c>
      <c r="G132" s="5" t="s">
        <v>382</v>
      </c>
      <c r="H132" s="5" t="s">
        <v>3</v>
      </c>
      <c r="I132" s="5"/>
      <c r="J132" s="5" t="s">
        <v>10172</v>
      </c>
      <c r="M132" s="1"/>
      <c r="N132"/>
      <c r="O132"/>
      <c r="P132"/>
      <c r="Q132"/>
      <c r="R132"/>
      <c r="S132"/>
      <c r="T132"/>
      <c r="U132"/>
      <c r="V132"/>
      <c r="W132"/>
      <c r="X132"/>
      <c r="Y132"/>
    </row>
    <row r="133" spans="1:25" s="2" customFormat="1" x14ac:dyDescent="0.2">
      <c r="A133" s="5" t="s">
        <v>10171</v>
      </c>
      <c r="B133" s="5" t="s">
        <v>83</v>
      </c>
      <c r="C133" s="5"/>
      <c r="D133" s="5" t="s">
        <v>10170</v>
      </c>
      <c r="E133" s="5" t="s">
        <v>368</v>
      </c>
      <c r="F133" s="5" t="s">
        <v>123</v>
      </c>
      <c r="G133" s="5" t="s">
        <v>382</v>
      </c>
      <c r="H133" s="5" t="s">
        <v>3</v>
      </c>
      <c r="I133" s="5"/>
      <c r="J133" s="5" t="s">
        <v>10169</v>
      </c>
      <c r="M133" s="1"/>
      <c r="N133"/>
      <c r="O133"/>
      <c r="P133"/>
      <c r="Q133"/>
      <c r="R133"/>
      <c r="S133"/>
      <c r="T133"/>
      <c r="U133"/>
      <c r="V133"/>
      <c r="W133"/>
      <c r="X133"/>
      <c r="Y133"/>
    </row>
    <row r="134" spans="1:25" s="2" customFormat="1" x14ac:dyDescent="0.2">
      <c r="A134" s="5" t="s">
        <v>10168</v>
      </c>
      <c r="B134" s="5" t="s">
        <v>83</v>
      </c>
      <c r="C134" s="5"/>
      <c r="D134" s="5" t="s">
        <v>10167</v>
      </c>
      <c r="E134" s="5" t="s">
        <v>368</v>
      </c>
      <c r="F134" s="5" t="s">
        <v>10166</v>
      </c>
      <c r="G134" s="5" t="s">
        <v>382</v>
      </c>
      <c r="H134" s="5" t="s">
        <v>3</v>
      </c>
      <c r="I134" s="5"/>
      <c r="J134" s="5" t="s">
        <v>10166</v>
      </c>
      <c r="M134" s="1"/>
      <c r="N134"/>
      <c r="O134"/>
      <c r="P134"/>
      <c r="Q134"/>
      <c r="R134"/>
      <c r="S134"/>
      <c r="T134"/>
      <c r="U134"/>
      <c r="V134"/>
      <c r="W134"/>
      <c r="X134"/>
      <c r="Y134"/>
    </row>
    <row r="135" spans="1:25" s="2" customFormat="1" x14ac:dyDescent="0.2">
      <c r="A135" s="5" t="s">
        <v>10165</v>
      </c>
      <c r="B135" s="5" t="s">
        <v>83</v>
      </c>
      <c r="C135" s="5"/>
      <c r="D135" s="5" t="s">
        <v>10164</v>
      </c>
      <c r="E135" s="5" t="s">
        <v>368</v>
      </c>
      <c r="F135" s="5" t="s">
        <v>10163</v>
      </c>
      <c r="G135" s="5" t="s">
        <v>382</v>
      </c>
      <c r="H135" s="5" t="s">
        <v>3</v>
      </c>
      <c r="I135" s="5"/>
      <c r="J135" s="5" t="s">
        <v>10163</v>
      </c>
      <c r="M135" s="1"/>
      <c r="N135"/>
      <c r="O135"/>
      <c r="P135"/>
      <c r="Q135"/>
      <c r="R135"/>
      <c r="S135"/>
      <c r="T135"/>
      <c r="U135"/>
      <c r="V135"/>
      <c r="W135"/>
      <c r="X135"/>
      <c r="Y135"/>
    </row>
    <row r="136" spans="1:25" s="2" customFormat="1" x14ac:dyDescent="0.2">
      <c r="A136" s="5" t="s">
        <v>10162</v>
      </c>
      <c r="B136" s="5" t="s">
        <v>83</v>
      </c>
      <c r="C136" s="5"/>
      <c r="D136" s="5" t="s">
        <v>10161</v>
      </c>
      <c r="E136" s="5" t="s">
        <v>368</v>
      </c>
      <c r="F136" s="5" t="s">
        <v>10160</v>
      </c>
      <c r="G136" s="5" t="s">
        <v>382</v>
      </c>
      <c r="H136" s="5" t="s">
        <v>3</v>
      </c>
      <c r="I136" s="5"/>
      <c r="J136" s="5" t="s">
        <v>10160</v>
      </c>
      <c r="M136" s="1"/>
      <c r="N136"/>
      <c r="O136"/>
      <c r="P136"/>
      <c r="Q136"/>
      <c r="R136"/>
      <c r="S136"/>
      <c r="T136"/>
      <c r="U136"/>
      <c r="V136"/>
      <c r="W136"/>
      <c r="X136"/>
      <c r="Y136"/>
    </row>
    <row r="137" spans="1:25" s="2" customFormat="1" x14ac:dyDescent="0.2">
      <c r="A137" s="5" t="s">
        <v>10159</v>
      </c>
      <c r="B137" s="5" t="s">
        <v>83</v>
      </c>
      <c r="C137" s="5"/>
      <c r="D137" s="5" t="s">
        <v>10158</v>
      </c>
      <c r="E137" s="5" t="s">
        <v>368</v>
      </c>
      <c r="F137" s="5" t="s">
        <v>10157</v>
      </c>
      <c r="G137" s="5" t="s">
        <v>382</v>
      </c>
      <c r="H137" s="5" t="s">
        <v>3</v>
      </c>
      <c r="I137" s="5"/>
      <c r="J137" s="5" t="s">
        <v>10157</v>
      </c>
      <c r="M137" s="1"/>
      <c r="N137"/>
      <c r="O137"/>
      <c r="P137"/>
      <c r="Q137"/>
      <c r="R137"/>
      <c r="S137"/>
      <c r="T137"/>
      <c r="U137"/>
      <c r="V137"/>
      <c r="W137"/>
      <c r="X137"/>
      <c r="Y137"/>
    </row>
    <row r="138" spans="1:25" s="2" customFormat="1" x14ac:dyDescent="0.2">
      <c r="A138" s="5" t="s">
        <v>10156</v>
      </c>
      <c r="B138" s="5" t="s">
        <v>83</v>
      </c>
      <c r="C138" s="5"/>
      <c r="D138" s="5" t="s">
        <v>10155</v>
      </c>
      <c r="E138" s="5" t="s">
        <v>368</v>
      </c>
      <c r="F138" s="5" t="s">
        <v>10154</v>
      </c>
      <c r="G138" s="5" t="s">
        <v>382</v>
      </c>
      <c r="H138" s="5" t="s">
        <v>3</v>
      </c>
      <c r="I138" s="5"/>
      <c r="J138" s="5" t="s">
        <v>10154</v>
      </c>
      <c r="M138" s="1"/>
      <c r="N138"/>
      <c r="O138"/>
      <c r="P138"/>
      <c r="Q138"/>
      <c r="R138"/>
      <c r="S138"/>
      <c r="T138"/>
      <c r="U138"/>
      <c r="V138"/>
      <c r="W138"/>
      <c r="X138"/>
      <c r="Y138"/>
    </row>
    <row r="139" spans="1:25" s="2" customFormat="1" x14ac:dyDescent="0.2">
      <c r="A139" s="5" t="s">
        <v>10153</v>
      </c>
      <c r="B139" s="5" t="s">
        <v>83</v>
      </c>
      <c r="C139" s="5"/>
      <c r="D139" s="5" t="s">
        <v>10152</v>
      </c>
      <c r="E139" s="5" t="s">
        <v>368</v>
      </c>
      <c r="F139" s="5" t="s">
        <v>10151</v>
      </c>
      <c r="G139" s="5" t="s">
        <v>382</v>
      </c>
      <c r="H139" s="5" t="s">
        <v>3</v>
      </c>
      <c r="I139" s="5"/>
      <c r="J139" s="5" t="s">
        <v>10151</v>
      </c>
      <c r="M139" s="1"/>
      <c r="N139"/>
      <c r="O139"/>
      <c r="P139"/>
      <c r="Q139"/>
      <c r="R139"/>
      <c r="S139"/>
      <c r="T139"/>
      <c r="U139"/>
      <c r="V139"/>
      <c r="W139"/>
      <c r="X139"/>
      <c r="Y139"/>
    </row>
    <row r="140" spans="1:25" s="2" customFormat="1" x14ac:dyDescent="0.2">
      <c r="A140" s="5" t="s">
        <v>10150</v>
      </c>
      <c r="B140" s="5" t="s">
        <v>83</v>
      </c>
      <c r="C140" s="5"/>
      <c r="D140" s="5" t="s">
        <v>10149</v>
      </c>
      <c r="E140" s="5" t="s">
        <v>368</v>
      </c>
      <c r="F140" s="5" t="s">
        <v>10148</v>
      </c>
      <c r="G140" s="5" t="s">
        <v>382</v>
      </c>
      <c r="H140" s="5" t="s">
        <v>3</v>
      </c>
      <c r="I140" s="5"/>
      <c r="J140" s="5" t="s">
        <v>10148</v>
      </c>
      <c r="M140" s="1"/>
      <c r="N140"/>
      <c r="O140"/>
      <c r="P140"/>
      <c r="Q140"/>
      <c r="R140"/>
      <c r="S140"/>
      <c r="T140"/>
      <c r="U140"/>
      <c r="V140"/>
      <c r="W140"/>
      <c r="X140"/>
      <c r="Y140"/>
    </row>
    <row r="141" spans="1:25" s="2" customFormat="1" x14ac:dyDescent="0.2">
      <c r="A141" s="5" t="s">
        <v>10147</v>
      </c>
      <c r="B141" s="5" t="s">
        <v>83</v>
      </c>
      <c r="C141" s="5"/>
      <c r="D141" s="5" t="s">
        <v>10146</v>
      </c>
      <c r="E141" s="5" t="s">
        <v>368</v>
      </c>
      <c r="F141" s="5" t="s">
        <v>10145</v>
      </c>
      <c r="G141" s="5" t="s">
        <v>382</v>
      </c>
      <c r="H141" s="5" t="s">
        <v>3</v>
      </c>
      <c r="I141" s="5"/>
      <c r="J141" s="5" t="s">
        <v>10145</v>
      </c>
      <c r="M141" s="1"/>
      <c r="N141"/>
      <c r="O141"/>
      <c r="P141"/>
      <c r="Q141"/>
      <c r="R141"/>
      <c r="S141"/>
      <c r="T141"/>
      <c r="U141"/>
      <c r="V141"/>
      <c r="W141"/>
      <c r="X141"/>
      <c r="Y141"/>
    </row>
    <row r="142" spans="1:25" s="2" customFormat="1" x14ac:dyDescent="0.2">
      <c r="A142" s="5" t="s">
        <v>10144</v>
      </c>
      <c r="B142" s="5" t="s">
        <v>83</v>
      </c>
      <c r="C142" s="5"/>
      <c r="D142" s="5" t="s">
        <v>10143</v>
      </c>
      <c r="E142" s="5" t="s">
        <v>368</v>
      </c>
      <c r="F142" s="5" t="s">
        <v>10142</v>
      </c>
      <c r="G142" s="5" t="s">
        <v>382</v>
      </c>
      <c r="H142" s="5" t="s">
        <v>3</v>
      </c>
      <c r="I142" s="5"/>
      <c r="J142" s="5" t="s">
        <v>10142</v>
      </c>
      <c r="M142" s="1"/>
      <c r="N142"/>
      <c r="O142"/>
      <c r="P142"/>
      <c r="Q142"/>
      <c r="R142"/>
      <c r="S142"/>
      <c r="T142"/>
      <c r="U142"/>
      <c r="V142"/>
      <c r="W142"/>
      <c r="X142"/>
      <c r="Y142"/>
    </row>
    <row r="143" spans="1:25" s="2" customFormat="1" x14ac:dyDescent="0.2">
      <c r="A143" s="5" t="s">
        <v>10141</v>
      </c>
      <c r="B143" s="5" t="s">
        <v>83</v>
      </c>
      <c r="C143" s="5"/>
      <c r="D143" s="5" t="s">
        <v>10140</v>
      </c>
      <c r="E143" s="5" t="s">
        <v>368</v>
      </c>
      <c r="F143" s="5" t="s">
        <v>10139</v>
      </c>
      <c r="G143" s="5" t="s">
        <v>382</v>
      </c>
      <c r="H143" s="5" t="s">
        <v>3</v>
      </c>
      <c r="I143" s="5"/>
      <c r="J143" s="5" t="s">
        <v>10139</v>
      </c>
      <c r="M143" s="1"/>
      <c r="N143"/>
      <c r="O143"/>
      <c r="P143"/>
      <c r="Q143"/>
      <c r="R143"/>
      <c r="S143"/>
      <c r="T143"/>
      <c r="U143"/>
      <c r="V143"/>
      <c r="W143"/>
      <c r="X143"/>
      <c r="Y143"/>
    </row>
    <row r="144" spans="1:25" s="2" customFormat="1" x14ac:dyDescent="0.2">
      <c r="A144" s="5" t="s">
        <v>10138</v>
      </c>
      <c r="B144" s="5" t="s">
        <v>83</v>
      </c>
      <c r="C144" s="5"/>
      <c r="D144" s="5" t="s">
        <v>10137</v>
      </c>
      <c r="E144" s="5" t="s">
        <v>368</v>
      </c>
      <c r="F144" s="5" t="s">
        <v>10136</v>
      </c>
      <c r="G144" s="5" t="s">
        <v>382</v>
      </c>
      <c r="H144" s="5" t="s">
        <v>3</v>
      </c>
      <c r="I144" s="5"/>
      <c r="J144" s="5" t="s">
        <v>10136</v>
      </c>
      <c r="M144" s="1"/>
      <c r="N144"/>
      <c r="O144"/>
      <c r="P144"/>
      <c r="Q144"/>
      <c r="R144"/>
      <c r="S144"/>
      <c r="T144"/>
      <c r="U144"/>
      <c r="V144"/>
      <c r="W144"/>
      <c r="X144"/>
      <c r="Y144"/>
    </row>
    <row r="145" spans="1:25" s="2" customFormat="1" x14ac:dyDescent="0.2">
      <c r="A145" s="5" t="s">
        <v>10135</v>
      </c>
      <c r="B145" s="5" t="s">
        <v>83</v>
      </c>
      <c r="C145" s="5"/>
      <c r="D145" s="5" t="s">
        <v>10134</v>
      </c>
      <c r="E145" s="5" t="s">
        <v>368</v>
      </c>
      <c r="F145" s="5" t="s">
        <v>10133</v>
      </c>
      <c r="G145" s="5" t="s">
        <v>382</v>
      </c>
      <c r="H145" s="5" t="s">
        <v>3</v>
      </c>
      <c r="I145" s="5"/>
      <c r="J145" s="5" t="s">
        <v>10133</v>
      </c>
      <c r="M145" s="1"/>
      <c r="N145"/>
      <c r="O145"/>
      <c r="P145"/>
      <c r="Q145"/>
      <c r="R145"/>
      <c r="S145"/>
      <c r="T145"/>
      <c r="U145"/>
      <c r="V145"/>
      <c r="W145"/>
      <c r="X145"/>
      <c r="Y145"/>
    </row>
    <row r="146" spans="1:25" s="2" customFormat="1" x14ac:dyDescent="0.2">
      <c r="A146" s="5" t="s">
        <v>10132</v>
      </c>
      <c r="B146" s="5" t="s">
        <v>83</v>
      </c>
      <c r="C146" s="5"/>
      <c r="D146" s="5" t="s">
        <v>10131</v>
      </c>
      <c r="E146" s="5" t="s">
        <v>368</v>
      </c>
      <c r="F146" s="5" t="s">
        <v>10130</v>
      </c>
      <c r="G146" s="5" t="s">
        <v>382</v>
      </c>
      <c r="H146" s="5" t="s">
        <v>3</v>
      </c>
      <c r="I146" s="5"/>
      <c r="J146" s="5" t="s">
        <v>10130</v>
      </c>
      <c r="M146" s="1"/>
      <c r="N146"/>
      <c r="O146"/>
      <c r="P146"/>
      <c r="Q146"/>
      <c r="R146"/>
      <c r="S146"/>
      <c r="T146"/>
      <c r="U146"/>
      <c r="V146"/>
      <c r="W146"/>
      <c r="X146"/>
      <c r="Y146"/>
    </row>
    <row r="147" spans="1:25" s="2" customFormat="1" x14ac:dyDescent="0.2">
      <c r="A147" s="5" t="s">
        <v>10129</v>
      </c>
      <c r="B147" s="5" t="s">
        <v>83</v>
      </c>
      <c r="C147" s="5"/>
      <c r="D147" s="5" t="s">
        <v>10128</v>
      </c>
      <c r="E147" s="5" t="s">
        <v>368</v>
      </c>
      <c r="F147" s="5" t="s">
        <v>10127</v>
      </c>
      <c r="G147" s="5" t="s">
        <v>382</v>
      </c>
      <c r="H147" s="5" t="s">
        <v>3</v>
      </c>
      <c r="I147" s="5"/>
      <c r="J147" s="5" t="s">
        <v>10127</v>
      </c>
      <c r="M147" s="1"/>
      <c r="N147"/>
      <c r="O147"/>
      <c r="P147"/>
      <c r="Q147"/>
      <c r="R147"/>
      <c r="S147"/>
      <c r="T147"/>
      <c r="U147"/>
      <c r="V147"/>
      <c r="W147"/>
      <c r="X147"/>
      <c r="Y147"/>
    </row>
    <row r="148" spans="1:25" s="2" customFormat="1" x14ac:dyDescent="0.2">
      <c r="A148" s="5" t="s">
        <v>10126</v>
      </c>
      <c r="B148" s="5" t="s">
        <v>83</v>
      </c>
      <c r="C148" s="5"/>
      <c r="D148" s="5" t="s">
        <v>10125</v>
      </c>
      <c r="E148" s="5" t="s">
        <v>368</v>
      </c>
      <c r="F148" s="5" t="s">
        <v>10124</v>
      </c>
      <c r="G148" s="5" t="s">
        <v>382</v>
      </c>
      <c r="H148" s="5" t="s">
        <v>3</v>
      </c>
      <c r="I148" s="5"/>
      <c r="J148" s="5" t="s">
        <v>10124</v>
      </c>
      <c r="M148" s="1"/>
      <c r="N148"/>
      <c r="O148"/>
      <c r="P148"/>
      <c r="Q148"/>
      <c r="R148"/>
      <c r="S148"/>
      <c r="T148"/>
      <c r="U148"/>
      <c r="V148"/>
      <c r="W148"/>
      <c r="X148"/>
      <c r="Y148"/>
    </row>
    <row r="149" spans="1:25" s="2" customFormat="1" x14ac:dyDescent="0.2">
      <c r="A149" s="5" t="s">
        <v>10123</v>
      </c>
      <c r="B149" s="5" t="s">
        <v>83</v>
      </c>
      <c r="C149" s="5"/>
      <c r="D149" s="5" t="s">
        <v>10122</v>
      </c>
      <c r="E149" s="5" t="s">
        <v>368</v>
      </c>
      <c r="F149" s="5" t="s">
        <v>10121</v>
      </c>
      <c r="G149" s="5" t="s">
        <v>382</v>
      </c>
      <c r="H149" s="5" t="s">
        <v>3</v>
      </c>
      <c r="I149" s="5"/>
      <c r="J149" s="5" t="s">
        <v>10121</v>
      </c>
      <c r="M149" s="1"/>
      <c r="N149"/>
      <c r="O149"/>
      <c r="P149"/>
      <c r="Q149"/>
      <c r="R149"/>
      <c r="S149"/>
      <c r="T149"/>
      <c r="U149"/>
      <c r="V149"/>
      <c r="W149"/>
      <c r="X149"/>
      <c r="Y149"/>
    </row>
    <row r="150" spans="1:25" s="2" customFormat="1" x14ac:dyDescent="0.2">
      <c r="A150" s="5" t="s">
        <v>10120</v>
      </c>
      <c r="B150" s="5" t="s">
        <v>83</v>
      </c>
      <c r="C150" s="5"/>
      <c r="D150" s="5" t="s">
        <v>10119</v>
      </c>
      <c r="E150" s="5" t="s">
        <v>368</v>
      </c>
      <c r="F150" s="5" t="s">
        <v>10118</v>
      </c>
      <c r="G150" s="5" t="s">
        <v>382</v>
      </c>
      <c r="H150" s="5" t="s">
        <v>3</v>
      </c>
      <c r="I150" s="5"/>
      <c r="J150" s="5" t="s">
        <v>10118</v>
      </c>
      <c r="M150" s="1"/>
      <c r="N150"/>
      <c r="O150"/>
      <c r="P150"/>
      <c r="Q150"/>
      <c r="R150"/>
      <c r="S150"/>
      <c r="T150"/>
      <c r="U150"/>
      <c r="V150"/>
      <c r="W150"/>
      <c r="X150"/>
      <c r="Y150"/>
    </row>
    <row r="151" spans="1:25" s="2" customFormat="1" x14ac:dyDescent="0.2">
      <c r="A151" s="5" t="s">
        <v>10117</v>
      </c>
      <c r="B151" s="5" t="s">
        <v>83</v>
      </c>
      <c r="C151" s="5"/>
      <c r="D151" s="5" t="s">
        <v>10116</v>
      </c>
      <c r="E151" s="5" t="s">
        <v>368</v>
      </c>
      <c r="F151" s="5" t="s">
        <v>10115</v>
      </c>
      <c r="G151" s="5" t="s">
        <v>382</v>
      </c>
      <c r="H151" s="5" t="s">
        <v>3</v>
      </c>
      <c r="I151" s="5"/>
      <c r="J151" s="5" t="s">
        <v>10115</v>
      </c>
      <c r="M151" s="1"/>
      <c r="N151"/>
      <c r="O151"/>
      <c r="P151"/>
      <c r="Q151"/>
      <c r="R151"/>
      <c r="S151"/>
      <c r="T151"/>
      <c r="U151"/>
      <c r="V151"/>
      <c r="W151"/>
      <c r="X151"/>
      <c r="Y151"/>
    </row>
    <row r="152" spans="1:25" s="2" customFormat="1" x14ac:dyDescent="0.2">
      <c r="A152" s="5" t="s">
        <v>10114</v>
      </c>
      <c r="B152" s="5" t="s">
        <v>83</v>
      </c>
      <c r="C152" s="5"/>
      <c r="D152" s="5" t="s">
        <v>10113</v>
      </c>
      <c r="E152" s="5" t="s">
        <v>368</v>
      </c>
      <c r="F152" s="5" t="s">
        <v>10112</v>
      </c>
      <c r="G152" s="5" t="s">
        <v>382</v>
      </c>
      <c r="H152" s="5" t="s">
        <v>3</v>
      </c>
      <c r="I152" s="5"/>
      <c r="J152" s="5" t="s">
        <v>10112</v>
      </c>
      <c r="M152" s="1"/>
      <c r="N152"/>
      <c r="O152"/>
      <c r="P152"/>
      <c r="Q152"/>
      <c r="R152"/>
      <c r="S152"/>
      <c r="T152"/>
      <c r="U152"/>
      <c r="V152"/>
      <c r="W152"/>
      <c r="X152"/>
      <c r="Y152"/>
    </row>
    <row r="153" spans="1:25" s="2" customFormat="1" x14ac:dyDescent="0.2">
      <c r="A153" s="5" t="s">
        <v>10111</v>
      </c>
      <c r="B153" s="5" t="s">
        <v>83</v>
      </c>
      <c r="C153" s="5"/>
      <c r="D153" s="5" t="s">
        <v>10110</v>
      </c>
      <c r="E153" s="5" t="s">
        <v>368</v>
      </c>
      <c r="F153" s="5" t="s">
        <v>10109</v>
      </c>
      <c r="G153" s="5" t="s">
        <v>382</v>
      </c>
      <c r="H153" s="5" t="s">
        <v>3</v>
      </c>
      <c r="I153" s="5"/>
      <c r="J153" s="5" t="s">
        <v>10109</v>
      </c>
      <c r="M153" s="1"/>
      <c r="N153"/>
      <c r="O153"/>
      <c r="P153"/>
      <c r="Q153"/>
      <c r="R153"/>
      <c r="S153"/>
      <c r="T153"/>
      <c r="U153"/>
      <c r="V153"/>
      <c r="W153"/>
      <c r="X153"/>
      <c r="Y153"/>
    </row>
    <row r="154" spans="1:25" s="2" customFormat="1" x14ac:dyDescent="0.2">
      <c r="A154" s="5" t="s">
        <v>10108</v>
      </c>
      <c r="B154" s="5" t="s">
        <v>83</v>
      </c>
      <c r="C154" s="5"/>
      <c r="D154" s="5" t="s">
        <v>10107</v>
      </c>
      <c r="E154" s="5" t="s">
        <v>368</v>
      </c>
      <c r="F154" s="5" t="s">
        <v>10106</v>
      </c>
      <c r="G154" s="5" t="s">
        <v>382</v>
      </c>
      <c r="H154" s="5" t="s">
        <v>3</v>
      </c>
      <c r="I154" s="5"/>
      <c r="J154" s="5" t="s">
        <v>10106</v>
      </c>
      <c r="M154" s="1"/>
      <c r="N154"/>
      <c r="O154"/>
      <c r="P154"/>
      <c r="Q154"/>
      <c r="R154"/>
      <c r="S154"/>
      <c r="T154"/>
      <c r="U154"/>
      <c r="V154"/>
      <c r="W154"/>
      <c r="X154"/>
      <c r="Y154"/>
    </row>
    <row r="155" spans="1:25" s="2" customFormat="1" x14ac:dyDescent="0.2">
      <c r="A155" s="5" t="s">
        <v>10105</v>
      </c>
      <c r="B155" s="5" t="s">
        <v>83</v>
      </c>
      <c r="C155" s="5"/>
      <c r="D155" s="5" t="s">
        <v>10104</v>
      </c>
      <c r="E155" s="5" t="s">
        <v>368</v>
      </c>
      <c r="F155" s="5" t="s">
        <v>9680</v>
      </c>
      <c r="G155" s="5" t="s">
        <v>382</v>
      </c>
      <c r="H155" s="5" t="s">
        <v>3</v>
      </c>
      <c r="I155" s="5"/>
      <c r="J155" s="5" t="s">
        <v>10103</v>
      </c>
      <c r="M155" s="1"/>
      <c r="N155"/>
      <c r="O155"/>
      <c r="P155"/>
      <c r="Q155"/>
      <c r="R155"/>
      <c r="S155"/>
      <c r="T155"/>
      <c r="U155"/>
      <c r="V155"/>
      <c r="W155"/>
      <c r="X155"/>
      <c r="Y155"/>
    </row>
    <row r="156" spans="1:25" s="2" customFormat="1" ht="25.5" x14ac:dyDescent="0.2">
      <c r="A156" s="5" t="s">
        <v>10102</v>
      </c>
      <c r="B156" s="5" t="s">
        <v>83</v>
      </c>
      <c r="C156" s="5"/>
      <c r="D156" s="5" t="s">
        <v>10101</v>
      </c>
      <c r="E156" s="5" t="s">
        <v>368</v>
      </c>
      <c r="F156" s="5" t="s">
        <v>10100</v>
      </c>
      <c r="G156" s="5" t="s">
        <v>382</v>
      </c>
      <c r="H156" s="5" t="s">
        <v>3</v>
      </c>
      <c r="I156" s="5"/>
      <c r="J156" s="5" t="s">
        <v>10099</v>
      </c>
      <c r="M156" s="1"/>
      <c r="N156"/>
      <c r="O156"/>
      <c r="P156"/>
      <c r="Q156"/>
      <c r="R156"/>
      <c r="S156"/>
      <c r="T156"/>
      <c r="U156"/>
      <c r="V156"/>
      <c r="W156"/>
      <c r="X156"/>
      <c r="Y156"/>
    </row>
    <row r="157" spans="1:25" s="2" customFormat="1" ht="25.5" x14ac:dyDescent="0.2">
      <c r="A157" s="5" t="s">
        <v>10098</v>
      </c>
      <c r="B157" s="5" t="s">
        <v>83</v>
      </c>
      <c r="C157" s="5"/>
      <c r="D157" s="5" t="s">
        <v>10097</v>
      </c>
      <c r="E157" s="5" t="s">
        <v>368</v>
      </c>
      <c r="F157" s="5" t="s">
        <v>10096</v>
      </c>
      <c r="G157" s="5" t="s">
        <v>382</v>
      </c>
      <c r="H157" s="5" t="s">
        <v>3</v>
      </c>
      <c r="I157" s="5"/>
      <c r="J157" s="5" t="s">
        <v>10095</v>
      </c>
      <c r="M157" s="1"/>
      <c r="N157"/>
      <c r="O157"/>
      <c r="P157"/>
      <c r="Q157"/>
      <c r="R157"/>
      <c r="S157"/>
      <c r="T157"/>
      <c r="U157"/>
      <c r="V157"/>
      <c r="W157"/>
      <c r="X157"/>
      <c r="Y157"/>
    </row>
    <row r="158" spans="1:25" s="2" customFormat="1" ht="25.5" x14ac:dyDescent="0.2">
      <c r="A158" s="5" t="s">
        <v>10094</v>
      </c>
      <c r="B158" s="5" t="s">
        <v>83</v>
      </c>
      <c r="C158" s="5"/>
      <c r="D158" s="5" t="s">
        <v>10093</v>
      </c>
      <c r="E158" s="5" t="s">
        <v>368</v>
      </c>
      <c r="F158" s="5" t="s">
        <v>10092</v>
      </c>
      <c r="G158" s="5" t="s">
        <v>382</v>
      </c>
      <c r="H158" s="5" t="s">
        <v>3</v>
      </c>
      <c r="I158" s="5"/>
      <c r="J158" s="5" t="s">
        <v>10091</v>
      </c>
      <c r="M158" s="1"/>
      <c r="N158"/>
      <c r="O158"/>
      <c r="P158"/>
      <c r="Q158"/>
      <c r="R158"/>
      <c r="S158"/>
      <c r="T158"/>
      <c r="U158"/>
      <c r="V158"/>
      <c r="W158"/>
      <c r="X158"/>
      <c r="Y158"/>
    </row>
    <row r="159" spans="1:25" s="2" customFormat="1" ht="25.5" x14ac:dyDescent="0.2">
      <c r="A159" s="5" t="s">
        <v>10090</v>
      </c>
      <c r="B159" s="5" t="s">
        <v>83</v>
      </c>
      <c r="C159" s="5"/>
      <c r="D159" s="5" t="s">
        <v>10089</v>
      </c>
      <c r="E159" s="5" t="s">
        <v>368</v>
      </c>
      <c r="F159" s="5" t="s">
        <v>10088</v>
      </c>
      <c r="G159" s="5" t="s">
        <v>382</v>
      </c>
      <c r="H159" s="5" t="s">
        <v>3</v>
      </c>
      <c r="I159" s="5"/>
      <c r="J159" s="5" t="s">
        <v>10087</v>
      </c>
      <c r="M159" s="1"/>
      <c r="N159"/>
      <c r="O159"/>
      <c r="P159"/>
      <c r="Q159"/>
      <c r="R159"/>
      <c r="S159"/>
      <c r="T159"/>
      <c r="U159"/>
      <c r="V159"/>
      <c r="W159"/>
      <c r="X159"/>
      <c r="Y159"/>
    </row>
    <row r="160" spans="1:25" s="2" customFormat="1" x14ac:dyDescent="0.2">
      <c r="A160" s="5" t="s">
        <v>10086</v>
      </c>
      <c r="B160" s="5" t="s">
        <v>83</v>
      </c>
      <c r="C160" s="5"/>
      <c r="D160" s="5" t="s">
        <v>10085</v>
      </c>
      <c r="E160" s="5" t="s">
        <v>368</v>
      </c>
      <c r="F160" s="5" t="s">
        <v>10084</v>
      </c>
      <c r="G160" s="5" t="s">
        <v>382</v>
      </c>
      <c r="H160" s="5" t="s">
        <v>3</v>
      </c>
      <c r="I160" s="5"/>
      <c r="J160" s="5" t="s">
        <v>10084</v>
      </c>
      <c r="M160" s="1"/>
      <c r="N160"/>
      <c r="O160"/>
      <c r="P160"/>
      <c r="Q160"/>
      <c r="R160"/>
      <c r="S160"/>
      <c r="T160"/>
      <c r="U160"/>
      <c r="V160"/>
      <c r="W160"/>
      <c r="X160"/>
      <c r="Y160"/>
    </row>
    <row r="161" spans="1:25" s="2" customFormat="1" x14ac:dyDescent="0.2">
      <c r="A161" s="5" t="s">
        <v>10083</v>
      </c>
      <c r="B161" s="5" t="s">
        <v>83</v>
      </c>
      <c r="C161" s="5"/>
      <c r="D161" s="5" t="s">
        <v>10082</v>
      </c>
      <c r="E161" s="5" t="s">
        <v>368</v>
      </c>
      <c r="F161" s="5" t="s">
        <v>10081</v>
      </c>
      <c r="G161" s="5" t="s">
        <v>382</v>
      </c>
      <c r="H161" s="5" t="s">
        <v>3</v>
      </c>
      <c r="I161" s="5"/>
      <c r="J161" s="5" t="s">
        <v>10081</v>
      </c>
      <c r="M161" s="1"/>
      <c r="N161"/>
      <c r="O161"/>
      <c r="P161"/>
      <c r="Q161"/>
      <c r="R161"/>
      <c r="S161"/>
      <c r="T161"/>
      <c r="U161"/>
      <c r="V161"/>
      <c r="W161"/>
      <c r="X161"/>
      <c r="Y161"/>
    </row>
    <row r="162" spans="1:25" s="2" customFormat="1" x14ac:dyDescent="0.2">
      <c r="A162" s="5" t="s">
        <v>10080</v>
      </c>
      <c r="B162" s="5" t="s">
        <v>83</v>
      </c>
      <c r="C162" s="5"/>
      <c r="D162" s="5" t="s">
        <v>10079</v>
      </c>
      <c r="E162" s="5" t="s">
        <v>368</v>
      </c>
      <c r="F162" s="5" t="s">
        <v>10078</v>
      </c>
      <c r="G162" s="5" t="s">
        <v>382</v>
      </c>
      <c r="H162" s="5" t="s">
        <v>3</v>
      </c>
      <c r="I162" s="5"/>
      <c r="J162" s="5" t="s">
        <v>10078</v>
      </c>
      <c r="M162" s="1"/>
      <c r="N162"/>
      <c r="O162"/>
      <c r="P162"/>
      <c r="Q162"/>
      <c r="R162"/>
      <c r="S162"/>
      <c r="T162"/>
      <c r="U162"/>
      <c r="V162"/>
      <c r="W162"/>
      <c r="X162"/>
      <c r="Y162"/>
    </row>
    <row r="163" spans="1:25" s="2" customFormat="1" x14ac:dyDescent="0.2">
      <c r="A163" s="5" t="s">
        <v>10077</v>
      </c>
      <c r="B163" s="5" t="s">
        <v>83</v>
      </c>
      <c r="C163" s="5"/>
      <c r="D163" s="5" t="s">
        <v>10076</v>
      </c>
      <c r="E163" s="5" t="s">
        <v>368</v>
      </c>
      <c r="F163" s="5" t="s">
        <v>10075</v>
      </c>
      <c r="G163" s="5" t="s">
        <v>382</v>
      </c>
      <c r="H163" s="5" t="s">
        <v>3</v>
      </c>
      <c r="I163" s="5"/>
      <c r="J163" s="5" t="s">
        <v>10075</v>
      </c>
      <c r="M163" s="1"/>
      <c r="N163"/>
      <c r="O163"/>
      <c r="P163"/>
      <c r="Q163"/>
      <c r="R163"/>
      <c r="S163"/>
      <c r="T163"/>
      <c r="U163"/>
      <c r="V163"/>
      <c r="W163"/>
      <c r="X163"/>
      <c r="Y163"/>
    </row>
    <row r="164" spans="1:25" s="2" customFormat="1" x14ac:dyDescent="0.2">
      <c r="A164" s="5" t="s">
        <v>10074</v>
      </c>
      <c r="B164" s="5" t="s">
        <v>83</v>
      </c>
      <c r="C164" s="5"/>
      <c r="D164" s="5" t="s">
        <v>10073</v>
      </c>
      <c r="E164" s="5" t="s">
        <v>368</v>
      </c>
      <c r="F164" s="5" t="s">
        <v>10072</v>
      </c>
      <c r="G164" s="5" t="s">
        <v>382</v>
      </c>
      <c r="H164" s="5" t="s">
        <v>3</v>
      </c>
      <c r="I164" s="5"/>
      <c r="J164" s="5" t="s">
        <v>10072</v>
      </c>
      <c r="M164" s="1"/>
      <c r="N164"/>
      <c r="O164"/>
      <c r="P164"/>
      <c r="Q164"/>
      <c r="R164"/>
      <c r="S164"/>
      <c r="T164"/>
      <c r="U164"/>
      <c r="V164"/>
      <c r="W164"/>
      <c r="X164"/>
      <c r="Y164"/>
    </row>
    <row r="165" spans="1:25" s="2" customFormat="1" x14ac:dyDescent="0.2">
      <c r="A165" s="5" t="s">
        <v>10071</v>
      </c>
      <c r="B165" s="5" t="s">
        <v>83</v>
      </c>
      <c r="C165" s="5"/>
      <c r="D165" s="5" t="s">
        <v>10070</v>
      </c>
      <c r="E165" s="5" t="s">
        <v>368</v>
      </c>
      <c r="F165" s="5" t="s">
        <v>10069</v>
      </c>
      <c r="G165" s="5" t="s">
        <v>382</v>
      </c>
      <c r="H165" s="5" t="s">
        <v>3</v>
      </c>
      <c r="I165" s="5"/>
      <c r="J165" s="5" t="s">
        <v>10069</v>
      </c>
      <c r="M165" s="1"/>
      <c r="N165"/>
      <c r="O165"/>
      <c r="P165"/>
      <c r="Q165"/>
      <c r="R165"/>
      <c r="S165"/>
      <c r="T165"/>
      <c r="U165"/>
      <c r="V165"/>
      <c r="W165"/>
      <c r="X165"/>
      <c r="Y165"/>
    </row>
    <row r="166" spans="1:25" s="2" customFormat="1" x14ac:dyDescent="0.2">
      <c r="A166" s="5" t="s">
        <v>10068</v>
      </c>
      <c r="B166" s="5" t="s">
        <v>83</v>
      </c>
      <c r="C166" s="5"/>
      <c r="D166" s="5" t="s">
        <v>10067</v>
      </c>
      <c r="E166" s="5" t="s">
        <v>368</v>
      </c>
      <c r="F166" s="5" t="s">
        <v>10066</v>
      </c>
      <c r="G166" s="5" t="s">
        <v>382</v>
      </c>
      <c r="H166" s="5" t="s">
        <v>3</v>
      </c>
      <c r="I166" s="5"/>
      <c r="J166" s="5" t="s">
        <v>10066</v>
      </c>
      <c r="M166" s="1"/>
      <c r="N166"/>
      <c r="O166"/>
      <c r="P166"/>
      <c r="Q166"/>
      <c r="R166"/>
      <c r="S166"/>
      <c r="T166"/>
      <c r="U166"/>
      <c r="V166"/>
      <c r="W166"/>
      <c r="X166"/>
      <c r="Y166"/>
    </row>
    <row r="167" spans="1:25" x14ac:dyDescent="0.2">
      <c r="A167" s="5" t="s">
        <v>10065</v>
      </c>
      <c r="B167" s="5" t="s">
        <v>83</v>
      </c>
      <c r="C167" s="5"/>
      <c r="D167" s="5" t="s">
        <v>10064</v>
      </c>
      <c r="E167" s="5" t="s">
        <v>368</v>
      </c>
      <c r="F167" s="5" t="s">
        <v>10063</v>
      </c>
      <c r="G167" s="5" t="s">
        <v>382</v>
      </c>
      <c r="H167" s="5" t="s">
        <v>3</v>
      </c>
      <c r="I167" s="5"/>
      <c r="J167" s="5" t="s">
        <v>10063</v>
      </c>
    </row>
    <row r="168" spans="1:25" x14ac:dyDescent="0.2">
      <c r="A168" s="5" t="s">
        <v>10062</v>
      </c>
      <c r="B168" s="5" t="s">
        <v>83</v>
      </c>
      <c r="C168" s="5"/>
      <c r="D168" s="5" t="s">
        <v>10061</v>
      </c>
      <c r="E168" s="5" t="s">
        <v>368</v>
      </c>
      <c r="F168" s="5" t="s">
        <v>10060</v>
      </c>
      <c r="G168" s="5" t="s">
        <v>382</v>
      </c>
      <c r="H168" s="5" t="s">
        <v>3</v>
      </c>
      <c r="I168" s="5"/>
      <c r="J168" s="5" t="s">
        <v>10060</v>
      </c>
    </row>
    <row r="169" spans="1:25" x14ac:dyDescent="0.2">
      <c r="A169" s="5" t="s">
        <v>10059</v>
      </c>
      <c r="B169" s="5" t="s">
        <v>83</v>
      </c>
      <c r="C169" s="5"/>
      <c r="D169" s="5" t="s">
        <v>10058</v>
      </c>
      <c r="E169" s="5" t="s">
        <v>368</v>
      </c>
      <c r="F169" s="5" t="s">
        <v>10057</v>
      </c>
      <c r="G169" s="5" t="s">
        <v>382</v>
      </c>
      <c r="H169" s="5" t="s">
        <v>3</v>
      </c>
      <c r="I169" s="5"/>
      <c r="J169" s="5" t="s">
        <v>10057</v>
      </c>
    </row>
    <row r="170" spans="1:25" x14ac:dyDescent="0.2">
      <c r="A170" s="5" t="s">
        <v>10056</v>
      </c>
      <c r="B170" s="5" t="s">
        <v>83</v>
      </c>
      <c r="C170" s="5"/>
      <c r="D170" s="5" t="s">
        <v>10055</v>
      </c>
      <c r="E170" s="5" t="s">
        <v>368</v>
      </c>
      <c r="F170" s="5" t="s">
        <v>10054</v>
      </c>
      <c r="G170" s="5" t="s">
        <v>382</v>
      </c>
      <c r="H170" s="5" t="s">
        <v>3</v>
      </c>
      <c r="I170" s="5"/>
      <c r="J170" s="5" t="s">
        <v>10054</v>
      </c>
    </row>
    <row r="171" spans="1:25" x14ac:dyDescent="0.2">
      <c r="A171" s="5" t="s">
        <v>10053</v>
      </c>
      <c r="B171" s="5" t="s">
        <v>83</v>
      </c>
      <c r="C171" s="5"/>
      <c r="D171" s="5" t="s">
        <v>10052</v>
      </c>
      <c r="E171" s="5" t="s">
        <v>368</v>
      </c>
      <c r="F171" s="5" t="s">
        <v>10051</v>
      </c>
      <c r="G171" s="5" t="s">
        <v>382</v>
      </c>
      <c r="H171" s="5" t="s">
        <v>3</v>
      </c>
      <c r="I171" s="5"/>
      <c r="J171" s="5" t="s">
        <v>10051</v>
      </c>
    </row>
    <row r="172" spans="1:25" x14ac:dyDescent="0.2">
      <c r="A172" s="5" t="s">
        <v>10050</v>
      </c>
      <c r="B172" s="5" t="s">
        <v>83</v>
      </c>
      <c r="C172" s="5"/>
      <c r="D172" s="5" t="s">
        <v>10049</v>
      </c>
      <c r="E172" s="5" t="s">
        <v>368</v>
      </c>
      <c r="F172" s="5" t="s">
        <v>10048</v>
      </c>
      <c r="G172" s="5" t="s">
        <v>382</v>
      </c>
      <c r="H172" s="5" t="s">
        <v>3</v>
      </c>
      <c r="I172" s="5"/>
      <c r="J172" s="5" t="s">
        <v>10048</v>
      </c>
    </row>
    <row r="173" spans="1:25" x14ac:dyDescent="0.2">
      <c r="A173" s="5" t="s">
        <v>10047</v>
      </c>
      <c r="B173" s="5" t="s">
        <v>83</v>
      </c>
      <c r="C173" s="5"/>
      <c r="D173" s="5" t="s">
        <v>10046</v>
      </c>
      <c r="E173" s="5" t="s">
        <v>368</v>
      </c>
      <c r="F173" s="5" t="s">
        <v>10045</v>
      </c>
      <c r="G173" s="5" t="s">
        <v>382</v>
      </c>
      <c r="H173" s="5" t="s">
        <v>3</v>
      </c>
      <c r="I173" s="5"/>
      <c r="J173" s="5" t="s">
        <v>10045</v>
      </c>
    </row>
    <row r="174" spans="1:25" x14ac:dyDescent="0.2">
      <c r="A174" s="5" t="s">
        <v>10044</v>
      </c>
      <c r="B174" s="5" t="s">
        <v>83</v>
      </c>
      <c r="C174" s="5"/>
      <c r="D174" s="5" t="s">
        <v>10043</v>
      </c>
      <c r="E174" s="5" t="s">
        <v>368</v>
      </c>
      <c r="F174" s="5" t="s">
        <v>10042</v>
      </c>
      <c r="G174" s="5" t="s">
        <v>382</v>
      </c>
      <c r="H174" s="5" t="s">
        <v>3</v>
      </c>
      <c r="I174" s="5"/>
      <c r="J174" s="5" t="s">
        <v>10042</v>
      </c>
    </row>
    <row r="175" spans="1:25" x14ac:dyDescent="0.2">
      <c r="A175" s="5" t="s">
        <v>10041</v>
      </c>
      <c r="B175" s="5" t="s">
        <v>83</v>
      </c>
      <c r="C175" s="5"/>
      <c r="D175" s="5" t="s">
        <v>10040</v>
      </c>
      <c r="E175" s="5" t="s">
        <v>368</v>
      </c>
      <c r="F175" s="5" t="s">
        <v>10039</v>
      </c>
      <c r="G175" s="5" t="s">
        <v>382</v>
      </c>
      <c r="H175" s="5" t="s">
        <v>3</v>
      </c>
      <c r="I175" s="5"/>
      <c r="J175" s="5" t="s">
        <v>10039</v>
      </c>
    </row>
    <row r="176" spans="1:25" x14ac:dyDescent="0.2">
      <c r="A176" s="5" t="s">
        <v>10038</v>
      </c>
      <c r="B176" s="5" t="s">
        <v>83</v>
      </c>
      <c r="C176" s="5"/>
      <c r="D176" s="5" t="s">
        <v>10037</v>
      </c>
      <c r="E176" s="5" t="s">
        <v>368</v>
      </c>
      <c r="F176" s="5" t="s">
        <v>10036</v>
      </c>
      <c r="G176" s="5" t="s">
        <v>382</v>
      </c>
      <c r="H176" s="5" t="s">
        <v>3</v>
      </c>
      <c r="I176" s="5"/>
      <c r="J176" s="5" t="s">
        <v>10036</v>
      </c>
    </row>
    <row r="177" spans="1:10" x14ac:dyDescent="0.2">
      <c r="A177" s="5" t="s">
        <v>10035</v>
      </c>
      <c r="B177" s="5" t="s">
        <v>83</v>
      </c>
      <c r="C177" s="5"/>
      <c r="D177" s="5" t="s">
        <v>10034</v>
      </c>
      <c r="E177" s="5" t="s">
        <v>368</v>
      </c>
      <c r="F177" s="5" t="s">
        <v>10033</v>
      </c>
      <c r="G177" s="5" t="s">
        <v>382</v>
      </c>
      <c r="H177" s="5" t="s">
        <v>3</v>
      </c>
      <c r="I177" s="5"/>
      <c r="J177" s="5" t="s">
        <v>10033</v>
      </c>
    </row>
    <row r="178" spans="1:10" x14ac:dyDescent="0.2">
      <c r="A178" s="5" t="s">
        <v>10032</v>
      </c>
      <c r="B178" s="5" t="s">
        <v>83</v>
      </c>
      <c r="C178" s="5"/>
      <c r="D178" s="5" t="s">
        <v>10031</v>
      </c>
      <c r="E178" s="5" t="s">
        <v>368</v>
      </c>
      <c r="F178" s="5" t="s">
        <v>10030</v>
      </c>
      <c r="G178" s="5" t="s">
        <v>382</v>
      </c>
      <c r="H178" s="5" t="s">
        <v>3</v>
      </c>
      <c r="I178" s="5"/>
      <c r="J178" s="5" t="s">
        <v>10030</v>
      </c>
    </row>
    <row r="179" spans="1:10" x14ac:dyDescent="0.2">
      <c r="A179" s="5" t="s">
        <v>10029</v>
      </c>
      <c r="B179" s="5" t="s">
        <v>83</v>
      </c>
      <c r="C179" s="5"/>
      <c r="D179" s="5" t="s">
        <v>10028</v>
      </c>
      <c r="E179" s="5" t="s">
        <v>368</v>
      </c>
      <c r="F179" s="5" t="s">
        <v>10027</v>
      </c>
      <c r="G179" s="5" t="s">
        <v>382</v>
      </c>
      <c r="H179" s="5" t="s">
        <v>3</v>
      </c>
      <c r="I179" s="5"/>
      <c r="J179" s="5" t="s">
        <v>10027</v>
      </c>
    </row>
    <row r="180" spans="1:10" x14ac:dyDescent="0.2">
      <c r="A180" s="5" t="s">
        <v>10026</v>
      </c>
      <c r="B180" s="5" t="s">
        <v>83</v>
      </c>
      <c r="C180" s="5"/>
      <c r="D180" s="5" t="s">
        <v>10025</v>
      </c>
      <c r="E180" s="5" t="s">
        <v>368</v>
      </c>
      <c r="F180" s="5" t="s">
        <v>10024</v>
      </c>
      <c r="G180" s="5" t="s">
        <v>382</v>
      </c>
      <c r="H180" s="5" t="s">
        <v>3</v>
      </c>
      <c r="I180" s="5"/>
      <c r="J180" s="5" t="s">
        <v>10024</v>
      </c>
    </row>
    <row r="181" spans="1:10" x14ac:dyDescent="0.2">
      <c r="A181" s="5" t="s">
        <v>10023</v>
      </c>
      <c r="B181" s="5" t="s">
        <v>83</v>
      </c>
      <c r="C181" s="5"/>
      <c r="D181" s="5" t="s">
        <v>10022</v>
      </c>
      <c r="E181" s="5" t="s">
        <v>368</v>
      </c>
      <c r="F181" s="5" t="s">
        <v>10021</v>
      </c>
      <c r="G181" s="5" t="s">
        <v>382</v>
      </c>
      <c r="H181" s="5" t="s">
        <v>3</v>
      </c>
      <c r="I181" s="5"/>
      <c r="J181" s="5" t="s">
        <v>10021</v>
      </c>
    </row>
    <row r="182" spans="1:10" x14ac:dyDescent="0.2">
      <c r="A182" s="5" t="s">
        <v>10020</v>
      </c>
      <c r="B182" s="5" t="s">
        <v>83</v>
      </c>
      <c r="C182" s="5"/>
      <c r="D182" s="5" t="s">
        <v>10019</v>
      </c>
      <c r="E182" s="5" t="s">
        <v>368</v>
      </c>
      <c r="F182" s="5" t="s">
        <v>10018</v>
      </c>
      <c r="G182" s="5" t="s">
        <v>382</v>
      </c>
      <c r="H182" s="5" t="s">
        <v>3</v>
      </c>
      <c r="I182" s="5"/>
      <c r="J182" s="5" t="s">
        <v>10018</v>
      </c>
    </row>
    <row r="183" spans="1:10" x14ac:dyDescent="0.2">
      <c r="A183" s="5" t="s">
        <v>10017</v>
      </c>
      <c r="B183" s="5" t="s">
        <v>83</v>
      </c>
      <c r="C183" s="5"/>
      <c r="D183" s="5" t="s">
        <v>10016</v>
      </c>
      <c r="E183" s="5" t="s">
        <v>368</v>
      </c>
      <c r="F183" s="5" t="s">
        <v>10015</v>
      </c>
      <c r="G183" s="5" t="s">
        <v>382</v>
      </c>
      <c r="H183" s="5" t="s">
        <v>3</v>
      </c>
      <c r="I183" s="5"/>
      <c r="J183" s="5" t="s">
        <v>10015</v>
      </c>
    </row>
    <row r="184" spans="1:10" x14ac:dyDescent="0.2">
      <c r="A184" s="5" t="s">
        <v>10014</v>
      </c>
      <c r="B184" s="5" t="s">
        <v>83</v>
      </c>
      <c r="C184" s="5"/>
      <c r="D184" s="5" t="s">
        <v>10013</v>
      </c>
      <c r="E184" s="5" t="s">
        <v>368</v>
      </c>
      <c r="F184" s="5" t="s">
        <v>10012</v>
      </c>
      <c r="G184" s="5" t="s">
        <v>382</v>
      </c>
      <c r="H184" s="5" t="s">
        <v>3</v>
      </c>
      <c r="I184" s="5"/>
      <c r="J184" s="5" t="s">
        <v>10012</v>
      </c>
    </row>
    <row r="185" spans="1:10" x14ac:dyDescent="0.2">
      <c r="A185" s="5" t="s">
        <v>10011</v>
      </c>
      <c r="B185" s="5" t="s">
        <v>83</v>
      </c>
      <c r="C185" s="5"/>
      <c r="D185" s="5" t="s">
        <v>10010</v>
      </c>
      <c r="E185" s="5" t="s">
        <v>368</v>
      </c>
      <c r="F185" s="5" t="s">
        <v>10009</v>
      </c>
      <c r="G185" s="5" t="s">
        <v>382</v>
      </c>
      <c r="H185" s="5" t="s">
        <v>3</v>
      </c>
      <c r="I185" s="5"/>
      <c r="J185" s="5" t="s">
        <v>10009</v>
      </c>
    </row>
    <row r="186" spans="1:10" x14ac:dyDescent="0.2">
      <c r="A186" s="5" t="s">
        <v>10008</v>
      </c>
      <c r="B186" s="5" t="s">
        <v>83</v>
      </c>
      <c r="C186" s="5"/>
      <c r="D186" s="5" t="s">
        <v>10007</v>
      </c>
      <c r="E186" s="5" t="s">
        <v>368</v>
      </c>
      <c r="F186" s="5" t="s">
        <v>10006</v>
      </c>
      <c r="G186" s="5" t="s">
        <v>382</v>
      </c>
      <c r="H186" s="5" t="s">
        <v>3</v>
      </c>
      <c r="I186" s="5"/>
      <c r="J186" s="5" t="s">
        <v>10006</v>
      </c>
    </row>
    <row r="187" spans="1:10" x14ac:dyDescent="0.2">
      <c r="A187" s="5" t="s">
        <v>10005</v>
      </c>
      <c r="B187" s="5" t="s">
        <v>83</v>
      </c>
      <c r="C187" s="5"/>
      <c r="D187" s="5" t="s">
        <v>10004</v>
      </c>
      <c r="E187" s="5" t="s">
        <v>368</v>
      </c>
      <c r="F187" s="5" t="s">
        <v>10003</v>
      </c>
      <c r="G187" s="5" t="s">
        <v>382</v>
      </c>
      <c r="H187" s="5" t="s">
        <v>3</v>
      </c>
      <c r="I187" s="5"/>
      <c r="J187" s="5" t="s">
        <v>10003</v>
      </c>
    </row>
    <row r="188" spans="1:10" x14ac:dyDescent="0.2">
      <c r="A188" s="5" t="s">
        <v>10002</v>
      </c>
      <c r="B188" s="5" t="s">
        <v>83</v>
      </c>
      <c r="C188" s="5"/>
      <c r="D188" s="5" t="s">
        <v>10001</v>
      </c>
      <c r="E188" s="5" t="s">
        <v>368</v>
      </c>
      <c r="F188" s="5" t="s">
        <v>10000</v>
      </c>
      <c r="G188" s="5" t="s">
        <v>382</v>
      </c>
      <c r="H188" s="5" t="s">
        <v>3</v>
      </c>
      <c r="I188" s="5"/>
      <c r="J188" s="5" t="s">
        <v>10000</v>
      </c>
    </row>
    <row r="189" spans="1:10" x14ac:dyDescent="0.2">
      <c r="A189" s="5" t="s">
        <v>9999</v>
      </c>
      <c r="B189" s="5" t="s">
        <v>83</v>
      </c>
      <c r="C189" s="5"/>
      <c r="D189" s="5" t="s">
        <v>9998</v>
      </c>
      <c r="E189" s="5" t="s">
        <v>368</v>
      </c>
      <c r="F189" s="5" t="s">
        <v>9997</v>
      </c>
      <c r="G189" s="5" t="s">
        <v>382</v>
      </c>
      <c r="H189" s="5" t="s">
        <v>3</v>
      </c>
      <c r="I189" s="5"/>
      <c r="J189" s="5" t="s">
        <v>9997</v>
      </c>
    </row>
    <row r="190" spans="1:10" x14ac:dyDescent="0.2">
      <c r="A190" s="5" t="s">
        <v>9996</v>
      </c>
      <c r="B190" s="5" t="s">
        <v>83</v>
      </c>
      <c r="C190" s="5"/>
      <c r="D190" s="5" t="s">
        <v>9995</v>
      </c>
      <c r="E190" s="5" t="s">
        <v>368</v>
      </c>
      <c r="F190" s="5" t="s">
        <v>9994</v>
      </c>
      <c r="G190" s="5" t="s">
        <v>382</v>
      </c>
      <c r="H190" s="5" t="s">
        <v>3</v>
      </c>
      <c r="I190" s="5"/>
      <c r="J190" s="5" t="s">
        <v>9994</v>
      </c>
    </row>
    <row r="191" spans="1:10" x14ac:dyDescent="0.2">
      <c r="A191" s="5" t="s">
        <v>9993</v>
      </c>
      <c r="B191" s="5" t="s">
        <v>83</v>
      </c>
      <c r="C191" s="5"/>
      <c r="D191" s="5" t="s">
        <v>9992</v>
      </c>
      <c r="E191" s="5" t="s">
        <v>368</v>
      </c>
      <c r="F191" s="5" t="s">
        <v>9991</v>
      </c>
      <c r="G191" s="5" t="s">
        <v>382</v>
      </c>
      <c r="H191" s="5" t="s">
        <v>3</v>
      </c>
      <c r="I191" s="5"/>
      <c r="J191" s="5" t="s">
        <v>9991</v>
      </c>
    </row>
    <row r="192" spans="1:10" x14ac:dyDescent="0.2">
      <c r="A192" s="5" t="s">
        <v>9990</v>
      </c>
      <c r="B192" s="5" t="s">
        <v>83</v>
      </c>
      <c r="C192" s="5"/>
      <c r="D192" s="5" t="s">
        <v>9989</v>
      </c>
      <c r="E192" s="5" t="s">
        <v>368</v>
      </c>
      <c r="F192" s="5" t="s">
        <v>9988</v>
      </c>
      <c r="G192" s="5" t="s">
        <v>382</v>
      </c>
      <c r="H192" s="5" t="s">
        <v>3</v>
      </c>
      <c r="I192" s="5"/>
      <c r="J192" s="5" t="s">
        <v>9988</v>
      </c>
    </row>
    <row r="193" spans="1:10" x14ac:dyDescent="0.2">
      <c r="A193" s="5" t="s">
        <v>9987</v>
      </c>
      <c r="B193" s="5" t="s">
        <v>83</v>
      </c>
      <c r="C193" s="5"/>
      <c r="D193" s="5" t="s">
        <v>9986</v>
      </c>
      <c r="E193" s="5" t="s">
        <v>368</v>
      </c>
      <c r="F193" s="5" t="s">
        <v>9985</v>
      </c>
      <c r="G193" s="5" t="s">
        <v>382</v>
      </c>
      <c r="H193" s="5" t="s">
        <v>3</v>
      </c>
      <c r="I193" s="5"/>
      <c r="J193" s="5" t="s">
        <v>9985</v>
      </c>
    </row>
    <row r="194" spans="1:10" x14ac:dyDescent="0.2">
      <c r="A194" s="5" t="s">
        <v>9984</v>
      </c>
      <c r="B194" s="5" t="s">
        <v>83</v>
      </c>
      <c r="C194" s="5"/>
      <c r="D194" s="5" t="s">
        <v>9983</v>
      </c>
      <c r="E194" s="5" t="s">
        <v>368</v>
      </c>
      <c r="F194" s="5" t="s">
        <v>9982</v>
      </c>
      <c r="G194" s="5" t="s">
        <v>382</v>
      </c>
      <c r="H194" s="5" t="s">
        <v>3</v>
      </c>
      <c r="I194" s="5"/>
      <c r="J194" s="5" t="s">
        <v>9982</v>
      </c>
    </row>
    <row r="195" spans="1:10" x14ac:dyDescent="0.2">
      <c r="A195" s="5" t="s">
        <v>9981</v>
      </c>
      <c r="B195" s="5" t="s">
        <v>83</v>
      </c>
      <c r="C195" s="5"/>
      <c r="D195" s="5" t="s">
        <v>9980</v>
      </c>
      <c r="E195" s="5" t="s">
        <v>368</v>
      </c>
      <c r="F195" s="5" t="s">
        <v>9979</v>
      </c>
      <c r="G195" s="5" t="s">
        <v>382</v>
      </c>
      <c r="H195" s="5" t="s">
        <v>3</v>
      </c>
      <c r="I195" s="5"/>
      <c r="J195" s="5" t="s">
        <v>9979</v>
      </c>
    </row>
    <row r="196" spans="1:10" x14ac:dyDescent="0.2">
      <c r="A196" s="5" t="s">
        <v>9978</v>
      </c>
      <c r="B196" s="5" t="s">
        <v>83</v>
      </c>
      <c r="C196" s="5"/>
      <c r="D196" s="5" t="s">
        <v>9977</v>
      </c>
      <c r="E196" s="5" t="s">
        <v>368</v>
      </c>
      <c r="F196" s="5" t="s">
        <v>9976</v>
      </c>
      <c r="G196" s="5" t="s">
        <v>382</v>
      </c>
      <c r="H196" s="5" t="s">
        <v>3</v>
      </c>
      <c r="I196" s="5"/>
      <c r="J196" s="5" t="s">
        <v>9976</v>
      </c>
    </row>
    <row r="197" spans="1:10" x14ac:dyDescent="0.2">
      <c r="A197" s="5" t="s">
        <v>9975</v>
      </c>
      <c r="B197" s="5" t="s">
        <v>83</v>
      </c>
      <c r="C197" s="5"/>
      <c r="D197" s="5" t="s">
        <v>9974</v>
      </c>
      <c r="E197" s="5" t="s">
        <v>368</v>
      </c>
      <c r="F197" s="5" t="s">
        <v>9973</v>
      </c>
      <c r="G197" s="5" t="s">
        <v>382</v>
      </c>
      <c r="H197" s="5" t="s">
        <v>3</v>
      </c>
      <c r="I197" s="5"/>
      <c r="J197" s="5" t="s">
        <v>9973</v>
      </c>
    </row>
    <row r="198" spans="1:10" x14ac:dyDescent="0.2">
      <c r="A198" s="5" t="s">
        <v>9972</v>
      </c>
      <c r="B198" s="5" t="s">
        <v>83</v>
      </c>
      <c r="C198" s="5"/>
      <c r="D198" s="5" t="s">
        <v>9971</v>
      </c>
      <c r="E198" s="5" t="s">
        <v>368</v>
      </c>
      <c r="F198" s="5" t="s">
        <v>9970</v>
      </c>
      <c r="G198" s="5" t="s">
        <v>382</v>
      </c>
      <c r="H198" s="5" t="s">
        <v>3</v>
      </c>
      <c r="I198" s="5"/>
      <c r="J198" s="5" t="s">
        <v>9970</v>
      </c>
    </row>
    <row r="199" spans="1:10" x14ac:dyDescent="0.2">
      <c r="A199" s="5" t="s">
        <v>9969</v>
      </c>
      <c r="B199" s="5" t="s">
        <v>83</v>
      </c>
      <c r="C199" s="5"/>
      <c r="D199" s="5" t="s">
        <v>9968</v>
      </c>
      <c r="E199" s="5" t="s">
        <v>368</v>
      </c>
      <c r="F199" s="5" t="s">
        <v>9967</v>
      </c>
      <c r="G199" s="5" t="s">
        <v>382</v>
      </c>
      <c r="H199" s="5" t="s">
        <v>3</v>
      </c>
      <c r="I199" s="5"/>
      <c r="J199" s="5" t="s">
        <v>9967</v>
      </c>
    </row>
    <row r="200" spans="1:10" x14ac:dyDescent="0.2">
      <c r="A200" s="5" t="s">
        <v>9966</v>
      </c>
      <c r="B200" s="5" t="s">
        <v>83</v>
      </c>
      <c r="C200" s="5"/>
      <c r="D200" s="5" t="s">
        <v>9965</v>
      </c>
      <c r="E200" s="5" t="s">
        <v>368</v>
      </c>
      <c r="F200" s="5" t="s">
        <v>9964</v>
      </c>
      <c r="G200" s="5" t="s">
        <v>382</v>
      </c>
      <c r="H200" s="5" t="s">
        <v>3</v>
      </c>
      <c r="I200" s="5"/>
      <c r="J200" s="5" t="s">
        <v>9964</v>
      </c>
    </row>
    <row r="201" spans="1:10" x14ac:dyDescent="0.2">
      <c r="A201" s="5" t="s">
        <v>9963</v>
      </c>
      <c r="B201" s="5" t="s">
        <v>83</v>
      </c>
      <c r="C201" s="5"/>
      <c r="D201" s="5" t="s">
        <v>9962</v>
      </c>
      <c r="E201" s="5" t="s">
        <v>368</v>
      </c>
      <c r="F201" s="5" t="s">
        <v>9961</v>
      </c>
      <c r="G201" s="5" t="s">
        <v>382</v>
      </c>
      <c r="H201" s="5" t="s">
        <v>3</v>
      </c>
      <c r="I201" s="5"/>
      <c r="J201" s="5" t="s">
        <v>9961</v>
      </c>
    </row>
    <row r="202" spans="1:10" x14ac:dyDescent="0.2">
      <c r="A202" s="5" t="s">
        <v>9960</v>
      </c>
      <c r="B202" s="5" t="s">
        <v>83</v>
      </c>
      <c r="C202" s="5"/>
      <c r="D202" s="5" t="s">
        <v>9959</v>
      </c>
      <c r="E202" s="5" t="s">
        <v>368</v>
      </c>
      <c r="F202" s="5" t="s">
        <v>9958</v>
      </c>
      <c r="G202" s="5" t="s">
        <v>382</v>
      </c>
      <c r="H202" s="5" t="s">
        <v>3</v>
      </c>
      <c r="I202" s="5"/>
      <c r="J202" s="5" t="s">
        <v>9958</v>
      </c>
    </row>
    <row r="203" spans="1:10" x14ac:dyDescent="0.2">
      <c r="A203" s="5" t="s">
        <v>9957</v>
      </c>
      <c r="B203" s="5" t="s">
        <v>83</v>
      </c>
      <c r="C203" s="5"/>
      <c r="D203" s="5" t="s">
        <v>9956</v>
      </c>
      <c r="E203" s="5" t="s">
        <v>368</v>
      </c>
      <c r="F203" s="5" t="s">
        <v>9955</v>
      </c>
      <c r="G203" s="5" t="s">
        <v>382</v>
      </c>
      <c r="H203" s="5" t="s">
        <v>3</v>
      </c>
      <c r="I203" s="5"/>
      <c r="J203" s="5" t="s">
        <v>9955</v>
      </c>
    </row>
    <row r="204" spans="1:10" x14ac:dyDescent="0.2">
      <c r="A204" s="5" t="s">
        <v>9954</v>
      </c>
      <c r="B204" s="5" t="s">
        <v>83</v>
      </c>
      <c r="C204" s="5"/>
      <c r="D204" s="5" t="s">
        <v>9953</v>
      </c>
      <c r="E204" s="5" t="s">
        <v>368</v>
      </c>
      <c r="F204" s="5" t="s">
        <v>9952</v>
      </c>
      <c r="G204" s="5" t="s">
        <v>382</v>
      </c>
      <c r="H204" s="5" t="s">
        <v>3</v>
      </c>
      <c r="I204" s="5"/>
      <c r="J204" s="5" t="s">
        <v>9952</v>
      </c>
    </row>
    <row r="205" spans="1:10" x14ac:dyDescent="0.2">
      <c r="A205" s="5" t="s">
        <v>9951</v>
      </c>
      <c r="B205" s="5" t="s">
        <v>83</v>
      </c>
      <c r="C205" s="5"/>
      <c r="D205" s="5" t="s">
        <v>9950</v>
      </c>
      <c r="E205" s="5" t="s">
        <v>368</v>
      </c>
      <c r="F205" s="5" t="s">
        <v>9949</v>
      </c>
      <c r="G205" s="5" t="s">
        <v>382</v>
      </c>
      <c r="H205" s="5" t="s">
        <v>3</v>
      </c>
      <c r="I205" s="5"/>
      <c r="J205" s="5" t="s">
        <v>9949</v>
      </c>
    </row>
    <row r="206" spans="1:10" x14ac:dyDescent="0.2">
      <c r="A206" s="5" t="s">
        <v>9948</v>
      </c>
      <c r="B206" s="5" t="s">
        <v>83</v>
      </c>
      <c r="C206" s="5"/>
      <c r="D206" s="5" t="s">
        <v>9947</v>
      </c>
      <c r="E206" s="5" t="s">
        <v>368</v>
      </c>
      <c r="F206" s="5" t="s">
        <v>9946</v>
      </c>
      <c r="G206" s="5" t="s">
        <v>382</v>
      </c>
      <c r="H206" s="5" t="s">
        <v>3</v>
      </c>
      <c r="I206" s="5"/>
      <c r="J206" s="5" t="s">
        <v>9946</v>
      </c>
    </row>
    <row r="207" spans="1:10" x14ac:dyDescent="0.2">
      <c r="A207" s="5" t="s">
        <v>9945</v>
      </c>
      <c r="B207" s="5" t="s">
        <v>83</v>
      </c>
      <c r="C207" s="5"/>
      <c r="D207" s="5" t="s">
        <v>9944</v>
      </c>
      <c r="E207" s="5" t="s">
        <v>368</v>
      </c>
      <c r="F207" s="5" t="s">
        <v>9943</v>
      </c>
      <c r="G207" s="5" t="s">
        <v>382</v>
      </c>
      <c r="H207" s="5" t="s">
        <v>3</v>
      </c>
      <c r="I207" s="5"/>
      <c r="J207" s="5" t="s">
        <v>9943</v>
      </c>
    </row>
    <row r="208" spans="1:10" x14ac:dyDescent="0.2">
      <c r="A208" s="5" t="s">
        <v>9942</v>
      </c>
      <c r="B208" s="5" t="s">
        <v>83</v>
      </c>
      <c r="C208" s="5"/>
      <c r="D208" s="5" t="s">
        <v>9941</v>
      </c>
      <c r="E208" s="5" t="s">
        <v>368</v>
      </c>
      <c r="F208" s="5" t="s">
        <v>9940</v>
      </c>
      <c r="G208" s="5" t="s">
        <v>382</v>
      </c>
      <c r="H208" s="5" t="s">
        <v>3</v>
      </c>
      <c r="I208" s="5"/>
      <c r="J208" s="5" t="s">
        <v>9940</v>
      </c>
    </row>
    <row r="209" spans="1:10" x14ac:dyDescent="0.2">
      <c r="A209" s="5" t="s">
        <v>9939</v>
      </c>
      <c r="B209" s="5" t="s">
        <v>83</v>
      </c>
      <c r="C209" s="5"/>
      <c r="D209" s="5" t="s">
        <v>9938</v>
      </c>
      <c r="E209" s="5" t="s">
        <v>368</v>
      </c>
      <c r="F209" s="5" t="s">
        <v>9937</v>
      </c>
      <c r="G209" s="5" t="s">
        <v>382</v>
      </c>
      <c r="H209" s="5" t="s">
        <v>3</v>
      </c>
      <c r="I209" s="5"/>
      <c r="J209" s="5" t="s">
        <v>9937</v>
      </c>
    </row>
    <row r="210" spans="1:10" x14ac:dyDescent="0.2">
      <c r="A210" s="5" t="s">
        <v>9936</v>
      </c>
      <c r="B210" s="5" t="s">
        <v>83</v>
      </c>
      <c r="C210" s="5"/>
      <c r="D210" s="5" t="s">
        <v>9935</v>
      </c>
      <c r="E210" s="5" t="s">
        <v>368</v>
      </c>
      <c r="F210" s="5" t="s">
        <v>9934</v>
      </c>
      <c r="G210" s="5" t="s">
        <v>382</v>
      </c>
      <c r="H210" s="5" t="s">
        <v>3</v>
      </c>
      <c r="I210" s="5"/>
      <c r="J210" s="5" t="s">
        <v>9934</v>
      </c>
    </row>
    <row r="211" spans="1:10" x14ac:dyDescent="0.2">
      <c r="A211" s="5" t="s">
        <v>9933</v>
      </c>
      <c r="B211" s="5" t="s">
        <v>83</v>
      </c>
      <c r="C211" s="5"/>
      <c r="D211" s="5" t="s">
        <v>9932</v>
      </c>
      <c r="E211" s="5" t="s">
        <v>368</v>
      </c>
      <c r="F211" s="5" t="s">
        <v>9931</v>
      </c>
      <c r="G211" s="5" t="s">
        <v>382</v>
      </c>
      <c r="H211" s="5" t="s">
        <v>3</v>
      </c>
      <c r="I211" s="5"/>
      <c r="J211" s="5" t="s">
        <v>9931</v>
      </c>
    </row>
    <row r="212" spans="1:10" x14ac:dyDescent="0.2">
      <c r="A212" s="5" t="s">
        <v>9930</v>
      </c>
      <c r="B212" s="5" t="s">
        <v>83</v>
      </c>
      <c r="C212" s="5"/>
      <c r="D212" s="5" t="s">
        <v>9929</v>
      </c>
      <c r="E212" s="5" t="s">
        <v>368</v>
      </c>
      <c r="F212" s="5" t="s">
        <v>9928</v>
      </c>
      <c r="G212" s="5" t="s">
        <v>382</v>
      </c>
      <c r="H212" s="5" t="s">
        <v>3</v>
      </c>
      <c r="I212" s="5"/>
      <c r="J212" s="5" t="s">
        <v>9928</v>
      </c>
    </row>
    <row r="213" spans="1:10" x14ac:dyDescent="0.2">
      <c r="A213" s="5" t="s">
        <v>9927</v>
      </c>
      <c r="B213" s="5" t="s">
        <v>83</v>
      </c>
      <c r="C213" s="5"/>
      <c r="D213" s="5" t="s">
        <v>9926</v>
      </c>
      <c r="E213" s="5" t="s">
        <v>368</v>
      </c>
      <c r="F213" s="5" t="s">
        <v>9925</v>
      </c>
      <c r="G213" s="5" t="s">
        <v>382</v>
      </c>
      <c r="H213" s="5" t="s">
        <v>3</v>
      </c>
      <c r="I213" s="5"/>
      <c r="J213" s="5" t="s">
        <v>9925</v>
      </c>
    </row>
    <row r="214" spans="1:10" x14ac:dyDescent="0.2">
      <c r="A214" s="5" t="s">
        <v>9924</v>
      </c>
      <c r="B214" s="5" t="s">
        <v>83</v>
      </c>
      <c r="C214" s="5"/>
      <c r="D214" s="5" t="s">
        <v>9923</v>
      </c>
      <c r="E214" s="5" t="s">
        <v>368</v>
      </c>
      <c r="F214" s="5" t="s">
        <v>9922</v>
      </c>
      <c r="G214" s="5" t="s">
        <v>382</v>
      </c>
      <c r="H214" s="5" t="s">
        <v>3</v>
      </c>
      <c r="I214" s="5"/>
      <c r="J214" s="5" t="s">
        <v>9922</v>
      </c>
    </row>
    <row r="215" spans="1:10" x14ac:dyDescent="0.2">
      <c r="A215" s="5" t="s">
        <v>9921</v>
      </c>
      <c r="B215" s="5" t="s">
        <v>83</v>
      </c>
      <c r="C215" s="5"/>
      <c r="D215" s="5" t="s">
        <v>9920</v>
      </c>
      <c r="E215" s="5" t="s">
        <v>368</v>
      </c>
      <c r="F215" s="5" t="s">
        <v>9919</v>
      </c>
      <c r="G215" s="5" t="s">
        <v>382</v>
      </c>
      <c r="H215" s="5" t="s">
        <v>3</v>
      </c>
      <c r="I215" s="5"/>
      <c r="J215" s="5" t="s">
        <v>9919</v>
      </c>
    </row>
    <row r="216" spans="1:10" x14ac:dyDescent="0.2">
      <c r="A216" s="5" t="s">
        <v>9918</v>
      </c>
      <c r="B216" s="5" t="s">
        <v>83</v>
      </c>
      <c r="C216" s="5"/>
      <c r="D216" s="5" t="s">
        <v>9917</v>
      </c>
      <c r="E216" s="5" t="s">
        <v>368</v>
      </c>
      <c r="F216" s="5" t="s">
        <v>9916</v>
      </c>
      <c r="G216" s="5" t="s">
        <v>382</v>
      </c>
      <c r="H216" s="5" t="s">
        <v>3</v>
      </c>
      <c r="I216" s="5"/>
      <c r="J216" s="5" t="s">
        <v>9916</v>
      </c>
    </row>
    <row r="217" spans="1:10" x14ac:dyDescent="0.2">
      <c r="A217" s="5" t="s">
        <v>9915</v>
      </c>
      <c r="B217" s="5" t="s">
        <v>83</v>
      </c>
      <c r="C217" s="5"/>
      <c r="D217" s="5" t="s">
        <v>9914</v>
      </c>
      <c r="E217" s="5" t="s">
        <v>368</v>
      </c>
      <c r="F217" s="5" t="s">
        <v>9913</v>
      </c>
      <c r="G217" s="5" t="s">
        <v>382</v>
      </c>
      <c r="H217" s="5" t="s">
        <v>3</v>
      </c>
      <c r="I217" s="5"/>
      <c r="J217" s="5" t="s">
        <v>9913</v>
      </c>
    </row>
    <row r="218" spans="1:10" x14ac:dyDescent="0.2">
      <c r="A218" s="5" t="s">
        <v>9912</v>
      </c>
      <c r="B218" s="5" t="s">
        <v>83</v>
      </c>
      <c r="C218" s="5"/>
      <c r="D218" s="5" t="s">
        <v>9911</v>
      </c>
      <c r="E218" s="5" t="s">
        <v>368</v>
      </c>
      <c r="F218" s="5" t="s">
        <v>9910</v>
      </c>
      <c r="G218" s="5" t="s">
        <v>382</v>
      </c>
      <c r="H218" s="5" t="s">
        <v>3</v>
      </c>
      <c r="I218" s="5"/>
      <c r="J218" s="5" t="s">
        <v>9910</v>
      </c>
    </row>
    <row r="219" spans="1:10" x14ac:dyDescent="0.2">
      <c r="A219" s="5" t="s">
        <v>9909</v>
      </c>
      <c r="B219" s="5" t="s">
        <v>83</v>
      </c>
      <c r="C219" s="5"/>
      <c r="D219" s="5" t="s">
        <v>9908</v>
      </c>
      <c r="E219" s="5" t="s">
        <v>368</v>
      </c>
      <c r="F219" s="5" t="s">
        <v>9907</v>
      </c>
      <c r="G219" s="5" t="s">
        <v>382</v>
      </c>
      <c r="H219" s="5" t="s">
        <v>3</v>
      </c>
      <c r="I219" s="5"/>
      <c r="J219" s="5" t="s">
        <v>9907</v>
      </c>
    </row>
    <row r="220" spans="1:10" x14ac:dyDescent="0.2">
      <c r="A220" s="5" t="s">
        <v>9906</v>
      </c>
      <c r="B220" s="5" t="s">
        <v>83</v>
      </c>
      <c r="C220" s="5"/>
      <c r="D220" s="5" t="s">
        <v>9905</v>
      </c>
      <c r="E220" s="5" t="s">
        <v>368</v>
      </c>
      <c r="F220" s="5" t="s">
        <v>9904</v>
      </c>
      <c r="G220" s="5" t="s">
        <v>382</v>
      </c>
      <c r="H220" s="5" t="s">
        <v>3</v>
      </c>
      <c r="I220" s="5"/>
      <c r="J220" s="5" t="s">
        <v>9904</v>
      </c>
    </row>
    <row r="221" spans="1:10" x14ac:dyDescent="0.2">
      <c r="A221" s="5" t="s">
        <v>9903</v>
      </c>
      <c r="B221" s="5" t="s">
        <v>83</v>
      </c>
      <c r="C221" s="5"/>
      <c r="D221" s="5" t="s">
        <v>9902</v>
      </c>
      <c r="E221" s="5" t="s">
        <v>368</v>
      </c>
      <c r="F221" s="5" t="s">
        <v>9901</v>
      </c>
      <c r="G221" s="5" t="s">
        <v>382</v>
      </c>
      <c r="H221" s="5" t="s">
        <v>3</v>
      </c>
      <c r="I221" s="5"/>
      <c r="J221" s="5" t="s">
        <v>9901</v>
      </c>
    </row>
    <row r="222" spans="1:10" x14ac:dyDescent="0.2">
      <c r="A222" s="5" t="s">
        <v>9900</v>
      </c>
      <c r="B222" s="5" t="s">
        <v>83</v>
      </c>
      <c r="C222" s="5"/>
      <c r="D222" s="5" t="s">
        <v>9899</v>
      </c>
      <c r="E222" s="5" t="s">
        <v>368</v>
      </c>
      <c r="F222" s="5" t="s">
        <v>9898</v>
      </c>
      <c r="G222" s="5" t="s">
        <v>382</v>
      </c>
      <c r="H222" s="5" t="s">
        <v>3</v>
      </c>
      <c r="I222" s="5"/>
      <c r="J222" s="5" t="s">
        <v>9898</v>
      </c>
    </row>
    <row r="223" spans="1:10" x14ac:dyDescent="0.2">
      <c r="A223" s="5" t="s">
        <v>9897</v>
      </c>
      <c r="B223" s="5" t="s">
        <v>83</v>
      </c>
      <c r="C223" s="5"/>
      <c r="D223" s="5" t="s">
        <v>9896</v>
      </c>
      <c r="E223" s="5" t="s">
        <v>368</v>
      </c>
      <c r="F223" s="5" t="s">
        <v>9895</v>
      </c>
      <c r="G223" s="5" t="s">
        <v>382</v>
      </c>
      <c r="H223" s="5" t="s">
        <v>3</v>
      </c>
      <c r="I223" s="5"/>
      <c r="J223" s="5" t="s">
        <v>9895</v>
      </c>
    </row>
    <row r="224" spans="1:10" x14ac:dyDescent="0.2">
      <c r="A224" s="5" t="s">
        <v>9894</v>
      </c>
      <c r="B224" s="5" t="s">
        <v>83</v>
      </c>
      <c r="C224" s="5"/>
      <c r="D224" s="5" t="s">
        <v>9893</v>
      </c>
      <c r="E224" s="5" t="s">
        <v>368</v>
      </c>
      <c r="F224" s="5" t="s">
        <v>9892</v>
      </c>
      <c r="G224" s="5" t="s">
        <v>382</v>
      </c>
      <c r="H224" s="5" t="s">
        <v>3</v>
      </c>
      <c r="I224" s="5"/>
      <c r="J224" s="5" t="s">
        <v>9892</v>
      </c>
    </row>
    <row r="225" spans="1:10" x14ac:dyDescent="0.2">
      <c r="A225" s="5" t="s">
        <v>9891</v>
      </c>
      <c r="B225" s="5" t="s">
        <v>83</v>
      </c>
      <c r="C225" s="5"/>
      <c r="D225" s="5" t="s">
        <v>9890</v>
      </c>
      <c r="E225" s="5" t="s">
        <v>368</v>
      </c>
      <c r="F225" s="5" t="s">
        <v>9889</v>
      </c>
      <c r="G225" s="5" t="s">
        <v>382</v>
      </c>
      <c r="H225" s="5" t="s">
        <v>3</v>
      </c>
      <c r="I225" s="5"/>
      <c r="J225" s="5" t="s">
        <v>9889</v>
      </c>
    </row>
    <row r="226" spans="1:10" x14ac:dyDescent="0.2">
      <c r="A226" s="5" t="s">
        <v>9888</v>
      </c>
      <c r="B226" s="5" t="s">
        <v>83</v>
      </c>
      <c r="C226" s="5"/>
      <c r="D226" s="5" t="s">
        <v>9887</v>
      </c>
      <c r="E226" s="5" t="s">
        <v>368</v>
      </c>
      <c r="F226" s="5" t="s">
        <v>9886</v>
      </c>
      <c r="G226" s="5" t="s">
        <v>382</v>
      </c>
      <c r="H226" s="5" t="s">
        <v>3</v>
      </c>
      <c r="I226" s="5"/>
      <c r="J226" s="5" t="s">
        <v>9886</v>
      </c>
    </row>
    <row r="227" spans="1:10" x14ac:dyDescent="0.2">
      <c r="A227" s="5" t="s">
        <v>9885</v>
      </c>
      <c r="B227" s="5" t="s">
        <v>83</v>
      </c>
      <c r="C227" s="5"/>
      <c r="D227" s="5" t="s">
        <v>9884</v>
      </c>
      <c r="E227" s="5" t="s">
        <v>368</v>
      </c>
      <c r="F227" s="5" t="s">
        <v>9883</v>
      </c>
      <c r="G227" s="5" t="s">
        <v>382</v>
      </c>
      <c r="H227" s="5" t="s">
        <v>3</v>
      </c>
      <c r="I227" s="5"/>
      <c r="J227" s="5" t="s">
        <v>9883</v>
      </c>
    </row>
    <row r="228" spans="1:10" x14ac:dyDescent="0.2">
      <c r="A228" s="5" t="s">
        <v>9882</v>
      </c>
      <c r="B228" s="5" t="s">
        <v>83</v>
      </c>
      <c r="C228" s="5"/>
      <c r="D228" s="5" t="s">
        <v>9881</v>
      </c>
      <c r="E228" s="5" t="s">
        <v>368</v>
      </c>
      <c r="F228" s="5" t="s">
        <v>9880</v>
      </c>
      <c r="G228" s="5" t="s">
        <v>382</v>
      </c>
      <c r="H228" s="5" t="s">
        <v>3</v>
      </c>
      <c r="I228" s="5"/>
      <c r="J228" s="5" t="s">
        <v>9880</v>
      </c>
    </row>
    <row r="229" spans="1:10" x14ac:dyDescent="0.2">
      <c r="A229" s="5" t="s">
        <v>9879</v>
      </c>
      <c r="B229" s="5" t="s">
        <v>83</v>
      </c>
      <c r="C229" s="5"/>
      <c r="D229" s="5" t="s">
        <v>9878</v>
      </c>
      <c r="E229" s="5" t="s">
        <v>368</v>
      </c>
      <c r="F229" s="5" t="s">
        <v>9877</v>
      </c>
      <c r="G229" s="5" t="s">
        <v>382</v>
      </c>
      <c r="H229" s="5" t="s">
        <v>3</v>
      </c>
      <c r="I229" s="5"/>
      <c r="J229" s="5" t="s">
        <v>9877</v>
      </c>
    </row>
    <row r="230" spans="1:10" x14ac:dyDescent="0.2">
      <c r="A230" s="5" t="s">
        <v>9876</v>
      </c>
      <c r="B230" s="5" t="s">
        <v>83</v>
      </c>
      <c r="C230" s="5"/>
      <c r="D230" s="5" t="s">
        <v>9875</v>
      </c>
      <c r="E230" s="5" t="s">
        <v>368</v>
      </c>
      <c r="F230" s="5" t="s">
        <v>9874</v>
      </c>
      <c r="G230" s="5" t="s">
        <v>382</v>
      </c>
      <c r="H230" s="5" t="s">
        <v>3</v>
      </c>
      <c r="I230" s="5"/>
      <c r="J230" s="5" t="s">
        <v>9874</v>
      </c>
    </row>
    <row r="231" spans="1:10" x14ac:dyDescent="0.2">
      <c r="A231" s="5" t="s">
        <v>9873</v>
      </c>
      <c r="B231" s="5" t="s">
        <v>83</v>
      </c>
      <c r="C231" s="5"/>
      <c r="D231" s="5" t="s">
        <v>9872</v>
      </c>
      <c r="E231" s="5" t="s">
        <v>368</v>
      </c>
      <c r="F231" s="5" t="s">
        <v>9871</v>
      </c>
      <c r="G231" s="5" t="s">
        <v>382</v>
      </c>
      <c r="H231" s="5" t="s">
        <v>3</v>
      </c>
      <c r="I231" s="5"/>
      <c r="J231" s="5" t="s">
        <v>9871</v>
      </c>
    </row>
    <row r="232" spans="1:10" x14ac:dyDescent="0.2">
      <c r="A232" s="5" t="s">
        <v>9870</v>
      </c>
      <c r="B232" s="5" t="s">
        <v>83</v>
      </c>
      <c r="C232" s="5"/>
      <c r="D232" s="5" t="s">
        <v>9869</v>
      </c>
      <c r="E232" s="5" t="s">
        <v>368</v>
      </c>
      <c r="F232" s="5" t="s">
        <v>9868</v>
      </c>
      <c r="G232" s="5" t="s">
        <v>382</v>
      </c>
      <c r="H232" s="5" t="s">
        <v>3</v>
      </c>
      <c r="I232" s="5"/>
      <c r="J232" s="5" t="s">
        <v>9868</v>
      </c>
    </row>
    <row r="233" spans="1:10" x14ac:dyDescent="0.2">
      <c r="A233" s="5" t="s">
        <v>9867</v>
      </c>
      <c r="B233" s="5" t="s">
        <v>83</v>
      </c>
      <c r="C233" s="5"/>
      <c r="D233" s="5" t="s">
        <v>9866</v>
      </c>
      <c r="E233" s="5" t="s">
        <v>368</v>
      </c>
      <c r="F233" s="5" t="s">
        <v>9865</v>
      </c>
      <c r="G233" s="5" t="s">
        <v>382</v>
      </c>
      <c r="H233" s="5" t="s">
        <v>3</v>
      </c>
      <c r="I233" s="5"/>
      <c r="J233" s="5" t="s">
        <v>9865</v>
      </c>
    </row>
    <row r="234" spans="1:10" x14ac:dyDescent="0.2">
      <c r="A234" s="5" t="s">
        <v>9864</v>
      </c>
      <c r="B234" s="5" t="s">
        <v>83</v>
      </c>
      <c r="C234" s="5"/>
      <c r="D234" s="5" t="s">
        <v>9863</v>
      </c>
      <c r="E234" s="5" t="s">
        <v>368</v>
      </c>
      <c r="F234" s="5" t="s">
        <v>9862</v>
      </c>
      <c r="G234" s="5" t="s">
        <v>382</v>
      </c>
      <c r="H234" s="5" t="s">
        <v>3</v>
      </c>
      <c r="I234" s="5"/>
      <c r="J234" s="5" t="s">
        <v>9862</v>
      </c>
    </row>
    <row r="235" spans="1:10" x14ac:dyDescent="0.2">
      <c r="A235" s="5" t="s">
        <v>9861</v>
      </c>
      <c r="B235" s="5" t="s">
        <v>83</v>
      </c>
      <c r="C235" s="5"/>
      <c r="D235" s="5" t="s">
        <v>9860</v>
      </c>
      <c r="E235" s="5" t="s">
        <v>368</v>
      </c>
      <c r="F235" s="5" t="s">
        <v>9859</v>
      </c>
      <c r="G235" s="5" t="s">
        <v>382</v>
      </c>
      <c r="H235" s="5" t="s">
        <v>3</v>
      </c>
      <c r="I235" s="5"/>
      <c r="J235" s="5" t="s">
        <v>9859</v>
      </c>
    </row>
    <row r="236" spans="1:10" x14ac:dyDescent="0.2">
      <c r="A236" s="5" t="s">
        <v>9858</v>
      </c>
      <c r="B236" s="5" t="s">
        <v>83</v>
      </c>
      <c r="C236" s="5"/>
      <c r="D236" s="5" t="s">
        <v>9857</v>
      </c>
      <c r="E236" s="5" t="s">
        <v>368</v>
      </c>
      <c r="F236" s="5" t="s">
        <v>9856</v>
      </c>
      <c r="G236" s="5" t="s">
        <v>382</v>
      </c>
      <c r="H236" s="5" t="s">
        <v>3</v>
      </c>
      <c r="I236" s="5"/>
      <c r="J236" s="5" t="s">
        <v>9856</v>
      </c>
    </row>
    <row r="237" spans="1:10" x14ac:dyDescent="0.2">
      <c r="A237" s="5" t="s">
        <v>9855</v>
      </c>
      <c r="B237" s="5" t="s">
        <v>83</v>
      </c>
      <c r="C237" s="5"/>
      <c r="D237" s="5" t="s">
        <v>9854</v>
      </c>
      <c r="E237" s="5" t="s">
        <v>368</v>
      </c>
      <c r="F237" s="5" t="s">
        <v>9853</v>
      </c>
      <c r="G237" s="5" t="s">
        <v>382</v>
      </c>
      <c r="H237" s="5" t="s">
        <v>3</v>
      </c>
      <c r="I237" s="5"/>
      <c r="J237" s="5" t="s">
        <v>9853</v>
      </c>
    </row>
    <row r="238" spans="1:10" x14ac:dyDescent="0.2">
      <c r="A238" s="5" t="s">
        <v>9852</v>
      </c>
      <c r="B238" s="5" t="s">
        <v>83</v>
      </c>
      <c r="C238" s="5"/>
      <c r="D238" s="5" t="s">
        <v>9851</v>
      </c>
      <c r="E238" s="5" t="s">
        <v>368</v>
      </c>
      <c r="F238" s="5" t="s">
        <v>9850</v>
      </c>
      <c r="G238" s="5" t="s">
        <v>382</v>
      </c>
      <c r="H238" s="5" t="s">
        <v>3</v>
      </c>
      <c r="I238" s="5"/>
      <c r="J238" s="5" t="s">
        <v>9850</v>
      </c>
    </row>
    <row r="239" spans="1:10" x14ac:dyDescent="0.2">
      <c r="A239" s="5" t="s">
        <v>9849</v>
      </c>
      <c r="B239" s="5" t="s">
        <v>83</v>
      </c>
      <c r="C239" s="5"/>
      <c r="D239" s="5" t="s">
        <v>9848</v>
      </c>
      <c r="E239" s="5" t="s">
        <v>368</v>
      </c>
      <c r="F239" s="5" t="s">
        <v>9847</v>
      </c>
      <c r="G239" s="5" t="s">
        <v>382</v>
      </c>
      <c r="H239" s="5" t="s">
        <v>3</v>
      </c>
      <c r="I239" s="5"/>
      <c r="J239" s="5" t="s">
        <v>9847</v>
      </c>
    </row>
    <row r="240" spans="1:10" x14ac:dyDescent="0.2">
      <c r="A240" s="5" t="s">
        <v>9846</v>
      </c>
      <c r="B240" s="5" t="s">
        <v>83</v>
      </c>
      <c r="C240" s="5"/>
      <c r="D240" s="5" t="s">
        <v>9845</v>
      </c>
      <c r="E240" s="5" t="s">
        <v>368</v>
      </c>
      <c r="F240" s="5" t="s">
        <v>9844</v>
      </c>
      <c r="G240" s="5" t="s">
        <v>382</v>
      </c>
      <c r="H240" s="5" t="s">
        <v>3</v>
      </c>
      <c r="I240" s="5"/>
      <c r="J240" s="5" t="s">
        <v>9844</v>
      </c>
    </row>
    <row r="241" spans="1:10" x14ac:dyDescent="0.2">
      <c r="A241" s="5" t="s">
        <v>9843</v>
      </c>
      <c r="B241" s="5" t="s">
        <v>83</v>
      </c>
      <c r="C241" s="5"/>
      <c r="D241" s="5" t="s">
        <v>9842</v>
      </c>
      <c r="E241" s="5" t="s">
        <v>368</v>
      </c>
      <c r="F241" s="5" t="s">
        <v>9841</v>
      </c>
      <c r="G241" s="5" t="s">
        <v>382</v>
      </c>
      <c r="H241" s="5" t="s">
        <v>3</v>
      </c>
      <c r="I241" s="5"/>
      <c r="J241" s="5" t="s">
        <v>9841</v>
      </c>
    </row>
    <row r="242" spans="1:10" x14ac:dyDescent="0.2">
      <c r="A242" s="5" t="s">
        <v>9840</v>
      </c>
      <c r="B242" s="5" t="s">
        <v>83</v>
      </c>
      <c r="C242" s="5"/>
      <c r="D242" s="5" t="s">
        <v>9839</v>
      </c>
      <c r="E242" s="5" t="s">
        <v>368</v>
      </c>
      <c r="F242" s="5" t="s">
        <v>9838</v>
      </c>
      <c r="G242" s="5" t="s">
        <v>382</v>
      </c>
      <c r="H242" s="5" t="s">
        <v>3</v>
      </c>
      <c r="I242" s="5"/>
      <c r="J242" s="5" t="s">
        <v>9838</v>
      </c>
    </row>
    <row r="243" spans="1:10" x14ac:dyDescent="0.2">
      <c r="A243" s="5" t="s">
        <v>9837</v>
      </c>
      <c r="B243" s="5" t="s">
        <v>83</v>
      </c>
      <c r="C243" s="5"/>
      <c r="D243" s="5" t="s">
        <v>9836</v>
      </c>
      <c r="E243" s="5" t="s">
        <v>368</v>
      </c>
      <c r="F243" s="5" t="s">
        <v>9835</v>
      </c>
      <c r="G243" s="5" t="s">
        <v>382</v>
      </c>
      <c r="H243" s="5" t="s">
        <v>3</v>
      </c>
      <c r="I243" s="5"/>
      <c r="J243" s="5" t="s">
        <v>9835</v>
      </c>
    </row>
    <row r="244" spans="1:10" x14ac:dyDescent="0.2">
      <c r="A244" s="5" t="s">
        <v>9834</v>
      </c>
      <c r="B244" s="5" t="s">
        <v>83</v>
      </c>
      <c r="C244" s="5"/>
      <c r="D244" s="5" t="s">
        <v>9833</v>
      </c>
      <c r="E244" s="5" t="s">
        <v>368</v>
      </c>
      <c r="F244" s="5" t="s">
        <v>9832</v>
      </c>
      <c r="G244" s="5" t="s">
        <v>382</v>
      </c>
      <c r="H244" s="5" t="s">
        <v>3</v>
      </c>
      <c r="I244" s="5"/>
      <c r="J244" s="5" t="s">
        <v>9832</v>
      </c>
    </row>
    <row r="245" spans="1:10" x14ac:dyDescent="0.2">
      <c r="A245" s="5" t="s">
        <v>9831</v>
      </c>
      <c r="B245" s="5" t="s">
        <v>83</v>
      </c>
      <c r="C245" s="5"/>
      <c r="D245" s="5" t="s">
        <v>9830</v>
      </c>
      <c r="E245" s="5" t="s">
        <v>368</v>
      </c>
      <c r="F245" s="5" t="s">
        <v>9829</v>
      </c>
      <c r="G245" s="5" t="s">
        <v>382</v>
      </c>
      <c r="H245" s="5" t="s">
        <v>3</v>
      </c>
      <c r="I245" s="5"/>
      <c r="J245" s="5" t="s">
        <v>9829</v>
      </c>
    </row>
    <row r="246" spans="1:10" x14ac:dyDescent="0.2">
      <c r="A246" s="5" t="s">
        <v>9828</v>
      </c>
      <c r="B246" s="5" t="s">
        <v>83</v>
      </c>
      <c r="C246" s="5"/>
      <c r="D246" s="5" t="s">
        <v>9827</v>
      </c>
      <c r="E246" s="5" t="s">
        <v>368</v>
      </c>
      <c r="F246" s="5" t="s">
        <v>9826</v>
      </c>
      <c r="G246" s="5" t="s">
        <v>382</v>
      </c>
      <c r="H246" s="5" t="s">
        <v>3</v>
      </c>
      <c r="I246" s="5"/>
      <c r="J246" s="5" t="s">
        <v>9826</v>
      </c>
    </row>
    <row r="247" spans="1:10" x14ac:dyDescent="0.2">
      <c r="A247" s="5" t="s">
        <v>9825</v>
      </c>
      <c r="B247" s="5" t="s">
        <v>83</v>
      </c>
      <c r="C247" s="5"/>
      <c r="D247" s="5" t="s">
        <v>9824</v>
      </c>
      <c r="E247" s="5" t="s">
        <v>368</v>
      </c>
      <c r="F247" s="5" t="s">
        <v>9823</v>
      </c>
      <c r="G247" s="5" t="s">
        <v>382</v>
      </c>
      <c r="H247" s="5" t="s">
        <v>3</v>
      </c>
      <c r="I247" s="5"/>
      <c r="J247" s="5" t="s">
        <v>9823</v>
      </c>
    </row>
    <row r="248" spans="1:10" x14ac:dyDescent="0.2">
      <c r="A248" s="5" t="s">
        <v>9822</v>
      </c>
      <c r="B248" s="5" t="s">
        <v>83</v>
      </c>
      <c r="C248" s="5"/>
      <c r="D248" s="5" t="s">
        <v>9821</v>
      </c>
      <c r="E248" s="5" t="s">
        <v>368</v>
      </c>
      <c r="F248" s="5" t="s">
        <v>9820</v>
      </c>
      <c r="G248" s="5" t="s">
        <v>382</v>
      </c>
      <c r="H248" s="5" t="s">
        <v>3</v>
      </c>
      <c r="I248" s="5"/>
      <c r="J248" s="5" t="s">
        <v>9820</v>
      </c>
    </row>
    <row r="249" spans="1:10" x14ac:dyDescent="0.2">
      <c r="A249" s="5" t="s">
        <v>9819</v>
      </c>
      <c r="B249" s="5" t="s">
        <v>83</v>
      </c>
      <c r="C249" s="5"/>
      <c r="D249" s="5" t="s">
        <v>9818</v>
      </c>
      <c r="E249" s="5" t="s">
        <v>368</v>
      </c>
      <c r="F249" s="5" t="s">
        <v>9817</v>
      </c>
      <c r="G249" s="5" t="s">
        <v>382</v>
      </c>
      <c r="H249" s="5" t="s">
        <v>3</v>
      </c>
      <c r="I249" s="5"/>
      <c r="J249" s="5" t="s">
        <v>9817</v>
      </c>
    </row>
    <row r="250" spans="1:10" x14ac:dyDescent="0.2">
      <c r="A250" s="5" t="s">
        <v>9816</v>
      </c>
      <c r="B250" s="5" t="s">
        <v>83</v>
      </c>
      <c r="C250" s="5"/>
      <c r="D250" s="5" t="s">
        <v>9815</v>
      </c>
      <c r="E250" s="5" t="s">
        <v>368</v>
      </c>
      <c r="F250" s="5" t="s">
        <v>9814</v>
      </c>
      <c r="G250" s="5" t="s">
        <v>382</v>
      </c>
      <c r="H250" s="5" t="s">
        <v>3</v>
      </c>
      <c r="I250" s="5"/>
      <c r="J250" s="5" t="s">
        <v>9814</v>
      </c>
    </row>
    <row r="251" spans="1:10" x14ac:dyDescent="0.2">
      <c r="A251" s="5" t="s">
        <v>9813</v>
      </c>
      <c r="B251" s="5" t="s">
        <v>83</v>
      </c>
      <c r="C251" s="5"/>
      <c r="D251" s="5" t="s">
        <v>9812</v>
      </c>
      <c r="E251" s="5" t="s">
        <v>368</v>
      </c>
      <c r="F251" s="5" t="s">
        <v>9811</v>
      </c>
      <c r="G251" s="5" t="s">
        <v>382</v>
      </c>
      <c r="H251" s="5" t="s">
        <v>3</v>
      </c>
      <c r="I251" s="5"/>
      <c r="J251" s="5" t="s">
        <v>9811</v>
      </c>
    </row>
    <row r="252" spans="1:10" x14ac:dyDescent="0.2">
      <c r="A252" s="5" t="s">
        <v>9810</v>
      </c>
      <c r="B252" s="5" t="s">
        <v>83</v>
      </c>
      <c r="C252" s="5"/>
      <c r="D252" s="5" t="s">
        <v>9809</v>
      </c>
      <c r="E252" s="5" t="s">
        <v>368</v>
      </c>
      <c r="F252" s="5" t="s">
        <v>9808</v>
      </c>
      <c r="G252" s="5" t="s">
        <v>382</v>
      </c>
      <c r="H252" s="5" t="s">
        <v>3</v>
      </c>
      <c r="I252" s="5"/>
      <c r="J252" s="5" t="s">
        <v>9808</v>
      </c>
    </row>
    <row r="253" spans="1:10" x14ac:dyDescent="0.2">
      <c r="A253" s="5" t="s">
        <v>9807</v>
      </c>
      <c r="B253" s="5" t="s">
        <v>83</v>
      </c>
      <c r="C253" s="5"/>
      <c r="D253" s="5" t="s">
        <v>9806</v>
      </c>
      <c r="E253" s="5" t="s">
        <v>368</v>
      </c>
      <c r="F253" s="5" t="s">
        <v>9805</v>
      </c>
      <c r="G253" s="5" t="s">
        <v>382</v>
      </c>
      <c r="H253" s="5" t="s">
        <v>3</v>
      </c>
      <c r="I253" s="5"/>
      <c r="J253" s="5" t="s">
        <v>9805</v>
      </c>
    </row>
    <row r="254" spans="1:10" x14ac:dyDescent="0.2">
      <c r="A254" s="5" t="s">
        <v>9804</v>
      </c>
      <c r="B254" s="5" t="s">
        <v>83</v>
      </c>
      <c r="C254" s="5"/>
      <c r="D254" s="5" t="s">
        <v>9803</v>
      </c>
      <c r="E254" s="5" t="s">
        <v>368</v>
      </c>
      <c r="F254" s="5" t="s">
        <v>9802</v>
      </c>
      <c r="G254" s="5" t="s">
        <v>382</v>
      </c>
      <c r="H254" s="5" t="s">
        <v>3</v>
      </c>
      <c r="I254" s="5"/>
      <c r="J254" s="5" t="s">
        <v>9802</v>
      </c>
    </row>
    <row r="255" spans="1:10" x14ac:dyDescent="0.2">
      <c r="A255" s="5" t="s">
        <v>9801</v>
      </c>
      <c r="B255" s="5" t="s">
        <v>83</v>
      </c>
      <c r="C255" s="5"/>
      <c r="D255" s="5" t="s">
        <v>9800</v>
      </c>
      <c r="E255" s="5" t="s">
        <v>368</v>
      </c>
      <c r="F255" s="5" t="s">
        <v>9799</v>
      </c>
      <c r="G255" s="5" t="s">
        <v>382</v>
      </c>
      <c r="H255" s="5" t="s">
        <v>3</v>
      </c>
      <c r="I255" s="5"/>
      <c r="J255" s="5" t="s">
        <v>9799</v>
      </c>
    </row>
    <row r="256" spans="1:10" x14ac:dyDescent="0.2">
      <c r="A256" s="5" t="s">
        <v>9798</v>
      </c>
      <c r="B256" s="5" t="s">
        <v>83</v>
      </c>
      <c r="C256" s="5"/>
      <c r="D256" s="5" t="s">
        <v>9797</v>
      </c>
      <c r="E256" s="5" t="s">
        <v>368</v>
      </c>
      <c r="F256" s="5" t="s">
        <v>9796</v>
      </c>
      <c r="G256" s="5" t="s">
        <v>382</v>
      </c>
      <c r="H256" s="5" t="s">
        <v>3</v>
      </c>
      <c r="I256" s="5"/>
      <c r="J256" s="5" t="s">
        <v>9796</v>
      </c>
    </row>
    <row r="257" spans="1:10" x14ac:dyDescent="0.2">
      <c r="A257" s="5" t="s">
        <v>9795</v>
      </c>
      <c r="B257" s="5" t="s">
        <v>83</v>
      </c>
      <c r="C257" s="5"/>
      <c r="D257" s="5" t="s">
        <v>9794</v>
      </c>
      <c r="E257" s="5" t="s">
        <v>368</v>
      </c>
      <c r="F257" s="5" t="s">
        <v>9793</v>
      </c>
      <c r="G257" s="5" t="s">
        <v>382</v>
      </c>
      <c r="H257" s="5" t="s">
        <v>3</v>
      </c>
      <c r="I257" s="5"/>
      <c r="J257" s="5" t="s">
        <v>9793</v>
      </c>
    </row>
    <row r="258" spans="1:10" x14ac:dyDescent="0.2">
      <c r="A258" s="5" t="s">
        <v>9792</v>
      </c>
      <c r="B258" s="5" t="s">
        <v>83</v>
      </c>
      <c r="C258" s="5"/>
      <c r="D258" s="5" t="s">
        <v>9791</v>
      </c>
      <c r="E258" s="5" t="s">
        <v>368</v>
      </c>
      <c r="F258" s="5" t="s">
        <v>9790</v>
      </c>
      <c r="G258" s="5" t="s">
        <v>382</v>
      </c>
      <c r="H258" s="5" t="s">
        <v>3</v>
      </c>
      <c r="I258" s="5"/>
      <c r="J258" s="5" t="s">
        <v>9790</v>
      </c>
    </row>
    <row r="259" spans="1:10" x14ac:dyDescent="0.2">
      <c r="A259" s="5" t="s">
        <v>9789</v>
      </c>
      <c r="B259" s="5" t="s">
        <v>83</v>
      </c>
      <c r="C259" s="5"/>
      <c r="D259" s="5" t="s">
        <v>9788</v>
      </c>
      <c r="E259" s="5" t="s">
        <v>368</v>
      </c>
      <c r="F259" s="5" t="s">
        <v>9787</v>
      </c>
      <c r="G259" s="5" t="s">
        <v>382</v>
      </c>
      <c r="H259" s="5" t="s">
        <v>3</v>
      </c>
      <c r="I259" s="5"/>
      <c r="J259" s="5" t="s">
        <v>9787</v>
      </c>
    </row>
    <row r="260" spans="1:10" x14ac:dyDescent="0.2">
      <c r="A260" s="5" t="s">
        <v>9786</v>
      </c>
      <c r="B260" s="5" t="s">
        <v>83</v>
      </c>
      <c r="C260" s="5"/>
      <c r="D260" s="5" t="s">
        <v>9785</v>
      </c>
      <c r="E260" s="5" t="s">
        <v>368</v>
      </c>
      <c r="F260" s="5" t="s">
        <v>9784</v>
      </c>
      <c r="G260" s="5" t="s">
        <v>382</v>
      </c>
      <c r="H260" s="5" t="s">
        <v>3</v>
      </c>
      <c r="I260" s="5"/>
      <c r="J260" s="5" t="s">
        <v>9784</v>
      </c>
    </row>
    <row r="261" spans="1:10" x14ac:dyDescent="0.2">
      <c r="A261" s="5" t="s">
        <v>9783</v>
      </c>
      <c r="B261" s="5" t="s">
        <v>83</v>
      </c>
      <c r="C261" s="5"/>
      <c r="D261" s="5" t="s">
        <v>9782</v>
      </c>
      <c r="E261" s="5" t="s">
        <v>368</v>
      </c>
      <c r="F261" s="5" t="s">
        <v>9781</v>
      </c>
      <c r="G261" s="5" t="s">
        <v>382</v>
      </c>
      <c r="H261" s="5" t="s">
        <v>3</v>
      </c>
      <c r="I261" s="5"/>
      <c r="J261" s="5" t="s">
        <v>9781</v>
      </c>
    </row>
    <row r="262" spans="1:10" x14ac:dyDescent="0.2">
      <c r="A262" s="5" t="s">
        <v>9780</v>
      </c>
      <c r="B262" s="5" t="s">
        <v>83</v>
      </c>
      <c r="C262" s="5"/>
      <c r="D262" s="5" t="s">
        <v>9779</v>
      </c>
      <c r="E262" s="5" t="s">
        <v>368</v>
      </c>
      <c r="F262" s="5" t="s">
        <v>9778</v>
      </c>
      <c r="G262" s="5" t="s">
        <v>382</v>
      </c>
      <c r="H262" s="5" t="s">
        <v>3</v>
      </c>
      <c r="I262" s="5"/>
      <c r="J262" s="5" t="s">
        <v>9778</v>
      </c>
    </row>
    <row r="263" spans="1:10" x14ac:dyDescent="0.2">
      <c r="A263" s="5" t="s">
        <v>9777</v>
      </c>
      <c r="B263" s="5" t="s">
        <v>83</v>
      </c>
      <c r="C263" s="5"/>
      <c r="D263" s="5" t="s">
        <v>9776</v>
      </c>
      <c r="E263" s="5" t="s">
        <v>368</v>
      </c>
      <c r="F263" s="5" t="s">
        <v>9775</v>
      </c>
      <c r="G263" s="5" t="s">
        <v>382</v>
      </c>
      <c r="H263" s="5" t="s">
        <v>3</v>
      </c>
      <c r="I263" s="5"/>
      <c r="J263" s="5" t="s">
        <v>9775</v>
      </c>
    </row>
    <row r="264" spans="1:10" ht="25.5" x14ac:dyDescent="0.2">
      <c r="A264" s="5" t="s">
        <v>9774</v>
      </c>
      <c r="B264" s="5" t="s">
        <v>83</v>
      </c>
      <c r="C264" s="5"/>
      <c r="D264" s="5" t="s">
        <v>9745</v>
      </c>
      <c r="E264" s="5" t="s">
        <v>368</v>
      </c>
      <c r="F264" s="5" t="s">
        <v>9744</v>
      </c>
      <c r="G264" s="5" t="s">
        <v>382</v>
      </c>
      <c r="H264" s="5" t="s">
        <v>137</v>
      </c>
      <c r="I264" s="5" t="s">
        <v>263</v>
      </c>
      <c r="J264" s="5" t="s">
        <v>9743</v>
      </c>
    </row>
    <row r="265" spans="1:10" x14ac:dyDescent="0.2">
      <c r="A265" s="5" t="s">
        <v>9773</v>
      </c>
      <c r="B265" s="5" t="s">
        <v>83</v>
      </c>
      <c r="C265" s="5"/>
      <c r="D265" s="5" t="s">
        <v>6390</v>
      </c>
      <c r="E265" s="5"/>
      <c r="F265" s="5" t="s">
        <v>9764</v>
      </c>
      <c r="G265" s="5" t="s">
        <v>328</v>
      </c>
      <c r="H265" s="5" t="s">
        <v>3</v>
      </c>
      <c r="I265" s="5"/>
      <c r="J265" s="5" t="s">
        <v>9772</v>
      </c>
    </row>
    <row r="266" spans="1:10" ht="25.5" x14ac:dyDescent="0.2">
      <c r="A266" s="5" t="s">
        <v>9771</v>
      </c>
      <c r="B266" s="5" t="s">
        <v>83</v>
      </c>
      <c r="C266" s="5"/>
      <c r="D266" s="5" t="s">
        <v>9770</v>
      </c>
      <c r="E266" s="5"/>
      <c r="F266" s="5" t="s">
        <v>9769</v>
      </c>
      <c r="G266" s="5" t="s">
        <v>105</v>
      </c>
      <c r="H266" s="5" t="s">
        <v>137</v>
      </c>
      <c r="I266" s="5" t="s">
        <v>263</v>
      </c>
      <c r="J266" s="5"/>
    </row>
    <row r="267" spans="1:10" x14ac:dyDescent="0.2">
      <c r="A267" s="5" t="s">
        <v>7294</v>
      </c>
      <c r="B267" s="5" t="s">
        <v>83</v>
      </c>
      <c r="C267" s="5"/>
      <c r="D267" s="5" t="s">
        <v>9768</v>
      </c>
      <c r="E267" s="5"/>
      <c r="F267" s="5" t="s">
        <v>9767</v>
      </c>
      <c r="G267" s="5" t="s">
        <v>229</v>
      </c>
      <c r="H267" s="5" t="s">
        <v>137</v>
      </c>
      <c r="I267" s="5" t="s">
        <v>408</v>
      </c>
      <c r="J267" s="5" t="s">
        <v>9766</v>
      </c>
    </row>
    <row r="268" spans="1:10" x14ac:dyDescent="0.2">
      <c r="A268" s="5" t="s">
        <v>9765</v>
      </c>
      <c r="B268" s="5" t="s">
        <v>83</v>
      </c>
      <c r="C268" s="5"/>
      <c r="D268" s="5" t="s">
        <v>5533</v>
      </c>
      <c r="E268" s="5"/>
      <c r="F268" s="5" t="s">
        <v>9764</v>
      </c>
      <c r="G268" s="5" t="s">
        <v>283</v>
      </c>
      <c r="H268" s="5" t="s">
        <v>3</v>
      </c>
      <c r="I268" s="5"/>
      <c r="J268" s="5" t="s">
        <v>9763</v>
      </c>
    </row>
    <row r="269" spans="1:10" ht="25.5" x14ac:dyDescent="0.2">
      <c r="A269" s="5" t="s">
        <v>9761</v>
      </c>
      <c r="B269" s="5" t="s">
        <v>83</v>
      </c>
      <c r="C269" s="5"/>
      <c r="D269" s="5" t="s">
        <v>9762</v>
      </c>
      <c r="E269" s="5" t="s">
        <v>368</v>
      </c>
      <c r="F269" s="5" t="s">
        <v>9761</v>
      </c>
      <c r="G269" s="5" t="s">
        <v>181</v>
      </c>
      <c r="H269" s="5" t="s">
        <v>137</v>
      </c>
      <c r="I269" s="5" t="s">
        <v>263</v>
      </c>
      <c r="J269" s="5"/>
    </row>
    <row r="270" spans="1:10" x14ac:dyDescent="0.2">
      <c r="A270" s="5" t="s">
        <v>9760</v>
      </c>
      <c r="B270" s="5" t="s">
        <v>83</v>
      </c>
      <c r="C270" s="5"/>
      <c r="D270" s="5" t="s">
        <v>9759</v>
      </c>
      <c r="E270" s="5"/>
      <c r="F270" s="5" t="s">
        <v>9758</v>
      </c>
      <c r="G270" s="5" t="s">
        <v>382</v>
      </c>
      <c r="H270" s="5" t="s">
        <v>3</v>
      </c>
      <c r="I270" s="5"/>
      <c r="J270" s="5" t="s">
        <v>9757</v>
      </c>
    </row>
    <row r="271" spans="1:10" ht="25.5" x14ac:dyDescent="0.2">
      <c r="A271" s="5" t="s">
        <v>6539</v>
      </c>
      <c r="B271" s="5" t="s">
        <v>83</v>
      </c>
      <c r="C271" s="5"/>
      <c r="D271" s="5" t="s">
        <v>9756</v>
      </c>
      <c r="E271" s="5"/>
      <c r="F271" s="5" t="s">
        <v>6534</v>
      </c>
      <c r="G271" s="5" t="s">
        <v>105</v>
      </c>
      <c r="H271" s="5" t="s">
        <v>3</v>
      </c>
      <c r="I271" s="5"/>
      <c r="J271" s="5" t="s">
        <v>6537</v>
      </c>
    </row>
    <row r="272" spans="1:10" ht="25.5" x14ac:dyDescent="0.2">
      <c r="A272" s="5" t="s">
        <v>6536</v>
      </c>
      <c r="B272" s="5" t="s">
        <v>83</v>
      </c>
      <c r="C272" s="5"/>
      <c r="D272" s="5" t="s">
        <v>6535</v>
      </c>
      <c r="E272" s="5"/>
      <c r="F272" s="5" t="s">
        <v>6534</v>
      </c>
      <c r="G272" s="5" t="s">
        <v>105</v>
      </c>
      <c r="H272" s="5" t="s">
        <v>3</v>
      </c>
      <c r="I272" s="5"/>
      <c r="J272" s="5" t="s">
        <v>6533</v>
      </c>
    </row>
    <row r="273" spans="1:10" ht="25.5" x14ac:dyDescent="0.2">
      <c r="A273" s="5" t="s">
        <v>9755</v>
      </c>
      <c r="B273" s="5" t="s">
        <v>83</v>
      </c>
      <c r="C273" s="5"/>
      <c r="D273" s="5" t="s">
        <v>9754</v>
      </c>
      <c r="E273" s="5"/>
      <c r="F273" s="5"/>
      <c r="G273" s="5" t="s">
        <v>118</v>
      </c>
      <c r="H273" s="5" t="s">
        <v>137</v>
      </c>
      <c r="I273" s="5" t="s">
        <v>263</v>
      </c>
      <c r="J273" s="5" t="s">
        <v>9751</v>
      </c>
    </row>
    <row r="274" spans="1:10" ht="25.5" x14ac:dyDescent="0.2">
      <c r="A274" s="5" t="s">
        <v>9753</v>
      </c>
      <c r="B274" s="5" t="s">
        <v>83</v>
      </c>
      <c r="C274" s="5"/>
      <c r="D274" s="5" t="s">
        <v>9752</v>
      </c>
      <c r="E274" s="5"/>
      <c r="F274" s="5" t="s">
        <v>9751</v>
      </c>
      <c r="G274" s="5" t="s">
        <v>224</v>
      </c>
      <c r="H274" s="5" t="s">
        <v>137</v>
      </c>
      <c r="I274" s="5" t="s">
        <v>263</v>
      </c>
      <c r="J274" s="5"/>
    </row>
    <row r="275" spans="1:10" ht="25.5" x14ac:dyDescent="0.2">
      <c r="A275" s="5" t="s">
        <v>2219</v>
      </c>
      <c r="B275" s="5" t="s">
        <v>83</v>
      </c>
      <c r="C275" s="5"/>
      <c r="D275" s="5" t="s">
        <v>9750</v>
      </c>
      <c r="E275" s="5"/>
      <c r="F275" s="5" t="s">
        <v>2219</v>
      </c>
      <c r="G275" s="5" t="s">
        <v>118</v>
      </c>
      <c r="H275" s="5" t="s">
        <v>137</v>
      </c>
      <c r="I275" s="5" t="s">
        <v>263</v>
      </c>
      <c r="J275" s="5"/>
    </row>
    <row r="276" spans="1:10" ht="25.5" x14ac:dyDescent="0.2">
      <c r="A276" s="5" t="s">
        <v>9749</v>
      </c>
      <c r="B276" s="5" t="s">
        <v>83</v>
      </c>
      <c r="C276" s="5"/>
      <c r="D276" s="5" t="s">
        <v>9748</v>
      </c>
      <c r="E276" s="5"/>
      <c r="F276" s="5" t="s">
        <v>7970</v>
      </c>
      <c r="G276" s="5" t="s">
        <v>3059</v>
      </c>
      <c r="H276" s="5" t="s">
        <v>137</v>
      </c>
      <c r="I276" s="5" t="s">
        <v>263</v>
      </c>
      <c r="J276" s="5" t="s">
        <v>9747</v>
      </c>
    </row>
    <row r="277" spans="1:10" ht="25.5" x14ac:dyDescent="0.2">
      <c r="A277" s="5" t="s">
        <v>9746</v>
      </c>
      <c r="B277" s="5" t="s">
        <v>83</v>
      </c>
      <c r="C277" s="5"/>
      <c r="D277" s="5" t="s">
        <v>9745</v>
      </c>
      <c r="E277" s="5" t="s">
        <v>368</v>
      </c>
      <c r="F277" s="5" t="s">
        <v>9744</v>
      </c>
      <c r="G277" s="5" t="s">
        <v>382</v>
      </c>
      <c r="H277" s="5" t="s">
        <v>137</v>
      </c>
      <c r="I277" s="5" t="s">
        <v>263</v>
      </c>
      <c r="J277" s="5" t="s">
        <v>9743</v>
      </c>
    </row>
    <row r="278" spans="1:10" ht="25.5" x14ac:dyDescent="0.2">
      <c r="A278" s="5" t="s">
        <v>9742</v>
      </c>
      <c r="B278" s="5" t="s">
        <v>83</v>
      </c>
      <c r="C278" s="5"/>
      <c r="D278" s="5" t="s">
        <v>9741</v>
      </c>
      <c r="E278" s="5"/>
      <c r="F278" s="5" t="s">
        <v>9740</v>
      </c>
      <c r="G278" s="5" t="s">
        <v>118</v>
      </c>
      <c r="H278" s="5" t="s">
        <v>137</v>
      </c>
      <c r="I278" s="5" t="s">
        <v>263</v>
      </c>
      <c r="J278" s="5" t="s">
        <v>9739</v>
      </c>
    </row>
    <row r="279" spans="1:10" ht="25.5" x14ac:dyDescent="0.2">
      <c r="A279" s="5" t="s">
        <v>9738</v>
      </c>
      <c r="B279" s="5" t="s">
        <v>83</v>
      </c>
      <c r="C279" s="5"/>
      <c r="D279" s="5" t="s">
        <v>9737</v>
      </c>
      <c r="E279" s="5"/>
      <c r="F279" s="5" t="s">
        <v>6432</v>
      </c>
      <c r="G279" s="5" t="s">
        <v>328</v>
      </c>
      <c r="H279" s="5" t="s">
        <v>137</v>
      </c>
      <c r="I279" s="5" t="s">
        <v>55</v>
      </c>
      <c r="J279" s="5" t="s">
        <v>9736</v>
      </c>
    </row>
    <row r="280" spans="1:10" ht="25.5" x14ac:dyDescent="0.2">
      <c r="A280" s="5" t="s">
        <v>9735</v>
      </c>
      <c r="B280" s="5" t="s">
        <v>83</v>
      </c>
      <c r="C280" s="5"/>
      <c r="D280" s="5" t="s">
        <v>9734</v>
      </c>
      <c r="E280" s="5" t="s">
        <v>368</v>
      </c>
      <c r="F280" s="5" t="s">
        <v>9733</v>
      </c>
      <c r="G280" s="5" t="s">
        <v>382</v>
      </c>
      <c r="H280" s="5" t="s">
        <v>3</v>
      </c>
      <c r="I280" s="5"/>
      <c r="J280" s="5" t="s">
        <v>9732</v>
      </c>
    </row>
    <row r="281" spans="1:10" x14ac:dyDescent="0.2">
      <c r="A281" s="5" t="s">
        <v>9731</v>
      </c>
      <c r="B281" s="5" t="s">
        <v>83</v>
      </c>
      <c r="C281" s="5"/>
      <c r="D281" s="5" t="s">
        <v>9689</v>
      </c>
      <c r="E281" s="5"/>
      <c r="F281" s="5" t="s">
        <v>9730</v>
      </c>
      <c r="G281" s="5" t="s">
        <v>328</v>
      </c>
      <c r="H281" s="5" t="s">
        <v>137</v>
      </c>
      <c r="I281" s="5"/>
      <c r="J281" s="5"/>
    </row>
    <row r="282" spans="1:10" ht="25.5" x14ac:dyDescent="0.2">
      <c r="A282" s="5" t="s">
        <v>9729</v>
      </c>
      <c r="B282" s="5" t="s">
        <v>83</v>
      </c>
      <c r="C282" s="5"/>
      <c r="D282" s="5" t="s">
        <v>9689</v>
      </c>
      <c r="E282" s="5"/>
      <c r="F282" s="5" t="s">
        <v>7970</v>
      </c>
      <c r="G282" s="5" t="s">
        <v>173</v>
      </c>
      <c r="H282" s="5" t="s">
        <v>137</v>
      </c>
      <c r="I282" s="5" t="s">
        <v>263</v>
      </c>
      <c r="J282" s="5"/>
    </row>
    <row r="283" spans="1:10" x14ac:dyDescent="0.2">
      <c r="A283" s="5" t="s">
        <v>6386</v>
      </c>
      <c r="B283" s="5" t="s">
        <v>83</v>
      </c>
      <c r="C283" s="5"/>
      <c r="D283" s="5" t="s">
        <v>5533</v>
      </c>
      <c r="E283" s="5"/>
      <c r="F283" s="5" t="s">
        <v>6386</v>
      </c>
      <c r="G283" s="5" t="s">
        <v>6385</v>
      </c>
      <c r="H283" s="5" t="s">
        <v>3</v>
      </c>
      <c r="I283" s="5"/>
      <c r="J283" s="5"/>
    </row>
    <row r="284" spans="1:10" x14ac:dyDescent="0.2">
      <c r="A284" s="5" t="s">
        <v>6384</v>
      </c>
      <c r="B284" s="5" t="s">
        <v>83</v>
      </c>
      <c r="C284" s="5"/>
      <c r="D284" s="5" t="s">
        <v>6383</v>
      </c>
      <c r="E284" s="5"/>
      <c r="F284" s="5" t="s">
        <v>6382</v>
      </c>
      <c r="G284" s="5" t="s">
        <v>114</v>
      </c>
      <c r="H284" s="5" t="s">
        <v>3</v>
      </c>
      <c r="I284" s="5"/>
      <c r="J284" s="5"/>
    </row>
    <row r="285" spans="1:10" ht="25.5" x14ac:dyDescent="0.2">
      <c r="A285" s="5" t="s">
        <v>6372</v>
      </c>
      <c r="B285" s="5" t="s">
        <v>83</v>
      </c>
      <c r="C285" s="5"/>
      <c r="D285" s="5" t="s">
        <v>9728</v>
      </c>
      <c r="E285" s="5" t="s">
        <v>368</v>
      </c>
      <c r="F285" s="5"/>
      <c r="G285" s="5" t="s">
        <v>382</v>
      </c>
      <c r="H285" s="5" t="s">
        <v>3</v>
      </c>
      <c r="I285" s="5"/>
      <c r="J285" s="5" t="s">
        <v>6370</v>
      </c>
    </row>
    <row r="286" spans="1:10" ht="25.5" x14ac:dyDescent="0.2">
      <c r="A286" s="5" t="s">
        <v>5543</v>
      </c>
      <c r="B286" s="5" t="s">
        <v>83</v>
      </c>
      <c r="C286" s="5"/>
      <c r="D286" s="5" t="s">
        <v>9727</v>
      </c>
      <c r="E286" s="5"/>
      <c r="F286" s="5" t="s">
        <v>106</v>
      </c>
      <c r="G286" s="5" t="s">
        <v>114</v>
      </c>
      <c r="H286" s="5" t="s">
        <v>3</v>
      </c>
      <c r="I286" s="5"/>
      <c r="J286" s="5" t="s">
        <v>5541</v>
      </c>
    </row>
    <row r="287" spans="1:10" x14ac:dyDescent="0.2">
      <c r="A287" s="5" t="s">
        <v>9726</v>
      </c>
      <c r="B287" s="5" t="s">
        <v>83</v>
      </c>
      <c r="C287" s="5"/>
      <c r="D287" s="5" t="s">
        <v>9725</v>
      </c>
      <c r="E287" s="5"/>
      <c r="F287" s="5" t="s">
        <v>7823</v>
      </c>
      <c r="G287" s="5" t="s">
        <v>195</v>
      </c>
      <c r="H287" s="5" t="s">
        <v>3</v>
      </c>
      <c r="I287" s="5"/>
      <c r="J287" s="5" t="s">
        <v>8827</v>
      </c>
    </row>
    <row r="288" spans="1:10" x14ac:dyDescent="0.2">
      <c r="A288" s="5" t="s">
        <v>9408</v>
      </c>
      <c r="B288" s="5" t="s">
        <v>83</v>
      </c>
      <c r="C288" s="5"/>
      <c r="D288" s="5" t="s">
        <v>9724</v>
      </c>
      <c r="E288" s="5"/>
      <c r="F288" s="5" t="s">
        <v>8834</v>
      </c>
      <c r="G288" s="5" t="s">
        <v>2672</v>
      </c>
      <c r="H288" s="5" t="s">
        <v>3</v>
      </c>
      <c r="I288" s="5"/>
      <c r="J288" s="5" t="s">
        <v>9723</v>
      </c>
    </row>
    <row r="289" spans="1:10" x14ac:dyDescent="0.2">
      <c r="A289" s="5" t="s">
        <v>5500</v>
      </c>
      <c r="B289" s="5" t="s">
        <v>83</v>
      </c>
      <c r="C289" s="5"/>
      <c r="D289" s="5" t="s">
        <v>7387</v>
      </c>
      <c r="E289" s="5"/>
      <c r="F289" s="5" t="s">
        <v>106</v>
      </c>
      <c r="G289" s="5" t="s">
        <v>105</v>
      </c>
      <c r="H289" s="5" t="s">
        <v>3</v>
      </c>
      <c r="I289" s="5"/>
      <c r="J289" s="5"/>
    </row>
    <row r="290" spans="1:10" ht="25.5" x14ac:dyDescent="0.2">
      <c r="A290" s="5" t="s">
        <v>5496</v>
      </c>
      <c r="B290" s="5" t="s">
        <v>83</v>
      </c>
      <c r="C290" s="5"/>
      <c r="D290" s="5" t="s">
        <v>5497</v>
      </c>
      <c r="E290" s="5"/>
      <c r="F290" s="5" t="s">
        <v>106</v>
      </c>
      <c r="G290" s="5" t="s">
        <v>5495</v>
      </c>
      <c r="H290" s="5" t="s">
        <v>3</v>
      </c>
      <c r="I290" s="5"/>
      <c r="J290" s="5" t="s">
        <v>9722</v>
      </c>
    </row>
    <row r="291" spans="1:10" x14ac:dyDescent="0.2">
      <c r="A291" s="5" t="s">
        <v>8701</v>
      </c>
      <c r="B291" s="5" t="s">
        <v>83</v>
      </c>
      <c r="C291" s="5"/>
      <c r="D291" s="5" t="s">
        <v>9400</v>
      </c>
      <c r="E291" s="5"/>
      <c r="F291" s="5" t="s">
        <v>106</v>
      </c>
      <c r="G291" s="5" t="s">
        <v>105</v>
      </c>
      <c r="H291" s="5" t="s">
        <v>3</v>
      </c>
      <c r="I291" s="5"/>
      <c r="J291" s="5" t="s">
        <v>8699</v>
      </c>
    </row>
    <row r="292" spans="1:10" ht="25.5" x14ac:dyDescent="0.2">
      <c r="A292" s="5" t="s">
        <v>9721</v>
      </c>
      <c r="B292" s="5" t="s">
        <v>83</v>
      </c>
      <c r="C292" s="5"/>
      <c r="D292" s="5" t="s">
        <v>9720</v>
      </c>
      <c r="E292" s="5" t="s">
        <v>138</v>
      </c>
      <c r="F292" s="5" t="s">
        <v>331</v>
      </c>
      <c r="G292" s="5" t="s">
        <v>181</v>
      </c>
      <c r="H292" s="5" t="s">
        <v>3</v>
      </c>
      <c r="I292" s="5"/>
      <c r="J292" s="5" t="s">
        <v>90</v>
      </c>
    </row>
    <row r="293" spans="1:10" x14ac:dyDescent="0.2">
      <c r="A293" s="5" t="s">
        <v>4054</v>
      </c>
      <c r="B293" s="5" t="s">
        <v>83</v>
      </c>
      <c r="C293" s="5"/>
      <c r="D293" s="5" t="s">
        <v>9719</v>
      </c>
      <c r="E293" s="5" t="s">
        <v>368</v>
      </c>
      <c r="F293" s="5" t="s">
        <v>4009</v>
      </c>
      <c r="G293" s="5" t="s">
        <v>148</v>
      </c>
      <c r="H293" s="5" t="s">
        <v>3</v>
      </c>
      <c r="I293" s="5"/>
      <c r="J293" s="5"/>
    </row>
    <row r="294" spans="1:10" x14ac:dyDescent="0.2">
      <c r="A294" s="5" t="s">
        <v>9718</v>
      </c>
      <c r="B294" s="5" t="s">
        <v>83</v>
      </c>
      <c r="C294" s="5"/>
      <c r="D294" s="5" t="s">
        <v>9712</v>
      </c>
      <c r="E294" s="5" t="s">
        <v>93</v>
      </c>
      <c r="F294" s="5" t="s">
        <v>9711</v>
      </c>
      <c r="G294" s="5" t="s">
        <v>181</v>
      </c>
      <c r="H294" s="5" t="s">
        <v>3</v>
      </c>
      <c r="I294" s="5"/>
      <c r="J294" s="5" t="s">
        <v>9710</v>
      </c>
    </row>
    <row r="295" spans="1:10" ht="25.5" x14ac:dyDescent="0.2">
      <c r="A295" s="5" t="s">
        <v>9717</v>
      </c>
      <c r="B295" s="5" t="s">
        <v>83</v>
      </c>
      <c r="C295" s="5"/>
      <c r="D295" s="5" t="s">
        <v>9716</v>
      </c>
      <c r="E295" s="5" t="s">
        <v>368</v>
      </c>
      <c r="F295" s="5" t="s">
        <v>2215</v>
      </c>
      <c r="G295" s="5" t="s">
        <v>382</v>
      </c>
      <c r="H295" s="5" t="s">
        <v>3</v>
      </c>
      <c r="I295" s="5"/>
      <c r="J295" s="5"/>
    </row>
    <row r="296" spans="1:10" x14ac:dyDescent="0.2">
      <c r="A296" s="5" t="s">
        <v>9715</v>
      </c>
      <c r="B296" s="5" t="s">
        <v>83</v>
      </c>
      <c r="C296" s="5"/>
      <c r="D296" s="5" t="s">
        <v>9714</v>
      </c>
      <c r="E296" s="5" t="s">
        <v>138</v>
      </c>
      <c r="F296" s="5" t="s">
        <v>9247</v>
      </c>
      <c r="G296" s="5" t="s">
        <v>181</v>
      </c>
      <c r="H296" s="5" t="s">
        <v>3</v>
      </c>
      <c r="I296" s="5"/>
      <c r="J296" s="5"/>
    </row>
    <row r="297" spans="1:10" x14ac:dyDescent="0.2">
      <c r="A297" s="5" t="s">
        <v>9713</v>
      </c>
      <c r="B297" s="5" t="s">
        <v>83</v>
      </c>
      <c r="C297" s="5"/>
      <c r="D297" s="5" t="s">
        <v>9712</v>
      </c>
      <c r="E297" s="5" t="s">
        <v>93</v>
      </c>
      <c r="F297" s="5" t="s">
        <v>9711</v>
      </c>
      <c r="G297" s="5" t="s">
        <v>181</v>
      </c>
      <c r="H297" s="5" t="s">
        <v>3</v>
      </c>
      <c r="I297" s="5"/>
      <c r="J297" s="5" t="s">
        <v>9710</v>
      </c>
    </row>
    <row r="298" spans="1:10" x14ac:dyDescent="0.2">
      <c r="A298" s="5" t="s">
        <v>9709</v>
      </c>
      <c r="B298" s="5" t="s">
        <v>83</v>
      </c>
      <c r="C298" s="5"/>
      <c r="D298" s="5" t="s">
        <v>9708</v>
      </c>
      <c r="E298" s="5" t="s">
        <v>368</v>
      </c>
      <c r="F298" s="5" t="s">
        <v>9707</v>
      </c>
      <c r="G298" s="5" t="s">
        <v>382</v>
      </c>
      <c r="H298" s="5" t="s">
        <v>137</v>
      </c>
      <c r="I298" s="5" t="s">
        <v>1658</v>
      </c>
      <c r="J298" s="5" t="s">
        <v>9706</v>
      </c>
    </row>
    <row r="299" spans="1:10" ht="25.5" x14ac:dyDescent="0.2">
      <c r="A299" s="5" t="s">
        <v>1529</v>
      </c>
      <c r="B299" s="5" t="s">
        <v>83</v>
      </c>
      <c r="C299" s="5"/>
      <c r="D299" s="5" t="s">
        <v>9705</v>
      </c>
      <c r="E299" s="5"/>
      <c r="F299" s="5" t="s">
        <v>8794</v>
      </c>
      <c r="G299" s="5" t="s">
        <v>1527</v>
      </c>
      <c r="H299" s="5" t="s">
        <v>3</v>
      </c>
      <c r="I299" s="5"/>
      <c r="J299" s="5" t="s">
        <v>1526</v>
      </c>
    </row>
    <row r="300" spans="1:10" x14ac:dyDescent="0.2">
      <c r="A300" s="5" t="s">
        <v>8853</v>
      </c>
      <c r="B300" s="5" t="s">
        <v>83</v>
      </c>
      <c r="C300" s="5"/>
      <c r="D300" s="5" t="s">
        <v>9704</v>
      </c>
      <c r="E300" s="5"/>
      <c r="F300" s="5" t="s">
        <v>8853</v>
      </c>
      <c r="G300" s="5" t="s">
        <v>1527</v>
      </c>
      <c r="H300" s="5" t="s">
        <v>3</v>
      </c>
      <c r="I300" s="5"/>
      <c r="J300" s="5"/>
    </row>
    <row r="301" spans="1:10" ht="25.5" x14ac:dyDescent="0.2">
      <c r="A301" s="5" t="s">
        <v>9702</v>
      </c>
      <c r="B301" s="5" t="s">
        <v>83</v>
      </c>
      <c r="C301" s="5"/>
      <c r="D301" s="5" t="s">
        <v>9703</v>
      </c>
      <c r="E301" s="5" t="s">
        <v>368</v>
      </c>
      <c r="F301" s="5" t="s">
        <v>9702</v>
      </c>
      <c r="G301" s="5" t="s">
        <v>91</v>
      </c>
      <c r="H301" s="5" t="s">
        <v>137</v>
      </c>
      <c r="I301" s="5" t="s">
        <v>263</v>
      </c>
      <c r="J301" s="5"/>
    </row>
    <row r="302" spans="1:10" ht="25.5" x14ac:dyDescent="0.2">
      <c r="A302" s="5" t="s">
        <v>9101</v>
      </c>
      <c r="B302" s="5" t="s">
        <v>83</v>
      </c>
      <c r="C302" s="5"/>
      <c r="D302" s="5" t="s">
        <v>9701</v>
      </c>
      <c r="E302" s="5"/>
      <c r="F302" s="5" t="s">
        <v>784</v>
      </c>
      <c r="G302" s="5" t="s">
        <v>118</v>
      </c>
      <c r="H302" s="5" t="s">
        <v>137</v>
      </c>
      <c r="I302" s="5" t="s">
        <v>263</v>
      </c>
      <c r="J302" s="5"/>
    </row>
    <row r="303" spans="1:10" ht="25.5" x14ac:dyDescent="0.2">
      <c r="A303" s="5" t="s">
        <v>9700</v>
      </c>
      <c r="B303" s="5" t="s">
        <v>83</v>
      </c>
      <c r="C303" s="5"/>
      <c r="D303" s="5" t="s">
        <v>9699</v>
      </c>
      <c r="E303" s="5"/>
      <c r="F303" s="5" t="s">
        <v>9698</v>
      </c>
      <c r="G303" s="5" t="s">
        <v>4028</v>
      </c>
      <c r="H303" s="5" t="s">
        <v>137</v>
      </c>
      <c r="I303" s="5" t="s">
        <v>263</v>
      </c>
      <c r="J303" s="5" t="s">
        <v>9697</v>
      </c>
    </row>
    <row r="304" spans="1:10" x14ac:dyDescent="0.2">
      <c r="A304" s="5" t="s">
        <v>9696</v>
      </c>
      <c r="B304" s="5" t="s">
        <v>83</v>
      </c>
      <c r="C304" s="5"/>
      <c r="D304" s="5" t="s">
        <v>9691</v>
      </c>
      <c r="E304" s="5"/>
      <c r="F304" s="5" t="s">
        <v>784</v>
      </c>
      <c r="G304" s="5" t="s">
        <v>118</v>
      </c>
      <c r="H304" s="5" t="s">
        <v>137</v>
      </c>
      <c r="I304" s="5" t="s">
        <v>1658</v>
      </c>
      <c r="J304" s="5"/>
    </row>
    <row r="305" spans="1:10" ht="25.5" x14ac:dyDescent="0.2">
      <c r="A305" s="5" t="s">
        <v>9695</v>
      </c>
      <c r="B305" s="5" t="s">
        <v>83</v>
      </c>
      <c r="C305" s="5"/>
      <c r="D305" s="5" t="s">
        <v>9694</v>
      </c>
      <c r="E305" s="5"/>
      <c r="F305" s="5" t="s">
        <v>784</v>
      </c>
      <c r="G305" s="5" t="s">
        <v>357</v>
      </c>
      <c r="H305" s="5" t="s">
        <v>137</v>
      </c>
      <c r="I305" s="5" t="s">
        <v>263</v>
      </c>
      <c r="J305" s="5" t="s">
        <v>9693</v>
      </c>
    </row>
    <row r="306" spans="1:10" x14ac:dyDescent="0.2">
      <c r="A306" s="5" t="s">
        <v>784</v>
      </c>
      <c r="B306" s="5" t="s">
        <v>83</v>
      </c>
      <c r="C306" s="5"/>
      <c r="D306" s="5" t="s">
        <v>788</v>
      </c>
      <c r="E306" s="5"/>
      <c r="F306" s="5" t="s">
        <v>123</v>
      </c>
      <c r="G306" s="5" t="s">
        <v>118</v>
      </c>
      <c r="H306" s="5"/>
      <c r="I306" s="5"/>
      <c r="J306" s="5"/>
    </row>
    <row r="307" spans="1:10" x14ac:dyDescent="0.2">
      <c r="A307" s="5" t="s">
        <v>9692</v>
      </c>
      <c r="B307" s="5" t="s">
        <v>83</v>
      </c>
      <c r="C307" s="5"/>
      <c r="D307" s="5" t="s">
        <v>9691</v>
      </c>
      <c r="E307" s="5"/>
      <c r="F307" s="5" t="s">
        <v>784</v>
      </c>
      <c r="G307" s="5" t="s">
        <v>118</v>
      </c>
      <c r="H307" s="5" t="s">
        <v>137</v>
      </c>
      <c r="I307" s="5" t="s">
        <v>1658</v>
      </c>
      <c r="J307" s="5"/>
    </row>
    <row r="308" spans="1:10" ht="25.5" x14ac:dyDescent="0.2">
      <c r="A308" s="5" t="s">
        <v>9690</v>
      </c>
      <c r="B308" s="5" t="s">
        <v>83</v>
      </c>
      <c r="C308" s="5"/>
      <c r="D308" s="5" t="s">
        <v>9689</v>
      </c>
      <c r="E308" s="5"/>
      <c r="F308" s="5" t="s">
        <v>349</v>
      </c>
      <c r="G308" s="5" t="s">
        <v>328</v>
      </c>
      <c r="H308" s="5" t="s">
        <v>137</v>
      </c>
      <c r="I308" s="5" t="s">
        <v>263</v>
      </c>
      <c r="J308" s="5" t="s">
        <v>9143</v>
      </c>
    </row>
    <row r="309" spans="1:10" x14ac:dyDescent="0.2">
      <c r="A309" s="5" t="s">
        <v>9688</v>
      </c>
      <c r="B309" s="5" t="s">
        <v>83</v>
      </c>
      <c r="C309" s="5"/>
      <c r="D309" s="5" t="s">
        <v>758</v>
      </c>
      <c r="E309" s="5"/>
      <c r="F309" s="5" t="s">
        <v>354</v>
      </c>
      <c r="G309" s="5" t="s">
        <v>328</v>
      </c>
      <c r="H309" s="5" t="s">
        <v>3</v>
      </c>
      <c r="I309" s="5"/>
      <c r="J309" s="5"/>
    </row>
    <row r="310" spans="1:10" x14ac:dyDescent="0.2">
      <c r="A310" s="5" t="s">
        <v>9260</v>
      </c>
      <c r="B310" s="5" t="s">
        <v>83</v>
      </c>
      <c r="C310" s="5"/>
      <c r="D310" s="5" t="s">
        <v>9687</v>
      </c>
      <c r="E310" s="5"/>
      <c r="F310" s="5" t="s">
        <v>9680</v>
      </c>
      <c r="G310" s="5" t="s">
        <v>173</v>
      </c>
      <c r="H310" s="5" t="s">
        <v>3</v>
      </c>
      <c r="I310" s="5"/>
      <c r="J310" s="5" t="s">
        <v>9686</v>
      </c>
    </row>
    <row r="311" spans="1:10" x14ac:dyDescent="0.2">
      <c r="A311" s="5" t="s">
        <v>9685</v>
      </c>
      <c r="B311" s="5" t="s">
        <v>83</v>
      </c>
      <c r="C311" s="5"/>
      <c r="D311" s="5" t="s">
        <v>9684</v>
      </c>
      <c r="E311" s="5" t="s">
        <v>138</v>
      </c>
      <c r="F311" s="5" t="s">
        <v>123</v>
      </c>
      <c r="G311" s="5" t="s">
        <v>91</v>
      </c>
      <c r="H311" s="5" t="s">
        <v>3</v>
      </c>
      <c r="I311" s="5"/>
      <c r="J311" s="5" t="s">
        <v>9683</v>
      </c>
    </row>
    <row r="312" spans="1:10" x14ac:dyDescent="0.2">
      <c r="A312" s="5" t="s">
        <v>9682</v>
      </c>
      <c r="B312" s="5" t="s">
        <v>83</v>
      </c>
      <c r="C312" s="5"/>
      <c r="D312" s="5" t="s">
        <v>9681</v>
      </c>
      <c r="E312" s="5" t="s">
        <v>138</v>
      </c>
      <c r="F312" s="5" t="s">
        <v>9680</v>
      </c>
      <c r="G312" s="5" t="s">
        <v>91</v>
      </c>
      <c r="H312" s="5" t="s">
        <v>3</v>
      </c>
      <c r="I312" s="5"/>
      <c r="J312" s="5" t="s">
        <v>9679</v>
      </c>
    </row>
    <row r="313" spans="1:10" x14ac:dyDescent="0.2">
      <c r="A313" s="5" t="s">
        <v>9678</v>
      </c>
      <c r="B313" s="5" t="s">
        <v>83</v>
      </c>
      <c r="C313" s="5"/>
      <c r="D313" s="5" t="s">
        <v>6447</v>
      </c>
      <c r="E313" s="5"/>
      <c r="F313" s="5" t="s">
        <v>240</v>
      </c>
      <c r="G313" s="5" t="s">
        <v>105</v>
      </c>
      <c r="H313" s="5" t="s">
        <v>3</v>
      </c>
      <c r="I313" s="5"/>
      <c r="J313" s="5"/>
    </row>
    <row r="314" spans="1:10" x14ac:dyDescent="0.2">
      <c r="A314" s="5" t="s">
        <v>8674</v>
      </c>
      <c r="B314" s="5" t="s">
        <v>83</v>
      </c>
      <c r="C314" s="5"/>
      <c r="D314" s="5" t="s">
        <v>9677</v>
      </c>
      <c r="E314" s="5"/>
      <c r="F314" s="5" t="s">
        <v>237</v>
      </c>
      <c r="G314" s="5" t="s">
        <v>80</v>
      </c>
      <c r="H314" s="5" t="s">
        <v>3</v>
      </c>
      <c r="I314" s="5"/>
      <c r="J314" s="5" t="s">
        <v>225</v>
      </c>
    </row>
    <row r="315" spans="1:10" x14ac:dyDescent="0.2">
      <c r="A315" s="5" t="s">
        <v>9676</v>
      </c>
      <c r="B315" s="5" t="s">
        <v>83</v>
      </c>
      <c r="C315" s="5"/>
      <c r="D315" s="5" t="s">
        <v>9675</v>
      </c>
      <c r="E315" s="5"/>
      <c r="F315" s="5" t="s">
        <v>156</v>
      </c>
      <c r="G315" s="5" t="s">
        <v>155</v>
      </c>
      <c r="H315" s="5" t="s">
        <v>137</v>
      </c>
      <c r="I315" s="5"/>
      <c r="J315" s="5"/>
    </row>
    <row r="316" spans="1:10" ht="25.5" x14ac:dyDescent="0.2">
      <c r="A316" s="5" t="s">
        <v>112</v>
      </c>
      <c r="B316" s="5" t="s">
        <v>83</v>
      </c>
      <c r="C316" s="5"/>
      <c r="D316" s="5" t="s">
        <v>111</v>
      </c>
      <c r="E316" s="5"/>
      <c r="F316" s="5" t="s">
        <v>110</v>
      </c>
      <c r="G316" s="5" t="s">
        <v>105</v>
      </c>
      <c r="H316" s="5" t="s">
        <v>3</v>
      </c>
      <c r="I316" s="5"/>
      <c r="J316" s="5" t="s">
        <v>109</v>
      </c>
    </row>
    <row r="317" spans="1:10" ht="25.5" x14ac:dyDescent="0.2">
      <c r="A317" s="5" t="s">
        <v>9674</v>
      </c>
      <c r="B317" s="5" t="s">
        <v>83</v>
      </c>
      <c r="C317" s="5"/>
      <c r="D317" s="5" t="s">
        <v>9673</v>
      </c>
      <c r="E317" s="5"/>
      <c r="F317" s="5" t="s">
        <v>9658</v>
      </c>
      <c r="G317" s="5" t="s">
        <v>382</v>
      </c>
      <c r="H317" s="5" t="s">
        <v>137</v>
      </c>
      <c r="I317" s="5" t="s">
        <v>263</v>
      </c>
      <c r="J317" s="5" t="s">
        <v>9657</v>
      </c>
    </row>
    <row r="318" spans="1:10" x14ac:dyDescent="0.2">
      <c r="A318" s="5" t="s">
        <v>9672</v>
      </c>
      <c r="B318" s="5" t="s">
        <v>83</v>
      </c>
      <c r="C318" s="5"/>
      <c r="D318" s="5" t="s">
        <v>9671</v>
      </c>
      <c r="E318" s="5"/>
      <c r="F318" s="5" t="s">
        <v>514</v>
      </c>
      <c r="G318" s="5" t="s">
        <v>896</v>
      </c>
      <c r="H318" s="5" t="s">
        <v>137</v>
      </c>
      <c r="I318" s="5" t="s">
        <v>408</v>
      </c>
      <c r="J318" s="5" t="s">
        <v>9668</v>
      </c>
    </row>
    <row r="319" spans="1:10" x14ac:dyDescent="0.2">
      <c r="A319" s="5" t="s">
        <v>9670</v>
      </c>
      <c r="B319" s="5" t="s">
        <v>83</v>
      </c>
      <c r="C319" s="5"/>
      <c r="D319" s="5" t="s">
        <v>9669</v>
      </c>
      <c r="E319" s="5"/>
      <c r="F319" s="5" t="s">
        <v>9668</v>
      </c>
      <c r="G319" s="5" t="s">
        <v>224</v>
      </c>
      <c r="H319" s="5" t="s">
        <v>137</v>
      </c>
      <c r="I319" s="5" t="s">
        <v>408</v>
      </c>
      <c r="J319" s="5" t="s">
        <v>9667</v>
      </c>
    </row>
    <row r="320" spans="1:10" ht="25.5" x14ac:dyDescent="0.2">
      <c r="A320" s="5" t="s">
        <v>9662</v>
      </c>
      <c r="B320" s="5" t="s">
        <v>83</v>
      </c>
      <c r="C320" s="5"/>
      <c r="D320" s="5" t="s">
        <v>9666</v>
      </c>
      <c r="E320" s="5" t="s">
        <v>138</v>
      </c>
      <c r="F320" s="5" t="s">
        <v>9662</v>
      </c>
      <c r="G320" s="5" t="s">
        <v>195</v>
      </c>
      <c r="H320" s="5" t="s">
        <v>3</v>
      </c>
      <c r="I320" s="5"/>
      <c r="J320" s="5" t="s">
        <v>9665</v>
      </c>
    </row>
    <row r="321" spans="1:10" ht="25.5" x14ac:dyDescent="0.2">
      <c r="A321" s="5" t="s">
        <v>9664</v>
      </c>
      <c r="B321" s="5" t="s">
        <v>83</v>
      </c>
      <c r="C321" s="5"/>
      <c r="D321" s="5" t="s">
        <v>9663</v>
      </c>
      <c r="E321" s="5" t="s">
        <v>138</v>
      </c>
      <c r="F321" s="5" t="s">
        <v>9662</v>
      </c>
      <c r="G321" s="5" t="s">
        <v>195</v>
      </c>
      <c r="H321" s="5" t="s">
        <v>137</v>
      </c>
      <c r="I321" s="5"/>
      <c r="J321" s="5" t="s">
        <v>9661</v>
      </c>
    </row>
    <row r="322" spans="1:10" ht="25.5" x14ac:dyDescent="0.2">
      <c r="A322" s="5" t="s">
        <v>9660</v>
      </c>
      <c r="B322" s="5" t="s">
        <v>83</v>
      </c>
      <c r="C322" s="5"/>
      <c r="D322" s="5" t="s">
        <v>9659</v>
      </c>
      <c r="E322" s="5"/>
      <c r="F322" s="5" t="s">
        <v>9658</v>
      </c>
      <c r="G322" s="5" t="s">
        <v>382</v>
      </c>
      <c r="H322" s="5" t="s">
        <v>137</v>
      </c>
      <c r="I322" s="5" t="s">
        <v>263</v>
      </c>
      <c r="J322" s="5" t="s">
        <v>9657</v>
      </c>
    </row>
    <row r="323" spans="1:10" ht="38.25" x14ac:dyDescent="0.2">
      <c r="A323" s="5" t="s">
        <v>60</v>
      </c>
      <c r="B323" s="5" t="s">
        <v>8</v>
      </c>
      <c r="C323" s="5"/>
      <c r="D323" s="5" t="s">
        <v>9656</v>
      </c>
      <c r="E323" s="5"/>
      <c r="F323" s="5"/>
      <c r="G323" s="5"/>
      <c r="H323" s="5"/>
      <c r="I323" s="5"/>
      <c r="J323" s="5" t="s">
        <v>9655</v>
      </c>
    </row>
    <row r="324" spans="1:10" x14ac:dyDescent="0.2">
      <c r="A324" s="5" t="s">
        <v>263</v>
      </c>
      <c r="B324" s="5" t="s">
        <v>8</v>
      </c>
      <c r="C324" s="5"/>
      <c r="D324" s="5" t="s">
        <v>9654</v>
      </c>
      <c r="E324" s="5"/>
      <c r="F324" s="5"/>
      <c r="G324" s="5"/>
      <c r="H324" s="5"/>
      <c r="I324" s="5"/>
      <c r="J324" s="5"/>
    </row>
    <row r="325" spans="1:10" x14ac:dyDescent="0.2">
      <c r="A325" s="5" t="s">
        <v>9652</v>
      </c>
      <c r="B325" s="5" t="s">
        <v>8</v>
      </c>
      <c r="C325" s="5"/>
      <c r="D325" s="5" t="s">
        <v>9653</v>
      </c>
      <c r="E325" s="5"/>
      <c r="F325" s="5" t="s">
        <v>9652</v>
      </c>
      <c r="G325" s="5"/>
      <c r="H325" s="5"/>
      <c r="I325" s="5"/>
      <c r="J325" s="5" t="s">
        <v>9651</v>
      </c>
    </row>
    <row r="326" spans="1:10" x14ac:dyDescent="0.2">
      <c r="A326" s="5" t="s">
        <v>1658</v>
      </c>
      <c r="B326" s="5" t="s">
        <v>8</v>
      </c>
      <c r="C326" s="5"/>
      <c r="D326" s="5" t="s">
        <v>9650</v>
      </c>
      <c r="E326" s="5"/>
      <c r="F326" s="5"/>
      <c r="G326" s="5"/>
      <c r="H326" s="5"/>
      <c r="I326" s="5"/>
      <c r="J326" s="5"/>
    </row>
    <row r="327" spans="1:10" x14ac:dyDescent="0.2">
      <c r="A327" s="5" t="s">
        <v>1</v>
      </c>
      <c r="B327" s="5" t="s">
        <v>0</v>
      </c>
      <c r="C327" s="5"/>
      <c r="D327" s="5">
        <v>23</v>
      </c>
      <c r="E327" s="5"/>
      <c r="F327" s="5"/>
      <c r="G327" s="5"/>
      <c r="H327" s="5"/>
      <c r="I327" s="5"/>
      <c r="J327" s="5"/>
    </row>
  </sheetData>
  <autoFilter ref="A3:M3" xr:uid="{B2F118FD-E5B2-4E44-9BD3-D0682A1C8D44}"/>
  <mergeCells count="1">
    <mergeCell ref="G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0551-FBD5-490D-8394-CB94DCA464A0}">
  <sheetPr codeName="Sheet24"/>
  <dimension ref="A1:Y422"/>
  <sheetViews>
    <sheetView workbookViewId="0">
      <pane ySplit="8115" topLeftCell="A419"/>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11551</v>
      </c>
      <c r="C1" s="14"/>
      <c r="D1" s="14"/>
      <c r="E1" s="14"/>
      <c r="F1" s="13" t="s">
        <v>8892</v>
      </c>
      <c r="G1" s="16">
        <v>45538</v>
      </c>
      <c r="H1" s="16"/>
      <c r="I1" s="16"/>
      <c r="J1" s="11"/>
    </row>
    <row r="2" spans="1:25" ht="18" x14ac:dyDescent="0.2">
      <c r="A2" s="14">
        <f ca="1">COUNTA(OFFSET(A3,1,0,2222,1))</f>
        <v>419</v>
      </c>
      <c r="B2" s="15"/>
      <c r="C2" s="14">
        <f ca="1">MAX(OFFSET(C3,1,0,2222,1))</f>
        <v>121</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11553</v>
      </c>
      <c r="B4" s="5" t="s">
        <v>8880</v>
      </c>
      <c r="C4" s="5">
        <v>0</v>
      </c>
      <c r="D4" s="5" t="s">
        <v>11552</v>
      </c>
      <c r="E4" s="5"/>
      <c r="F4" s="5"/>
      <c r="G4" s="5"/>
      <c r="H4" s="5"/>
      <c r="I4" s="5"/>
      <c r="J4" s="5"/>
    </row>
    <row r="5" spans="1:25" x14ac:dyDescent="0.2">
      <c r="A5" s="5" t="s">
        <v>8878</v>
      </c>
      <c r="B5" s="5" t="s">
        <v>8584</v>
      </c>
      <c r="C5" s="5">
        <v>0</v>
      </c>
      <c r="D5" s="5"/>
      <c r="E5" s="5"/>
      <c r="F5" s="5" t="s">
        <v>11551</v>
      </c>
      <c r="G5" s="5" t="s">
        <v>224</v>
      </c>
      <c r="H5" s="5" t="s">
        <v>3</v>
      </c>
      <c r="I5" s="5"/>
      <c r="J5" s="5" t="s">
        <v>8874</v>
      </c>
    </row>
    <row r="6" spans="1:25" ht="25.5" x14ac:dyDescent="0.2">
      <c r="A6" s="5" t="s">
        <v>11550</v>
      </c>
      <c r="B6" s="5" t="s">
        <v>8584</v>
      </c>
      <c r="C6" s="5">
        <v>0</v>
      </c>
      <c r="D6" s="5"/>
      <c r="E6" s="5"/>
      <c r="F6" s="5" t="s">
        <v>11544</v>
      </c>
      <c r="G6" s="5" t="s">
        <v>11549</v>
      </c>
      <c r="H6" s="5" t="s">
        <v>3</v>
      </c>
      <c r="I6" s="5"/>
      <c r="J6" s="5" t="s">
        <v>8874</v>
      </c>
    </row>
    <row r="7" spans="1:25" ht="25.5" x14ac:dyDescent="0.2">
      <c r="A7" s="5" t="s">
        <v>11548</v>
      </c>
      <c r="B7" s="5" t="s">
        <v>8584</v>
      </c>
      <c r="C7" s="5">
        <v>0</v>
      </c>
      <c r="D7" s="5"/>
      <c r="E7" s="5"/>
      <c r="F7" s="5" t="s">
        <v>11547</v>
      </c>
      <c r="G7" s="5" t="s">
        <v>91</v>
      </c>
      <c r="H7" s="5" t="s">
        <v>3</v>
      </c>
      <c r="I7" s="5"/>
      <c r="J7" s="5" t="s">
        <v>11546</v>
      </c>
    </row>
    <row r="8" spans="1:25" ht="25.5" x14ac:dyDescent="0.2">
      <c r="A8" s="5" t="s">
        <v>11545</v>
      </c>
      <c r="B8" s="5" t="s">
        <v>8584</v>
      </c>
      <c r="C8" s="5">
        <v>0</v>
      </c>
      <c r="D8" s="5"/>
      <c r="E8" s="5"/>
      <c r="F8" s="5" t="s">
        <v>11544</v>
      </c>
      <c r="G8" s="5" t="s">
        <v>10733</v>
      </c>
      <c r="H8" s="5" t="s">
        <v>3</v>
      </c>
      <c r="I8" s="5"/>
      <c r="J8" s="5" t="s">
        <v>11543</v>
      </c>
    </row>
    <row r="9" spans="1:25" x14ac:dyDescent="0.2">
      <c r="A9" s="5" t="s">
        <v>158</v>
      </c>
      <c r="B9" s="5" t="s">
        <v>8584</v>
      </c>
      <c r="C9" s="5">
        <v>0</v>
      </c>
      <c r="D9" s="5"/>
      <c r="E9" s="5"/>
      <c r="F9" s="5" t="s">
        <v>10474</v>
      </c>
      <c r="G9" s="5" t="s">
        <v>283</v>
      </c>
      <c r="H9" s="5" t="s">
        <v>3</v>
      </c>
      <c r="I9" s="5"/>
      <c r="J9" s="5" t="s">
        <v>11542</v>
      </c>
    </row>
    <row r="10" spans="1:25" ht="25.5" x14ac:dyDescent="0.2">
      <c r="A10" s="5" t="s">
        <v>8571</v>
      </c>
      <c r="B10" s="5" t="s">
        <v>8584</v>
      </c>
      <c r="C10" s="5">
        <v>1</v>
      </c>
      <c r="D10" s="5"/>
      <c r="E10" s="5"/>
      <c r="F10" s="5" t="s">
        <v>11225</v>
      </c>
      <c r="G10" s="5" t="s">
        <v>896</v>
      </c>
      <c r="H10" s="5" t="s">
        <v>3</v>
      </c>
      <c r="I10" s="5"/>
      <c r="J10" s="5" t="s">
        <v>11541</v>
      </c>
    </row>
    <row r="11" spans="1:25" ht="25.5" x14ac:dyDescent="0.2">
      <c r="A11" s="5" t="s">
        <v>11540</v>
      </c>
      <c r="B11" s="5" t="s">
        <v>8584</v>
      </c>
      <c r="C11" s="5">
        <v>1</v>
      </c>
      <c r="D11" s="5"/>
      <c r="E11" s="5"/>
      <c r="F11" s="5" t="s">
        <v>10871</v>
      </c>
      <c r="G11" s="5" t="s">
        <v>502</v>
      </c>
      <c r="H11" s="5" t="s">
        <v>3</v>
      </c>
      <c r="I11" s="5"/>
      <c r="J11" s="5" t="s">
        <v>11539</v>
      </c>
    </row>
    <row r="12" spans="1:25" s="2" customFormat="1" ht="25.5" x14ac:dyDescent="0.2">
      <c r="A12" s="5" t="s">
        <v>11538</v>
      </c>
      <c r="B12" s="5" t="s">
        <v>8584</v>
      </c>
      <c r="C12" s="5">
        <v>2</v>
      </c>
      <c r="D12" s="5"/>
      <c r="E12" s="5"/>
      <c r="F12" s="5" t="s">
        <v>6621</v>
      </c>
      <c r="G12" s="5" t="s">
        <v>105</v>
      </c>
      <c r="H12" s="5" t="s">
        <v>3</v>
      </c>
      <c r="I12" s="5"/>
      <c r="J12" s="5" t="s">
        <v>11536</v>
      </c>
      <c r="M12" s="1"/>
      <c r="N12"/>
      <c r="O12"/>
      <c r="P12"/>
      <c r="Q12"/>
      <c r="R12"/>
      <c r="S12"/>
      <c r="T12"/>
      <c r="U12"/>
      <c r="V12"/>
      <c r="W12"/>
      <c r="X12"/>
      <c r="Y12"/>
    </row>
    <row r="13" spans="1:25" s="2" customFormat="1" ht="25.5" x14ac:dyDescent="0.2">
      <c r="A13" s="5" t="s">
        <v>11537</v>
      </c>
      <c r="B13" s="5" t="s">
        <v>8584</v>
      </c>
      <c r="C13" s="5">
        <v>2</v>
      </c>
      <c r="D13" s="5"/>
      <c r="E13" s="5"/>
      <c r="F13" s="5" t="s">
        <v>9245</v>
      </c>
      <c r="G13" s="5" t="s">
        <v>4</v>
      </c>
      <c r="H13" s="5" t="s">
        <v>3</v>
      </c>
      <c r="I13" s="5"/>
      <c r="J13" s="5" t="s">
        <v>11536</v>
      </c>
      <c r="M13" s="1"/>
      <c r="N13"/>
      <c r="O13"/>
      <c r="P13"/>
      <c r="Q13"/>
      <c r="R13"/>
      <c r="S13"/>
      <c r="T13"/>
      <c r="U13"/>
      <c r="V13"/>
      <c r="W13"/>
      <c r="X13"/>
      <c r="Y13"/>
    </row>
    <row r="14" spans="1:25" s="2" customFormat="1" x14ac:dyDescent="0.2">
      <c r="A14" s="5" t="s">
        <v>11535</v>
      </c>
      <c r="B14" s="5" t="s">
        <v>8584</v>
      </c>
      <c r="C14" s="5">
        <v>2</v>
      </c>
      <c r="D14" s="5"/>
      <c r="E14" s="5"/>
      <c r="F14" s="5" t="s">
        <v>10313</v>
      </c>
      <c r="G14" s="5" t="s">
        <v>105</v>
      </c>
      <c r="H14" s="5" t="s">
        <v>3</v>
      </c>
      <c r="I14" s="5"/>
      <c r="J14" s="5" t="s">
        <v>11534</v>
      </c>
      <c r="M14" s="1"/>
      <c r="N14"/>
      <c r="O14"/>
      <c r="P14"/>
      <c r="Q14"/>
      <c r="R14"/>
      <c r="S14"/>
      <c r="T14"/>
      <c r="U14"/>
      <c r="V14"/>
      <c r="W14"/>
      <c r="X14"/>
      <c r="Y14"/>
    </row>
    <row r="15" spans="1:25" s="2" customFormat="1" x14ac:dyDescent="0.2">
      <c r="A15" s="5" t="s">
        <v>354</v>
      </c>
      <c r="B15" s="5" t="s">
        <v>8584</v>
      </c>
      <c r="C15" s="5">
        <v>3</v>
      </c>
      <c r="D15" s="5"/>
      <c r="E15" s="5"/>
      <c r="F15" s="5" t="s">
        <v>9148</v>
      </c>
      <c r="G15" s="5" t="s">
        <v>173</v>
      </c>
      <c r="H15" s="5" t="s">
        <v>3</v>
      </c>
      <c r="I15" s="5"/>
      <c r="J15" s="5" t="s">
        <v>11533</v>
      </c>
      <c r="M15" s="1"/>
      <c r="N15"/>
      <c r="O15"/>
      <c r="P15"/>
      <c r="Q15"/>
      <c r="R15"/>
      <c r="S15"/>
      <c r="T15"/>
      <c r="U15"/>
      <c r="V15"/>
      <c r="W15"/>
      <c r="X15"/>
      <c r="Y15"/>
    </row>
    <row r="16" spans="1:25" s="2" customFormat="1" x14ac:dyDescent="0.2">
      <c r="A16" s="5" t="s">
        <v>11532</v>
      </c>
      <c r="B16" s="5" t="s">
        <v>8584</v>
      </c>
      <c r="C16" s="5">
        <v>4</v>
      </c>
      <c r="D16" s="5"/>
      <c r="E16" s="5" t="s">
        <v>150</v>
      </c>
      <c r="F16" s="5" t="s">
        <v>11519</v>
      </c>
      <c r="G16" s="5" t="s">
        <v>148</v>
      </c>
      <c r="H16" s="5" t="s">
        <v>3</v>
      </c>
      <c r="I16" s="5"/>
      <c r="J16" s="5" t="s">
        <v>11531</v>
      </c>
      <c r="M16" s="1"/>
      <c r="N16"/>
      <c r="O16"/>
      <c r="P16"/>
      <c r="Q16"/>
      <c r="R16"/>
      <c r="S16"/>
      <c r="T16"/>
      <c r="U16"/>
      <c r="V16"/>
      <c r="W16"/>
      <c r="X16"/>
      <c r="Y16"/>
    </row>
    <row r="17" spans="1:25" s="2" customFormat="1" x14ac:dyDescent="0.2">
      <c r="A17" s="5" t="s">
        <v>11530</v>
      </c>
      <c r="B17" s="5" t="s">
        <v>8584</v>
      </c>
      <c r="C17" s="5">
        <v>4</v>
      </c>
      <c r="D17" s="5"/>
      <c r="E17" s="5" t="s">
        <v>213</v>
      </c>
      <c r="F17" s="5"/>
      <c r="G17" s="5" t="s">
        <v>91</v>
      </c>
      <c r="H17" s="5" t="s">
        <v>3</v>
      </c>
      <c r="I17" s="5"/>
      <c r="J17" s="5" t="s">
        <v>11529</v>
      </c>
      <c r="M17" s="1"/>
      <c r="N17"/>
      <c r="O17"/>
      <c r="P17"/>
      <c r="Q17"/>
      <c r="R17"/>
      <c r="S17"/>
      <c r="T17"/>
      <c r="U17"/>
      <c r="V17"/>
      <c r="W17"/>
      <c r="X17"/>
      <c r="Y17"/>
    </row>
    <row r="18" spans="1:25" s="2" customFormat="1" x14ac:dyDescent="0.2">
      <c r="A18" s="5" t="s">
        <v>11528</v>
      </c>
      <c r="B18" s="5" t="s">
        <v>8584</v>
      </c>
      <c r="C18" s="5">
        <v>5</v>
      </c>
      <c r="D18" s="5"/>
      <c r="E18" s="5" t="s">
        <v>11367</v>
      </c>
      <c r="F18" s="5" t="s">
        <v>11519</v>
      </c>
      <c r="G18" s="5" t="s">
        <v>11527</v>
      </c>
      <c r="H18" s="5" t="s">
        <v>3</v>
      </c>
      <c r="I18" s="5"/>
      <c r="J18" s="5" t="s">
        <v>11526</v>
      </c>
      <c r="M18" s="1"/>
      <c r="N18"/>
      <c r="O18"/>
      <c r="P18"/>
      <c r="Q18"/>
      <c r="R18"/>
      <c r="S18"/>
      <c r="T18"/>
      <c r="U18"/>
      <c r="V18"/>
      <c r="W18"/>
      <c r="X18"/>
      <c r="Y18"/>
    </row>
    <row r="19" spans="1:25" s="2" customFormat="1" ht="25.5" x14ac:dyDescent="0.2">
      <c r="A19" s="5" t="s">
        <v>11525</v>
      </c>
      <c r="B19" s="5" t="s">
        <v>8584</v>
      </c>
      <c r="C19" s="5">
        <v>5</v>
      </c>
      <c r="D19" s="5"/>
      <c r="E19" s="5" t="s">
        <v>5520</v>
      </c>
      <c r="F19" s="5"/>
      <c r="G19" s="5" t="s">
        <v>207</v>
      </c>
      <c r="H19" s="5" t="s">
        <v>3</v>
      </c>
      <c r="I19" s="5"/>
      <c r="J19" s="5" t="s">
        <v>11524</v>
      </c>
      <c r="M19" s="1"/>
      <c r="N19"/>
      <c r="O19"/>
      <c r="P19"/>
      <c r="Q19"/>
      <c r="R19"/>
      <c r="S19"/>
      <c r="T19"/>
      <c r="U19"/>
      <c r="V19"/>
      <c r="W19"/>
      <c r="X19"/>
      <c r="Y19"/>
    </row>
    <row r="20" spans="1:25" s="2" customFormat="1" x14ac:dyDescent="0.2">
      <c r="A20" s="5" t="s">
        <v>11523</v>
      </c>
      <c r="B20" s="5" t="s">
        <v>8584</v>
      </c>
      <c r="C20" s="5">
        <v>5</v>
      </c>
      <c r="D20" s="5"/>
      <c r="E20" s="5" t="s">
        <v>11522</v>
      </c>
      <c r="F20" s="5" t="s">
        <v>6621</v>
      </c>
      <c r="G20" s="5" t="s">
        <v>148</v>
      </c>
      <c r="H20" s="5" t="s">
        <v>3</v>
      </c>
      <c r="I20" s="5"/>
      <c r="J20" s="5" t="s">
        <v>11521</v>
      </c>
      <c r="M20" s="1"/>
      <c r="N20"/>
      <c r="O20"/>
      <c r="P20"/>
      <c r="Q20"/>
      <c r="R20"/>
      <c r="S20"/>
      <c r="T20"/>
      <c r="U20"/>
      <c r="V20"/>
      <c r="W20"/>
      <c r="X20"/>
      <c r="Y20"/>
    </row>
    <row r="21" spans="1:25" s="2" customFormat="1" x14ac:dyDescent="0.2">
      <c r="A21" s="5" t="s">
        <v>11520</v>
      </c>
      <c r="B21" s="5" t="s">
        <v>8584</v>
      </c>
      <c r="C21" s="5">
        <v>6</v>
      </c>
      <c r="D21" s="5"/>
      <c r="E21" s="5"/>
      <c r="F21" s="5" t="s">
        <v>11519</v>
      </c>
      <c r="G21" s="5" t="s">
        <v>195</v>
      </c>
      <c r="H21" s="5" t="s">
        <v>3</v>
      </c>
      <c r="I21" s="5"/>
      <c r="J21" s="5" t="s">
        <v>11518</v>
      </c>
      <c r="M21" s="1"/>
      <c r="N21"/>
      <c r="O21"/>
      <c r="P21"/>
      <c r="Q21"/>
      <c r="R21"/>
      <c r="S21"/>
      <c r="T21"/>
      <c r="U21"/>
      <c r="V21"/>
      <c r="W21"/>
      <c r="X21"/>
      <c r="Y21"/>
    </row>
    <row r="22" spans="1:25" s="2" customFormat="1" x14ac:dyDescent="0.2">
      <c r="A22" s="5" t="s">
        <v>11517</v>
      </c>
      <c r="B22" s="5" t="s">
        <v>8584</v>
      </c>
      <c r="C22" s="5">
        <v>7</v>
      </c>
      <c r="D22" s="5"/>
      <c r="E22" s="5"/>
      <c r="F22" s="5" t="s">
        <v>11091</v>
      </c>
      <c r="G22" s="5" t="s">
        <v>382</v>
      </c>
      <c r="H22" s="5" t="s">
        <v>3</v>
      </c>
      <c r="I22" s="5"/>
      <c r="J22" s="5"/>
      <c r="M22" s="1"/>
      <c r="N22"/>
      <c r="O22"/>
      <c r="P22"/>
      <c r="Q22"/>
      <c r="R22"/>
      <c r="S22"/>
      <c r="T22"/>
      <c r="U22"/>
      <c r="V22"/>
      <c r="W22"/>
      <c r="X22"/>
      <c r="Y22"/>
    </row>
    <row r="23" spans="1:25" s="2" customFormat="1" x14ac:dyDescent="0.2">
      <c r="A23" s="5" t="s">
        <v>11516</v>
      </c>
      <c r="B23" s="5" t="s">
        <v>8584</v>
      </c>
      <c r="C23" s="5">
        <v>7</v>
      </c>
      <c r="D23" s="5"/>
      <c r="E23" s="5"/>
      <c r="F23" s="5" t="s">
        <v>11105</v>
      </c>
      <c r="G23" s="5" t="s">
        <v>114</v>
      </c>
      <c r="H23" s="5" t="s">
        <v>3</v>
      </c>
      <c r="I23" s="5"/>
      <c r="J23" s="5" t="s">
        <v>11104</v>
      </c>
      <c r="M23" s="1"/>
      <c r="N23"/>
      <c r="O23"/>
      <c r="P23"/>
      <c r="Q23"/>
      <c r="R23"/>
      <c r="S23"/>
      <c r="T23"/>
      <c r="U23"/>
      <c r="V23"/>
      <c r="W23"/>
      <c r="X23"/>
      <c r="Y23"/>
    </row>
    <row r="24" spans="1:25" s="2" customFormat="1" x14ac:dyDescent="0.2">
      <c r="A24" s="5" t="s">
        <v>11515</v>
      </c>
      <c r="B24" s="5" t="s">
        <v>8584</v>
      </c>
      <c r="C24" s="5">
        <v>7</v>
      </c>
      <c r="D24" s="5"/>
      <c r="E24" s="5" t="s">
        <v>11304</v>
      </c>
      <c r="F24" s="5" t="s">
        <v>7957</v>
      </c>
      <c r="G24" s="5" t="s">
        <v>114</v>
      </c>
      <c r="H24" s="5" t="s">
        <v>3</v>
      </c>
      <c r="I24" s="5"/>
      <c r="J24" s="5" t="s">
        <v>11514</v>
      </c>
      <c r="M24" s="1"/>
      <c r="N24"/>
      <c r="O24"/>
      <c r="P24"/>
      <c r="Q24"/>
      <c r="R24"/>
      <c r="S24"/>
      <c r="T24"/>
      <c r="U24"/>
      <c r="V24"/>
      <c r="W24"/>
      <c r="X24"/>
      <c r="Y24"/>
    </row>
    <row r="25" spans="1:25" s="2" customFormat="1" x14ac:dyDescent="0.2">
      <c r="A25" s="5" t="s">
        <v>784</v>
      </c>
      <c r="B25" s="5" t="s">
        <v>8584</v>
      </c>
      <c r="C25" s="5">
        <v>8</v>
      </c>
      <c r="D25" s="5"/>
      <c r="E25" s="5"/>
      <c r="F25" s="5" t="s">
        <v>9101</v>
      </c>
      <c r="G25" s="5" t="s">
        <v>1527</v>
      </c>
      <c r="H25" s="5" t="s">
        <v>3</v>
      </c>
      <c r="I25" s="5"/>
      <c r="J25" s="5"/>
      <c r="M25" s="1"/>
      <c r="N25"/>
      <c r="O25"/>
      <c r="P25"/>
      <c r="Q25"/>
      <c r="R25"/>
      <c r="S25"/>
      <c r="T25"/>
      <c r="U25"/>
      <c r="V25"/>
      <c r="W25"/>
      <c r="X25"/>
      <c r="Y25"/>
    </row>
    <row r="26" spans="1:25" s="2" customFormat="1" ht="25.5" x14ac:dyDescent="0.2">
      <c r="A26" s="5" t="s">
        <v>11513</v>
      </c>
      <c r="B26" s="5" t="s">
        <v>8584</v>
      </c>
      <c r="C26" s="5">
        <v>9</v>
      </c>
      <c r="D26" s="5"/>
      <c r="E26" s="5" t="s">
        <v>3057</v>
      </c>
      <c r="F26" s="5" t="s">
        <v>11513</v>
      </c>
      <c r="G26" s="5" t="s">
        <v>148</v>
      </c>
      <c r="H26" s="5" t="s">
        <v>3</v>
      </c>
      <c r="I26" s="5"/>
      <c r="J26" s="5" t="s">
        <v>11512</v>
      </c>
      <c r="M26" s="1"/>
      <c r="N26"/>
      <c r="O26"/>
      <c r="P26"/>
      <c r="Q26"/>
      <c r="R26"/>
      <c r="S26"/>
      <c r="T26"/>
      <c r="U26"/>
      <c r="V26"/>
      <c r="W26"/>
      <c r="X26"/>
      <c r="Y26"/>
    </row>
    <row r="27" spans="1:25" s="2" customFormat="1" ht="25.5" x14ac:dyDescent="0.2">
      <c r="A27" s="5" t="s">
        <v>11348</v>
      </c>
      <c r="B27" s="5" t="s">
        <v>8584</v>
      </c>
      <c r="C27" s="5">
        <v>10</v>
      </c>
      <c r="D27" s="5"/>
      <c r="E27" s="5" t="s">
        <v>3057</v>
      </c>
      <c r="F27" s="5" t="s">
        <v>11348</v>
      </c>
      <c r="G27" s="5" t="s">
        <v>148</v>
      </c>
      <c r="H27" s="5" t="s">
        <v>3</v>
      </c>
      <c r="I27" s="5"/>
      <c r="J27" s="5" t="s">
        <v>11511</v>
      </c>
      <c r="M27" s="1"/>
      <c r="N27"/>
      <c r="O27"/>
      <c r="P27"/>
      <c r="Q27"/>
      <c r="R27"/>
      <c r="S27"/>
      <c r="T27"/>
      <c r="U27"/>
      <c r="V27"/>
      <c r="W27"/>
      <c r="X27"/>
      <c r="Y27"/>
    </row>
    <row r="28" spans="1:25" s="2" customFormat="1" x14ac:dyDescent="0.2">
      <c r="A28" s="5" t="s">
        <v>11510</v>
      </c>
      <c r="B28" s="5" t="s">
        <v>8584</v>
      </c>
      <c r="C28" s="5">
        <v>11</v>
      </c>
      <c r="D28" s="5"/>
      <c r="E28" s="5"/>
      <c r="F28" s="5" t="s">
        <v>11509</v>
      </c>
      <c r="G28" s="5" t="s">
        <v>328</v>
      </c>
      <c r="H28" s="5" t="s">
        <v>3</v>
      </c>
      <c r="I28" s="5"/>
      <c r="J28" s="5" t="s">
        <v>11508</v>
      </c>
      <c r="M28" s="1"/>
      <c r="N28"/>
      <c r="O28"/>
      <c r="P28"/>
      <c r="Q28"/>
      <c r="R28"/>
      <c r="S28"/>
      <c r="T28"/>
      <c r="U28"/>
      <c r="V28"/>
      <c r="W28"/>
      <c r="X28"/>
      <c r="Y28"/>
    </row>
    <row r="29" spans="1:25" s="2" customFormat="1" x14ac:dyDescent="0.2">
      <c r="A29" s="5" t="s">
        <v>11507</v>
      </c>
      <c r="B29" s="5" t="s">
        <v>8584</v>
      </c>
      <c r="C29" s="5">
        <v>12</v>
      </c>
      <c r="D29" s="5"/>
      <c r="E29" s="5" t="s">
        <v>11506</v>
      </c>
      <c r="F29" s="5" t="s">
        <v>11505</v>
      </c>
      <c r="G29" s="5" t="s">
        <v>105</v>
      </c>
      <c r="H29" s="5" t="s">
        <v>3</v>
      </c>
      <c r="I29" s="5"/>
      <c r="J29" s="5" t="s">
        <v>11504</v>
      </c>
      <c r="M29" s="1"/>
      <c r="N29"/>
      <c r="O29"/>
      <c r="P29"/>
      <c r="Q29"/>
      <c r="R29"/>
      <c r="S29"/>
      <c r="T29"/>
      <c r="U29"/>
      <c r="V29"/>
      <c r="W29"/>
      <c r="X29"/>
      <c r="Y29"/>
    </row>
    <row r="30" spans="1:25" s="2" customFormat="1" x14ac:dyDescent="0.2">
      <c r="A30" s="5" t="s">
        <v>11503</v>
      </c>
      <c r="B30" s="5" t="s">
        <v>8584</v>
      </c>
      <c r="C30" s="5">
        <v>13</v>
      </c>
      <c r="D30" s="5"/>
      <c r="E30" s="5"/>
      <c r="F30" s="5" t="s">
        <v>11503</v>
      </c>
      <c r="G30" s="5" t="s">
        <v>10432</v>
      </c>
      <c r="H30" s="5" t="s">
        <v>3</v>
      </c>
      <c r="I30" s="5"/>
      <c r="J30" s="5" t="s">
        <v>11502</v>
      </c>
      <c r="M30" s="1"/>
      <c r="N30"/>
      <c r="O30"/>
      <c r="P30"/>
      <c r="Q30"/>
      <c r="R30"/>
      <c r="S30"/>
      <c r="T30"/>
      <c r="U30"/>
      <c r="V30"/>
      <c r="W30"/>
      <c r="X30"/>
      <c r="Y30"/>
    </row>
    <row r="31" spans="1:25" s="2" customFormat="1" x14ac:dyDescent="0.2">
      <c r="A31" s="5" t="s">
        <v>11501</v>
      </c>
      <c r="B31" s="5" t="s">
        <v>8584</v>
      </c>
      <c r="C31" s="5">
        <v>14</v>
      </c>
      <c r="D31" s="5"/>
      <c r="E31" s="5"/>
      <c r="F31" s="5" t="s">
        <v>11500</v>
      </c>
      <c r="G31" s="5" t="s">
        <v>255</v>
      </c>
      <c r="H31" s="5" t="s">
        <v>3</v>
      </c>
      <c r="I31" s="5"/>
      <c r="J31" s="5" t="s">
        <v>11499</v>
      </c>
      <c r="M31" s="1"/>
      <c r="N31"/>
      <c r="O31"/>
      <c r="P31"/>
      <c r="Q31"/>
      <c r="R31"/>
      <c r="S31"/>
      <c r="T31"/>
      <c r="U31"/>
      <c r="V31"/>
      <c r="W31"/>
      <c r="X31"/>
      <c r="Y31"/>
    </row>
    <row r="32" spans="1:25" s="2" customFormat="1" x14ac:dyDescent="0.2">
      <c r="A32" s="5" t="s">
        <v>11498</v>
      </c>
      <c r="B32" s="5" t="s">
        <v>8584</v>
      </c>
      <c r="C32" s="5">
        <v>15</v>
      </c>
      <c r="D32" s="5"/>
      <c r="E32" s="5"/>
      <c r="F32" s="5" t="s">
        <v>11497</v>
      </c>
      <c r="G32" s="5" t="s">
        <v>105</v>
      </c>
      <c r="H32" s="5" t="s">
        <v>3</v>
      </c>
      <c r="I32" s="5"/>
      <c r="J32" s="5" t="s">
        <v>11496</v>
      </c>
      <c r="M32" s="1"/>
      <c r="N32"/>
      <c r="O32"/>
      <c r="P32"/>
      <c r="Q32"/>
      <c r="R32"/>
      <c r="S32"/>
      <c r="T32"/>
      <c r="U32"/>
      <c r="V32"/>
      <c r="W32"/>
      <c r="X32"/>
      <c r="Y32"/>
    </row>
    <row r="33" spans="1:25" s="2" customFormat="1" x14ac:dyDescent="0.2">
      <c r="A33" s="5" t="s">
        <v>11495</v>
      </c>
      <c r="B33" s="5" t="s">
        <v>8584</v>
      </c>
      <c r="C33" s="5">
        <v>15</v>
      </c>
      <c r="D33" s="5"/>
      <c r="E33" s="5"/>
      <c r="F33" s="5" t="s">
        <v>11494</v>
      </c>
      <c r="G33" s="5" t="s">
        <v>4</v>
      </c>
      <c r="H33" s="5" t="s">
        <v>3</v>
      </c>
      <c r="I33" s="5"/>
      <c r="J33" s="5" t="s">
        <v>11493</v>
      </c>
      <c r="M33" s="1"/>
      <c r="N33"/>
      <c r="O33"/>
      <c r="P33"/>
      <c r="Q33"/>
      <c r="R33"/>
      <c r="S33"/>
      <c r="T33"/>
      <c r="U33"/>
      <c r="V33"/>
      <c r="W33"/>
      <c r="X33"/>
      <c r="Y33"/>
    </row>
    <row r="34" spans="1:25" s="2" customFormat="1" x14ac:dyDescent="0.2">
      <c r="A34" s="5" t="s">
        <v>11492</v>
      </c>
      <c r="B34" s="5" t="s">
        <v>8584</v>
      </c>
      <c r="C34" s="5">
        <v>16</v>
      </c>
      <c r="D34" s="5"/>
      <c r="E34" s="5"/>
      <c r="F34" s="5"/>
      <c r="G34" s="5" t="s">
        <v>1527</v>
      </c>
      <c r="H34" s="5" t="s">
        <v>3</v>
      </c>
      <c r="I34" s="5"/>
      <c r="J34" s="5" t="s">
        <v>11491</v>
      </c>
      <c r="M34" s="1"/>
      <c r="N34"/>
      <c r="O34"/>
      <c r="P34"/>
      <c r="Q34"/>
      <c r="R34"/>
      <c r="S34"/>
      <c r="T34"/>
      <c r="U34"/>
      <c r="V34"/>
      <c r="W34"/>
      <c r="X34"/>
      <c r="Y34"/>
    </row>
    <row r="35" spans="1:25" s="2" customFormat="1" ht="25.5" x14ac:dyDescent="0.2">
      <c r="A35" s="5" t="s">
        <v>11490</v>
      </c>
      <c r="B35" s="5" t="s">
        <v>8584</v>
      </c>
      <c r="C35" s="5">
        <v>16</v>
      </c>
      <c r="D35" s="5"/>
      <c r="E35" s="5"/>
      <c r="F35" s="5" t="s">
        <v>11317</v>
      </c>
      <c r="G35" s="5" t="s">
        <v>1527</v>
      </c>
      <c r="H35" s="5" t="s">
        <v>3</v>
      </c>
      <c r="I35" s="5"/>
      <c r="J35" s="5" t="s">
        <v>11489</v>
      </c>
      <c r="M35" s="1"/>
      <c r="N35"/>
      <c r="O35"/>
      <c r="P35"/>
      <c r="Q35"/>
      <c r="R35"/>
      <c r="S35"/>
      <c r="T35"/>
      <c r="U35"/>
      <c r="V35"/>
      <c r="W35"/>
      <c r="X35"/>
      <c r="Y35"/>
    </row>
    <row r="36" spans="1:25" s="2" customFormat="1" ht="25.5" x14ac:dyDescent="0.2">
      <c r="A36" s="5" t="s">
        <v>11488</v>
      </c>
      <c r="B36" s="5" t="s">
        <v>8584</v>
      </c>
      <c r="C36" s="5">
        <v>17</v>
      </c>
      <c r="D36" s="5"/>
      <c r="E36" s="5"/>
      <c r="F36" s="5" t="s">
        <v>11317</v>
      </c>
      <c r="G36" s="5" t="s">
        <v>7378</v>
      </c>
      <c r="H36" s="5" t="s">
        <v>3</v>
      </c>
      <c r="I36" s="5"/>
      <c r="J36" s="5" t="s">
        <v>11487</v>
      </c>
      <c r="M36" s="1"/>
      <c r="N36"/>
      <c r="O36"/>
      <c r="P36"/>
      <c r="Q36"/>
      <c r="R36"/>
      <c r="S36"/>
      <c r="T36"/>
      <c r="U36"/>
      <c r="V36"/>
      <c r="W36"/>
      <c r="X36"/>
      <c r="Y36"/>
    </row>
    <row r="37" spans="1:25" s="2" customFormat="1" ht="38.25" x14ac:dyDescent="0.2">
      <c r="A37" s="5" t="s">
        <v>11486</v>
      </c>
      <c r="B37" s="5" t="s">
        <v>8584</v>
      </c>
      <c r="C37" s="5">
        <v>18</v>
      </c>
      <c r="D37" s="5"/>
      <c r="E37" s="5"/>
      <c r="F37" s="5" t="s">
        <v>11485</v>
      </c>
      <c r="G37" s="5" t="s">
        <v>7378</v>
      </c>
      <c r="H37" s="5" t="s">
        <v>137</v>
      </c>
      <c r="I37" s="5" t="s">
        <v>10440</v>
      </c>
      <c r="J37" s="5" t="s">
        <v>11484</v>
      </c>
      <c r="M37" s="1"/>
      <c r="N37"/>
      <c r="O37"/>
      <c r="P37"/>
      <c r="Q37"/>
      <c r="R37"/>
      <c r="S37"/>
      <c r="T37"/>
      <c r="U37"/>
      <c r="V37"/>
      <c r="W37"/>
      <c r="X37"/>
      <c r="Y37"/>
    </row>
    <row r="38" spans="1:25" s="2" customFormat="1" ht="25.5" x14ac:dyDescent="0.2">
      <c r="A38" s="5" t="s">
        <v>11483</v>
      </c>
      <c r="B38" s="5" t="s">
        <v>8584</v>
      </c>
      <c r="C38" s="5">
        <v>19</v>
      </c>
      <c r="D38" s="5"/>
      <c r="E38" s="5"/>
      <c r="F38" s="5" t="s">
        <v>11482</v>
      </c>
      <c r="G38" s="5" t="s">
        <v>11481</v>
      </c>
      <c r="H38" s="5" t="s">
        <v>137</v>
      </c>
      <c r="I38" s="5" t="s">
        <v>10440</v>
      </c>
      <c r="J38" s="5" t="s">
        <v>11480</v>
      </c>
      <c r="M38" s="1"/>
      <c r="N38"/>
      <c r="O38"/>
      <c r="P38"/>
      <c r="Q38"/>
      <c r="R38"/>
      <c r="S38"/>
      <c r="T38"/>
      <c r="U38"/>
      <c r="V38"/>
      <c r="W38"/>
      <c r="X38"/>
      <c r="Y38"/>
    </row>
    <row r="39" spans="1:25" s="2" customFormat="1" ht="25.5" x14ac:dyDescent="0.2">
      <c r="A39" s="5" t="s">
        <v>11479</v>
      </c>
      <c r="B39" s="5" t="s">
        <v>8584</v>
      </c>
      <c r="C39" s="5">
        <v>20</v>
      </c>
      <c r="D39" s="5"/>
      <c r="E39" s="5" t="s">
        <v>368</v>
      </c>
      <c r="F39" s="5" t="s">
        <v>11479</v>
      </c>
      <c r="G39" s="5" t="s">
        <v>195</v>
      </c>
      <c r="H39" s="5" t="s">
        <v>3</v>
      </c>
      <c r="I39" s="5"/>
      <c r="J39" s="5" t="s">
        <v>11478</v>
      </c>
      <c r="M39" s="1"/>
      <c r="N39"/>
      <c r="O39"/>
      <c r="P39"/>
      <c r="Q39"/>
      <c r="R39"/>
      <c r="S39"/>
      <c r="T39"/>
      <c r="U39"/>
      <c r="V39"/>
      <c r="W39"/>
      <c r="X39"/>
      <c r="Y39"/>
    </row>
    <row r="40" spans="1:25" s="2" customFormat="1" ht="25.5" x14ac:dyDescent="0.2">
      <c r="A40" s="5" t="s">
        <v>11477</v>
      </c>
      <c r="B40" s="5" t="s">
        <v>8584</v>
      </c>
      <c r="C40" s="5">
        <v>21</v>
      </c>
      <c r="D40" s="5"/>
      <c r="E40" s="5"/>
      <c r="F40" s="5" t="s">
        <v>9123</v>
      </c>
      <c r="G40" s="5" t="s">
        <v>7378</v>
      </c>
      <c r="H40" s="5" t="s">
        <v>3</v>
      </c>
      <c r="I40" s="5"/>
      <c r="J40" s="5" t="s">
        <v>11476</v>
      </c>
      <c r="M40" s="1"/>
      <c r="N40"/>
      <c r="O40"/>
      <c r="P40"/>
      <c r="Q40"/>
      <c r="R40"/>
      <c r="S40"/>
      <c r="T40"/>
      <c r="U40"/>
      <c r="V40"/>
      <c r="W40"/>
      <c r="X40"/>
      <c r="Y40"/>
    </row>
    <row r="41" spans="1:25" s="2" customFormat="1" ht="25.5" x14ac:dyDescent="0.2">
      <c r="A41" s="5" t="s">
        <v>9103</v>
      </c>
      <c r="B41" s="5" t="s">
        <v>8584</v>
      </c>
      <c r="C41" s="5">
        <v>22</v>
      </c>
      <c r="D41" s="5"/>
      <c r="E41" s="5"/>
      <c r="F41" s="5" t="s">
        <v>9101</v>
      </c>
      <c r="G41" s="5" t="s">
        <v>7378</v>
      </c>
      <c r="H41" s="5" t="s">
        <v>3</v>
      </c>
      <c r="I41" s="5"/>
      <c r="J41" s="5" t="s">
        <v>11475</v>
      </c>
      <c r="M41" s="1"/>
      <c r="N41"/>
      <c r="O41"/>
      <c r="P41"/>
      <c r="Q41"/>
      <c r="R41"/>
      <c r="S41"/>
      <c r="T41"/>
      <c r="U41"/>
      <c r="V41"/>
      <c r="W41"/>
      <c r="X41"/>
      <c r="Y41"/>
    </row>
    <row r="42" spans="1:25" s="2" customFormat="1" x14ac:dyDescent="0.2">
      <c r="A42" s="5" t="s">
        <v>11474</v>
      </c>
      <c r="B42" s="5" t="s">
        <v>8584</v>
      </c>
      <c r="C42" s="5">
        <v>23</v>
      </c>
      <c r="D42" s="5"/>
      <c r="E42" s="5"/>
      <c r="F42" s="5" t="s">
        <v>11473</v>
      </c>
      <c r="G42" s="5" t="s">
        <v>4</v>
      </c>
      <c r="H42" s="5" t="s">
        <v>3</v>
      </c>
      <c r="I42" s="5"/>
      <c r="J42" s="5" t="s">
        <v>11472</v>
      </c>
      <c r="M42" s="1"/>
      <c r="N42"/>
      <c r="O42"/>
      <c r="P42"/>
      <c r="Q42"/>
      <c r="R42"/>
      <c r="S42"/>
      <c r="T42"/>
      <c r="U42"/>
      <c r="V42"/>
      <c r="W42"/>
      <c r="X42"/>
      <c r="Y42"/>
    </row>
    <row r="43" spans="1:25" s="2" customFormat="1" ht="38.25" x14ac:dyDescent="0.2">
      <c r="A43" s="5" t="s">
        <v>11471</v>
      </c>
      <c r="B43" s="5" t="s">
        <v>8584</v>
      </c>
      <c r="C43" s="5">
        <v>24</v>
      </c>
      <c r="D43" s="5"/>
      <c r="E43" s="5"/>
      <c r="F43" s="5" t="s">
        <v>11470</v>
      </c>
      <c r="G43" s="5" t="s">
        <v>10432</v>
      </c>
      <c r="H43" s="5" t="s">
        <v>3</v>
      </c>
      <c r="I43" s="5"/>
      <c r="J43" s="5" t="s">
        <v>11469</v>
      </c>
      <c r="M43" s="1"/>
      <c r="N43"/>
      <c r="O43"/>
      <c r="P43"/>
      <c r="Q43"/>
      <c r="R43"/>
      <c r="S43"/>
      <c r="T43"/>
      <c r="U43"/>
      <c r="V43"/>
      <c r="W43"/>
      <c r="X43"/>
      <c r="Y43"/>
    </row>
    <row r="44" spans="1:25" s="2" customFormat="1" ht="25.5" x14ac:dyDescent="0.2">
      <c r="A44" s="5" t="s">
        <v>11468</v>
      </c>
      <c r="B44" s="5" t="s">
        <v>8584</v>
      </c>
      <c r="C44" s="5">
        <v>25</v>
      </c>
      <c r="D44" s="5"/>
      <c r="E44" s="5"/>
      <c r="F44" s="5" t="s">
        <v>10758</v>
      </c>
      <c r="G44" s="5" t="s">
        <v>4</v>
      </c>
      <c r="H44" s="5" t="s">
        <v>3</v>
      </c>
      <c r="I44" s="5"/>
      <c r="J44" s="5" t="s">
        <v>11436</v>
      </c>
      <c r="M44" s="1"/>
      <c r="N44"/>
      <c r="O44"/>
      <c r="P44"/>
      <c r="Q44"/>
      <c r="R44"/>
      <c r="S44"/>
      <c r="T44"/>
      <c r="U44"/>
      <c r="V44"/>
      <c r="W44"/>
      <c r="X44"/>
      <c r="Y44"/>
    </row>
    <row r="45" spans="1:25" s="2" customFormat="1" x14ac:dyDescent="0.2">
      <c r="A45" s="5" t="s">
        <v>11467</v>
      </c>
      <c r="B45" s="5" t="s">
        <v>8584</v>
      </c>
      <c r="C45" s="5">
        <v>26</v>
      </c>
      <c r="D45" s="5"/>
      <c r="E45" s="5"/>
      <c r="F45" s="5" t="s">
        <v>11201</v>
      </c>
      <c r="G45" s="5" t="s">
        <v>105</v>
      </c>
      <c r="H45" s="5" t="s">
        <v>3</v>
      </c>
      <c r="I45" s="5"/>
      <c r="J45" s="5" t="s">
        <v>11466</v>
      </c>
      <c r="M45" s="1"/>
      <c r="N45"/>
      <c r="O45"/>
      <c r="P45"/>
      <c r="Q45"/>
      <c r="R45"/>
      <c r="S45"/>
      <c r="T45"/>
      <c r="U45"/>
      <c r="V45"/>
      <c r="W45"/>
      <c r="X45"/>
      <c r="Y45"/>
    </row>
    <row r="46" spans="1:25" s="2" customFormat="1" x14ac:dyDescent="0.2">
      <c r="A46" s="5" t="s">
        <v>7291</v>
      </c>
      <c r="B46" s="5" t="s">
        <v>8584</v>
      </c>
      <c r="C46" s="5">
        <v>27</v>
      </c>
      <c r="D46" s="5"/>
      <c r="E46" s="5"/>
      <c r="F46" s="5" t="s">
        <v>8778</v>
      </c>
      <c r="G46" s="5" t="s">
        <v>105</v>
      </c>
      <c r="H46" s="5" t="s">
        <v>3</v>
      </c>
      <c r="I46" s="5"/>
      <c r="J46" s="5" t="s">
        <v>11465</v>
      </c>
      <c r="M46" s="1"/>
      <c r="N46"/>
      <c r="O46"/>
      <c r="P46"/>
      <c r="Q46"/>
      <c r="R46"/>
      <c r="S46"/>
      <c r="T46"/>
      <c r="U46"/>
      <c r="V46"/>
      <c r="W46"/>
      <c r="X46"/>
      <c r="Y46"/>
    </row>
    <row r="47" spans="1:25" s="2" customFormat="1" x14ac:dyDescent="0.2">
      <c r="A47" s="5" t="s">
        <v>11464</v>
      </c>
      <c r="B47" s="5" t="s">
        <v>8584</v>
      </c>
      <c r="C47" s="5">
        <v>28</v>
      </c>
      <c r="D47" s="5"/>
      <c r="E47" s="5"/>
      <c r="F47" s="5" t="s">
        <v>10871</v>
      </c>
      <c r="G47" s="5" t="s">
        <v>118</v>
      </c>
      <c r="H47" s="5" t="s">
        <v>3</v>
      </c>
      <c r="I47" s="5"/>
      <c r="J47" s="5" t="s">
        <v>11463</v>
      </c>
      <c r="M47" s="1"/>
      <c r="N47"/>
      <c r="O47"/>
      <c r="P47"/>
      <c r="Q47"/>
      <c r="R47"/>
      <c r="S47"/>
      <c r="T47"/>
      <c r="U47"/>
      <c r="V47"/>
      <c r="W47"/>
      <c r="X47"/>
      <c r="Y47"/>
    </row>
    <row r="48" spans="1:25" s="2" customFormat="1" x14ac:dyDescent="0.2">
      <c r="A48" s="5" t="s">
        <v>11462</v>
      </c>
      <c r="B48" s="5" t="s">
        <v>8584</v>
      </c>
      <c r="C48" s="5">
        <v>28</v>
      </c>
      <c r="D48" s="5"/>
      <c r="E48" s="5"/>
      <c r="F48" s="5" t="s">
        <v>7974</v>
      </c>
      <c r="G48" s="5" t="s">
        <v>118</v>
      </c>
      <c r="H48" s="5" t="s">
        <v>3</v>
      </c>
      <c r="I48" s="5"/>
      <c r="J48" s="5" t="s">
        <v>11461</v>
      </c>
      <c r="M48" s="1"/>
      <c r="N48"/>
      <c r="O48"/>
      <c r="P48"/>
      <c r="Q48"/>
      <c r="R48"/>
      <c r="S48"/>
      <c r="T48"/>
      <c r="U48"/>
      <c r="V48"/>
      <c r="W48"/>
      <c r="X48"/>
      <c r="Y48"/>
    </row>
    <row r="49" spans="1:25" s="2" customFormat="1" x14ac:dyDescent="0.2">
      <c r="A49" s="5" t="s">
        <v>11460</v>
      </c>
      <c r="B49" s="5" t="s">
        <v>8584</v>
      </c>
      <c r="C49" s="5">
        <v>29</v>
      </c>
      <c r="D49" s="5"/>
      <c r="E49" s="5" t="s">
        <v>138</v>
      </c>
      <c r="F49" s="5" t="s">
        <v>11451</v>
      </c>
      <c r="G49" s="5" t="s">
        <v>207</v>
      </c>
      <c r="H49" s="5" t="s">
        <v>3</v>
      </c>
      <c r="I49" s="5"/>
      <c r="J49" s="5" t="s">
        <v>11459</v>
      </c>
      <c r="M49" s="1"/>
      <c r="N49"/>
      <c r="O49"/>
      <c r="P49"/>
      <c r="Q49"/>
      <c r="R49"/>
      <c r="S49"/>
      <c r="T49"/>
      <c r="U49"/>
      <c r="V49"/>
      <c r="W49"/>
      <c r="X49"/>
      <c r="Y49"/>
    </row>
    <row r="50" spans="1:25" s="2" customFormat="1" x14ac:dyDescent="0.2">
      <c r="A50" s="5" t="s">
        <v>11458</v>
      </c>
      <c r="B50" s="5" t="s">
        <v>8584</v>
      </c>
      <c r="C50" s="5">
        <v>29</v>
      </c>
      <c r="D50" s="5"/>
      <c r="E50" s="5" t="s">
        <v>368</v>
      </c>
      <c r="F50" s="5" t="s">
        <v>11457</v>
      </c>
      <c r="G50" s="5" t="s">
        <v>207</v>
      </c>
      <c r="H50" s="5" t="s">
        <v>3</v>
      </c>
      <c r="I50" s="5"/>
      <c r="J50" s="5" t="s">
        <v>11456</v>
      </c>
      <c r="M50" s="1"/>
      <c r="N50"/>
      <c r="O50"/>
      <c r="P50"/>
      <c r="Q50"/>
      <c r="R50"/>
      <c r="S50"/>
      <c r="T50"/>
      <c r="U50"/>
      <c r="V50"/>
      <c r="W50"/>
      <c r="X50"/>
      <c r="Y50"/>
    </row>
    <row r="51" spans="1:25" s="2" customFormat="1" x14ac:dyDescent="0.2">
      <c r="A51" s="5" t="s">
        <v>11455</v>
      </c>
      <c r="B51" s="5" t="s">
        <v>8584</v>
      </c>
      <c r="C51" s="5">
        <v>29</v>
      </c>
      <c r="D51" s="5"/>
      <c r="E51" s="5" t="s">
        <v>138</v>
      </c>
      <c r="F51" s="5" t="s">
        <v>11454</v>
      </c>
      <c r="G51" s="5" t="s">
        <v>207</v>
      </c>
      <c r="H51" s="5" t="s">
        <v>3</v>
      </c>
      <c r="I51" s="5"/>
      <c r="J51" s="5" t="s">
        <v>11453</v>
      </c>
      <c r="M51" s="1"/>
      <c r="N51"/>
      <c r="O51"/>
      <c r="P51"/>
      <c r="Q51"/>
      <c r="R51"/>
      <c r="S51"/>
      <c r="T51"/>
      <c r="U51"/>
      <c r="V51"/>
      <c r="W51"/>
      <c r="X51"/>
      <c r="Y51"/>
    </row>
    <row r="52" spans="1:25" s="2" customFormat="1" ht="25.5" x14ac:dyDescent="0.2">
      <c r="A52" s="5" t="s">
        <v>11452</v>
      </c>
      <c r="B52" s="5" t="s">
        <v>8584</v>
      </c>
      <c r="C52" s="5">
        <v>29</v>
      </c>
      <c r="D52" s="5"/>
      <c r="E52" s="5"/>
      <c r="F52" s="5" t="s">
        <v>11451</v>
      </c>
      <c r="G52" s="5" t="s">
        <v>207</v>
      </c>
      <c r="H52" s="5" t="s">
        <v>3</v>
      </c>
      <c r="I52" s="5"/>
      <c r="J52" s="5" t="s">
        <v>11450</v>
      </c>
      <c r="M52" s="1"/>
      <c r="N52"/>
      <c r="O52"/>
      <c r="P52"/>
      <c r="Q52"/>
      <c r="R52"/>
      <c r="S52"/>
      <c r="T52"/>
      <c r="U52"/>
      <c r="V52"/>
      <c r="W52"/>
      <c r="X52"/>
      <c r="Y52"/>
    </row>
    <row r="53" spans="1:25" s="2" customFormat="1" x14ac:dyDescent="0.2">
      <c r="A53" s="5" t="s">
        <v>1094</v>
      </c>
      <c r="B53" s="5" t="s">
        <v>8584</v>
      </c>
      <c r="C53" s="5">
        <v>30</v>
      </c>
      <c r="D53" s="5"/>
      <c r="E53" s="5" t="s">
        <v>138</v>
      </c>
      <c r="F53" s="5" t="s">
        <v>1094</v>
      </c>
      <c r="G53" s="5" t="s">
        <v>207</v>
      </c>
      <c r="H53" s="5" t="s">
        <v>3</v>
      </c>
      <c r="I53" s="5"/>
      <c r="J53" s="5" t="s">
        <v>11449</v>
      </c>
      <c r="M53" s="1"/>
      <c r="N53"/>
      <c r="O53"/>
      <c r="P53"/>
      <c r="Q53"/>
      <c r="R53"/>
      <c r="S53"/>
      <c r="T53"/>
      <c r="U53"/>
      <c r="V53"/>
      <c r="W53"/>
      <c r="X53"/>
      <c r="Y53"/>
    </row>
    <row r="54" spans="1:25" s="2" customFormat="1" x14ac:dyDescent="0.2">
      <c r="A54" s="5" t="s">
        <v>7630</v>
      </c>
      <c r="B54" s="5" t="s">
        <v>8584</v>
      </c>
      <c r="C54" s="5">
        <v>31</v>
      </c>
      <c r="D54" s="5"/>
      <c r="E54" s="5" t="s">
        <v>93</v>
      </c>
      <c r="F54" s="5" t="s">
        <v>11448</v>
      </c>
      <c r="G54" s="5" t="s">
        <v>91</v>
      </c>
      <c r="H54" s="5" t="s">
        <v>3</v>
      </c>
      <c r="I54" s="5"/>
      <c r="J54" s="5" t="s">
        <v>11447</v>
      </c>
      <c r="M54" s="1"/>
      <c r="N54"/>
      <c r="O54"/>
      <c r="P54"/>
      <c r="Q54"/>
      <c r="R54"/>
      <c r="S54"/>
      <c r="T54"/>
      <c r="U54"/>
      <c r="V54"/>
      <c r="W54"/>
      <c r="X54"/>
      <c r="Y54"/>
    </row>
    <row r="55" spans="1:25" s="2" customFormat="1" x14ac:dyDescent="0.2">
      <c r="A55" s="5" t="s">
        <v>11446</v>
      </c>
      <c r="B55" s="5" t="s">
        <v>8584</v>
      </c>
      <c r="C55" s="5">
        <v>32</v>
      </c>
      <c r="D55" s="5"/>
      <c r="E55" s="5"/>
      <c r="F55" s="5" t="s">
        <v>11446</v>
      </c>
      <c r="G55" s="5" t="s">
        <v>328</v>
      </c>
      <c r="H55" s="5" t="s">
        <v>3</v>
      </c>
      <c r="I55" s="5"/>
      <c r="J55" s="5" t="s">
        <v>11445</v>
      </c>
      <c r="M55" s="1"/>
      <c r="N55"/>
      <c r="O55"/>
      <c r="P55"/>
      <c r="Q55"/>
      <c r="R55"/>
      <c r="S55"/>
      <c r="T55"/>
      <c r="U55"/>
      <c r="V55"/>
      <c r="W55"/>
      <c r="X55"/>
      <c r="Y55"/>
    </row>
    <row r="56" spans="1:25" s="2" customFormat="1" ht="25.5" x14ac:dyDescent="0.2">
      <c r="A56" s="5" t="s">
        <v>11444</v>
      </c>
      <c r="B56" s="5" t="s">
        <v>8584</v>
      </c>
      <c r="C56" s="5">
        <v>33</v>
      </c>
      <c r="D56" s="5"/>
      <c r="E56" s="5"/>
      <c r="F56" s="5" t="s">
        <v>11443</v>
      </c>
      <c r="G56" s="5" t="s">
        <v>4</v>
      </c>
      <c r="H56" s="5" t="s">
        <v>3</v>
      </c>
      <c r="I56" s="5"/>
      <c r="J56" s="5" t="s">
        <v>11442</v>
      </c>
      <c r="M56" s="1"/>
      <c r="N56"/>
      <c r="O56"/>
      <c r="P56"/>
      <c r="Q56"/>
      <c r="R56"/>
      <c r="S56"/>
      <c r="T56"/>
      <c r="U56"/>
      <c r="V56"/>
      <c r="W56"/>
      <c r="X56"/>
      <c r="Y56"/>
    </row>
    <row r="57" spans="1:25" s="2" customFormat="1" x14ac:dyDescent="0.2">
      <c r="A57" s="5" t="s">
        <v>11441</v>
      </c>
      <c r="B57" s="5" t="s">
        <v>8584</v>
      </c>
      <c r="C57" s="5">
        <v>34</v>
      </c>
      <c r="D57" s="5"/>
      <c r="E57" s="5"/>
      <c r="F57" s="5" t="s">
        <v>9769</v>
      </c>
      <c r="G57" s="5" t="s">
        <v>105</v>
      </c>
      <c r="H57" s="5" t="s">
        <v>3</v>
      </c>
      <c r="I57" s="5"/>
      <c r="J57" s="5" t="s">
        <v>11440</v>
      </c>
      <c r="M57" s="1"/>
      <c r="N57"/>
      <c r="O57"/>
      <c r="P57"/>
      <c r="Q57"/>
      <c r="R57"/>
      <c r="S57"/>
      <c r="T57"/>
      <c r="U57"/>
      <c r="V57"/>
      <c r="W57"/>
      <c r="X57"/>
      <c r="Y57"/>
    </row>
    <row r="58" spans="1:25" s="2" customFormat="1" x14ac:dyDescent="0.2">
      <c r="A58" s="5" t="s">
        <v>11439</v>
      </c>
      <c r="B58" s="5" t="s">
        <v>8584</v>
      </c>
      <c r="C58" s="5">
        <v>35</v>
      </c>
      <c r="D58" s="5"/>
      <c r="E58" s="5" t="s">
        <v>368</v>
      </c>
      <c r="F58" s="5" t="s">
        <v>9761</v>
      </c>
      <c r="G58" s="5" t="s">
        <v>195</v>
      </c>
      <c r="H58" s="5" t="s">
        <v>3</v>
      </c>
      <c r="I58" s="5"/>
      <c r="J58" s="5" t="s">
        <v>11438</v>
      </c>
      <c r="M58" s="1"/>
      <c r="N58"/>
      <c r="O58"/>
      <c r="P58"/>
      <c r="Q58"/>
      <c r="R58"/>
      <c r="S58"/>
      <c r="T58"/>
      <c r="U58"/>
      <c r="V58"/>
      <c r="W58"/>
      <c r="X58"/>
      <c r="Y58"/>
    </row>
    <row r="59" spans="1:25" s="2" customFormat="1" ht="25.5" x14ac:dyDescent="0.2">
      <c r="A59" s="5" t="s">
        <v>11437</v>
      </c>
      <c r="B59" s="5" t="s">
        <v>8584</v>
      </c>
      <c r="C59" s="5">
        <v>36</v>
      </c>
      <c r="D59" s="5"/>
      <c r="E59" s="5"/>
      <c r="F59" s="5" t="s">
        <v>10758</v>
      </c>
      <c r="G59" s="5" t="s">
        <v>4</v>
      </c>
      <c r="H59" s="5" t="s">
        <v>3</v>
      </c>
      <c r="I59" s="5"/>
      <c r="J59" s="5" t="s">
        <v>11436</v>
      </c>
      <c r="M59" s="1"/>
      <c r="N59"/>
      <c r="O59"/>
      <c r="P59"/>
      <c r="Q59"/>
      <c r="R59"/>
      <c r="S59"/>
      <c r="T59"/>
      <c r="U59"/>
      <c r="V59"/>
      <c r="W59"/>
      <c r="X59"/>
      <c r="Y59"/>
    </row>
    <row r="60" spans="1:25" s="2" customFormat="1" x14ac:dyDescent="0.2">
      <c r="A60" s="5" t="s">
        <v>11435</v>
      </c>
      <c r="B60" s="5" t="s">
        <v>8584</v>
      </c>
      <c r="C60" s="5">
        <v>37</v>
      </c>
      <c r="D60" s="5"/>
      <c r="E60" s="5"/>
      <c r="F60" s="5" t="s">
        <v>11430</v>
      </c>
      <c r="G60" s="5" t="s">
        <v>10432</v>
      </c>
      <c r="H60" s="5" t="s">
        <v>3</v>
      </c>
      <c r="I60" s="5"/>
      <c r="J60" s="5" t="s">
        <v>11434</v>
      </c>
      <c r="M60" s="1"/>
      <c r="N60"/>
      <c r="O60"/>
      <c r="P60"/>
      <c r="Q60"/>
      <c r="R60"/>
      <c r="S60"/>
      <c r="T60"/>
      <c r="U60"/>
      <c r="V60"/>
      <c r="W60"/>
      <c r="X60"/>
      <c r="Y60"/>
    </row>
    <row r="61" spans="1:25" s="2" customFormat="1" x14ac:dyDescent="0.2">
      <c r="A61" s="5" t="s">
        <v>11433</v>
      </c>
      <c r="B61" s="5" t="s">
        <v>8584</v>
      </c>
      <c r="C61" s="5">
        <v>38</v>
      </c>
      <c r="D61" s="5"/>
      <c r="E61" s="5"/>
      <c r="F61" s="5" t="s">
        <v>11430</v>
      </c>
      <c r="G61" s="5" t="s">
        <v>382</v>
      </c>
      <c r="H61" s="5" t="s">
        <v>3</v>
      </c>
      <c r="I61" s="5"/>
      <c r="J61" s="5" t="s">
        <v>11432</v>
      </c>
      <c r="M61" s="1"/>
      <c r="N61"/>
      <c r="O61"/>
      <c r="P61"/>
      <c r="Q61"/>
      <c r="R61"/>
      <c r="S61"/>
      <c r="T61"/>
      <c r="U61"/>
      <c r="V61"/>
      <c r="W61"/>
      <c r="X61"/>
      <c r="Y61"/>
    </row>
    <row r="62" spans="1:25" s="2" customFormat="1" x14ac:dyDescent="0.2">
      <c r="A62" s="5" t="s">
        <v>11431</v>
      </c>
      <c r="B62" s="5" t="s">
        <v>8584</v>
      </c>
      <c r="C62" s="5">
        <v>39</v>
      </c>
      <c r="D62" s="5"/>
      <c r="E62" s="5" t="s">
        <v>368</v>
      </c>
      <c r="F62" s="5" t="s">
        <v>11430</v>
      </c>
      <c r="G62" s="5" t="s">
        <v>195</v>
      </c>
      <c r="H62" s="5" t="s">
        <v>3</v>
      </c>
      <c r="I62" s="5"/>
      <c r="J62" s="5" t="s">
        <v>11429</v>
      </c>
      <c r="M62" s="1"/>
      <c r="N62"/>
      <c r="O62"/>
      <c r="P62"/>
      <c r="Q62"/>
      <c r="R62"/>
      <c r="S62"/>
      <c r="T62"/>
      <c r="U62"/>
      <c r="V62"/>
      <c r="W62"/>
      <c r="X62"/>
      <c r="Y62"/>
    </row>
    <row r="63" spans="1:25" s="2" customFormat="1" x14ac:dyDescent="0.2">
      <c r="A63" s="5" t="s">
        <v>257</v>
      </c>
      <c r="B63" s="5" t="s">
        <v>8584</v>
      </c>
      <c r="C63" s="5">
        <v>40</v>
      </c>
      <c r="D63" s="5"/>
      <c r="E63" s="5"/>
      <c r="F63" s="5" t="s">
        <v>11428</v>
      </c>
      <c r="G63" s="5" t="s">
        <v>896</v>
      </c>
      <c r="H63" s="5" t="s">
        <v>3</v>
      </c>
      <c r="I63" s="5"/>
      <c r="J63" s="5" t="s">
        <v>11427</v>
      </c>
      <c r="M63" s="1"/>
      <c r="N63"/>
      <c r="O63"/>
      <c r="P63"/>
      <c r="Q63"/>
      <c r="R63"/>
      <c r="S63"/>
      <c r="T63"/>
      <c r="U63"/>
      <c r="V63"/>
      <c r="W63"/>
      <c r="X63"/>
      <c r="Y63"/>
    </row>
    <row r="64" spans="1:25" s="2" customFormat="1" ht="38.25" x14ac:dyDescent="0.2">
      <c r="A64" s="5" t="s">
        <v>11426</v>
      </c>
      <c r="B64" s="5" t="s">
        <v>8584</v>
      </c>
      <c r="C64" s="5">
        <v>41</v>
      </c>
      <c r="D64" s="5"/>
      <c r="E64" s="5"/>
      <c r="F64" s="5" t="s">
        <v>10393</v>
      </c>
      <c r="G64" s="5" t="s">
        <v>10432</v>
      </c>
      <c r="H64" s="5" t="s">
        <v>137</v>
      </c>
      <c r="I64" s="5" t="s">
        <v>11421</v>
      </c>
      <c r="J64" s="5" t="s">
        <v>11425</v>
      </c>
      <c r="M64" s="1"/>
      <c r="N64"/>
      <c r="O64"/>
      <c r="P64"/>
      <c r="Q64"/>
      <c r="R64"/>
      <c r="S64"/>
      <c r="T64"/>
      <c r="U64"/>
      <c r="V64"/>
      <c r="W64"/>
      <c r="X64"/>
      <c r="Y64"/>
    </row>
    <row r="65" spans="1:25" s="2" customFormat="1" ht="38.25" x14ac:dyDescent="0.2">
      <c r="A65" s="5" t="s">
        <v>11424</v>
      </c>
      <c r="B65" s="5" t="s">
        <v>8584</v>
      </c>
      <c r="C65" s="5">
        <v>42</v>
      </c>
      <c r="D65" s="5"/>
      <c r="E65" s="5" t="s">
        <v>368</v>
      </c>
      <c r="F65" s="5" t="s">
        <v>10393</v>
      </c>
      <c r="G65" s="5" t="s">
        <v>181</v>
      </c>
      <c r="H65" s="5" t="s">
        <v>137</v>
      </c>
      <c r="I65" s="5" t="s">
        <v>11421</v>
      </c>
      <c r="J65" s="5" t="s">
        <v>11423</v>
      </c>
      <c r="M65" s="1"/>
      <c r="N65"/>
      <c r="O65"/>
      <c r="P65"/>
      <c r="Q65"/>
      <c r="R65"/>
      <c r="S65"/>
      <c r="T65"/>
      <c r="U65"/>
      <c r="V65"/>
      <c r="W65"/>
      <c r="X65"/>
      <c r="Y65"/>
    </row>
    <row r="66" spans="1:25" s="2" customFormat="1" ht="38.25" x14ac:dyDescent="0.2">
      <c r="A66" s="5" t="s">
        <v>11422</v>
      </c>
      <c r="B66" s="5" t="s">
        <v>8584</v>
      </c>
      <c r="C66" s="5">
        <v>43</v>
      </c>
      <c r="D66" s="5"/>
      <c r="E66" s="5" t="s">
        <v>150</v>
      </c>
      <c r="F66" s="5" t="s">
        <v>10393</v>
      </c>
      <c r="G66" s="5" t="s">
        <v>148</v>
      </c>
      <c r="H66" s="5" t="s">
        <v>137</v>
      </c>
      <c r="I66" s="5" t="s">
        <v>11421</v>
      </c>
      <c r="J66" s="5" t="s">
        <v>11420</v>
      </c>
      <c r="M66" s="1"/>
      <c r="N66"/>
      <c r="O66"/>
      <c r="P66"/>
      <c r="Q66"/>
      <c r="R66"/>
      <c r="S66"/>
      <c r="T66"/>
      <c r="U66"/>
      <c r="V66"/>
      <c r="W66"/>
      <c r="X66"/>
      <c r="Y66"/>
    </row>
    <row r="67" spans="1:25" s="2" customFormat="1" ht="25.5" x14ac:dyDescent="0.2">
      <c r="A67" s="5" t="s">
        <v>11419</v>
      </c>
      <c r="B67" s="5" t="s">
        <v>8584</v>
      </c>
      <c r="C67" s="5">
        <v>44</v>
      </c>
      <c r="D67" s="5"/>
      <c r="E67" s="5"/>
      <c r="F67" s="5" t="s">
        <v>11418</v>
      </c>
      <c r="G67" s="5" t="s">
        <v>382</v>
      </c>
      <c r="H67" s="5" t="s">
        <v>3</v>
      </c>
      <c r="I67" s="5"/>
      <c r="J67" s="5" t="s">
        <v>11417</v>
      </c>
      <c r="M67" s="1"/>
      <c r="N67"/>
      <c r="O67"/>
      <c r="P67"/>
      <c r="Q67"/>
      <c r="R67"/>
      <c r="S67"/>
      <c r="T67"/>
      <c r="U67"/>
      <c r="V67"/>
      <c r="W67"/>
      <c r="X67"/>
      <c r="Y67"/>
    </row>
    <row r="68" spans="1:25" s="2" customFormat="1" x14ac:dyDescent="0.2">
      <c r="A68" s="5" t="s">
        <v>11416</v>
      </c>
      <c r="B68" s="5" t="s">
        <v>8584</v>
      </c>
      <c r="C68" s="5">
        <v>45</v>
      </c>
      <c r="D68" s="5"/>
      <c r="E68" s="5"/>
      <c r="F68" s="5" t="s">
        <v>11415</v>
      </c>
      <c r="G68" s="5" t="s">
        <v>105</v>
      </c>
      <c r="H68" s="5" t="s">
        <v>3</v>
      </c>
      <c r="I68" s="5"/>
      <c r="J68" s="5" t="s">
        <v>11415</v>
      </c>
      <c r="M68" s="1"/>
      <c r="N68"/>
      <c r="O68"/>
      <c r="P68"/>
      <c r="Q68"/>
      <c r="R68"/>
      <c r="S68"/>
      <c r="T68"/>
      <c r="U68"/>
      <c r="V68"/>
      <c r="W68"/>
      <c r="X68"/>
      <c r="Y68"/>
    </row>
    <row r="69" spans="1:25" s="2" customFormat="1" x14ac:dyDescent="0.2">
      <c r="A69" s="5" t="s">
        <v>11414</v>
      </c>
      <c r="B69" s="5" t="s">
        <v>8584</v>
      </c>
      <c r="C69" s="5">
        <v>46</v>
      </c>
      <c r="D69" s="5"/>
      <c r="E69" s="5"/>
      <c r="F69" s="5" t="s">
        <v>11413</v>
      </c>
      <c r="G69" s="5" t="s">
        <v>382</v>
      </c>
      <c r="H69" s="5" t="s">
        <v>3</v>
      </c>
      <c r="I69" s="5"/>
      <c r="J69" s="5" t="s">
        <v>11412</v>
      </c>
      <c r="M69" s="1"/>
      <c r="N69"/>
      <c r="O69"/>
      <c r="P69"/>
      <c r="Q69"/>
      <c r="R69"/>
      <c r="S69"/>
      <c r="T69"/>
      <c r="U69"/>
      <c r="V69"/>
      <c r="W69"/>
      <c r="X69"/>
      <c r="Y69"/>
    </row>
    <row r="70" spans="1:25" s="2" customFormat="1" x14ac:dyDescent="0.2">
      <c r="A70" s="5" t="s">
        <v>11411</v>
      </c>
      <c r="B70" s="5" t="s">
        <v>8584</v>
      </c>
      <c r="C70" s="5">
        <v>47</v>
      </c>
      <c r="D70" s="5"/>
      <c r="E70" s="5"/>
      <c r="F70" s="5" t="s">
        <v>10998</v>
      </c>
      <c r="G70" s="5" t="s">
        <v>207</v>
      </c>
      <c r="H70" s="5" t="s">
        <v>3</v>
      </c>
      <c r="I70" s="5"/>
      <c r="J70" s="5" t="s">
        <v>11409</v>
      </c>
      <c r="M70" s="1"/>
      <c r="N70"/>
      <c r="O70"/>
      <c r="P70"/>
      <c r="Q70"/>
      <c r="R70"/>
      <c r="S70"/>
      <c r="T70"/>
      <c r="U70"/>
      <c r="V70"/>
      <c r="W70"/>
      <c r="X70"/>
      <c r="Y70"/>
    </row>
    <row r="71" spans="1:25" s="2" customFormat="1" x14ac:dyDescent="0.2">
      <c r="A71" s="5" t="s">
        <v>11410</v>
      </c>
      <c r="B71" s="5" t="s">
        <v>8584</v>
      </c>
      <c r="C71" s="5">
        <v>47</v>
      </c>
      <c r="D71" s="5"/>
      <c r="E71" s="5"/>
      <c r="F71" s="5" t="s">
        <v>10998</v>
      </c>
      <c r="G71" s="5" t="s">
        <v>207</v>
      </c>
      <c r="H71" s="5" t="s">
        <v>3</v>
      </c>
      <c r="I71" s="5"/>
      <c r="J71" s="5" t="s">
        <v>11409</v>
      </c>
      <c r="M71" s="1"/>
      <c r="N71"/>
      <c r="O71"/>
      <c r="P71"/>
      <c r="Q71"/>
      <c r="R71"/>
      <c r="S71"/>
      <c r="T71"/>
      <c r="U71"/>
      <c r="V71"/>
      <c r="W71"/>
      <c r="X71"/>
      <c r="Y71"/>
    </row>
    <row r="72" spans="1:25" s="2" customFormat="1" x14ac:dyDescent="0.2">
      <c r="A72" s="5" t="s">
        <v>11408</v>
      </c>
      <c r="B72" s="5" t="s">
        <v>8584</v>
      </c>
      <c r="C72" s="5">
        <v>48</v>
      </c>
      <c r="D72" s="5"/>
      <c r="E72" s="5"/>
      <c r="F72" s="5" t="s">
        <v>10998</v>
      </c>
      <c r="G72" s="5" t="s">
        <v>80</v>
      </c>
      <c r="H72" s="5" t="s">
        <v>3</v>
      </c>
      <c r="I72" s="5"/>
      <c r="J72" s="5" t="s">
        <v>11407</v>
      </c>
      <c r="M72" s="1"/>
      <c r="N72"/>
      <c r="O72"/>
      <c r="P72"/>
      <c r="Q72"/>
      <c r="R72"/>
      <c r="S72"/>
      <c r="T72"/>
      <c r="U72"/>
      <c r="V72"/>
      <c r="W72"/>
      <c r="X72"/>
      <c r="Y72"/>
    </row>
    <row r="73" spans="1:25" s="2" customFormat="1" x14ac:dyDescent="0.2">
      <c r="A73" s="5" t="s">
        <v>8</v>
      </c>
      <c r="B73" s="5" t="s">
        <v>8584</v>
      </c>
      <c r="C73" s="5">
        <v>49</v>
      </c>
      <c r="D73" s="5"/>
      <c r="E73" s="5" t="s">
        <v>368</v>
      </c>
      <c r="F73" s="5" t="s">
        <v>8</v>
      </c>
      <c r="G73" s="5" t="s">
        <v>173</v>
      </c>
      <c r="H73" s="5" t="s">
        <v>3</v>
      </c>
      <c r="I73" s="5"/>
      <c r="J73" s="5" t="s">
        <v>8</v>
      </c>
      <c r="M73" s="1"/>
      <c r="N73"/>
      <c r="O73"/>
      <c r="P73"/>
      <c r="Q73"/>
      <c r="R73"/>
      <c r="S73"/>
      <c r="T73"/>
      <c r="U73"/>
      <c r="V73"/>
      <c r="W73"/>
      <c r="X73"/>
      <c r="Y73"/>
    </row>
    <row r="74" spans="1:25" s="2" customFormat="1" x14ac:dyDescent="0.2">
      <c r="A74" s="5" t="s">
        <v>11406</v>
      </c>
      <c r="B74" s="5" t="s">
        <v>8584</v>
      </c>
      <c r="C74" s="5">
        <v>50</v>
      </c>
      <c r="D74" s="5"/>
      <c r="E74" s="5" t="s">
        <v>138</v>
      </c>
      <c r="F74" s="5" t="s">
        <v>11405</v>
      </c>
      <c r="G74" s="5" t="s">
        <v>173</v>
      </c>
      <c r="H74" s="5" t="s">
        <v>3</v>
      </c>
      <c r="I74" s="5"/>
      <c r="J74" s="5" t="s">
        <v>11405</v>
      </c>
      <c r="M74" s="1"/>
      <c r="N74"/>
      <c r="O74"/>
      <c r="P74"/>
      <c r="Q74"/>
      <c r="R74"/>
      <c r="S74"/>
      <c r="T74"/>
      <c r="U74"/>
      <c r="V74"/>
      <c r="W74"/>
      <c r="X74"/>
      <c r="Y74"/>
    </row>
    <row r="75" spans="1:25" s="2" customFormat="1" x14ac:dyDescent="0.2">
      <c r="A75" s="5" t="s">
        <v>11404</v>
      </c>
      <c r="B75" s="5" t="s">
        <v>8584</v>
      </c>
      <c r="C75" s="5">
        <v>51</v>
      </c>
      <c r="D75" s="5"/>
      <c r="E75" s="5" t="s">
        <v>11304</v>
      </c>
      <c r="F75" s="5" t="s">
        <v>11403</v>
      </c>
      <c r="G75" s="5" t="s">
        <v>393</v>
      </c>
      <c r="H75" s="5" t="s">
        <v>3</v>
      </c>
      <c r="I75" s="5"/>
      <c r="J75" s="5" t="s">
        <v>11403</v>
      </c>
      <c r="M75" s="1"/>
      <c r="N75"/>
      <c r="O75"/>
      <c r="P75"/>
      <c r="Q75"/>
      <c r="R75"/>
      <c r="S75"/>
      <c r="T75"/>
      <c r="U75"/>
      <c r="V75"/>
      <c r="W75"/>
      <c r="X75"/>
      <c r="Y75"/>
    </row>
    <row r="76" spans="1:25" s="2" customFormat="1" x14ac:dyDescent="0.2">
      <c r="A76" s="5" t="s">
        <v>8039</v>
      </c>
      <c r="B76" s="5" t="s">
        <v>8584</v>
      </c>
      <c r="C76" s="5">
        <v>52</v>
      </c>
      <c r="D76" s="5"/>
      <c r="E76" s="5"/>
      <c r="F76" s="5" t="s">
        <v>11402</v>
      </c>
      <c r="G76" s="5" t="s">
        <v>118</v>
      </c>
      <c r="H76" s="5" t="s">
        <v>3</v>
      </c>
      <c r="I76" s="5"/>
      <c r="J76" s="5" t="s">
        <v>8037</v>
      </c>
      <c r="M76" s="1"/>
      <c r="N76"/>
      <c r="O76"/>
      <c r="P76"/>
      <c r="Q76"/>
      <c r="R76"/>
      <c r="S76"/>
      <c r="T76"/>
      <c r="U76"/>
      <c r="V76"/>
      <c r="W76"/>
      <c r="X76"/>
      <c r="Y76"/>
    </row>
    <row r="77" spans="1:25" s="2" customFormat="1" x14ac:dyDescent="0.2">
      <c r="A77" s="5" t="s">
        <v>11401</v>
      </c>
      <c r="B77" s="5" t="s">
        <v>8584</v>
      </c>
      <c r="C77" s="5">
        <v>53</v>
      </c>
      <c r="D77" s="5"/>
      <c r="E77" s="5" t="s">
        <v>11304</v>
      </c>
      <c r="F77" s="5" t="s">
        <v>11400</v>
      </c>
      <c r="G77" s="5" t="s">
        <v>80</v>
      </c>
      <c r="H77" s="5" t="s">
        <v>3</v>
      </c>
      <c r="I77" s="5"/>
      <c r="J77" s="5" t="s">
        <v>11399</v>
      </c>
      <c r="M77" s="1"/>
      <c r="N77"/>
      <c r="O77"/>
      <c r="P77"/>
      <c r="Q77"/>
      <c r="R77"/>
      <c r="S77"/>
      <c r="T77"/>
      <c r="U77"/>
      <c r="V77"/>
      <c r="W77"/>
      <c r="X77"/>
      <c r="Y77"/>
    </row>
    <row r="78" spans="1:25" s="2" customFormat="1" ht="25.5" x14ac:dyDescent="0.2">
      <c r="A78" s="5" t="s">
        <v>11398</v>
      </c>
      <c r="B78" s="5" t="s">
        <v>8584</v>
      </c>
      <c r="C78" s="5">
        <v>54</v>
      </c>
      <c r="D78" s="5"/>
      <c r="E78" s="5" t="s">
        <v>11304</v>
      </c>
      <c r="F78" s="5" t="s">
        <v>11397</v>
      </c>
      <c r="G78" s="5" t="s">
        <v>393</v>
      </c>
      <c r="H78" s="5" t="s">
        <v>3</v>
      </c>
      <c r="I78" s="5"/>
      <c r="J78" s="5" t="s">
        <v>11397</v>
      </c>
      <c r="M78" s="1"/>
      <c r="N78"/>
      <c r="O78"/>
      <c r="P78"/>
      <c r="Q78"/>
      <c r="R78"/>
      <c r="S78"/>
      <c r="T78"/>
      <c r="U78"/>
      <c r="V78"/>
      <c r="W78"/>
      <c r="X78"/>
      <c r="Y78"/>
    </row>
    <row r="79" spans="1:25" s="2" customFormat="1" x14ac:dyDescent="0.2">
      <c r="A79" s="5" t="s">
        <v>11388</v>
      </c>
      <c r="B79" s="5" t="s">
        <v>8584</v>
      </c>
      <c r="C79" s="5">
        <v>55</v>
      </c>
      <c r="D79" s="5"/>
      <c r="E79" s="5"/>
      <c r="F79" s="5" t="s">
        <v>11396</v>
      </c>
      <c r="G79" s="5" t="s">
        <v>382</v>
      </c>
      <c r="H79" s="5" t="s">
        <v>137</v>
      </c>
      <c r="I79" s="5" t="s">
        <v>11388</v>
      </c>
      <c r="J79" s="5" t="s">
        <v>11395</v>
      </c>
      <c r="M79" s="1"/>
      <c r="N79"/>
      <c r="O79"/>
      <c r="P79"/>
      <c r="Q79"/>
      <c r="R79"/>
      <c r="S79"/>
      <c r="T79"/>
      <c r="U79"/>
      <c r="V79"/>
      <c r="W79"/>
      <c r="X79"/>
      <c r="Y79"/>
    </row>
    <row r="80" spans="1:25" s="2" customFormat="1" x14ac:dyDescent="0.2">
      <c r="A80" s="5" t="s">
        <v>11394</v>
      </c>
      <c r="B80" s="5" t="s">
        <v>8584</v>
      </c>
      <c r="C80" s="5">
        <v>56</v>
      </c>
      <c r="D80" s="5"/>
      <c r="E80" s="5" t="s">
        <v>368</v>
      </c>
      <c r="F80" s="5" t="s">
        <v>11389</v>
      </c>
      <c r="G80" s="5" t="s">
        <v>195</v>
      </c>
      <c r="H80" s="5" t="s">
        <v>137</v>
      </c>
      <c r="I80" s="5" t="s">
        <v>11388</v>
      </c>
      <c r="J80" s="5" t="s">
        <v>11393</v>
      </c>
      <c r="M80" s="1"/>
      <c r="N80"/>
      <c r="O80"/>
      <c r="P80"/>
      <c r="Q80"/>
      <c r="R80"/>
      <c r="S80"/>
      <c r="T80"/>
      <c r="U80"/>
      <c r="V80"/>
      <c r="W80"/>
      <c r="X80"/>
      <c r="Y80"/>
    </row>
    <row r="81" spans="1:25" s="2" customFormat="1" x14ac:dyDescent="0.2">
      <c r="A81" s="5" t="s">
        <v>11392</v>
      </c>
      <c r="B81" s="5" t="s">
        <v>8584</v>
      </c>
      <c r="C81" s="5">
        <v>57</v>
      </c>
      <c r="D81" s="5"/>
      <c r="E81" s="5" t="s">
        <v>368</v>
      </c>
      <c r="F81" s="5" t="s">
        <v>11389</v>
      </c>
      <c r="G81" s="5" t="s">
        <v>195</v>
      </c>
      <c r="H81" s="5" t="s">
        <v>137</v>
      </c>
      <c r="I81" s="5" t="s">
        <v>11388</v>
      </c>
      <c r="J81" s="5" t="s">
        <v>11391</v>
      </c>
      <c r="M81" s="1"/>
      <c r="N81"/>
      <c r="O81"/>
      <c r="P81"/>
      <c r="Q81"/>
      <c r="R81"/>
      <c r="S81"/>
      <c r="T81"/>
      <c r="U81"/>
      <c r="V81"/>
      <c r="W81"/>
      <c r="X81"/>
      <c r="Y81"/>
    </row>
    <row r="82" spans="1:25" s="2" customFormat="1" x14ac:dyDescent="0.2">
      <c r="A82" s="5" t="s">
        <v>11390</v>
      </c>
      <c r="B82" s="5" t="s">
        <v>8584</v>
      </c>
      <c r="C82" s="5">
        <v>58</v>
      </c>
      <c r="D82" s="5"/>
      <c r="E82" s="5" t="s">
        <v>368</v>
      </c>
      <c r="F82" s="5" t="s">
        <v>11389</v>
      </c>
      <c r="G82" s="5" t="s">
        <v>195</v>
      </c>
      <c r="H82" s="5" t="s">
        <v>137</v>
      </c>
      <c r="I82" s="5" t="s">
        <v>11388</v>
      </c>
      <c r="J82" s="5" t="s">
        <v>11387</v>
      </c>
      <c r="M82" s="1"/>
      <c r="N82"/>
      <c r="O82"/>
      <c r="P82"/>
      <c r="Q82"/>
      <c r="R82"/>
      <c r="S82"/>
      <c r="T82"/>
      <c r="U82"/>
      <c r="V82"/>
      <c r="W82"/>
      <c r="X82"/>
      <c r="Y82"/>
    </row>
    <row r="83" spans="1:25" s="2" customFormat="1" x14ac:dyDescent="0.2">
      <c r="A83" s="5" t="s">
        <v>11386</v>
      </c>
      <c r="B83" s="5" t="s">
        <v>8584</v>
      </c>
      <c r="C83" s="5">
        <v>59</v>
      </c>
      <c r="D83" s="5"/>
      <c r="E83" s="5"/>
      <c r="F83" s="5" t="s">
        <v>11386</v>
      </c>
      <c r="G83" s="5" t="s">
        <v>105</v>
      </c>
      <c r="H83" s="5" t="s">
        <v>3</v>
      </c>
      <c r="I83" s="5"/>
      <c r="J83" s="5" t="s">
        <v>11385</v>
      </c>
      <c r="M83" s="1"/>
      <c r="N83"/>
      <c r="O83"/>
      <c r="P83"/>
      <c r="Q83"/>
      <c r="R83"/>
      <c r="S83"/>
      <c r="T83"/>
      <c r="U83"/>
      <c r="V83"/>
      <c r="W83"/>
      <c r="X83"/>
      <c r="Y83"/>
    </row>
    <row r="84" spans="1:25" s="2" customFormat="1" x14ac:dyDescent="0.2">
      <c r="A84" s="5" t="s">
        <v>11384</v>
      </c>
      <c r="B84" s="5" t="s">
        <v>8584</v>
      </c>
      <c r="C84" s="5">
        <v>60</v>
      </c>
      <c r="D84" s="5"/>
      <c r="E84" s="5"/>
      <c r="F84" s="5" t="s">
        <v>11383</v>
      </c>
      <c r="G84" s="5" t="s">
        <v>105</v>
      </c>
      <c r="H84" s="5" t="s">
        <v>3</v>
      </c>
      <c r="I84" s="5"/>
      <c r="J84" s="5" t="s">
        <v>11382</v>
      </c>
      <c r="M84" s="1"/>
      <c r="N84"/>
      <c r="O84"/>
      <c r="P84"/>
      <c r="Q84"/>
      <c r="R84"/>
      <c r="S84"/>
      <c r="T84"/>
      <c r="U84"/>
      <c r="V84"/>
      <c r="W84"/>
      <c r="X84"/>
      <c r="Y84"/>
    </row>
    <row r="85" spans="1:25" s="2" customFormat="1" x14ac:dyDescent="0.2">
      <c r="A85" s="5" t="s">
        <v>372</v>
      </c>
      <c r="B85" s="5" t="s">
        <v>8584</v>
      </c>
      <c r="C85" s="5">
        <v>61</v>
      </c>
      <c r="D85" s="5"/>
      <c r="E85" s="5"/>
      <c r="F85" s="5" t="s">
        <v>10401</v>
      </c>
      <c r="G85" s="5" t="s">
        <v>173</v>
      </c>
      <c r="H85" s="5" t="s">
        <v>3</v>
      </c>
      <c r="I85" s="5"/>
      <c r="J85" s="5" t="s">
        <v>9228</v>
      </c>
      <c r="M85" s="1"/>
      <c r="N85"/>
      <c r="O85"/>
      <c r="P85"/>
      <c r="Q85"/>
      <c r="R85"/>
      <c r="S85"/>
      <c r="T85"/>
      <c r="U85"/>
      <c r="V85"/>
      <c r="W85"/>
      <c r="X85"/>
      <c r="Y85"/>
    </row>
    <row r="86" spans="1:25" s="2" customFormat="1" x14ac:dyDescent="0.2">
      <c r="A86" s="5" t="s">
        <v>9227</v>
      </c>
      <c r="B86" s="5" t="s">
        <v>8584</v>
      </c>
      <c r="C86" s="5">
        <v>62</v>
      </c>
      <c r="D86" s="5"/>
      <c r="E86" s="5"/>
      <c r="F86" s="5" t="s">
        <v>10401</v>
      </c>
      <c r="G86" s="5" t="s">
        <v>283</v>
      </c>
      <c r="H86" s="5" t="s">
        <v>3</v>
      </c>
      <c r="I86" s="5"/>
      <c r="J86" s="5" t="s">
        <v>11381</v>
      </c>
      <c r="M86" s="1"/>
      <c r="N86"/>
      <c r="O86"/>
      <c r="P86"/>
      <c r="Q86"/>
      <c r="R86"/>
      <c r="S86"/>
      <c r="T86"/>
      <c r="U86"/>
      <c r="V86"/>
      <c r="W86"/>
      <c r="X86"/>
      <c r="Y86"/>
    </row>
    <row r="87" spans="1:25" s="2" customFormat="1" x14ac:dyDescent="0.2">
      <c r="A87" s="5" t="s">
        <v>11380</v>
      </c>
      <c r="B87" s="5" t="s">
        <v>8584</v>
      </c>
      <c r="C87" s="5">
        <v>63</v>
      </c>
      <c r="D87" s="5"/>
      <c r="E87" s="5"/>
      <c r="F87" s="5" t="s">
        <v>11379</v>
      </c>
      <c r="G87" s="5" t="s">
        <v>105</v>
      </c>
      <c r="H87" s="5" t="s">
        <v>3</v>
      </c>
      <c r="I87" s="5"/>
      <c r="J87" s="5" t="s">
        <v>11378</v>
      </c>
      <c r="M87" s="1"/>
      <c r="N87"/>
      <c r="O87"/>
      <c r="P87"/>
      <c r="Q87"/>
      <c r="R87"/>
      <c r="S87"/>
      <c r="T87"/>
      <c r="U87"/>
      <c r="V87"/>
      <c r="W87"/>
      <c r="X87"/>
      <c r="Y87"/>
    </row>
    <row r="88" spans="1:25" s="2" customFormat="1" ht="25.5" x14ac:dyDescent="0.2">
      <c r="A88" s="5" t="s">
        <v>7585</v>
      </c>
      <c r="B88" s="5" t="s">
        <v>8584</v>
      </c>
      <c r="C88" s="5">
        <v>64</v>
      </c>
      <c r="D88" s="5"/>
      <c r="E88" s="5"/>
      <c r="F88" s="5" t="s">
        <v>11377</v>
      </c>
      <c r="G88" s="5" t="s">
        <v>283</v>
      </c>
      <c r="H88" s="5" t="s">
        <v>3</v>
      </c>
      <c r="I88" s="5"/>
      <c r="J88" s="5" t="s">
        <v>11376</v>
      </c>
      <c r="M88" s="1"/>
      <c r="N88"/>
      <c r="O88"/>
      <c r="P88"/>
      <c r="Q88"/>
      <c r="R88"/>
      <c r="S88"/>
      <c r="T88"/>
      <c r="U88"/>
      <c r="V88"/>
      <c r="W88"/>
      <c r="X88"/>
      <c r="Y88"/>
    </row>
    <row r="89" spans="1:25" s="2" customFormat="1" x14ac:dyDescent="0.2">
      <c r="A89" s="5" t="s">
        <v>11375</v>
      </c>
      <c r="B89" s="5" t="s">
        <v>8584</v>
      </c>
      <c r="C89" s="5">
        <v>65</v>
      </c>
      <c r="D89" s="5"/>
      <c r="E89" s="5" t="s">
        <v>150</v>
      </c>
      <c r="F89" s="5" t="s">
        <v>11372</v>
      </c>
      <c r="G89" s="5" t="s">
        <v>148</v>
      </c>
      <c r="H89" s="5" t="s">
        <v>3</v>
      </c>
      <c r="I89" s="5"/>
      <c r="J89" s="5" t="s">
        <v>11374</v>
      </c>
      <c r="M89" s="1"/>
      <c r="N89"/>
      <c r="O89"/>
      <c r="P89"/>
      <c r="Q89"/>
      <c r="R89"/>
      <c r="S89"/>
      <c r="T89"/>
      <c r="U89"/>
      <c r="V89"/>
      <c r="W89"/>
      <c r="X89"/>
      <c r="Y89"/>
    </row>
    <row r="90" spans="1:25" s="2" customFormat="1" x14ac:dyDescent="0.2">
      <c r="A90" s="5" t="s">
        <v>11373</v>
      </c>
      <c r="B90" s="5" t="s">
        <v>8584</v>
      </c>
      <c r="C90" s="5">
        <v>66</v>
      </c>
      <c r="D90" s="5"/>
      <c r="E90" s="5" t="s">
        <v>11367</v>
      </c>
      <c r="F90" s="5" t="s">
        <v>11372</v>
      </c>
      <c r="G90" s="5" t="s">
        <v>91</v>
      </c>
      <c r="H90" s="5" t="s">
        <v>3</v>
      </c>
      <c r="I90" s="5"/>
      <c r="J90" s="5" t="s">
        <v>11371</v>
      </c>
      <c r="M90" s="1"/>
      <c r="N90"/>
      <c r="O90"/>
      <c r="P90"/>
      <c r="Q90"/>
      <c r="R90"/>
      <c r="S90"/>
      <c r="T90"/>
      <c r="U90"/>
      <c r="V90"/>
      <c r="W90"/>
      <c r="X90"/>
      <c r="Y90"/>
    </row>
    <row r="91" spans="1:25" s="2" customFormat="1" x14ac:dyDescent="0.2">
      <c r="A91" s="5" t="s">
        <v>11370</v>
      </c>
      <c r="B91" s="5" t="s">
        <v>8584</v>
      </c>
      <c r="C91" s="5">
        <v>67</v>
      </c>
      <c r="D91" s="5"/>
      <c r="E91" s="5" t="s">
        <v>150</v>
      </c>
      <c r="F91" s="5" t="s">
        <v>11366</v>
      </c>
      <c r="G91" s="5" t="s">
        <v>148</v>
      </c>
      <c r="H91" s="5" t="s">
        <v>3</v>
      </c>
      <c r="I91" s="5"/>
      <c r="J91" s="5" t="s">
        <v>11369</v>
      </c>
      <c r="M91" s="1"/>
      <c r="N91"/>
      <c r="O91"/>
      <c r="P91"/>
      <c r="Q91"/>
      <c r="R91"/>
      <c r="S91"/>
      <c r="T91"/>
      <c r="U91"/>
      <c r="V91"/>
      <c r="W91"/>
      <c r="X91"/>
      <c r="Y91"/>
    </row>
    <row r="92" spans="1:25" s="2" customFormat="1" x14ac:dyDescent="0.2">
      <c r="A92" s="5" t="s">
        <v>11368</v>
      </c>
      <c r="B92" s="5" t="s">
        <v>8584</v>
      </c>
      <c r="C92" s="5">
        <v>68</v>
      </c>
      <c r="D92" s="5"/>
      <c r="E92" s="5" t="s">
        <v>11367</v>
      </c>
      <c r="F92" s="5" t="s">
        <v>11366</v>
      </c>
      <c r="G92" s="5" t="s">
        <v>148</v>
      </c>
      <c r="H92" s="5" t="s">
        <v>3</v>
      </c>
      <c r="I92" s="5"/>
      <c r="J92" s="5" t="s">
        <v>11365</v>
      </c>
      <c r="M92" s="1"/>
      <c r="N92"/>
      <c r="O92"/>
      <c r="P92"/>
      <c r="Q92"/>
      <c r="R92"/>
      <c r="S92"/>
      <c r="T92"/>
      <c r="U92"/>
      <c r="V92"/>
      <c r="W92"/>
      <c r="X92"/>
      <c r="Y92"/>
    </row>
    <row r="93" spans="1:25" s="2" customFormat="1" ht="25.5" x14ac:dyDescent="0.2">
      <c r="A93" s="5" t="s">
        <v>11364</v>
      </c>
      <c r="B93" s="5" t="s">
        <v>8584</v>
      </c>
      <c r="C93" s="5">
        <v>69</v>
      </c>
      <c r="D93" s="5"/>
      <c r="E93" s="5" t="s">
        <v>11304</v>
      </c>
      <c r="F93" s="5" t="s">
        <v>11363</v>
      </c>
      <c r="G93" s="5" t="s">
        <v>224</v>
      </c>
      <c r="H93" s="5" t="s">
        <v>3</v>
      </c>
      <c r="I93" s="5"/>
      <c r="J93" s="5" t="s">
        <v>11362</v>
      </c>
      <c r="M93" s="1"/>
      <c r="N93"/>
      <c r="O93"/>
      <c r="P93"/>
      <c r="Q93"/>
      <c r="R93"/>
      <c r="S93"/>
      <c r="T93"/>
      <c r="U93"/>
      <c r="V93"/>
      <c r="W93"/>
      <c r="X93"/>
      <c r="Y93"/>
    </row>
    <row r="94" spans="1:25" s="2" customFormat="1" x14ac:dyDescent="0.2">
      <c r="A94" s="5" t="s">
        <v>11361</v>
      </c>
      <c r="B94" s="5" t="s">
        <v>8584</v>
      </c>
      <c r="C94" s="5">
        <v>70</v>
      </c>
      <c r="D94" s="5"/>
      <c r="E94" s="5"/>
      <c r="F94" s="5" t="s">
        <v>156</v>
      </c>
      <c r="G94" s="5" t="s">
        <v>122</v>
      </c>
      <c r="H94" s="5" t="s">
        <v>3</v>
      </c>
      <c r="I94" s="5"/>
      <c r="J94" s="5" t="s">
        <v>11360</v>
      </c>
      <c r="M94" s="1"/>
      <c r="N94"/>
      <c r="O94"/>
      <c r="P94"/>
      <c r="Q94"/>
      <c r="R94"/>
      <c r="S94"/>
      <c r="T94"/>
      <c r="U94"/>
      <c r="V94"/>
      <c r="W94"/>
      <c r="X94"/>
      <c r="Y94"/>
    </row>
    <row r="95" spans="1:25" s="2" customFormat="1" ht="25.5" x14ac:dyDescent="0.2">
      <c r="A95" s="5" t="s">
        <v>11359</v>
      </c>
      <c r="B95" s="5" t="s">
        <v>8584</v>
      </c>
      <c r="C95" s="5">
        <v>71</v>
      </c>
      <c r="D95" s="5"/>
      <c r="E95" s="5"/>
      <c r="F95" s="5" t="s">
        <v>11358</v>
      </c>
      <c r="G95" s="5" t="s">
        <v>283</v>
      </c>
      <c r="H95" s="5"/>
      <c r="I95" s="5"/>
      <c r="J95" s="5" t="s">
        <v>11357</v>
      </c>
      <c r="M95" s="1"/>
      <c r="N95"/>
      <c r="O95"/>
      <c r="P95"/>
      <c r="Q95"/>
      <c r="R95"/>
      <c r="S95"/>
      <c r="T95"/>
      <c r="U95"/>
      <c r="V95"/>
      <c r="W95"/>
      <c r="X95"/>
      <c r="Y95"/>
    </row>
    <row r="96" spans="1:25" s="2" customFormat="1" x14ac:dyDescent="0.2">
      <c r="A96" s="5" t="s">
        <v>11356</v>
      </c>
      <c r="B96" s="5" t="s">
        <v>8584</v>
      </c>
      <c r="C96" s="5">
        <v>72</v>
      </c>
      <c r="D96" s="5"/>
      <c r="E96" s="5" t="s">
        <v>368</v>
      </c>
      <c r="F96" s="5" t="s">
        <v>11353</v>
      </c>
      <c r="G96" s="5" t="s">
        <v>207</v>
      </c>
      <c r="H96" s="5" t="s">
        <v>3</v>
      </c>
      <c r="I96" s="5"/>
      <c r="J96" s="5" t="s">
        <v>11355</v>
      </c>
      <c r="M96" s="1"/>
      <c r="N96"/>
      <c r="O96"/>
      <c r="P96"/>
      <c r="Q96"/>
      <c r="R96"/>
      <c r="S96"/>
      <c r="T96"/>
      <c r="U96"/>
      <c r="V96"/>
      <c r="W96"/>
      <c r="X96"/>
      <c r="Y96"/>
    </row>
    <row r="97" spans="1:25" s="2" customFormat="1" x14ac:dyDescent="0.2">
      <c r="A97" s="5" t="s">
        <v>11354</v>
      </c>
      <c r="B97" s="5" t="s">
        <v>8584</v>
      </c>
      <c r="C97" s="5">
        <v>72</v>
      </c>
      <c r="D97" s="5"/>
      <c r="E97" s="5" t="s">
        <v>368</v>
      </c>
      <c r="F97" s="5" t="s">
        <v>11353</v>
      </c>
      <c r="G97" s="5" t="s">
        <v>207</v>
      </c>
      <c r="H97" s="5" t="s">
        <v>3</v>
      </c>
      <c r="I97" s="5"/>
      <c r="J97" s="5" t="s">
        <v>11352</v>
      </c>
      <c r="M97" s="1"/>
      <c r="N97"/>
      <c r="O97"/>
      <c r="P97"/>
      <c r="Q97"/>
      <c r="R97"/>
      <c r="S97"/>
      <c r="T97"/>
      <c r="U97"/>
      <c r="V97"/>
      <c r="W97"/>
      <c r="X97"/>
      <c r="Y97"/>
    </row>
    <row r="98" spans="1:25" s="2" customFormat="1" ht="25.5" x14ac:dyDescent="0.2">
      <c r="A98" s="5" t="s">
        <v>11351</v>
      </c>
      <c r="B98" s="5" t="s">
        <v>8584</v>
      </c>
      <c r="C98" s="5">
        <v>73</v>
      </c>
      <c r="D98" s="5"/>
      <c r="E98" s="5" t="s">
        <v>368</v>
      </c>
      <c r="F98" s="5" t="s">
        <v>156</v>
      </c>
      <c r="G98" s="5" t="s">
        <v>148</v>
      </c>
      <c r="H98" s="5" t="s">
        <v>3</v>
      </c>
      <c r="I98" s="5"/>
      <c r="J98" s="5" t="s">
        <v>11350</v>
      </c>
      <c r="M98" s="1"/>
      <c r="N98"/>
      <c r="O98"/>
      <c r="P98"/>
      <c r="Q98"/>
      <c r="R98"/>
      <c r="S98"/>
      <c r="T98"/>
      <c r="U98"/>
      <c r="V98"/>
      <c r="W98"/>
      <c r="X98"/>
      <c r="Y98"/>
    </row>
    <row r="99" spans="1:25" s="2" customFormat="1" ht="25.5" x14ac:dyDescent="0.2">
      <c r="A99" s="5" t="s">
        <v>11349</v>
      </c>
      <c r="B99" s="5" t="s">
        <v>8584</v>
      </c>
      <c r="C99" s="5">
        <v>74</v>
      </c>
      <c r="D99" s="5"/>
      <c r="E99" s="5"/>
      <c r="F99" s="5" t="s">
        <v>11348</v>
      </c>
      <c r="G99" s="5" t="s">
        <v>105</v>
      </c>
      <c r="H99" s="5" t="s">
        <v>3</v>
      </c>
      <c r="I99" s="5"/>
      <c r="J99" s="5" t="s">
        <v>11347</v>
      </c>
      <c r="M99" s="1"/>
      <c r="N99"/>
      <c r="O99"/>
      <c r="P99"/>
      <c r="Q99"/>
      <c r="R99"/>
      <c r="S99"/>
      <c r="T99"/>
      <c r="U99"/>
      <c r="V99"/>
      <c r="W99"/>
      <c r="X99"/>
      <c r="Y99"/>
    </row>
    <row r="100" spans="1:25" s="2" customFormat="1" ht="38.25" x14ac:dyDescent="0.2">
      <c r="A100" s="5" t="s">
        <v>11346</v>
      </c>
      <c r="B100" s="5" t="s">
        <v>8584</v>
      </c>
      <c r="C100" s="5">
        <v>75</v>
      </c>
      <c r="D100" s="5"/>
      <c r="E100" s="5" t="s">
        <v>150</v>
      </c>
      <c r="F100" s="5" t="s">
        <v>11345</v>
      </c>
      <c r="G100" s="5" t="s">
        <v>148</v>
      </c>
      <c r="H100" s="5" t="s">
        <v>137</v>
      </c>
      <c r="I100" s="5" t="s">
        <v>11341</v>
      </c>
      <c r="J100" s="5" t="s">
        <v>11344</v>
      </c>
      <c r="M100" s="1"/>
      <c r="N100"/>
      <c r="O100"/>
      <c r="P100"/>
      <c r="Q100"/>
      <c r="R100"/>
      <c r="S100"/>
      <c r="T100"/>
      <c r="U100"/>
      <c r="V100"/>
      <c r="W100"/>
      <c r="X100"/>
      <c r="Y100"/>
    </row>
    <row r="101" spans="1:25" s="2" customFormat="1" ht="38.25" x14ac:dyDescent="0.2">
      <c r="A101" s="5" t="s">
        <v>11343</v>
      </c>
      <c r="B101" s="5" t="s">
        <v>8584</v>
      </c>
      <c r="C101" s="5">
        <v>76</v>
      </c>
      <c r="D101" s="5"/>
      <c r="E101" s="5" t="s">
        <v>368</v>
      </c>
      <c r="F101" s="5" t="s">
        <v>11342</v>
      </c>
      <c r="G101" s="5" t="s">
        <v>181</v>
      </c>
      <c r="H101" s="5" t="s">
        <v>137</v>
      </c>
      <c r="I101" s="5" t="s">
        <v>11341</v>
      </c>
      <c r="J101" s="5" t="s">
        <v>11340</v>
      </c>
      <c r="M101" s="1"/>
      <c r="N101"/>
      <c r="O101"/>
      <c r="P101"/>
      <c r="Q101"/>
      <c r="R101"/>
      <c r="S101"/>
      <c r="T101"/>
      <c r="U101"/>
      <c r="V101"/>
      <c r="W101"/>
      <c r="X101"/>
      <c r="Y101"/>
    </row>
    <row r="102" spans="1:25" s="2" customFormat="1" x14ac:dyDescent="0.2">
      <c r="A102" s="5" t="s">
        <v>11339</v>
      </c>
      <c r="B102" s="5" t="s">
        <v>8584</v>
      </c>
      <c r="C102" s="5">
        <v>77</v>
      </c>
      <c r="D102" s="5"/>
      <c r="E102" s="5"/>
      <c r="F102" s="5" t="s">
        <v>7289</v>
      </c>
      <c r="G102" s="5" t="s">
        <v>80</v>
      </c>
      <c r="H102" s="5" t="s">
        <v>3</v>
      </c>
      <c r="I102" s="5"/>
      <c r="J102" s="5" t="s">
        <v>11338</v>
      </c>
      <c r="M102" s="1"/>
      <c r="N102"/>
      <c r="O102"/>
      <c r="P102"/>
      <c r="Q102"/>
      <c r="R102"/>
      <c r="S102"/>
      <c r="T102"/>
      <c r="U102"/>
      <c r="V102"/>
      <c r="W102"/>
      <c r="X102"/>
      <c r="Y102"/>
    </row>
    <row r="103" spans="1:25" s="2" customFormat="1" x14ac:dyDescent="0.2">
      <c r="A103" s="5" t="s">
        <v>11337</v>
      </c>
      <c r="B103" s="5" t="s">
        <v>8584</v>
      </c>
      <c r="C103" s="5">
        <v>78</v>
      </c>
      <c r="D103" s="5"/>
      <c r="E103" s="5"/>
      <c r="F103" s="5" t="s">
        <v>11336</v>
      </c>
      <c r="G103" s="5" t="s">
        <v>80</v>
      </c>
      <c r="H103" s="5" t="s">
        <v>3</v>
      </c>
      <c r="I103" s="5"/>
      <c r="J103" s="5" t="s">
        <v>11335</v>
      </c>
      <c r="M103" s="1"/>
      <c r="N103"/>
      <c r="O103"/>
      <c r="P103"/>
      <c r="Q103"/>
      <c r="R103"/>
      <c r="S103"/>
      <c r="T103"/>
      <c r="U103"/>
      <c r="V103"/>
      <c r="W103"/>
      <c r="X103"/>
      <c r="Y103"/>
    </row>
    <row r="104" spans="1:25" s="2" customFormat="1" x14ac:dyDescent="0.2">
      <c r="A104" s="5" t="s">
        <v>11334</v>
      </c>
      <c r="B104" s="5" t="s">
        <v>8584</v>
      </c>
      <c r="C104" s="5">
        <v>79</v>
      </c>
      <c r="D104" s="5"/>
      <c r="E104" s="5"/>
      <c r="F104" s="5" t="s">
        <v>11333</v>
      </c>
      <c r="G104" s="5" t="s">
        <v>105</v>
      </c>
      <c r="H104" s="5" t="s">
        <v>3</v>
      </c>
      <c r="I104" s="5"/>
      <c r="J104" s="5" t="s">
        <v>11332</v>
      </c>
      <c r="M104" s="1"/>
      <c r="N104"/>
      <c r="O104"/>
      <c r="P104"/>
      <c r="Q104"/>
      <c r="R104"/>
      <c r="S104"/>
      <c r="T104"/>
      <c r="U104"/>
      <c r="V104"/>
      <c r="W104"/>
      <c r="X104"/>
      <c r="Y104"/>
    </row>
    <row r="105" spans="1:25" s="2" customFormat="1" x14ac:dyDescent="0.2">
      <c r="A105" s="5" t="s">
        <v>11331</v>
      </c>
      <c r="B105" s="5" t="s">
        <v>8584</v>
      </c>
      <c r="C105" s="5">
        <v>80</v>
      </c>
      <c r="D105" s="5"/>
      <c r="E105" s="5"/>
      <c r="F105" s="5" t="s">
        <v>7980</v>
      </c>
      <c r="G105" s="5" t="s">
        <v>207</v>
      </c>
      <c r="H105" s="5" t="s">
        <v>3</v>
      </c>
      <c r="I105" s="5"/>
      <c r="J105" s="5" t="s">
        <v>11330</v>
      </c>
      <c r="M105" s="1"/>
      <c r="N105"/>
      <c r="O105"/>
      <c r="P105"/>
      <c r="Q105"/>
      <c r="R105"/>
      <c r="S105"/>
      <c r="T105"/>
      <c r="U105"/>
      <c r="V105"/>
      <c r="W105"/>
      <c r="X105"/>
      <c r="Y105"/>
    </row>
    <row r="106" spans="1:25" s="2" customFormat="1" x14ac:dyDescent="0.2">
      <c r="A106" s="5" t="s">
        <v>11329</v>
      </c>
      <c r="B106" s="5" t="s">
        <v>8584</v>
      </c>
      <c r="C106" s="5">
        <v>81</v>
      </c>
      <c r="D106" s="5"/>
      <c r="E106" s="5" t="s">
        <v>93</v>
      </c>
      <c r="F106" s="5" t="s">
        <v>11328</v>
      </c>
      <c r="G106" s="5" t="s">
        <v>382</v>
      </c>
      <c r="H106" s="5" t="s">
        <v>3</v>
      </c>
      <c r="I106" s="5"/>
      <c r="J106" s="5" t="s">
        <v>11327</v>
      </c>
      <c r="M106" s="1"/>
      <c r="N106"/>
      <c r="O106"/>
      <c r="P106"/>
      <c r="Q106"/>
      <c r="R106"/>
      <c r="S106"/>
      <c r="T106"/>
      <c r="U106"/>
      <c r="V106"/>
      <c r="W106"/>
      <c r="X106"/>
      <c r="Y106"/>
    </row>
    <row r="107" spans="1:25" s="2" customFormat="1" x14ac:dyDescent="0.2">
      <c r="A107" s="5" t="s">
        <v>11326</v>
      </c>
      <c r="B107" s="5" t="s">
        <v>8584</v>
      </c>
      <c r="C107" s="5">
        <v>82</v>
      </c>
      <c r="D107" s="5"/>
      <c r="E107" s="5" t="s">
        <v>93</v>
      </c>
      <c r="F107" s="5" t="s">
        <v>11325</v>
      </c>
      <c r="G107" s="5" t="s">
        <v>382</v>
      </c>
      <c r="H107" s="5" t="s">
        <v>3</v>
      </c>
      <c r="I107" s="5"/>
      <c r="J107" s="5" t="s">
        <v>11324</v>
      </c>
      <c r="M107" s="1"/>
      <c r="N107"/>
      <c r="O107"/>
      <c r="P107"/>
      <c r="Q107"/>
      <c r="R107"/>
      <c r="S107"/>
      <c r="T107"/>
      <c r="U107"/>
      <c r="V107"/>
      <c r="W107"/>
      <c r="X107"/>
      <c r="Y107"/>
    </row>
    <row r="108" spans="1:25" s="2" customFormat="1" ht="25.5" x14ac:dyDescent="0.2">
      <c r="A108" s="5" t="s">
        <v>11323</v>
      </c>
      <c r="B108" s="5" t="s">
        <v>8584</v>
      </c>
      <c r="C108" s="5">
        <v>83</v>
      </c>
      <c r="D108" s="5"/>
      <c r="E108" s="5"/>
      <c r="F108" s="5" t="s">
        <v>11322</v>
      </c>
      <c r="G108" s="5" t="s">
        <v>229</v>
      </c>
      <c r="H108" s="5" t="s">
        <v>3</v>
      </c>
      <c r="I108" s="5"/>
      <c r="J108" s="5" t="s">
        <v>11321</v>
      </c>
      <c r="M108" s="1"/>
      <c r="N108"/>
      <c r="O108"/>
      <c r="P108"/>
      <c r="Q108"/>
      <c r="R108"/>
      <c r="S108"/>
      <c r="T108"/>
      <c r="U108"/>
      <c r="V108"/>
      <c r="W108"/>
      <c r="X108"/>
      <c r="Y108"/>
    </row>
    <row r="109" spans="1:25" s="2" customFormat="1" x14ac:dyDescent="0.2">
      <c r="A109" s="5" t="s">
        <v>11320</v>
      </c>
      <c r="B109" s="5" t="s">
        <v>8584</v>
      </c>
      <c r="C109" s="5">
        <v>84</v>
      </c>
      <c r="D109" s="5"/>
      <c r="E109" s="5"/>
      <c r="F109" s="5" t="s">
        <v>10998</v>
      </c>
      <c r="G109" s="5" t="s">
        <v>80</v>
      </c>
      <c r="H109" s="5" t="s">
        <v>3</v>
      </c>
      <c r="I109" s="5"/>
      <c r="J109" s="5" t="s">
        <v>11319</v>
      </c>
      <c r="M109" s="1"/>
      <c r="N109"/>
      <c r="O109"/>
      <c r="P109"/>
      <c r="Q109"/>
      <c r="R109"/>
      <c r="S109"/>
      <c r="T109"/>
      <c r="U109"/>
      <c r="V109"/>
      <c r="W109"/>
      <c r="X109"/>
      <c r="Y109"/>
    </row>
    <row r="110" spans="1:25" s="2" customFormat="1" ht="25.5" x14ac:dyDescent="0.2">
      <c r="A110" s="5" t="s">
        <v>11318</v>
      </c>
      <c r="B110" s="5" t="s">
        <v>8584</v>
      </c>
      <c r="C110" s="5">
        <v>85</v>
      </c>
      <c r="D110" s="5"/>
      <c r="E110" s="5"/>
      <c r="F110" s="5" t="s">
        <v>11317</v>
      </c>
      <c r="G110" s="5" t="s">
        <v>1527</v>
      </c>
      <c r="H110" s="5" t="s">
        <v>3</v>
      </c>
      <c r="I110" s="5"/>
      <c r="J110" s="5" t="s">
        <v>11316</v>
      </c>
      <c r="M110" s="1"/>
      <c r="N110"/>
      <c r="O110"/>
      <c r="P110"/>
      <c r="Q110"/>
      <c r="R110"/>
      <c r="S110"/>
      <c r="T110"/>
      <c r="U110"/>
      <c r="V110"/>
      <c r="W110"/>
      <c r="X110"/>
      <c r="Y110"/>
    </row>
    <row r="111" spans="1:25" s="2" customFormat="1" x14ac:dyDescent="0.2">
      <c r="A111" s="5" t="s">
        <v>11315</v>
      </c>
      <c r="B111" s="5" t="s">
        <v>8584</v>
      </c>
      <c r="C111" s="5">
        <v>86</v>
      </c>
      <c r="D111" s="5"/>
      <c r="E111" s="5"/>
      <c r="F111" s="5" t="s">
        <v>7957</v>
      </c>
      <c r="G111" s="5" t="s">
        <v>170</v>
      </c>
      <c r="H111" s="5" t="s">
        <v>3</v>
      </c>
      <c r="I111" s="5"/>
      <c r="J111" s="5" t="s">
        <v>11314</v>
      </c>
      <c r="M111" s="1"/>
      <c r="N111"/>
      <c r="O111"/>
      <c r="P111"/>
      <c r="Q111"/>
      <c r="R111"/>
      <c r="S111"/>
      <c r="T111"/>
      <c r="U111"/>
      <c r="V111"/>
      <c r="W111"/>
      <c r="X111"/>
      <c r="Y111"/>
    </row>
    <row r="112" spans="1:25" s="2" customFormat="1" x14ac:dyDescent="0.2">
      <c r="A112" s="5" t="s">
        <v>11313</v>
      </c>
      <c r="B112" s="5" t="s">
        <v>8584</v>
      </c>
      <c r="C112" s="5">
        <v>87</v>
      </c>
      <c r="D112" s="5"/>
      <c r="E112" s="5"/>
      <c r="F112" s="5" t="s">
        <v>11312</v>
      </c>
      <c r="G112" s="5" t="s">
        <v>276</v>
      </c>
      <c r="H112" s="5" t="s">
        <v>3</v>
      </c>
      <c r="I112" s="5"/>
      <c r="J112" s="5" t="s">
        <v>11311</v>
      </c>
      <c r="M112" s="1"/>
      <c r="N112"/>
      <c r="O112"/>
      <c r="P112"/>
      <c r="Q112"/>
      <c r="R112"/>
      <c r="S112"/>
      <c r="T112"/>
      <c r="U112"/>
      <c r="V112"/>
      <c r="W112"/>
      <c r="X112"/>
      <c r="Y112"/>
    </row>
    <row r="113" spans="1:25" s="2" customFormat="1" x14ac:dyDescent="0.2">
      <c r="A113" s="5" t="s">
        <v>11310</v>
      </c>
      <c r="B113" s="5" t="s">
        <v>8584</v>
      </c>
      <c r="C113" s="5">
        <v>89</v>
      </c>
      <c r="D113" s="5"/>
      <c r="E113" s="5"/>
      <c r="F113" s="5" t="s">
        <v>11309</v>
      </c>
      <c r="G113" s="5" t="s">
        <v>276</v>
      </c>
      <c r="H113" s="5" t="s">
        <v>3</v>
      </c>
      <c r="I113" s="5"/>
      <c r="J113" s="5" t="s">
        <v>11308</v>
      </c>
      <c r="M113" s="1"/>
      <c r="N113"/>
      <c r="O113"/>
      <c r="P113"/>
      <c r="Q113"/>
      <c r="R113"/>
      <c r="S113"/>
      <c r="T113"/>
      <c r="U113"/>
      <c r="V113"/>
      <c r="W113"/>
      <c r="X113"/>
      <c r="Y113"/>
    </row>
    <row r="114" spans="1:25" s="2" customFormat="1" x14ac:dyDescent="0.2">
      <c r="A114" s="5" t="s">
        <v>11307</v>
      </c>
      <c r="B114" s="5" t="s">
        <v>8584</v>
      </c>
      <c r="C114" s="5">
        <v>90</v>
      </c>
      <c r="D114" s="5"/>
      <c r="E114" s="5" t="s">
        <v>11304</v>
      </c>
      <c r="F114" s="5" t="s">
        <v>11284</v>
      </c>
      <c r="G114" s="5" t="s">
        <v>80</v>
      </c>
      <c r="H114" s="5" t="s">
        <v>3</v>
      </c>
      <c r="I114" s="5"/>
      <c r="J114" s="5" t="s">
        <v>11306</v>
      </c>
      <c r="M114" s="1"/>
      <c r="N114"/>
      <c r="O114"/>
      <c r="P114"/>
      <c r="Q114"/>
      <c r="R114"/>
      <c r="S114"/>
      <c r="T114"/>
      <c r="U114"/>
      <c r="V114"/>
      <c r="W114"/>
      <c r="X114"/>
      <c r="Y114"/>
    </row>
    <row r="115" spans="1:25" s="2" customFormat="1" x14ac:dyDescent="0.2">
      <c r="A115" s="5" t="s">
        <v>11305</v>
      </c>
      <c r="B115" s="5" t="s">
        <v>8584</v>
      </c>
      <c r="C115" s="5">
        <v>91</v>
      </c>
      <c r="D115" s="5"/>
      <c r="E115" s="5" t="s">
        <v>11304</v>
      </c>
      <c r="F115" s="5" t="s">
        <v>11302</v>
      </c>
      <c r="G115" s="5" t="s">
        <v>118</v>
      </c>
      <c r="H115" s="5" t="s">
        <v>3</v>
      </c>
      <c r="I115" s="5"/>
      <c r="J115" s="5" t="s">
        <v>11301</v>
      </c>
      <c r="M115" s="1"/>
      <c r="N115"/>
      <c r="O115"/>
      <c r="P115"/>
      <c r="Q115"/>
      <c r="R115"/>
      <c r="S115"/>
      <c r="T115"/>
      <c r="U115"/>
      <c r="V115"/>
      <c r="W115"/>
      <c r="X115"/>
      <c r="Y115"/>
    </row>
    <row r="116" spans="1:25" s="2" customFormat="1" x14ac:dyDescent="0.2">
      <c r="A116" s="5" t="s">
        <v>11303</v>
      </c>
      <c r="B116" s="5" t="s">
        <v>8584</v>
      </c>
      <c r="C116" s="5">
        <v>91</v>
      </c>
      <c r="D116" s="5"/>
      <c r="E116" s="5"/>
      <c r="F116" s="5" t="s">
        <v>11302</v>
      </c>
      <c r="G116" s="5" t="s">
        <v>118</v>
      </c>
      <c r="H116" s="5" t="s">
        <v>3</v>
      </c>
      <c r="I116" s="5"/>
      <c r="J116" s="5" t="s">
        <v>11301</v>
      </c>
      <c r="M116" s="1"/>
      <c r="N116"/>
      <c r="O116"/>
      <c r="P116"/>
      <c r="Q116"/>
      <c r="R116"/>
      <c r="S116"/>
      <c r="T116"/>
      <c r="U116"/>
      <c r="V116"/>
      <c r="W116"/>
      <c r="X116"/>
      <c r="Y116"/>
    </row>
    <row r="117" spans="1:25" s="2" customFormat="1" ht="25.5" x14ac:dyDescent="0.2">
      <c r="A117" s="5" t="s">
        <v>11300</v>
      </c>
      <c r="B117" s="5" t="s">
        <v>8584</v>
      </c>
      <c r="C117" s="5">
        <v>92</v>
      </c>
      <c r="D117" s="5"/>
      <c r="E117" s="5"/>
      <c r="F117" s="5" t="s">
        <v>11299</v>
      </c>
      <c r="G117" s="5" t="s">
        <v>4028</v>
      </c>
      <c r="H117" s="5" t="s">
        <v>3</v>
      </c>
      <c r="I117" s="5"/>
      <c r="J117" s="5" t="s">
        <v>11298</v>
      </c>
      <c r="M117" s="1"/>
      <c r="N117"/>
      <c r="O117"/>
      <c r="P117"/>
      <c r="Q117"/>
      <c r="R117"/>
      <c r="S117"/>
      <c r="T117"/>
      <c r="U117"/>
      <c r="V117"/>
      <c r="W117"/>
      <c r="X117"/>
      <c r="Y117"/>
    </row>
    <row r="118" spans="1:25" s="2" customFormat="1" ht="25.5" x14ac:dyDescent="0.2">
      <c r="A118" s="5" t="s">
        <v>11297</v>
      </c>
      <c r="B118" s="5" t="s">
        <v>8584</v>
      </c>
      <c r="C118" s="5">
        <v>93</v>
      </c>
      <c r="D118" s="5"/>
      <c r="E118" s="5"/>
      <c r="F118" s="5" t="s">
        <v>11296</v>
      </c>
      <c r="G118" s="5" t="s">
        <v>91</v>
      </c>
      <c r="H118" s="5" t="s">
        <v>3</v>
      </c>
      <c r="I118" s="5"/>
      <c r="J118" s="5" t="s">
        <v>11295</v>
      </c>
      <c r="M118" s="1"/>
      <c r="N118"/>
      <c r="O118"/>
      <c r="P118"/>
      <c r="Q118"/>
      <c r="R118"/>
      <c r="S118"/>
      <c r="T118"/>
      <c r="U118"/>
      <c r="V118"/>
      <c r="W118"/>
      <c r="X118"/>
      <c r="Y118"/>
    </row>
    <row r="119" spans="1:25" s="2" customFormat="1" x14ac:dyDescent="0.2">
      <c r="A119" s="5" t="s">
        <v>11294</v>
      </c>
      <c r="B119" s="5" t="s">
        <v>8584</v>
      </c>
      <c r="C119" s="5">
        <v>94</v>
      </c>
      <c r="D119" s="5"/>
      <c r="E119" s="5" t="s">
        <v>5520</v>
      </c>
      <c r="F119" s="5"/>
      <c r="G119" s="5" t="s">
        <v>207</v>
      </c>
      <c r="H119" s="5" t="s">
        <v>3</v>
      </c>
      <c r="I119" s="5"/>
      <c r="J119" s="5" t="s">
        <v>11293</v>
      </c>
      <c r="M119" s="1"/>
      <c r="N119"/>
      <c r="O119"/>
      <c r="P119"/>
      <c r="Q119"/>
      <c r="R119"/>
      <c r="S119"/>
      <c r="T119"/>
      <c r="U119"/>
      <c r="V119"/>
      <c r="W119"/>
      <c r="X119"/>
      <c r="Y119"/>
    </row>
    <row r="120" spans="1:25" s="2" customFormat="1" x14ac:dyDescent="0.2">
      <c r="A120" s="5" t="s">
        <v>11292</v>
      </c>
      <c r="B120" s="5" t="s">
        <v>8584</v>
      </c>
      <c r="C120" s="5">
        <v>95</v>
      </c>
      <c r="D120" s="5"/>
      <c r="E120" s="5" t="s">
        <v>5520</v>
      </c>
      <c r="F120" s="5"/>
      <c r="G120" s="5" t="s">
        <v>207</v>
      </c>
      <c r="H120" s="5" t="s">
        <v>3</v>
      </c>
      <c r="I120" s="5"/>
      <c r="J120" s="5" t="s">
        <v>11291</v>
      </c>
      <c r="M120" s="1"/>
      <c r="N120"/>
      <c r="O120"/>
      <c r="P120"/>
      <c r="Q120"/>
      <c r="R120"/>
      <c r="S120"/>
      <c r="T120"/>
      <c r="U120"/>
      <c r="V120"/>
      <c r="W120"/>
      <c r="X120"/>
      <c r="Y120"/>
    </row>
    <row r="121" spans="1:25" s="2" customFormat="1" x14ac:dyDescent="0.2">
      <c r="A121" s="5" t="s">
        <v>11290</v>
      </c>
      <c r="B121" s="5" t="s">
        <v>8584</v>
      </c>
      <c r="C121" s="5">
        <v>96</v>
      </c>
      <c r="D121" s="5"/>
      <c r="E121" s="5" t="s">
        <v>5520</v>
      </c>
      <c r="F121" s="5"/>
      <c r="G121" s="5" t="s">
        <v>207</v>
      </c>
      <c r="H121" s="5" t="s">
        <v>3</v>
      </c>
      <c r="I121" s="5"/>
      <c r="J121" s="5" t="s">
        <v>11289</v>
      </c>
      <c r="M121" s="1"/>
      <c r="N121"/>
      <c r="O121"/>
      <c r="P121"/>
      <c r="Q121"/>
      <c r="R121"/>
      <c r="S121"/>
      <c r="T121"/>
      <c r="U121"/>
      <c r="V121"/>
      <c r="W121"/>
      <c r="X121"/>
      <c r="Y121"/>
    </row>
    <row r="122" spans="1:25" s="2" customFormat="1" x14ac:dyDescent="0.2">
      <c r="A122" s="5" t="s">
        <v>11288</v>
      </c>
      <c r="B122" s="5" t="s">
        <v>8584</v>
      </c>
      <c r="C122" s="5">
        <v>97</v>
      </c>
      <c r="D122" s="5"/>
      <c r="E122" s="5"/>
      <c r="F122" s="5" t="s">
        <v>11287</v>
      </c>
      <c r="G122" s="5" t="s">
        <v>234</v>
      </c>
      <c r="H122" s="5" t="s">
        <v>3</v>
      </c>
      <c r="I122" s="5"/>
      <c r="J122" s="5" t="s">
        <v>11286</v>
      </c>
      <c r="M122" s="1"/>
      <c r="N122"/>
      <c r="O122"/>
      <c r="P122"/>
      <c r="Q122"/>
      <c r="R122"/>
      <c r="S122"/>
      <c r="T122"/>
      <c r="U122"/>
      <c r="V122"/>
      <c r="W122"/>
      <c r="X122"/>
      <c r="Y122"/>
    </row>
    <row r="123" spans="1:25" s="2" customFormat="1" x14ac:dyDescent="0.2">
      <c r="A123" s="5" t="s">
        <v>11285</v>
      </c>
      <c r="B123" s="5" t="s">
        <v>8584</v>
      </c>
      <c r="C123" s="5">
        <v>98</v>
      </c>
      <c r="D123" s="5"/>
      <c r="E123" s="5"/>
      <c r="F123" s="5" t="s">
        <v>11284</v>
      </c>
      <c r="G123" s="5" t="s">
        <v>283</v>
      </c>
      <c r="H123" s="5" t="s">
        <v>3</v>
      </c>
      <c r="I123" s="5"/>
      <c r="J123" s="5" t="s">
        <v>11283</v>
      </c>
      <c r="M123" s="1"/>
      <c r="N123"/>
      <c r="O123"/>
      <c r="P123"/>
      <c r="Q123"/>
      <c r="R123"/>
      <c r="S123"/>
      <c r="T123"/>
      <c r="U123"/>
      <c r="V123"/>
      <c r="W123"/>
      <c r="X123"/>
      <c r="Y123"/>
    </row>
    <row r="124" spans="1:25" s="2" customFormat="1" x14ac:dyDescent="0.2">
      <c r="A124" s="5" t="s">
        <v>11282</v>
      </c>
      <c r="B124" s="5" t="s">
        <v>8584</v>
      </c>
      <c r="C124" s="5">
        <v>99</v>
      </c>
      <c r="D124" s="5"/>
      <c r="E124" s="5"/>
      <c r="F124" s="5" t="s">
        <v>10819</v>
      </c>
      <c r="G124" s="5" t="s">
        <v>229</v>
      </c>
      <c r="H124" s="5" t="s">
        <v>3</v>
      </c>
      <c r="I124" s="5"/>
      <c r="J124" s="5" t="s">
        <v>11281</v>
      </c>
      <c r="M124" s="1"/>
      <c r="N124"/>
      <c r="O124"/>
      <c r="P124"/>
      <c r="Q124"/>
      <c r="R124"/>
      <c r="S124"/>
      <c r="T124"/>
      <c r="U124"/>
      <c r="V124"/>
      <c r="W124"/>
      <c r="X124"/>
      <c r="Y124"/>
    </row>
    <row r="125" spans="1:25" s="2" customFormat="1" x14ac:dyDescent="0.2">
      <c r="A125" s="5" t="s">
        <v>11280</v>
      </c>
      <c r="B125" s="5" t="s">
        <v>8584</v>
      </c>
      <c r="C125" s="5">
        <v>100</v>
      </c>
      <c r="D125" s="5"/>
      <c r="E125" s="5" t="s">
        <v>93</v>
      </c>
      <c r="F125" s="5" t="s">
        <v>9429</v>
      </c>
      <c r="G125" s="5" t="s">
        <v>382</v>
      </c>
      <c r="H125" s="5" t="s">
        <v>3</v>
      </c>
      <c r="I125" s="5"/>
      <c r="J125" s="5" t="s">
        <v>11279</v>
      </c>
      <c r="M125" s="1"/>
      <c r="N125"/>
      <c r="O125"/>
      <c r="P125"/>
      <c r="Q125"/>
      <c r="R125"/>
      <c r="S125"/>
      <c r="T125"/>
      <c r="U125"/>
      <c r="V125"/>
      <c r="W125"/>
      <c r="X125"/>
      <c r="Y125"/>
    </row>
    <row r="126" spans="1:25" s="2" customFormat="1" x14ac:dyDescent="0.2">
      <c r="A126" s="5" t="s">
        <v>11278</v>
      </c>
      <c r="B126" s="5" t="s">
        <v>8584</v>
      </c>
      <c r="C126" s="5">
        <v>101</v>
      </c>
      <c r="D126" s="5"/>
      <c r="E126" s="5"/>
      <c r="F126" s="5" t="s">
        <v>9472</v>
      </c>
      <c r="G126" s="5" t="s">
        <v>105</v>
      </c>
      <c r="H126" s="5" t="s">
        <v>3</v>
      </c>
      <c r="I126" s="5"/>
      <c r="J126" s="5" t="s">
        <v>11277</v>
      </c>
      <c r="M126" s="1"/>
      <c r="N126"/>
      <c r="O126"/>
      <c r="P126"/>
      <c r="Q126"/>
      <c r="R126"/>
      <c r="S126"/>
      <c r="T126"/>
      <c r="U126"/>
      <c r="V126"/>
      <c r="W126"/>
      <c r="X126"/>
      <c r="Y126"/>
    </row>
    <row r="127" spans="1:25" ht="25.5" x14ac:dyDescent="0.2">
      <c r="A127" s="5" t="s">
        <v>11276</v>
      </c>
      <c r="B127" s="5" t="s">
        <v>8584</v>
      </c>
      <c r="C127" s="5">
        <v>102</v>
      </c>
      <c r="D127" s="5"/>
      <c r="E127" s="5" t="s">
        <v>368</v>
      </c>
      <c r="F127" s="5"/>
      <c r="G127" s="5" t="s">
        <v>195</v>
      </c>
      <c r="H127" s="5" t="s">
        <v>3</v>
      </c>
      <c r="I127" s="5"/>
      <c r="J127" s="5" t="s">
        <v>11275</v>
      </c>
    </row>
    <row r="128" spans="1:25" x14ac:dyDescent="0.2">
      <c r="A128" s="5" t="s">
        <v>11274</v>
      </c>
      <c r="B128" s="5" t="s">
        <v>8584</v>
      </c>
      <c r="C128" s="5">
        <v>103</v>
      </c>
      <c r="D128" s="5"/>
      <c r="E128" s="5"/>
      <c r="F128" s="5" t="s">
        <v>10479</v>
      </c>
      <c r="G128" s="5" t="s">
        <v>382</v>
      </c>
      <c r="H128" s="5" t="s">
        <v>137</v>
      </c>
      <c r="I128" s="5" t="s">
        <v>10729</v>
      </c>
      <c r="J128" s="5" t="s">
        <v>11273</v>
      </c>
    </row>
    <row r="129" spans="1:10" x14ac:dyDescent="0.2">
      <c r="A129" s="5" t="s">
        <v>11272</v>
      </c>
      <c r="B129" s="5" t="s">
        <v>8584</v>
      </c>
      <c r="C129" s="5">
        <v>104</v>
      </c>
      <c r="D129" s="5"/>
      <c r="E129" s="5"/>
      <c r="F129" s="5" t="s">
        <v>11271</v>
      </c>
      <c r="G129" s="5" t="s">
        <v>382</v>
      </c>
      <c r="H129" s="5"/>
      <c r="I129" s="5"/>
      <c r="J129" s="5" t="s">
        <v>11270</v>
      </c>
    </row>
    <row r="130" spans="1:10" ht="25.5" x14ac:dyDescent="0.2">
      <c r="A130" s="5" t="s">
        <v>11269</v>
      </c>
      <c r="B130" s="5" t="s">
        <v>8584</v>
      </c>
      <c r="C130" s="5">
        <v>105</v>
      </c>
      <c r="D130" s="5"/>
      <c r="E130" s="5"/>
      <c r="F130" s="5" t="s">
        <v>9321</v>
      </c>
      <c r="G130" s="5" t="s">
        <v>234</v>
      </c>
      <c r="H130" s="5" t="s">
        <v>3</v>
      </c>
      <c r="I130" s="5"/>
      <c r="J130" s="5" t="s">
        <v>9321</v>
      </c>
    </row>
    <row r="131" spans="1:10" ht="25.5" x14ac:dyDescent="0.2">
      <c r="A131" s="5" t="s">
        <v>11268</v>
      </c>
      <c r="B131" s="5" t="s">
        <v>8584</v>
      </c>
      <c r="C131" s="5">
        <v>106</v>
      </c>
      <c r="D131" s="5"/>
      <c r="E131" s="5"/>
      <c r="F131" s="5" t="s">
        <v>11267</v>
      </c>
      <c r="G131" s="5" t="s">
        <v>105</v>
      </c>
      <c r="H131" s="5" t="s">
        <v>3</v>
      </c>
      <c r="I131" s="5"/>
      <c r="J131" s="5" t="s">
        <v>11266</v>
      </c>
    </row>
    <row r="132" spans="1:10" ht="25.5" x14ac:dyDescent="0.2">
      <c r="A132" s="5" t="s">
        <v>11265</v>
      </c>
      <c r="B132" s="5" t="s">
        <v>8584</v>
      </c>
      <c r="C132" s="5">
        <v>107</v>
      </c>
      <c r="D132" s="5"/>
      <c r="E132" s="5"/>
      <c r="F132" s="5" t="s">
        <v>11264</v>
      </c>
      <c r="G132" s="5" t="s">
        <v>283</v>
      </c>
      <c r="H132" s="5" t="s">
        <v>3</v>
      </c>
      <c r="I132" s="5"/>
      <c r="J132" s="5" t="s">
        <v>11263</v>
      </c>
    </row>
    <row r="133" spans="1:10" ht="25.5" x14ac:dyDescent="0.2">
      <c r="A133" s="5" t="s">
        <v>11262</v>
      </c>
      <c r="B133" s="5" t="s">
        <v>8584</v>
      </c>
      <c r="C133" s="5">
        <v>108</v>
      </c>
      <c r="D133" s="5"/>
      <c r="E133" s="5"/>
      <c r="F133" s="5" t="s">
        <v>11261</v>
      </c>
      <c r="G133" s="5" t="s">
        <v>382</v>
      </c>
      <c r="H133" s="5" t="s">
        <v>3</v>
      </c>
      <c r="I133" s="5"/>
      <c r="J133" s="5" t="s">
        <v>11260</v>
      </c>
    </row>
    <row r="134" spans="1:10" x14ac:dyDescent="0.2">
      <c r="A134" s="5" t="s">
        <v>11259</v>
      </c>
      <c r="B134" s="5" t="s">
        <v>8584</v>
      </c>
      <c r="C134" s="5">
        <v>109</v>
      </c>
      <c r="D134" s="5"/>
      <c r="E134" s="5" t="s">
        <v>3057</v>
      </c>
      <c r="F134" s="5" t="s">
        <v>11250</v>
      </c>
      <c r="G134" s="5" t="s">
        <v>382</v>
      </c>
      <c r="H134" s="5" t="s">
        <v>137</v>
      </c>
      <c r="I134" s="5" t="s">
        <v>11256</v>
      </c>
      <c r="J134" s="5" t="s">
        <v>11258</v>
      </c>
    </row>
    <row r="135" spans="1:10" x14ac:dyDescent="0.2">
      <c r="A135" s="5" t="s">
        <v>11257</v>
      </c>
      <c r="B135" s="5" t="s">
        <v>8584</v>
      </c>
      <c r="C135" s="5">
        <v>110</v>
      </c>
      <c r="D135" s="5"/>
      <c r="E135" s="5"/>
      <c r="F135" s="5" t="s">
        <v>11250</v>
      </c>
      <c r="G135" s="5" t="s">
        <v>6584</v>
      </c>
      <c r="H135" s="5" t="s">
        <v>137</v>
      </c>
      <c r="I135" s="5" t="s">
        <v>11256</v>
      </c>
      <c r="J135" s="5" t="s">
        <v>11255</v>
      </c>
    </row>
    <row r="136" spans="1:10" ht="25.5" x14ac:dyDescent="0.2">
      <c r="A136" s="5" t="s">
        <v>11254</v>
      </c>
      <c r="B136" s="5" t="s">
        <v>8584</v>
      </c>
      <c r="C136" s="5">
        <v>111</v>
      </c>
      <c r="D136" s="5"/>
      <c r="E136" s="5" t="s">
        <v>3057</v>
      </c>
      <c r="F136" s="5" t="s">
        <v>11250</v>
      </c>
      <c r="G136" s="5" t="s">
        <v>382</v>
      </c>
      <c r="H136" s="5" t="s">
        <v>137</v>
      </c>
      <c r="I136" s="5" t="s">
        <v>11253</v>
      </c>
      <c r="J136" s="5" t="s">
        <v>11252</v>
      </c>
    </row>
    <row r="137" spans="1:10" ht="25.5" x14ac:dyDescent="0.2">
      <c r="A137" s="5" t="s">
        <v>11251</v>
      </c>
      <c r="B137" s="5" t="s">
        <v>8584</v>
      </c>
      <c r="C137" s="5">
        <v>112</v>
      </c>
      <c r="D137" s="5"/>
      <c r="E137" s="5"/>
      <c r="F137" s="5" t="s">
        <v>11250</v>
      </c>
      <c r="G137" s="5" t="s">
        <v>6584</v>
      </c>
      <c r="H137" s="5" t="s">
        <v>137</v>
      </c>
      <c r="I137" s="5" t="s">
        <v>11249</v>
      </c>
      <c r="J137" s="5" t="s">
        <v>11248</v>
      </c>
    </row>
    <row r="138" spans="1:10" ht="25.5" x14ac:dyDescent="0.2">
      <c r="A138" s="5" t="s">
        <v>11247</v>
      </c>
      <c r="B138" s="5" t="s">
        <v>8584</v>
      </c>
      <c r="C138" s="5">
        <v>113</v>
      </c>
      <c r="D138" s="5"/>
      <c r="E138" s="5" t="s">
        <v>3057</v>
      </c>
      <c r="F138" s="5" t="s">
        <v>11246</v>
      </c>
      <c r="G138" s="5" t="s">
        <v>148</v>
      </c>
      <c r="H138" s="5" t="s">
        <v>3</v>
      </c>
      <c r="I138" s="5"/>
      <c r="J138" s="5" t="s">
        <v>11245</v>
      </c>
    </row>
    <row r="139" spans="1:10" ht="25.5" x14ac:dyDescent="0.2">
      <c r="A139" s="5" t="s">
        <v>11244</v>
      </c>
      <c r="B139" s="5" t="s">
        <v>8584</v>
      </c>
      <c r="C139" s="5">
        <v>114</v>
      </c>
      <c r="D139" s="5"/>
      <c r="E139" s="5"/>
      <c r="F139" s="5"/>
      <c r="G139" s="5" t="s">
        <v>199</v>
      </c>
      <c r="H139" s="5" t="s">
        <v>3</v>
      </c>
      <c r="I139" s="5"/>
      <c r="J139" s="5" t="s">
        <v>11243</v>
      </c>
    </row>
    <row r="140" spans="1:10" ht="25.5" x14ac:dyDescent="0.2">
      <c r="A140" s="5" t="s">
        <v>11242</v>
      </c>
      <c r="B140" s="5" t="s">
        <v>8584</v>
      </c>
      <c r="C140" s="5">
        <v>115</v>
      </c>
      <c r="D140" s="5"/>
      <c r="E140" s="5"/>
      <c r="F140" s="5"/>
      <c r="G140" s="5" t="s">
        <v>91</v>
      </c>
      <c r="H140" s="5" t="s">
        <v>3</v>
      </c>
      <c r="I140" s="5"/>
      <c r="J140" s="5" t="s">
        <v>11241</v>
      </c>
    </row>
    <row r="141" spans="1:10" ht="25.5" x14ac:dyDescent="0.2">
      <c r="A141" s="5" t="s">
        <v>11240</v>
      </c>
      <c r="B141" s="5" t="s">
        <v>8584</v>
      </c>
      <c r="C141" s="5">
        <v>116</v>
      </c>
      <c r="D141" s="5"/>
      <c r="E141" s="5" t="s">
        <v>368</v>
      </c>
      <c r="F141" s="5"/>
      <c r="G141" s="5" t="s">
        <v>195</v>
      </c>
      <c r="H141" s="5" t="s">
        <v>3</v>
      </c>
      <c r="I141" s="5"/>
      <c r="J141" s="5" t="s">
        <v>11239</v>
      </c>
    </row>
    <row r="142" spans="1:10" ht="25.5" x14ac:dyDescent="0.2">
      <c r="A142" s="5" t="s">
        <v>11238</v>
      </c>
      <c r="B142" s="5" t="s">
        <v>8584</v>
      </c>
      <c r="C142" s="5">
        <v>117</v>
      </c>
      <c r="D142" s="5"/>
      <c r="E142" s="5" t="s">
        <v>368</v>
      </c>
      <c r="F142" s="5"/>
      <c r="G142" s="5" t="s">
        <v>195</v>
      </c>
      <c r="H142" s="5" t="s">
        <v>3</v>
      </c>
      <c r="I142" s="5"/>
      <c r="J142" s="5" t="s">
        <v>11237</v>
      </c>
    </row>
    <row r="143" spans="1:10" ht="25.5" x14ac:dyDescent="0.2">
      <c r="A143" s="5" t="s">
        <v>11236</v>
      </c>
      <c r="B143" s="5" t="s">
        <v>8584</v>
      </c>
      <c r="C143" s="5">
        <v>118</v>
      </c>
      <c r="D143" s="5"/>
      <c r="E143" s="5"/>
      <c r="F143" s="5"/>
      <c r="G143" s="5" t="s">
        <v>382</v>
      </c>
      <c r="H143" s="5" t="s">
        <v>137</v>
      </c>
      <c r="I143" s="5" t="s">
        <v>11235</v>
      </c>
      <c r="J143" s="5" t="s">
        <v>11234</v>
      </c>
    </row>
    <row r="144" spans="1:10" x14ac:dyDescent="0.2">
      <c r="A144" s="5" t="s">
        <v>11233</v>
      </c>
      <c r="B144" s="5" t="s">
        <v>8584</v>
      </c>
      <c r="C144" s="5">
        <v>119</v>
      </c>
      <c r="D144" s="5"/>
      <c r="E144" s="5"/>
      <c r="F144" s="5"/>
      <c r="G144" s="5" t="s">
        <v>382</v>
      </c>
      <c r="H144" s="5" t="s">
        <v>3</v>
      </c>
      <c r="I144" s="5"/>
      <c r="J144" s="5" t="s">
        <v>11232</v>
      </c>
    </row>
    <row r="145" spans="1:10" ht="25.5" x14ac:dyDescent="0.2">
      <c r="A145" s="5" t="s">
        <v>11231</v>
      </c>
      <c r="B145" s="5" t="s">
        <v>8584</v>
      </c>
      <c r="C145" s="5">
        <v>120</v>
      </c>
      <c r="D145" s="5"/>
      <c r="E145" s="5"/>
      <c r="F145" s="5"/>
      <c r="G145" s="5" t="s">
        <v>234</v>
      </c>
      <c r="H145" s="5" t="s">
        <v>3</v>
      </c>
      <c r="I145" s="5"/>
      <c r="J145" s="5" t="s">
        <v>11230</v>
      </c>
    </row>
    <row r="146" spans="1:10" ht="25.5" x14ac:dyDescent="0.2">
      <c r="A146" s="5" t="s">
        <v>11229</v>
      </c>
      <c r="B146" s="5" t="s">
        <v>8584</v>
      </c>
      <c r="C146" s="5">
        <v>121</v>
      </c>
      <c r="D146" s="5"/>
      <c r="E146" s="5" t="s">
        <v>368</v>
      </c>
      <c r="F146" s="5"/>
      <c r="G146" s="5" t="s">
        <v>148</v>
      </c>
      <c r="H146" s="5" t="s">
        <v>3</v>
      </c>
      <c r="I146" s="5"/>
      <c r="J146" s="5" t="s">
        <v>11228</v>
      </c>
    </row>
    <row r="147" spans="1:10" x14ac:dyDescent="0.2">
      <c r="A147" s="5" t="s">
        <v>11227</v>
      </c>
      <c r="B147" s="5" t="s">
        <v>83</v>
      </c>
      <c r="C147" s="5"/>
      <c r="D147" s="5" t="s">
        <v>11226</v>
      </c>
      <c r="E147" s="5"/>
      <c r="F147" s="5" t="s">
        <v>11225</v>
      </c>
      <c r="G147" s="5" t="s">
        <v>170</v>
      </c>
      <c r="H147" s="5" t="s">
        <v>3</v>
      </c>
      <c r="I147" s="5"/>
      <c r="J147" s="5" t="s">
        <v>11224</v>
      </c>
    </row>
    <row r="148" spans="1:10" ht="25.5" x14ac:dyDescent="0.2">
      <c r="A148" s="5" t="s">
        <v>11223</v>
      </c>
      <c r="B148" s="5" t="s">
        <v>83</v>
      </c>
      <c r="C148" s="5"/>
      <c r="D148" s="5" t="s">
        <v>11222</v>
      </c>
      <c r="E148" s="5"/>
      <c r="F148" s="5" t="s">
        <v>11221</v>
      </c>
      <c r="G148" s="5" t="s">
        <v>224</v>
      </c>
      <c r="H148" s="5" t="s">
        <v>3</v>
      </c>
      <c r="I148" s="5"/>
      <c r="J148" s="5" t="s">
        <v>11220</v>
      </c>
    </row>
    <row r="149" spans="1:10" x14ac:dyDescent="0.2">
      <c r="A149" s="5" t="s">
        <v>11219</v>
      </c>
      <c r="B149" s="5" t="s">
        <v>83</v>
      </c>
      <c r="C149" s="5"/>
      <c r="D149" s="5" t="s">
        <v>10684</v>
      </c>
      <c r="E149" s="5"/>
      <c r="F149" s="5"/>
      <c r="G149" s="5"/>
      <c r="H149" s="5"/>
      <c r="I149" s="5"/>
      <c r="J149" s="5" t="s">
        <v>11218</v>
      </c>
    </row>
    <row r="150" spans="1:10" x14ac:dyDescent="0.2">
      <c r="A150" s="5" t="s">
        <v>11217</v>
      </c>
      <c r="B150" s="5" t="s">
        <v>83</v>
      </c>
      <c r="C150" s="5"/>
      <c r="D150" s="5" t="s">
        <v>11216</v>
      </c>
      <c r="E150" s="5" t="s">
        <v>93</v>
      </c>
      <c r="F150" s="5" t="s">
        <v>11215</v>
      </c>
      <c r="G150" s="5" t="s">
        <v>207</v>
      </c>
      <c r="H150" s="5" t="s">
        <v>3</v>
      </c>
      <c r="I150" s="5"/>
      <c r="J150" s="5" t="s">
        <v>11214</v>
      </c>
    </row>
    <row r="151" spans="1:10" x14ac:dyDescent="0.2">
      <c r="A151" s="5" t="s">
        <v>11213</v>
      </c>
      <c r="B151" s="5" t="s">
        <v>83</v>
      </c>
      <c r="C151" s="5"/>
      <c r="D151" s="5" t="s">
        <v>11212</v>
      </c>
      <c r="E151" s="5"/>
      <c r="F151" s="5" t="s">
        <v>11211</v>
      </c>
      <c r="G151" s="5" t="s">
        <v>224</v>
      </c>
      <c r="H151" s="5" t="s">
        <v>137</v>
      </c>
      <c r="I151" s="5"/>
      <c r="J151" s="5" t="s">
        <v>11210</v>
      </c>
    </row>
    <row r="152" spans="1:10" ht="25.5" x14ac:dyDescent="0.2">
      <c r="A152" s="5" t="s">
        <v>11209</v>
      </c>
      <c r="B152" s="5" t="s">
        <v>83</v>
      </c>
      <c r="C152" s="5"/>
      <c r="D152" s="5" t="s">
        <v>11208</v>
      </c>
      <c r="E152" s="5"/>
      <c r="F152" s="5" t="s">
        <v>11204</v>
      </c>
      <c r="G152" s="5" t="s">
        <v>105</v>
      </c>
      <c r="H152" s="5" t="s">
        <v>3</v>
      </c>
      <c r="I152" s="5"/>
      <c r="J152" s="5" t="s">
        <v>11207</v>
      </c>
    </row>
    <row r="153" spans="1:10" x14ac:dyDescent="0.2">
      <c r="A153" s="5" t="s">
        <v>11206</v>
      </c>
      <c r="B153" s="5" t="s">
        <v>83</v>
      </c>
      <c r="C153" s="5"/>
      <c r="D153" s="5" t="s">
        <v>11205</v>
      </c>
      <c r="E153" s="5"/>
      <c r="F153" s="5" t="s">
        <v>11204</v>
      </c>
      <c r="G153" s="5" t="s">
        <v>224</v>
      </c>
      <c r="H153" s="5" t="s">
        <v>3</v>
      </c>
      <c r="I153" s="5"/>
      <c r="J153" s="5"/>
    </row>
    <row r="154" spans="1:10" x14ac:dyDescent="0.2">
      <c r="A154" s="5" t="s">
        <v>11203</v>
      </c>
      <c r="B154" s="5" t="s">
        <v>83</v>
      </c>
      <c r="C154" s="5"/>
      <c r="D154" s="5" t="s">
        <v>11202</v>
      </c>
      <c r="E154" s="5" t="s">
        <v>368</v>
      </c>
      <c r="F154" s="5" t="s">
        <v>11201</v>
      </c>
      <c r="G154" s="5" t="s">
        <v>91</v>
      </c>
      <c r="H154" s="5" t="s">
        <v>3</v>
      </c>
      <c r="I154" s="5"/>
      <c r="J154" s="5" t="s">
        <v>11200</v>
      </c>
    </row>
    <row r="155" spans="1:10" x14ac:dyDescent="0.2">
      <c r="A155" s="5" t="s">
        <v>11199</v>
      </c>
      <c r="B155" s="5" t="s">
        <v>83</v>
      </c>
      <c r="C155" s="5"/>
      <c r="D155" s="5" t="s">
        <v>11198</v>
      </c>
      <c r="E155" s="5" t="s">
        <v>368</v>
      </c>
      <c r="F155" s="5" t="s">
        <v>11197</v>
      </c>
      <c r="G155" s="5" t="s">
        <v>91</v>
      </c>
      <c r="H155" s="5" t="s">
        <v>3</v>
      </c>
      <c r="I155" s="5"/>
      <c r="J155" s="5" t="s">
        <v>11196</v>
      </c>
    </row>
    <row r="156" spans="1:10" x14ac:dyDescent="0.2">
      <c r="A156" s="5" t="s">
        <v>11195</v>
      </c>
      <c r="B156" s="5" t="s">
        <v>83</v>
      </c>
      <c r="C156" s="5"/>
      <c r="D156" s="5" t="s">
        <v>11194</v>
      </c>
      <c r="E156" s="5"/>
      <c r="F156" s="5" t="s">
        <v>11193</v>
      </c>
      <c r="G156" s="5" t="s">
        <v>4</v>
      </c>
      <c r="H156" s="5" t="s">
        <v>3</v>
      </c>
      <c r="I156" s="5"/>
      <c r="J156" s="5"/>
    </row>
    <row r="157" spans="1:10" x14ac:dyDescent="0.2">
      <c r="A157" s="5" t="s">
        <v>11192</v>
      </c>
      <c r="B157" s="5" t="s">
        <v>83</v>
      </c>
      <c r="C157" s="5"/>
      <c r="D157" s="5" t="s">
        <v>11191</v>
      </c>
      <c r="E157" s="5" t="s">
        <v>6367</v>
      </c>
      <c r="F157" s="5" t="s">
        <v>11190</v>
      </c>
      <c r="G157" s="5" t="s">
        <v>105</v>
      </c>
      <c r="H157" s="5" t="s">
        <v>3</v>
      </c>
      <c r="I157" s="5"/>
      <c r="J157" s="5" t="s">
        <v>11189</v>
      </c>
    </row>
    <row r="158" spans="1:10" x14ac:dyDescent="0.2">
      <c r="A158" s="5" t="s">
        <v>11187</v>
      </c>
      <c r="B158" s="5" t="s">
        <v>83</v>
      </c>
      <c r="C158" s="5"/>
      <c r="D158" s="5" t="s">
        <v>11188</v>
      </c>
      <c r="E158" s="5"/>
      <c r="F158" s="5" t="s">
        <v>11187</v>
      </c>
      <c r="G158" s="5" t="s">
        <v>105</v>
      </c>
      <c r="H158" s="5" t="s">
        <v>3</v>
      </c>
      <c r="I158" s="5"/>
      <c r="J158" s="5" t="s">
        <v>11186</v>
      </c>
    </row>
    <row r="159" spans="1:10" ht="25.5" x14ac:dyDescent="0.2">
      <c r="A159" s="5" t="s">
        <v>8404</v>
      </c>
      <c r="B159" s="5" t="s">
        <v>83</v>
      </c>
      <c r="C159" s="5"/>
      <c r="D159" s="5" t="s">
        <v>8403</v>
      </c>
      <c r="E159" s="5"/>
      <c r="F159" s="5"/>
      <c r="G159" s="5" t="s">
        <v>105</v>
      </c>
      <c r="H159" s="5" t="s">
        <v>3</v>
      </c>
      <c r="I159" s="5"/>
      <c r="J159" s="5" t="s">
        <v>8402</v>
      </c>
    </row>
    <row r="160" spans="1:10" x14ac:dyDescent="0.2">
      <c r="A160" s="5" t="s">
        <v>8401</v>
      </c>
      <c r="B160" s="5" t="s">
        <v>83</v>
      </c>
      <c r="C160" s="5"/>
      <c r="D160" s="5" t="s">
        <v>8382</v>
      </c>
      <c r="E160" s="5"/>
      <c r="F160" s="5" t="s">
        <v>8385</v>
      </c>
      <c r="G160" s="5" t="s">
        <v>105</v>
      </c>
      <c r="H160" s="5" t="s">
        <v>3</v>
      </c>
      <c r="I160" s="5"/>
      <c r="J160" s="5" t="s">
        <v>8400</v>
      </c>
    </row>
    <row r="161" spans="1:10" x14ac:dyDescent="0.2">
      <c r="A161" s="5" t="s">
        <v>8399</v>
      </c>
      <c r="B161" s="5" t="s">
        <v>83</v>
      </c>
      <c r="C161" s="5"/>
      <c r="D161" s="5" t="s">
        <v>6390</v>
      </c>
      <c r="E161" s="5" t="s">
        <v>150</v>
      </c>
      <c r="F161" s="5" t="s">
        <v>8385</v>
      </c>
      <c r="G161" s="5" t="s">
        <v>148</v>
      </c>
      <c r="H161" s="5" t="s">
        <v>3</v>
      </c>
      <c r="I161" s="5"/>
      <c r="J161" s="5" t="s">
        <v>8398</v>
      </c>
    </row>
    <row r="162" spans="1:10" x14ac:dyDescent="0.2">
      <c r="A162" s="5" t="s">
        <v>8397</v>
      </c>
      <c r="B162" s="5" t="s">
        <v>83</v>
      </c>
      <c r="C162" s="5"/>
      <c r="D162" s="5" t="s">
        <v>8396</v>
      </c>
      <c r="E162" s="5"/>
      <c r="F162" s="5" t="s">
        <v>8385</v>
      </c>
      <c r="G162" s="5" t="s">
        <v>283</v>
      </c>
      <c r="H162" s="5" t="s">
        <v>3</v>
      </c>
      <c r="I162" s="5"/>
      <c r="J162" s="5" t="s">
        <v>8394</v>
      </c>
    </row>
    <row r="163" spans="1:10" x14ac:dyDescent="0.2">
      <c r="A163" s="5" t="s">
        <v>8393</v>
      </c>
      <c r="B163" s="5" t="s">
        <v>83</v>
      </c>
      <c r="C163" s="5"/>
      <c r="D163" s="5" t="s">
        <v>8392</v>
      </c>
      <c r="E163" s="5"/>
      <c r="F163" s="5" t="s">
        <v>10474</v>
      </c>
      <c r="G163" s="5" t="s">
        <v>283</v>
      </c>
      <c r="H163" s="5" t="s">
        <v>3</v>
      </c>
      <c r="I163" s="5"/>
      <c r="J163" s="5" t="s">
        <v>8390</v>
      </c>
    </row>
    <row r="164" spans="1:10" x14ac:dyDescent="0.2">
      <c r="A164" s="5" t="s">
        <v>8389</v>
      </c>
      <c r="B164" s="5" t="s">
        <v>83</v>
      </c>
      <c r="C164" s="5"/>
      <c r="D164" s="5" t="s">
        <v>5533</v>
      </c>
      <c r="E164" s="5"/>
      <c r="F164" s="5" t="s">
        <v>8385</v>
      </c>
      <c r="G164" s="5" t="s">
        <v>382</v>
      </c>
      <c r="H164" s="5" t="s">
        <v>3</v>
      </c>
      <c r="I164" s="5"/>
      <c r="J164" s="5" t="s">
        <v>8388</v>
      </c>
    </row>
    <row r="165" spans="1:10" x14ac:dyDescent="0.2">
      <c r="A165" s="5" t="s">
        <v>8387</v>
      </c>
      <c r="B165" s="5" t="s">
        <v>83</v>
      </c>
      <c r="C165" s="5"/>
      <c r="D165" s="5" t="s">
        <v>8386</v>
      </c>
      <c r="E165" s="5" t="s">
        <v>5520</v>
      </c>
      <c r="F165" s="5" t="s">
        <v>8385</v>
      </c>
      <c r="G165" s="5" t="s">
        <v>148</v>
      </c>
      <c r="H165" s="5" t="s">
        <v>3</v>
      </c>
      <c r="I165" s="5"/>
      <c r="J165" s="5" t="s">
        <v>8384</v>
      </c>
    </row>
    <row r="166" spans="1:10" x14ac:dyDescent="0.2">
      <c r="A166" s="5" t="s">
        <v>8380</v>
      </c>
      <c r="B166" s="5" t="s">
        <v>83</v>
      </c>
      <c r="C166" s="5"/>
      <c r="D166" s="5" t="s">
        <v>8379</v>
      </c>
      <c r="E166" s="5"/>
      <c r="F166" s="5" t="s">
        <v>11185</v>
      </c>
      <c r="G166" s="5" t="s">
        <v>283</v>
      </c>
      <c r="H166" s="5" t="s">
        <v>3</v>
      </c>
      <c r="I166" s="5"/>
      <c r="J166" s="5" t="s">
        <v>7462</v>
      </c>
    </row>
    <row r="167" spans="1:10" ht="25.5" x14ac:dyDescent="0.2">
      <c r="A167" s="5" t="s">
        <v>11184</v>
      </c>
      <c r="B167" s="5" t="s">
        <v>83</v>
      </c>
      <c r="C167" s="5"/>
      <c r="D167" s="5" t="s">
        <v>11183</v>
      </c>
      <c r="E167" s="5"/>
      <c r="F167" s="5" t="s">
        <v>6581</v>
      </c>
      <c r="G167" s="5" t="s">
        <v>229</v>
      </c>
      <c r="H167" s="5" t="s">
        <v>3</v>
      </c>
      <c r="I167" s="5"/>
      <c r="J167" s="5" t="s">
        <v>11182</v>
      </c>
    </row>
    <row r="168" spans="1:10" x14ac:dyDescent="0.2">
      <c r="A168" s="5" t="s">
        <v>11181</v>
      </c>
      <c r="B168" s="5" t="s">
        <v>83</v>
      </c>
      <c r="C168" s="5"/>
      <c r="D168" s="5" t="s">
        <v>11180</v>
      </c>
      <c r="E168" s="5"/>
      <c r="F168" s="5" t="s">
        <v>11179</v>
      </c>
      <c r="G168" s="5" t="s">
        <v>3059</v>
      </c>
      <c r="H168" s="5" t="s">
        <v>3</v>
      </c>
      <c r="I168" s="5"/>
      <c r="J168" s="5" t="s">
        <v>11178</v>
      </c>
    </row>
    <row r="169" spans="1:10" ht="25.5" x14ac:dyDescent="0.2">
      <c r="A169" s="5" t="s">
        <v>11177</v>
      </c>
      <c r="B169" s="5" t="s">
        <v>83</v>
      </c>
      <c r="C169" s="5"/>
      <c r="D169" s="5" t="s">
        <v>11176</v>
      </c>
      <c r="E169" s="5"/>
      <c r="F169" s="5" t="s">
        <v>10572</v>
      </c>
      <c r="G169" s="5" t="s">
        <v>173</v>
      </c>
      <c r="H169" s="5" t="s">
        <v>3</v>
      </c>
      <c r="I169" s="5"/>
      <c r="J169" s="5" t="s">
        <v>11175</v>
      </c>
    </row>
    <row r="170" spans="1:10" ht="25.5" x14ac:dyDescent="0.2">
      <c r="A170" s="5" t="s">
        <v>11174</v>
      </c>
      <c r="B170" s="5" t="s">
        <v>83</v>
      </c>
      <c r="C170" s="5"/>
      <c r="D170" s="5" t="s">
        <v>11173</v>
      </c>
      <c r="E170" s="5"/>
      <c r="F170" s="5"/>
      <c r="G170" s="5" t="s">
        <v>80</v>
      </c>
      <c r="H170" s="5" t="s">
        <v>3</v>
      </c>
      <c r="I170" s="5"/>
      <c r="J170" s="5" t="s">
        <v>11172</v>
      </c>
    </row>
    <row r="171" spans="1:10" ht="25.5" x14ac:dyDescent="0.2">
      <c r="A171" s="5" t="s">
        <v>11171</v>
      </c>
      <c r="B171" s="5" t="s">
        <v>83</v>
      </c>
      <c r="C171" s="5"/>
      <c r="D171" s="5" t="s">
        <v>11170</v>
      </c>
      <c r="E171" s="5"/>
      <c r="F171" s="5"/>
      <c r="G171" s="5" t="s">
        <v>118</v>
      </c>
      <c r="H171" s="5" t="s">
        <v>3</v>
      </c>
      <c r="I171" s="5"/>
      <c r="J171" s="5" t="s">
        <v>11169</v>
      </c>
    </row>
    <row r="172" spans="1:10" x14ac:dyDescent="0.2">
      <c r="A172" s="5" t="s">
        <v>11168</v>
      </c>
      <c r="B172" s="5" t="s">
        <v>83</v>
      </c>
      <c r="C172" s="5"/>
      <c r="D172" s="5" t="s">
        <v>11167</v>
      </c>
      <c r="E172" s="5" t="s">
        <v>93</v>
      </c>
      <c r="F172" s="5" t="s">
        <v>7980</v>
      </c>
      <c r="G172" s="5" t="s">
        <v>207</v>
      </c>
      <c r="H172" s="5" t="s">
        <v>3</v>
      </c>
      <c r="I172" s="5"/>
      <c r="J172" s="5" t="s">
        <v>11166</v>
      </c>
    </row>
    <row r="173" spans="1:10" x14ac:dyDescent="0.2">
      <c r="A173" s="5" t="s">
        <v>11165</v>
      </c>
      <c r="B173" s="5" t="s">
        <v>83</v>
      </c>
      <c r="C173" s="5"/>
      <c r="D173" s="5" t="s">
        <v>11164</v>
      </c>
      <c r="E173" s="5"/>
      <c r="F173" s="5"/>
      <c r="G173" s="5"/>
      <c r="H173" s="5" t="s">
        <v>3</v>
      </c>
      <c r="I173" s="5"/>
      <c r="J173" s="5" t="s">
        <v>11163</v>
      </c>
    </row>
    <row r="174" spans="1:10" ht="25.5" x14ac:dyDescent="0.2">
      <c r="A174" s="5" t="s">
        <v>11162</v>
      </c>
      <c r="B174" s="5" t="s">
        <v>83</v>
      </c>
      <c r="C174" s="5"/>
      <c r="D174" s="5" t="s">
        <v>11161</v>
      </c>
      <c r="E174" s="5"/>
      <c r="F174" s="5" t="s">
        <v>11151</v>
      </c>
      <c r="G174" s="5" t="s">
        <v>224</v>
      </c>
      <c r="H174" s="5" t="s">
        <v>3</v>
      </c>
      <c r="I174" s="5"/>
      <c r="J174" s="5" t="s">
        <v>11160</v>
      </c>
    </row>
    <row r="175" spans="1:10" ht="25.5" x14ac:dyDescent="0.2">
      <c r="A175" s="5" t="s">
        <v>11159</v>
      </c>
      <c r="B175" s="5" t="s">
        <v>83</v>
      </c>
      <c r="C175" s="5"/>
      <c r="D175" s="5" t="s">
        <v>11158</v>
      </c>
      <c r="E175" s="5"/>
      <c r="F175" s="5"/>
      <c r="G175" s="5"/>
      <c r="H175" s="5" t="s">
        <v>3</v>
      </c>
      <c r="I175" s="5"/>
      <c r="J175" s="5" t="s">
        <v>11157</v>
      </c>
    </row>
    <row r="176" spans="1:10" x14ac:dyDescent="0.2">
      <c r="A176" s="5" t="s">
        <v>11156</v>
      </c>
      <c r="B176" s="5" t="s">
        <v>83</v>
      </c>
      <c r="C176" s="5"/>
      <c r="D176" s="5" t="s">
        <v>11155</v>
      </c>
      <c r="E176" s="5" t="s">
        <v>93</v>
      </c>
      <c r="F176" s="5" t="s">
        <v>7980</v>
      </c>
      <c r="G176" s="5" t="s">
        <v>207</v>
      </c>
      <c r="H176" s="5" t="s">
        <v>3</v>
      </c>
      <c r="I176" s="5"/>
      <c r="J176" s="5" t="s">
        <v>11154</v>
      </c>
    </row>
    <row r="177" spans="1:10" ht="25.5" x14ac:dyDescent="0.2">
      <c r="A177" s="5" t="s">
        <v>11153</v>
      </c>
      <c r="B177" s="5" t="s">
        <v>83</v>
      </c>
      <c r="C177" s="5"/>
      <c r="D177" s="5" t="s">
        <v>11152</v>
      </c>
      <c r="E177" s="5"/>
      <c r="F177" s="5" t="s">
        <v>11151</v>
      </c>
      <c r="G177" s="5" t="s">
        <v>224</v>
      </c>
      <c r="H177" s="5" t="s">
        <v>3</v>
      </c>
      <c r="I177" s="5"/>
      <c r="J177" s="5" t="s">
        <v>11150</v>
      </c>
    </row>
    <row r="178" spans="1:10" x14ac:dyDescent="0.2">
      <c r="A178" s="5" t="s">
        <v>11149</v>
      </c>
      <c r="B178" s="5" t="s">
        <v>83</v>
      </c>
      <c r="C178" s="5"/>
      <c r="D178" s="5" t="s">
        <v>11148</v>
      </c>
      <c r="E178" s="5"/>
      <c r="F178" s="5"/>
      <c r="G178" s="5" t="s">
        <v>315</v>
      </c>
      <c r="H178" s="5" t="s">
        <v>3</v>
      </c>
      <c r="I178" s="5"/>
      <c r="J178" s="5" t="s">
        <v>7977</v>
      </c>
    </row>
    <row r="179" spans="1:10" x14ac:dyDescent="0.2">
      <c r="A179" s="5" t="s">
        <v>11147</v>
      </c>
      <c r="B179" s="5" t="s">
        <v>83</v>
      </c>
      <c r="C179" s="5"/>
      <c r="D179" s="5" t="s">
        <v>10793</v>
      </c>
      <c r="E179" s="5" t="s">
        <v>93</v>
      </c>
      <c r="F179" s="5" t="s">
        <v>7980</v>
      </c>
      <c r="G179" s="5" t="s">
        <v>207</v>
      </c>
      <c r="H179" s="5"/>
      <c r="I179" s="5"/>
      <c r="J179" s="5" t="s">
        <v>11146</v>
      </c>
    </row>
    <row r="180" spans="1:10" x14ac:dyDescent="0.2">
      <c r="A180" s="5" t="s">
        <v>11145</v>
      </c>
      <c r="B180" s="5" t="s">
        <v>83</v>
      </c>
      <c r="C180" s="5"/>
      <c r="D180" s="5" t="s">
        <v>11144</v>
      </c>
      <c r="E180" s="5" t="s">
        <v>93</v>
      </c>
      <c r="F180" s="5" t="s">
        <v>7980</v>
      </c>
      <c r="G180" s="5" t="s">
        <v>207</v>
      </c>
      <c r="H180" s="5" t="s">
        <v>3</v>
      </c>
      <c r="I180" s="5"/>
      <c r="J180" s="5" t="s">
        <v>11143</v>
      </c>
    </row>
    <row r="181" spans="1:10" x14ac:dyDescent="0.2">
      <c r="A181" s="5" t="s">
        <v>11142</v>
      </c>
      <c r="B181" s="5" t="s">
        <v>83</v>
      </c>
      <c r="C181" s="5"/>
      <c r="D181" s="5" t="s">
        <v>11141</v>
      </c>
      <c r="E181" s="5"/>
      <c r="F181" s="5"/>
      <c r="G181" s="5" t="s">
        <v>105</v>
      </c>
      <c r="H181" s="5" t="s">
        <v>3</v>
      </c>
      <c r="I181" s="5"/>
      <c r="J181" s="5" t="s">
        <v>11140</v>
      </c>
    </row>
    <row r="182" spans="1:10" x14ac:dyDescent="0.2">
      <c r="A182" s="5" t="s">
        <v>11139</v>
      </c>
      <c r="B182" s="5" t="s">
        <v>83</v>
      </c>
      <c r="C182" s="5"/>
      <c r="D182" s="5" t="s">
        <v>11138</v>
      </c>
      <c r="E182" s="5" t="s">
        <v>93</v>
      </c>
      <c r="F182" s="5" t="s">
        <v>7980</v>
      </c>
      <c r="G182" s="5" t="s">
        <v>207</v>
      </c>
      <c r="H182" s="5" t="s">
        <v>3</v>
      </c>
      <c r="I182" s="5"/>
      <c r="J182" s="5" t="s">
        <v>11137</v>
      </c>
    </row>
    <row r="183" spans="1:10" x14ac:dyDescent="0.2">
      <c r="A183" s="5" t="s">
        <v>11136</v>
      </c>
      <c r="B183" s="5" t="s">
        <v>83</v>
      </c>
      <c r="C183" s="5"/>
      <c r="D183" s="5" t="s">
        <v>11135</v>
      </c>
      <c r="E183" s="5"/>
      <c r="F183" s="5" t="s">
        <v>11134</v>
      </c>
      <c r="G183" s="5" t="s">
        <v>3059</v>
      </c>
      <c r="H183" s="5" t="s">
        <v>3</v>
      </c>
      <c r="I183" s="5"/>
      <c r="J183" s="5" t="s">
        <v>11133</v>
      </c>
    </row>
    <row r="184" spans="1:10" x14ac:dyDescent="0.2">
      <c r="A184" s="5" t="s">
        <v>11132</v>
      </c>
      <c r="B184" s="5" t="s">
        <v>83</v>
      </c>
      <c r="C184" s="5"/>
      <c r="D184" s="5" t="s">
        <v>11131</v>
      </c>
      <c r="E184" s="5"/>
      <c r="F184" s="5" t="s">
        <v>11130</v>
      </c>
      <c r="G184" s="5" t="s">
        <v>229</v>
      </c>
      <c r="H184" s="5" t="s">
        <v>137</v>
      </c>
      <c r="I184" s="5"/>
      <c r="J184" s="5"/>
    </row>
    <row r="185" spans="1:10" x14ac:dyDescent="0.2">
      <c r="A185" s="5" t="s">
        <v>11129</v>
      </c>
      <c r="B185" s="5" t="s">
        <v>83</v>
      </c>
      <c r="C185" s="5"/>
      <c r="D185" s="5" t="s">
        <v>11128</v>
      </c>
      <c r="E185" s="5" t="s">
        <v>5520</v>
      </c>
      <c r="F185" s="5" t="s">
        <v>10572</v>
      </c>
      <c r="G185" s="5" t="s">
        <v>207</v>
      </c>
      <c r="H185" s="5" t="s">
        <v>3</v>
      </c>
      <c r="I185" s="5"/>
      <c r="J185" s="5" t="s">
        <v>11127</v>
      </c>
    </row>
    <row r="186" spans="1:10" x14ac:dyDescent="0.2">
      <c r="A186" s="5" t="s">
        <v>11126</v>
      </c>
      <c r="B186" s="5" t="s">
        <v>83</v>
      </c>
      <c r="C186" s="5"/>
      <c r="D186" s="5" t="s">
        <v>10573</v>
      </c>
      <c r="E186" s="5"/>
      <c r="F186" s="5" t="s">
        <v>10572</v>
      </c>
      <c r="G186" s="5" t="s">
        <v>173</v>
      </c>
      <c r="H186" s="5" t="s">
        <v>3</v>
      </c>
      <c r="I186" s="5"/>
      <c r="J186" s="5" t="s">
        <v>10571</v>
      </c>
    </row>
    <row r="187" spans="1:10" x14ac:dyDescent="0.2">
      <c r="A187" s="5" t="s">
        <v>11125</v>
      </c>
      <c r="B187" s="5" t="s">
        <v>83</v>
      </c>
      <c r="C187" s="5"/>
      <c r="D187" s="5" t="s">
        <v>11124</v>
      </c>
      <c r="E187" s="5"/>
      <c r="F187" s="5" t="s">
        <v>11123</v>
      </c>
      <c r="G187" s="5" t="s">
        <v>118</v>
      </c>
      <c r="H187" s="5" t="s">
        <v>3</v>
      </c>
      <c r="I187" s="5"/>
      <c r="J187" s="5" t="s">
        <v>11122</v>
      </c>
    </row>
    <row r="188" spans="1:10" ht="25.5" x14ac:dyDescent="0.2">
      <c r="A188" s="5" t="s">
        <v>11121</v>
      </c>
      <c r="B188" s="5" t="s">
        <v>83</v>
      </c>
      <c r="C188" s="5"/>
      <c r="D188" s="5" t="s">
        <v>11120</v>
      </c>
      <c r="E188" s="5"/>
      <c r="F188" s="5" t="s">
        <v>10806</v>
      </c>
      <c r="G188" s="5" t="s">
        <v>1542</v>
      </c>
      <c r="H188" s="5" t="s">
        <v>3</v>
      </c>
      <c r="I188" s="5"/>
      <c r="J188" s="5" t="s">
        <v>10805</v>
      </c>
    </row>
    <row r="189" spans="1:10" x14ac:dyDescent="0.2">
      <c r="A189" s="5" t="s">
        <v>11119</v>
      </c>
      <c r="B189" s="5" t="s">
        <v>83</v>
      </c>
      <c r="C189" s="5"/>
      <c r="D189" s="5" t="s">
        <v>11118</v>
      </c>
      <c r="E189" s="5"/>
      <c r="F189" s="5"/>
      <c r="G189" s="5" t="s">
        <v>105</v>
      </c>
      <c r="H189" s="5" t="s">
        <v>3</v>
      </c>
      <c r="I189" s="5"/>
      <c r="J189" s="5" t="s">
        <v>11117</v>
      </c>
    </row>
    <row r="190" spans="1:10" x14ac:dyDescent="0.2">
      <c r="A190" s="5" t="s">
        <v>11116</v>
      </c>
      <c r="B190" s="5" t="s">
        <v>83</v>
      </c>
      <c r="C190" s="5"/>
      <c r="D190" s="5" t="s">
        <v>11115</v>
      </c>
      <c r="E190" s="5"/>
      <c r="F190" s="5" t="s">
        <v>11114</v>
      </c>
      <c r="G190" s="5" t="s">
        <v>229</v>
      </c>
      <c r="H190" s="5" t="s">
        <v>3</v>
      </c>
      <c r="I190" s="5"/>
      <c r="J190" s="5" t="s">
        <v>11113</v>
      </c>
    </row>
    <row r="191" spans="1:10" x14ac:dyDescent="0.2">
      <c r="A191" s="5" t="s">
        <v>11112</v>
      </c>
      <c r="B191" s="5" t="s">
        <v>83</v>
      </c>
      <c r="C191" s="5"/>
      <c r="D191" s="5" t="s">
        <v>11099</v>
      </c>
      <c r="E191" s="5" t="s">
        <v>368</v>
      </c>
      <c r="F191" s="5" t="s">
        <v>11098</v>
      </c>
      <c r="G191" s="5" t="s">
        <v>382</v>
      </c>
      <c r="H191" s="5" t="s">
        <v>3</v>
      </c>
      <c r="I191" s="5"/>
      <c r="J191" s="5" t="s">
        <v>11097</v>
      </c>
    </row>
    <row r="192" spans="1:10" x14ac:dyDescent="0.2">
      <c r="A192" s="5" t="s">
        <v>11111</v>
      </c>
      <c r="B192" s="5" t="s">
        <v>83</v>
      </c>
      <c r="C192" s="5"/>
      <c r="D192" s="5" t="s">
        <v>11107</v>
      </c>
      <c r="E192" s="5" t="s">
        <v>368</v>
      </c>
      <c r="F192" s="5" t="s">
        <v>11091</v>
      </c>
      <c r="G192" s="5" t="s">
        <v>91</v>
      </c>
      <c r="H192" s="5" t="s">
        <v>3</v>
      </c>
      <c r="I192" s="5"/>
      <c r="J192" s="5" t="s">
        <v>11090</v>
      </c>
    </row>
    <row r="193" spans="1:10" x14ac:dyDescent="0.2">
      <c r="A193" s="5" t="s">
        <v>11110</v>
      </c>
      <c r="B193" s="5" t="s">
        <v>83</v>
      </c>
      <c r="C193" s="5"/>
      <c r="D193" s="5" t="s">
        <v>11102</v>
      </c>
      <c r="E193" s="5"/>
      <c r="F193" s="5" t="s">
        <v>8844</v>
      </c>
      <c r="G193" s="5" t="s">
        <v>10733</v>
      </c>
      <c r="H193" s="5" t="s">
        <v>3</v>
      </c>
      <c r="I193" s="5"/>
      <c r="J193" s="5" t="s">
        <v>11109</v>
      </c>
    </row>
    <row r="194" spans="1:10" x14ac:dyDescent="0.2">
      <c r="A194" s="5" t="s">
        <v>11108</v>
      </c>
      <c r="B194" s="5" t="s">
        <v>83</v>
      </c>
      <c r="C194" s="5"/>
      <c r="D194" s="5" t="s">
        <v>11107</v>
      </c>
      <c r="E194" s="5" t="s">
        <v>368</v>
      </c>
      <c r="F194" s="5" t="s">
        <v>11091</v>
      </c>
      <c r="G194" s="5" t="s">
        <v>91</v>
      </c>
      <c r="H194" s="5" t="s">
        <v>3</v>
      </c>
      <c r="I194" s="5"/>
      <c r="J194" s="5" t="s">
        <v>11090</v>
      </c>
    </row>
    <row r="195" spans="1:10" x14ac:dyDescent="0.2">
      <c r="A195" s="5" t="s">
        <v>11106</v>
      </c>
      <c r="B195" s="5" t="s">
        <v>83</v>
      </c>
      <c r="C195" s="5"/>
      <c r="D195" s="5">
        <v>7</v>
      </c>
      <c r="E195" s="5"/>
      <c r="F195" s="5" t="s">
        <v>11105</v>
      </c>
      <c r="G195" s="5" t="s">
        <v>114</v>
      </c>
      <c r="H195" s="5" t="s">
        <v>3</v>
      </c>
      <c r="I195" s="5"/>
      <c r="J195" s="5" t="s">
        <v>11104</v>
      </c>
    </row>
    <row r="196" spans="1:10" x14ac:dyDescent="0.2">
      <c r="A196" s="5" t="s">
        <v>11103</v>
      </c>
      <c r="B196" s="5" t="s">
        <v>83</v>
      </c>
      <c r="C196" s="5"/>
      <c r="D196" s="5" t="s">
        <v>11102</v>
      </c>
      <c r="E196" s="5"/>
      <c r="F196" s="5" t="s">
        <v>11098</v>
      </c>
      <c r="G196" s="5" t="s">
        <v>7768</v>
      </c>
      <c r="H196" s="5" t="s">
        <v>3</v>
      </c>
      <c r="I196" s="5"/>
      <c r="J196" s="5" t="s">
        <v>11101</v>
      </c>
    </row>
    <row r="197" spans="1:10" x14ac:dyDescent="0.2">
      <c r="A197" s="5" t="s">
        <v>11100</v>
      </c>
      <c r="B197" s="5" t="s">
        <v>83</v>
      </c>
      <c r="C197" s="5"/>
      <c r="D197" s="5" t="s">
        <v>11099</v>
      </c>
      <c r="E197" s="5" t="s">
        <v>368</v>
      </c>
      <c r="F197" s="5" t="s">
        <v>11098</v>
      </c>
      <c r="G197" s="5" t="s">
        <v>382</v>
      </c>
      <c r="H197" s="5" t="s">
        <v>3</v>
      </c>
      <c r="I197" s="5"/>
      <c r="J197" s="5" t="s">
        <v>11097</v>
      </c>
    </row>
    <row r="198" spans="1:10" ht="25.5" x14ac:dyDescent="0.2">
      <c r="A198" s="5" t="s">
        <v>11096</v>
      </c>
      <c r="B198" s="5" t="s">
        <v>83</v>
      </c>
      <c r="C198" s="5"/>
      <c r="D198" s="5" t="s">
        <v>11095</v>
      </c>
      <c r="E198" s="5" t="s">
        <v>368</v>
      </c>
      <c r="F198" s="5" t="s">
        <v>11091</v>
      </c>
      <c r="G198" s="5" t="s">
        <v>91</v>
      </c>
      <c r="H198" s="5" t="s">
        <v>3</v>
      </c>
      <c r="I198" s="5"/>
      <c r="J198" s="5" t="s">
        <v>11094</v>
      </c>
    </row>
    <row r="199" spans="1:10" x14ac:dyDescent="0.2">
      <c r="A199" s="5" t="s">
        <v>11093</v>
      </c>
      <c r="B199" s="5" t="s">
        <v>83</v>
      </c>
      <c r="C199" s="5"/>
      <c r="D199" s="5" t="s">
        <v>11092</v>
      </c>
      <c r="E199" s="5" t="s">
        <v>368</v>
      </c>
      <c r="F199" s="5" t="s">
        <v>11091</v>
      </c>
      <c r="G199" s="5" t="s">
        <v>91</v>
      </c>
      <c r="H199" s="5" t="s">
        <v>3</v>
      </c>
      <c r="I199" s="5"/>
      <c r="J199" s="5" t="s">
        <v>11090</v>
      </c>
    </row>
    <row r="200" spans="1:10" x14ac:dyDescent="0.2">
      <c r="A200" s="5" t="s">
        <v>11089</v>
      </c>
      <c r="B200" s="5" t="s">
        <v>83</v>
      </c>
      <c r="C200" s="5"/>
      <c r="D200" s="5" t="s">
        <v>10569</v>
      </c>
      <c r="E200" s="5" t="s">
        <v>138</v>
      </c>
      <c r="F200" s="5" t="s">
        <v>11088</v>
      </c>
      <c r="G200" s="5" t="s">
        <v>173</v>
      </c>
      <c r="H200" s="5" t="s">
        <v>3</v>
      </c>
      <c r="I200" s="5"/>
      <c r="J200" s="5" t="s">
        <v>11087</v>
      </c>
    </row>
    <row r="201" spans="1:10" ht="25.5" x14ac:dyDescent="0.2">
      <c r="A201" s="5" t="s">
        <v>11086</v>
      </c>
      <c r="B201" s="5" t="s">
        <v>83</v>
      </c>
      <c r="C201" s="5"/>
      <c r="D201" s="5" t="s">
        <v>11071</v>
      </c>
      <c r="E201" s="5"/>
      <c r="F201" s="5"/>
      <c r="G201" s="5" t="s">
        <v>80</v>
      </c>
      <c r="H201" s="5" t="s">
        <v>137</v>
      </c>
      <c r="I201" s="5" t="s">
        <v>11070</v>
      </c>
      <c r="J201" s="5"/>
    </row>
    <row r="202" spans="1:10" ht="25.5" x14ac:dyDescent="0.2">
      <c r="A202" s="5" t="s">
        <v>11085</v>
      </c>
      <c r="B202" s="5" t="s">
        <v>83</v>
      </c>
      <c r="C202" s="5"/>
      <c r="D202" s="5" t="s">
        <v>11071</v>
      </c>
      <c r="E202" s="5"/>
      <c r="F202" s="5"/>
      <c r="G202" s="5" t="s">
        <v>105</v>
      </c>
      <c r="H202" s="5" t="s">
        <v>137</v>
      </c>
      <c r="I202" s="5" t="s">
        <v>11070</v>
      </c>
      <c r="J202" s="5"/>
    </row>
    <row r="203" spans="1:10" ht="25.5" x14ac:dyDescent="0.2">
      <c r="A203" s="5" t="s">
        <v>11084</v>
      </c>
      <c r="B203" s="5" t="s">
        <v>83</v>
      </c>
      <c r="C203" s="5"/>
      <c r="D203" s="5" t="s">
        <v>11071</v>
      </c>
      <c r="E203" s="5"/>
      <c r="F203" s="5" t="s">
        <v>11083</v>
      </c>
      <c r="G203" s="5" t="s">
        <v>382</v>
      </c>
      <c r="H203" s="5" t="s">
        <v>137</v>
      </c>
      <c r="I203" s="5" t="s">
        <v>11070</v>
      </c>
      <c r="J203" s="5" t="s">
        <v>11082</v>
      </c>
    </row>
    <row r="204" spans="1:10" ht="25.5" x14ac:dyDescent="0.2">
      <c r="A204" s="5" t="s">
        <v>11081</v>
      </c>
      <c r="B204" s="5" t="s">
        <v>83</v>
      </c>
      <c r="C204" s="5"/>
      <c r="D204" s="5" t="s">
        <v>11071</v>
      </c>
      <c r="E204" s="5"/>
      <c r="F204" s="5"/>
      <c r="G204" s="5" t="s">
        <v>118</v>
      </c>
      <c r="H204" s="5" t="s">
        <v>137</v>
      </c>
      <c r="I204" s="5" t="s">
        <v>11070</v>
      </c>
      <c r="J204" s="5"/>
    </row>
    <row r="205" spans="1:10" ht="25.5" x14ac:dyDescent="0.2">
      <c r="A205" s="5" t="s">
        <v>11080</v>
      </c>
      <c r="B205" s="5" t="s">
        <v>83</v>
      </c>
      <c r="C205" s="5"/>
      <c r="D205" s="5" t="s">
        <v>11071</v>
      </c>
      <c r="E205" s="5" t="s">
        <v>213</v>
      </c>
      <c r="F205" s="5"/>
      <c r="G205" s="5" t="s">
        <v>91</v>
      </c>
      <c r="H205" s="5" t="s">
        <v>137</v>
      </c>
      <c r="I205" s="5" t="s">
        <v>11070</v>
      </c>
      <c r="J205" s="5"/>
    </row>
    <row r="206" spans="1:10" ht="25.5" x14ac:dyDescent="0.2">
      <c r="A206" s="5" t="s">
        <v>11079</v>
      </c>
      <c r="B206" s="5" t="s">
        <v>83</v>
      </c>
      <c r="C206" s="5"/>
      <c r="D206" s="5" t="s">
        <v>11071</v>
      </c>
      <c r="E206" s="5" t="s">
        <v>665</v>
      </c>
      <c r="F206" s="5"/>
      <c r="G206" s="5" t="s">
        <v>148</v>
      </c>
      <c r="H206" s="5" t="s">
        <v>137</v>
      </c>
      <c r="I206" s="5" t="s">
        <v>11070</v>
      </c>
      <c r="J206" s="5"/>
    </row>
    <row r="207" spans="1:10" ht="25.5" x14ac:dyDescent="0.2">
      <c r="A207" s="5" t="s">
        <v>11078</v>
      </c>
      <c r="B207" s="5" t="s">
        <v>83</v>
      </c>
      <c r="C207" s="5"/>
      <c r="D207" s="5" t="s">
        <v>11071</v>
      </c>
      <c r="E207" s="5"/>
      <c r="F207" s="5"/>
      <c r="G207" s="5" t="s">
        <v>382</v>
      </c>
      <c r="H207" s="5" t="s">
        <v>137</v>
      </c>
      <c r="I207" s="5" t="s">
        <v>11070</v>
      </c>
      <c r="J207" s="5"/>
    </row>
    <row r="208" spans="1:10" ht="25.5" x14ac:dyDescent="0.2">
      <c r="A208" s="5" t="s">
        <v>11077</v>
      </c>
      <c r="B208" s="5" t="s">
        <v>83</v>
      </c>
      <c r="C208" s="5"/>
      <c r="D208" s="5" t="s">
        <v>11071</v>
      </c>
      <c r="E208" s="5"/>
      <c r="F208" s="5"/>
      <c r="G208" s="5" t="s">
        <v>118</v>
      </c>
      <c r="H208" s="5" t="s">
        <v>137</v>
      </c>
      <c r="I208" s="5" t="s">
        <v>11070</v>
      </c>
      <c r="J208" s="5"/>
    </row>
    <row r="209" spans="1:10" ht="25.5" x14ac:dyDescent="0.2">
      <c r="A209" s="5" t="s">
        <v>11076</v>
      </c>
      <c r="B209" s="5" t="s">
        <v>83</v>
      </c>
      <c r="C209" s="5"/>
      <c r="D209" s="5" t="s">
        <v>11071</v>
      </c>
      <c r="E209" s="5"/>
      <c r="F209" s="5"/>
      <c r="G209" s="5" t="s">
        <v>118</v>
      </c>
      <c r="H209" s="5" t="s">
        <v>137</v>
      </c>
      <c r="I209" s="5" t="s">
        <v>11070</v>
      </c>
      <c r="J209" s="5"/>
    </row>
    <row r="210" spans="1:10" ht="25.5" x14ac:dyDescent="0.2">
      <c r="A210" s="5" t="s">
        <v>11075</v>
      </c>
      <c r="B210" s="5" t="s">
        <v>83</v>
      </c>
      <c r="C210" s="5"/>
      <c r="D210" s="5" t="s">
        <v>11074</v>
      </c>
      <c r="E210" s="5" t="s">
        <v>138</v>
      </c>
      <c r="F210" s="5" t="s">
        <v>11073</v>
      </c>
      <c r="G210" s="5" t="s">
        <v>91</v>
      </c>
      <c r="H210" s="5" t="s">
        <v>137</v>
      </c>
      <c r="I210" s="5" t="s">
        <v>11002</v>
      </c>
      <c r="J210" s="5" t="s">
        <v>11072</v>
      </c>
    </row>
    <row r="211" spans="1:10" ht="25.5" x14ac:dyDescent="0.2">
      <c r="A211" s="5" t="s">
        <v>11070</v>
      </c>
      <c r="B211" s="5" t="s">
        <v>83</v>
      </c>
      <c r="C211" s="5"/>
      <c r="D211" s="5" t="s">
        <v>11071</v>
      </c>
      <c r="E211" s="5"/>
      <c r="F211" s="5"/>
      <c r="G211" s="5" t="s">
        <v>229</v>
      </c>
      <c r="H211" s="5" t="s">
        <v>137</v>
      </c>
      <c r="I211" s="5" t="s">
        <v>11070</v>
      </c>
      <c r="J211" s="5"/>
    </row>
    <row r="212" spans="1:10" x14ac:dyDescent="0.2">
      <c r="A212" s="5" t="s">
        <v>11069</v>
      </c>
      <c r="B212" s="5" t="s">
        <v>83</v>
      </c>
      <c r="C212" s="5"/>
      <c r="D212" s="5" t="s">
        <v>11068</v>
      </c>
      <c r="E212" s="5"/>
      <c r="F212" s="5" t="s">
        <v>11067</v>
      </c>
      <c r="G212" s="5" t="s">
        <v>315</v>
      </c>
      <c r="H212" s="5" t="s">
        <v>3</v>
      </c>
      <c r="I212" s="5"/>
      <c r="J212" s="5" t="s">
        <v>11066</v>
      </c>
    </row>
    <row r="213" spans="1:10" x14ac:dyDescent="0.2">
      <c r="A213" s="5" t="s">
        <v>11065</v>
      </c>
      <c r="B213" s="5" t="s">
        <v>83</v>
      </c>
      <c r="C213" s="5"/>
      <c r="D213" s="5" t="s">
        <v>11064</v>
      </c>
      <c r="E213" s="5"/>
      <c r="F213" s="5" t="s">
        <v>10333</v>
      </c>
      <c r="G213" s="5" t="s">
        <v>229</v>
      </c>
      <c r="H213" s="5" t="s">
        <v>3</v>
      </c>
      <c r="I213" s="5"/>
      <c r="J213" s="5" t="s">
        <v>11063</v>
      </c>
    </row>
    <row r="214" spans="1:10" x14ac:dyDescent="0.2">
      <c r="A214" s="5" t="s">
        <v>11062</v>
      </c>
      <c r="B214" s="5" t="s">
        <v>83</v>
      </c>
      <c r="C214" s="5"/>
      <c r="D214" s="5">
        <v>1</v>
      </c>
      <c r="E214" s="5"/>
      <c r="F214" s="5" t="s">
        <v>11061</v>
      </c>
      <c r="G214" s="5" t="s">
        <v>199</v>
      </c>
      <c r="H214" s="5" t="s">
        <v>3</v>
      </c>
      <c r="I214" s="5"/>
      <c r="J214" s="5"/>
    </row>
    <row r="215" spans="1:10" x14ac:dyDescent="0.2">
      <c r="A215" s="5" t="s">
        <v>11060</v>
      </c>
      <c r="B215" s="5" t="s">
        <v>83</v>
      </c>
      <c r="C215" s="5"/>
      <c r="D215" s="5" t="s">
        <v>11059</v>
      </c>
      <c r="E215" s="5"/>
      <c r="F215" s="5" t="s">
        <v>4389</v>
      </c>
      <c r="G215" s="5" t="s">
        <v>105</v>
      </c>
      <c r="H215" s="5" t="s">
        <v>3</v>
      </c>
      <c r="I215" s="5"/>
      <c r="J215" s="5" t="s">
        <v>10575</v>
      </c>
    </row>
    <row r="216" spans="1:10" ht="25.5" x14ac:dyDescent="0.2">
      <c r="A216" s="5" t="s">
        <v>11058</v>
      </c>
      <c r="B216" s="5" t="s">
        <v>83</v>
      </c>
      <c r="C216" s="5"/>
      <c r="D216" s="5" t="s">
        <v>11057</v>
      </c>
      <c r="E216" s="5"/>
      <c r="F216" s="5" t="s">
        <v>4389</v>
      </c>
      <c r="G216" s="5" t="s">
        <v>170</v>
      </c>
      <c r="H216" s="5" t="s">
        <v>3</v>
      </c>
      <c r="I216" s="5"/>
      <c r="J216" s="5"/>
    </row>
    <row r="217" spans="1:10" x14ac:dyDescent="0.2">
      <c r="A217" s="5" t="s">
        <v>11056</v>
      </c>
      <c r="B217" s="5" t="s">
        <v>83</v>
      </c>
      <c r="C217" s="5"/>
      <c r="D217" s="5" t="s">
        <v>6387</v>
      </c>
      <c r="E217" s="5"/>
      <c r="F217" s="5" t="s">
        <v>11055</v>
      </c>
      <c r="G217" s="5" t="s">
        <v>6385</v>
      </c>
      <c r="H217" s="5" t="s">
        <v>3</v>
      </c>
      <c r="I217" s="5"/>
      <c r="J217" s="5" t="s">
        <v>11054</v>
      </c>
    </row>
    <row r="218" spans="1:10" ht="25.5" x14ac:dyDescent="0.2">
      <c r="A218" s="5" t="s">
        <v>11053</v>
      </c>
      <c r="B218" s="5" t="s">
        <v>83</v>
      </c>
      <c r="C218" s="5"/>
      <c r="D218" s="5" t="s">
        <v>11052</v>
      </c>
      <c r="E218" s="5" t="s">
        <v>358</v>
      </c>
      <c r="F218" s="5"/>
      <c r="G218" s="5"/>
      <c r="H218" s="5" t="s">
        <v>3</v>
      </c>
      <c r="I218" s="5"/>
      <c r="J218" s="5" t="s">
        <v>11051</v>
      </c>
    </row>
    <row r="219" spans="1:10" x14ac:dyDescent="0.2">
      <c r="A219" s="5" t="s">
        <v>11050</v>
      </c>
      <c r="B219" s="5" t="s">
        <v>83</v>
      </c>
      <c r="C219" s="5"/>
      <c r="D219" s="5" t="s">
        <v>11049</v>
      </c>
      <c r="E219" s="5"/>
      <c r="F219" s="5"/>
      <c r="G219" s="5"/>
      <c r="H219" s="5" t="s">
        <v>3</v>
      </c>
      <c r="I219" s="5"/>
      <c r="J219" s="5" t="s">
        <v>11048</v>
      </c>
    </row>
    <row r="220" spans="1:10" x14ac:dyDescent="0.2">
      <c r="A220" s="5" t="s">
        <v>11047</v>
      </c>
      <c r="B220" s="5" t="s">
        <v>83</v>
      </c>
      <c r="C220" s="5"/>
      <c r="D220" s="5" t="s">
        <v>11046</v>
      </c>
      <c r="E220" s="5"/>
      <c r="F220" s="5" t="s">
        <v>10568</v>
      </c>
      <c r="G220" s="5" t="s">
        <v>80</v>
      </c>
      <c r="H220" s="5" t="s">
        <v>3</v>
      </c>
      <c r="I220" s="5"/>
      <c r="J220" s="5" t="s">
        <v>11045</v>
      </c>
    </row>
    <row r="221" spans="1:10" ht="25.5" x14ac:dyDescent="0.2">
      <c r="A221" s="5" t="s">
        <v>11044</v>
      </c>
      <c r="B221" s="5" t="s">
        <v>83</v>
      </c>
      <c r="C221" s="5"/>
      <c r="D221" s="5" t="s">
        <v>11043</v>
      </c>
      <c r="E221" s="5"/>
      <c r="F221" s="5" t="s">
        <v>11040</v>
      </c>
      <c r="G221" s="5" t="s">
        <v>86</v>
      </c>
      <c r="H221" s="5" t="s">
        <v>3</v>
      </c>
      <c r="I221" s="5"/>
      <c r="J221" s="5"/>
    </row>
    <row r="222" spans="1:10" ht="25.5" x14ac:dyDescent="0.2">
      <c r="A222" s="5" t="s">
        <v>11042</v>
      </c>
      <c r="B222" s="5" t="s">
        <v>83</v>
      </c>
      <c r="C222" s="5"/>
      <c r="D222" s="5" t="s">
        <v>11041</v>
      </c>
      <c r="E222" s="5"/>
      <c r="F222" s="5" t="s">
        <v>11040</v>
      </c>
      <c r="G222" s="5" t="s">
        <v>86</v>
      </c>
      <c r="H222" s="5" t="s">
        <v>3</v>
      </c>
      <c r="I222" s="5"/>
      <c r="J222" s="5"/>
    </row>
    <row r="223" spans="1:10" x14ac:dyDescent="0.2">
      <c r="A223" s="5" t="s">
        <v>11039</v>
      </c>
      <c r="B223" s="5" t="s">
        <v>83</v>
      </c>
      <c r="C223" s="5"/>
      <c r="D223" s="5" t="s">
        <v>11038</v>
      </c>
      <c r="E223" s="5" t="s">
        <v>368</v>
      </c>
      <c r="F223" s="5" t="s">
        <v>11037</v>
      </c>
      <c r="G223" s="5" t="s">
        <v>91</v>
      </c>
      <c r="H223" s="5" t="s">
        <v>3</v>
      </c>
      <c r="I223" s="5"/>
      <c r="J223" s="5" t="s">
        <v>11036</v>
      </c>
    </row>
    <row r="224" spans="1:10" ht="25.5" x14ac:dyDescent="0.2">
      <c r="A224" s="5" t="s">
        <v>11035</v>
      </c>
      <c r="B224" s="5" t="s">
        <v>83</v>
      </c>
      <c r="C224" s="5"/>
      <c r="D224" s="5" t="s">
        <v>10954</v>
      </c>
      <c r="E224" s="5" t="s">
        <v>150</v>
      </c>
      <c r="F224" s="5" t="s">
        <v>10998</v>
      </c>
      <c r="G224" s="5" t="s">
        <v>148</v>
      </c>
      <c r="H224" s="5" t="s">
        <v>3</v>
      </c>
      <c r="I224" s="5"/>
      <c r="J224" s="5" t="s">
        <v>11032</v>
      </c>
    </row>
    <row r="225" spans="1:10" x14ac:dyDescent="0.2">
      <c r="A225" s="5" t="s">
        <v>11034</v>
      </c>
      <c r="B225" s="5" t="s">
        <v>83</v>
      </c>
      <c r="C225" s="5"/>
      <c r="D225" s="5" t="s">
        <v>11033</v>
      </c>
      <c r="E225" s="5" t="s">
        <v>213</v>
      </c>
      <c r="F225" s="5"/>
      <c r="G225" s="5" t="s">
        <v>91</v>
      </c>
      <c r="H225" s="5" t="s">
        <v>3</v>
      </c>
      <c r="I225" s="5"/>
      <c r="J225" s="5" t="s">
        <v>11032</v>
      </c>
    </row>
    <row r="226" spans="1:10" ht="25.5" x14ac:dyDescent="0.2">
      <c r="A226" s="5" t="s">
        <v>11031</v>
      </c>
      <c r="B226" s="5" t="s">
        <v>83</v>
      </c>
      <c r="C226" s="5"/>
      <c r="D226" s="5" t="s">
        <v>11030</v>
      </c>
      <c r="E226" s="5" t="s">
        <v>150</v>
      </c>
      <c r="F226" s="5" t="s">
        <v>10998</v>
      </c>
      <c r="G226" s="5" t="s">
        <v>148</v>
      </c>
      <c r="H226" s="5" t="s">
        <v>3</v>
      </c>
      <c r="I226" s="5"/>
      <c r="J226" s="5" t="s">
        <v>11029</v>
      </c>
    </row>
    <row r="227" spans="1:10" x14ac:dyDescent="0.2">
      <c r="A227" s="5" t="s">
        <v>11028</v>
      </c>
      <c r="B227" s="5" t="s">
        <v>83</v>
      </c>
      <c r="C227" s="5"/>
      <c r="D227" s="5" t="s">
        <v>11027</v>
      </c>
      <c r="E227" s="5"/>
      <c r="F227" s="5" t="s">
        <v>10998</v>
      </c>
      <c r="G227" s="5" t="s">
        <v>199</v>
      </c>
      <c r="H227" s="5" t="s">
        <v>3</v>
      </c>
      <c r="I227" s="5"/>
      <c r="J227" s="5" t="s">
        <v>11026</v>
      </c>
    </row>
    <row r="228" spans="1:10" ht="25.5" x14ac:dyDescent="0.2">
      <c r="A228" s="5" t="s">
        <v>11025</v>
      </c>
      <c r="B228" s="5" t="s">
        <v>83</v>
      </c>
      <c r="C228" s="5"/>
      <c r="D228" s="5" t="s">
        <v>11024</v>
      </c>
      <c r="E228" s="5"/>
      <c r="F228" s="5" t="s">
        <v>11023</v>
      </c>
      <c r="G228" s="5" t="s">
        <v>224</v>
      </c>
      <c r="H228" s="5" t="s">
        <v>3</v>
      </c>
      <c r="I228" s="5"/>
      <c r="J228" s="5" t="s">
        <v>11022</v>
      </c>
    </row>
    <row r="229" spans="1:10" ht="25.5" x14ac:dyDescent="0.2">
      <c r="A229" s="5" t="s">
        <v>11021</v>
      </c>
      <c r="B229" s="5" t="s">
        <v>83</v>
      </c>
      <c r="C229" s="5"/>
      <c r="D229" s="5" t="s">
        <v>11020</v>
      </c>
      <c r="E229" s="5"/>
      <c r="F229" s="5" t="s">
        <v>11019</v>
      </c>
      <c r="G229" s="5" t="s">
        <v>3059</v>
      </c>
      <c r="H229" s="5" t="s">
        <v>3</v>
      </c>
      <c r="I229" s="5"/>
      <c r="J229" s="5" t="s">
        <v>11018</v>
      </c>
    </row>
    <row r="230" spans="1:10" x14ac:dyDescent="0.2">
      <c r="A230" s="5" t="s">
        <v>11017</v>
      </c>
      <c r="B230" s="5" t="s">
        <v>83</v>
      </c>
      <c r="C230" s="5"/>
      <c r="D230" s="5" t="s">
        <v>11016</v>
      </c>
      <c r="E230" s="5"/>
      <c r="F230" s="5" t="s">
        <v>10998</v>
      </c>
      <c r="G230" s="5" t="s">
        <v>3059</v>
      </c>
      <c r="H230" s="5" t="s">
        <v>3</v>
      </c>
      <c r="I230" s="5"/>
      <c r="J230" s="5" t="s">
        <v>11015</v>
      </c>
    </row>
    <row r="231" spans="1:10" x14ac:dyDescent="0.2">
      <c r="A231" s="5" t="s">
        <v>11014</v>
      </c>
      <c r="B231" s="5" t="s">
        <v>83</v>
      </c>
      <c r="C231" s="5"/>
      <c r="D231" s="5" t="s">
        <v>11013</v>
      </c>
      <c r="E231" s="5"/>
      <c r="F231" s="5"/>
      <c r="G231" s="5"/>
      <c r="H231" s="5" t="s">
        <v>3</v>
      </c>
      <c r="I231" s="5"/>
      <c r="J231" s="5" t="s">
        <v>11012</v>
      </c>
    </row>
    <row r="232" spans="1:10" x14ac:dyDescent="0.2">
      <c r="A232" s="5" t="s">
        <v>11011</v>
      </c>
      <c r="B232" s="5" t="s">
        <v>83</v>
      </c>
      <c r="C232" s="5"/>
      <c r="D232" s="5" t="s">
        <v>11010</v>
      </c>
      <c r="E232" s="5"/>
      <c r="F232" s="5" t="s">
        <v>10998</v>
      </c>
      <c r="G232" s="5" t="s">
        <v>3059</v>
      </c>
      <c r="H232" s="5" t="s">
        <v>3</v>
      </c>
      <c r="I232" s="5"/>
      <c r="J232" s="5" t="s">
        <v>11009</v>
      </c>
    </row>
    <row r="233" spans="1:10" ht="38.25" x14ac:dyDescent="0.2">
      <c r="A233" s="5" t="s">
        <v>11008</v>
      </c>
      <c r="B233" s="5" t="s">
        <v>83</v>
      </c>
      <c r="C233" s="5"/>
      <c r="D233" s="5" t="s">
        <v>11007</v>
      </c>
      <c r="E233" s="5"/>
      <c r="F233" s="5" t="s">
        <v>11006</v>
      </c>
      <c r="G233" s="5" t="s">
        <v>224</v>
      </c>
      <c r="H233" s="5" t="s">
        <v>3</v>
      </c>
      <c r="I233" s="5"/>
      <c r="J233" s="5" t="s">
        <v>11005</v>
      </c>
    </row>
    <row r="234" spans="1:10" ht="25.5" x14ac:dyDescent="0.2">
      <c r="A234" s="5" t="s">
        <v>11002</v>
      </c>
      <c r="B234" s="5" t="s">
        <v>83</v>
      </c>
      <c r="C234" s="5"/>
      <c r="D234" s="5" t="s">
        <v>11004</v>
      </c>
      <c r="E234" s="5"/>
      <c r="F234" s="5" t="s">
        <v>11003</v>
      </c>
      <c r="G234" s="5" t="s">
        <v>276</v>
      </c>
      <c r="H234" s="5" t="s">
        <v>137</v>
      </c>
      <c r="I234" s="5" t="s">
        <v>11002</v>
      </c>
      <c r="J234" s="5" t="s">
        <v>11001</v>
      </c>
    </row>
    <row r="235" spans="1:10" x14ac:dyDescent="0.2">
      <c r="A235" s="5" t="s">
        <v>11000</v>
      </c>
      <c r="B235" s="5" t="s">
        <v>83</v>
      </c>
      <c r="C235" s="5"/>
      <c r="D235" s="5" t="s">
        <v>10999</v>
      </c>
      <c r="E235" s="5"/>
      <c r="F235" s="5" t="s">
        <v>10998</v>
      </c>
      <c r="G235" s="5" t="s">
        <v>173</v>
      </c>
      <c r="H235" s="5" t="s">
        <v>3</v>
      </c>
      <c r="I235" s="5"/>
      <c r="J235" s="5" t="s">
        <v>10997</v>
      </c>
    </row>
    <row r="236" spans="1:10" x14ac:dyDescent="0.2">
      <c r="A236" s="5" t="s">
        <v>10996</v>
      </c>
      <c r="B236" s="5" t="s">
        <v>83</v>
      </c>
      <c r="C236" s="5"/>
      <c r="D236" s="5" t="s">
        <v>10995</v>
      </c>
      <c r="E236" s="5"/>
      <c r="F236" s="5"/>
      <c r="G236" s="5" t="s">
        <v>114</v>
      </c>
      <c r="H236" s="5" t="s">
        <v>3</v>
      </c>
      <c r="I236" s="5"/>
      <c r="J236" s="5"/>
    </row>
    <row r="237" spans="1:10" x14ac:dyDescent="0.2">
      <c r="A237" s="5" t="s">
        <v>10994</v>
      </c>
      <c r="B237" s="5" t="s">
        <v>83</v>
      </c>
      <c r="C237" s="5"/>
      <c r="D237" s="5" t="s">
        <v>10993</v>
      </c>
      <c r="E237" s="5" t="s">
        <v>93</v>
      </c>
      <c r="F237" s="5" t="s">
        <v>9680</v>
      </c>
      <c r="G237" s="5" t="s">
        <v>382</v>
      </c>
      <c r="H237" s="5" t="s">
        <v>3</v>
      </c>
      <c r="I237" s="5"/>
      <c r="J237" s="5" t="s">
        <v>10992</v>
      </c>
    </row>
    <row r="238" spans="1:10" x14ac:dyDescent="0.2">
      <c r="A238" s="5" t="s">
        <v>10991</v>
      </c>
      <c r="B238" s="5" t="s">
        <v>83</v>
      </c>
      <c r="C238" s="5"/>
      <c r="D238" s="5" t="s">
        <v>10990</v>
      </c>
      <c r="E238" s="5" t="s">
        <v>93</v>
      </c>
      <c r="F238" s="5" t="s">
        <v>9680</v>
      </c>
      <c r="G238" s="5" t="s">
        <v>207</v>
      </c>
      <c r="H238" s="5" t="s">
        <v>3</v>
      </c>
      <c r="I238" s="5"/>
      <c r="J238" s="5" t="s">
        <v>10989</v>
      </c>
    </row>
    <row r="239" spans="1:10" ht="25.5" x14ac:dyDescent="0.2">
      <c r="A239" s="5" t="s">
        <v>10988</v>
      </c>
      <c r="B239" s="5" t="s">
        <v>83</v>
      </c>
      <c r="C239" s="5"/>
      <c r="D239" s="5" t="s">
        <v>10987</v>
      </c>
      <c r="E239" s="5" t="s">
        <v>368</v>
      </c>
      <c r="F239" s="5" t="s">
        <v>8135</v>
      </c>
      <c r="G239" s="5" t="s">
        <v>91</v>
      </c>
      <c r="H239" s="5" t="s">
        <v>3</v>
      </c>
      <c r="I239" s="5"/>
      <c r="J239" s="5" t="s">
        <v>10986</v>
      </c>
    </row>
    <row r="240" spans="1:10" x14ac:dyDescent="0.2">
      <c r="A240" s="5" t="s">
        <v>10985</v>
      </c>
      <c r="B240" s="5" t="s">
        <v>83</v>
      </c>
      <c r="C240" s="5"/>
      <c r="D240" s="5" t="s">
        <v>10984</v>
      </c>
      <c r="E240" s="5" t="s">
        <v>150</v>
      </c>
      <c r="F240" s="5" t="s">
        <v>10983</v>
      </c>
      <c r="G240" s="5" t="s">
        <v>148</v>
      </c>
      <c r="H240" s="5" t="s">
        <v>137</v>
      </c>
      <c r="I240" s="5" t="s">
        <v>10762</v>
      </c>
      <c r="J240" s="5" t="s">
        <v>10982</v>
      </c>
    </row>
    <row r="241" spans="1:10" x14ac:dyDescent="0.2">
      <c r="A241" s="5" t="s">
        <v>10981</v>
      </c>
      <c r="B241" s="5" t="s">
        <v>83</v>
      </c>
      <c r="C241" s="5"/>
      <c r="D241" s="5" t="s">
        <v>10980</v>
      </c>
      <c r="E241" s="5"/>
      <c r="F241" s="5" t="s">
        <v>10979</v>
      </c>
      <c r="G241" s="5" t="s">
        <v>148</v>
      </c>
      <c r="H241" s="5" t="s">
        <v>3</v>
      </c>
      <c r="I241" s="5"/>
      <c r="J241" s="5" t="s">
        <v>10978</v>
      </c>
    </row>
    <row r="242" spans="1:10" ht="25.5" x14ac:dyDescent="0.2">
      <c r="A242" s="5" t="s">
        <v>10977</v>
      </c>
      <c r="B242" s="5" t="s">
        <v>83</v>
      </c>
      <c r="C242" s="5"/>
      <c r="D242" s="5" t="s">
        <v>8090</v>
      </c>
      <c r="E242" s="5"/>
      <c r="F242" s="5" t="s">
        <v>10976</v>
      </c>
      <c r="G242" s="5" t="s">
        <v>105</v>
      </c>
      <c r="H242" s="5" t="s">
        <v>3</v>
      </c>
      <c r="I242" s="5"/>
      <c r="J242" s="5" t="s">
        <v>10975</v>
      </c>
    </row>
    <row r="243" spans="1:10" x14ac:dyDescent="0.2">
      <c r="A243" s="5" t="s">
        <v>10973</v>
      </c>
      <c r="B243" s="5" t="s">
        <v>83</v>
      </c>
      <c r="C243" s="5"/>
      <c r="D243" s="5" t="s">
        <v>10974</v>
      </c>
      <c r="E243" s="5" t="s">
        <v>93</v>
      </c>
      <c r="F243" s="5" t="s">
        <v>10973</v>
      </c>
      <c r="G243" s="5" t="s">
        <v>148</v>
      </c>
      <c r="H243" s="5" t="s">
        <v>3</v>
      </c>
      <c r="I243" s="5"/>
      <c r="J243" s="5"/>
    </row>
    <row r="244" spans="1:10" ht="25.5" x14ac:dyDescent="0.2">
      <c r="A244" s="5" t="s">
        <v>10972</v>
      </c>
      <c r="B244" s="5" t="s">
        <v>83</v>
      </c>
      <c r="C244" s="5"/>
      <c r="D244" s="5" t="s">
        <v>10971</v>
      </c>
      <c r="E244" s="5"/>
      <c r="F244" s="5" t="s">
        <v>10970</v>
      </c>
      <c r="G244" s="5" t="s">
        <v>8068</v>
      </c>
      <c r="H244" s="5" t="s">
        <v>3</v>
      </c>
      <c r="I244" s="5"/>
      <c r="J244" s="5" t="s">
        <v>10969</v>
      </c>
    </row>
    <row r="245" spans="1:10" ht="25.5" x14ac:dyDescent="0.2">
      <c r="A245" s="5" t="s">
        <v>10968</v>
      </c>
      <c r="B245" s="5" t="s">
        <v>83</v>
      </c>
      <c r="C245" s="5"/>
      <c r="D245" s="5" t="s">
        <v>10967</v>
      </c>
      <c r="E245" s="5"/>
      <c r="F245" s="5" t="s">
        <v>10957</v>
      </c>
      <c r="G245" s="5" t="s">
        <v>6584</v>
      </c>
      <c r="H245" s="5" t="s">
        <v>3</v>
      </c>
      <c r="I245" s="5"/>
      <c r="J245" s="5" t="s">
        <v>10966</v>
      </c>
    </row>
    <row r="246" spans="1:10" ht="25.5" x14ac:dyDescent="0.2">
      <c r="A246" s="5" t="s">
        <v>10965</v>
      </c>
      <c r="B246" s="5" t="s">
        <v>83</v>
      </c>
      <c r="C246" s="5"/>
      <c r="D246" s="5" t="s">
        <v>10964</v>
      </c>
      <c r="E246" s="5"/>
      <c r="F246" s="5" t="s">
        <v>10957</v>
      </c>
      <c r="G246" s="5" t="s">
        <v>6584</v>
      </c>
      <c r="H246" s="5" t="s">
        <v>3</v>
      </c>
      <c r="I246" s="5"/>
      <c r="J246" s="5" t="s">
        <v>10963</v>
      </c>
    </row>
    <row r="247" spans="1:10" ht="25.5" x14ac:dyDescent="0.2">
      <c r="A247" s="5" t="s">
        <v>10962</v>
      </c>
      <c r="B247" s="5" t="s">
        <v>83</v>
      </c>
      <c r="C247" s="5"/>
      <c r="D247" s="5" t="s">
        <v>10961</v>
      </c>
      <c r="E247" s="5"/>
      <c r="F247" s="5" t="s">
        <v>10957</v>
      </c>
      <c r="G247" s="5" t="s">
        <v>114</v>
      </c>
      <c r="H247" s="5" t="s">
        <v>3</v>
      </c>
      <c r="I247" s="5"/>
      <c r="J247" s="5" t="s">
        <v>10960</v>
      </c>
    </row>
    <row r="248" spans="1:10" ht="25.5" x14ac:dyDescent="0.2">
      <c r="A248" s="5" t="s">
        <v>10959</v>
      </c>
      <c r="B248" s="5" t="s">
        <v>83</v>
      </c>
      <c r="C248" s="5"/>
      <c r="D248" s="5" t="s">
        <v>10958</v>
      </c>
      <c r="E248" s="5"/>
      <c r="F248" s="5" t="s">
        <v>10957</v>
      </c>
      <c r="G248" s="5" t="s">
        <v>6584</v>
      </c>
      <c r="H248" s="5" t="s">
        <v>3</v>
      </c>
      <c r="I248" s="5"/>
      <c r="J248" s="5" t="s">
        <v>10956</v>
      </c>
    </row>
    <row r="249" spans="1:10" ht="25.5" x14ac:dyDescent="0.2">
      <c r="A249" s="5" t="s">
        <v>10955</v>
      </c>
      <c r="B249" s="5" t="s">
        <v>83</v>
      </c>
      <c r="C249" s="5"/>
      <c r="D249" s="5" t="s">
        <v>10954</v>
      </c>
      <c r="E249" s="5"/>
      <c r="F249" s="5" t="s">
        <v>10953</v>
      </c>
      <c r="G249" s="5" t="s">
        <v>80</v>
      </c>
      <c r="H249" s="5" t="s">
        <v>3</v>
      </c>
      <c r="I249" s="5"/>
      <c r="J249" s="5" t="s">
        <v>10952</v>
      </c>
    </row>
    <row r="250" spans="1:10" x14ac:dyDescent="0.2">
      <c r="A250" s="5" t="s">
        <v>10951</v>
      </c>
      <c r="B250" s="5" t="s">
        <v>83</v>
      </c>
      <c r="C250" s="5"/>
      <c r="D250" s="5" t="s">
        <v>10950</v>
      </c>
      <c r="E250" s="5" t="s">
        <v>368</v>
      </c>
      <c r="F250" s="5" t="s">
        <v>10949</v>
      </c>
      <c r="G250" s="5" t="s">
        <v>195</v>
      </c>
      <c r="H250" s="5" t="s">
        <v>3</v>
      </c>
      <c r="I250" s="5"/>
      <c r="J250" s="5" t="s">
        <v>10948</v>
      </c>
    </row>
    <row r="251" spans="1:10" ht="25.5" x14ac:dyDescent="0.2">
      <c r="A251" s="5" t="s">
        <v>10947</v>
      </c>
      <c r="B251" s="5" t="s">
        <v>83</v>
      </c>
      <c r="C251" s="5"/>
      <c r="D251" s="5" t="s">
        <v>10946</v>
      </c>
      <c r="E251" s="5"/>
      <c r="F251" s="5" t="s">
        <v>10945</v>
      </c>
      <c r="G251" s="5" t="s">
        <v>224</v>
      </c>
      <c r="H251" s="5" t="s">
        <v>3</v>
      </c>
      <c r="I251" s="5"/>
      <c r="J251" s="5" t="s">
        <v>10944</v>
      </c>
    </row>
    <row r="252" spans="1:10" ht="25.5" x14ac:dyDescent="0.2">
      <c r="A252" s="5" t="s">
        <v>10943</v>
      </c>
      <c r="B252" s="5" t="s">
        <v>83</v>
      </c>
      <c r="C252" s="5"/>
      <c r="D252" s="5" t="s">
        <v>10942</v>
      </c>
      <c r="E252" s="5"/>
      <c r="F252" s="5" t="s">
        <v>10941</v>
      </c>
      <c r="G252" s="5" t="s">
        <v>118</v>
      </c>
      <c r="H252" s="5" t="s">
        <v>3</v>
      </c>
      <c r="I252" s="5"/>
      <c r="J252" s="5"/>
    </row>
    <row r="253" spans="1:10" ht="25.5" x14ac:dyDescent="0.2">
      <c r="A253" s="5" t="s">
        <v>10940</v>
      </c>
      <c r="B253" s="5" t="s">
        <v>83</v>
      </c>
      <c r="C253" s="5"/>
      <c r="D253" s="5" t="s">
        <v>10939</v>
      </c>
      <c r="E253" s="5"/>
      <c r="F253" s="5" t="s">
        <v>10938</v>
      </c>
      <c r="G253" s="5" t="s">
        <v>173</v>
      </c>
      <c r="H253" s="5" t="s">
        <v>3</v>
      </c>
      <c r="I253" s="5"/>
      <c r="J253" s="5" t="s">
        <v>10937</v>
      </c>
    </row>
    <row r="254" spans="1:10" ht="25.5" x14ac:dyDescent="0.2">
      <c r="A254" s="5" t="s">
        <v>10936</v>
      </c>
      <c r="B254" s="5" t="s">
        <v>83</v>
      </c>
      <c r="C254" s="5"/>
      <c r="D254" s="5" t="s">
        <v>10935</v>
      </c>
      <c r="E254" s="5"/>
      <c r="F254" s="5" t="s">
        <v>10934</v>
      </c>
      <c r="G254" s="5" t="s">
        <v>170</v>
      </c>
      <c r="H254" s="5" t="s">
        <v>3</v>
      </c>
      <c r="I254" s="5"/>
      <c r="J254" s="5" t="s">
        <v>10933</v>
      </c>
    </row>
    <row r="255" spans="1:10" x14ac:dyDescent="0.2">
      <c r="A255" s="5" t="s">
        <v>10932</v>
      </c>
      <c r="B255" s="5" t="s">
        <v>83</v>
      </c>
      <c r="C255" s="5"/>
      <c r="D255" s="5" t="s">
        <v>10931</v>
      </c>
      <c r="E255" s="5"/>
      <c r="F255" s="5" t="s">
        <v>10920</v>
      </c>
      <c r="G255" s="5" t="s">
        <v>118</v>
      </c>
      <c r="H255" s="5" t="s">
        <v>3</v>
      </c>
      <c r="I255" s="5"/>
      <c r="J255" s="5" t="s">
        <v>10930</v>
      </c>
    </row>
    <row r="256" spans="1:10" ht="25.5" x14ac:dyDescent="0.2">
      <c r="A256" s="5" t="s">
        <v>10929</v>
      </c>
      <c r="B256" s="5" t="s">
        <v>83</v>
      </c>
      <c r="C256" s="5"/>
      <c r="D256" s="5" t="s">
        <v>10882</v>
      </c>
      <c r="E256" s="5"/>
      <c r="F256" s="5" t="s">
        <v>10920</v>
      </c>
      <c r="G256" s="5" t="s">
        <v>105</v>
      </c>
      <c r="H256" s="5" t="s">
        <v>3</v>
      </c>
      <c r="I256" s="5"/>
      <c r="J256" s="5" t="s">
        <v>10928</v>
      </c>
    </row>
    <row r="257" spans="1:10" ht="25.5" x14ac:dyDescent="0.2">
      <c r="A257" s="5" t="s">
        <v>10927</v>
      </c>
      <c r="B257" s="5" t="s">
        <v>83</v>
      </c>
      <c r="C257" s="5"/>
      <c r="D257" s="5" t="s">
        <v>10882</v>
      </c>
      <c r="E257" s="5"/>
      <c r="F257" s="5" t="s">
        <v>10920</v>
      </c>
      <c r="G257" s="5" t="s">
        <v>80</v>
      </c>
      <c r="H257" s="5" t="s">
        <v>3</v>
      </c>
      <c r="I257" s="5"/>
      <c r="J257" s="5" t="s">
        <v>10926</v>
      </c>
    </row>
    <row r="258" spans="1:10" x14ac:dyDescent="0.2">
      <c r="A258" s="5" t="s">
        <v>10925</v>
      </c>
      <c r="B258" s="5" t="s">
        <v>83</v>
      </c>
      <c r="C258" s="5"/>
      <c r="D258" s="5" t="s">
        <v>10924</v>
      </c>
      <c r="E258" s="5" t="s">
        <v>93</v>
      </c>
      <c r="F258" s="5" t="s">
        <v>10920</v>
      </c>
      <c r="G258" s="5" t="s">
        <v>382</v>
      </c>
      <c r="H258" s="5" t="s">
        <v>3</v>
      </c>
      <c r="I258" s="5"/>
      <c r="J258" s="5" t="s">
        <v>10923</v>
      </c>
    </row>
    <row r="259" spans="1:10" ht="25.5" x14ac:dyDescent="0.2">
      <c r="A259" s="5" t="s">
        <v>10922</v>
      </c>
      <c r="B259" s="5" t="s">
        <v>83</v>
      </c>
      <c r="C259" s="5"/>
      <c r="D259" s="5" t="s">
        <v>10921</v>
      </c>
      <c r="E259" s="5" t="s">
        <v>93</v>
      </c>
      <c r="F259" s="5" t="s">
        <v>10920</v>
      </c>
      <c r="G259" s="5" t="s">
        <v>207</v>
      </c>
      <c r="H259" s="5" t="s">
        <v>3</v>
      </c>
      <c r="I259" s="5"/>
      <c r="J259" s="5" t="s">
        <v>10919</v>
      </c>
    </row>
    <row r="260" spans="1:10" ht="25.5" x14ac:dyDescent="0.2">
      <c r="A260" s="5" t="s">
        <v>10918</v>
      </c>
      <c r="B260" s="5" t="s">
        <v>83</v>
      </c>
      <c r="C260" s="5"/>
      <c r="D260" s="5" t="s">
        <v>10917</v>
      </c>
      <c r="E260" s="5" t="s">
        <v>368</v>
      </c>
      <c r="F260" s="5" t="s">
        <v>10916</v>
      </c>
      <c r="G260" s="5" t="s">
        <v>91</v>
      </c>
      <c r="H260" s="5" t="s">
        <v>3</v>
      </c>
      <c r="I260" s="5"/>
      <c r="J260" s="5" t="s">
        <v>10915</v>
      </c>
    </row>
    <row r="261" spans="1:10" ht="25.5" x14ac:dyDescent="0.2">
      <c r="A261" s="5" t="s">
        <v>10914</v>
      </c>
      <c r="B261" s="5" t="s">
        <v>83</v>
      </c>
      <c r="C261" s="5"/>
      <c r="D261" s="5" t="s">
        <v>10913</v>
      </c>
      <c r="E261" s="5" t="s">
        <v>93</v>
      </c>
      <c r="F261" s="5" t="s">
        <v>10912</v>
      </c>
      <c r="G261" s="5" t="s">
        <v>207</v>
      </c>
      <c r="H261" s="5" t="s">
        <v>3</v>
      </c>
      <c r="I261" s="5"/>
      <c r="J261" s="5"/>
    </row>
    <row r="262" spans="1:10" ht="25.5" x14ac:dyDescent="0.2">
      <c r="A262" s="5" t="s">
        <v>10911</v>
      </c>
      <c r="B262" s="5" t="s">
        <v>83</v>
      </c>
      <c r="C262" s="5"/>
      <c r="D262" s="5" t="s">
        <v>10910</v>
      </c>
      <c r="E262" s="5"/>
      <c r="F262" s="5" t="s">
        <v>10906</v>
      </c>
      <c r="G262" s="5" t="s">
        <v>105</v>
      </c>
      <c r="H262" s="5" t="s">
        <v>3</v>
      </c>
      <c r="I262" s="5"/>
      <c r="J262" s="5" t="s">
        <v>10909</v>
      </c>
    </row>
    <row r="263" spans="1:10" ht="25.5" x14ac:dyDescent="0.2">
      <c r="A263" s="5" t="s">
        <v>10908</v>
      </c>
      <c r="B263" s="5" t="s">
        <v>83</v>
      </c>
      <c r="C263" s="5"/>
      <c r="D263" s="5" t="s">
        <v>10907</v>
      </c>
      <c r="E263" s="5"/>
      <c r="F263" s="5" t="s">
        <v>10906</v>
      </c>
      <c r="G263" s="5" t="s">
        <v>118</v>
      </c>
      <c r="H263" s="5" t="s">
        <v>3</v>
      </c>
      <c r="I263" s="5"/>
      <c r="J263" s="5" t="s">
        <v>10905</v>
      </c>
    </row>
    <row r="264" spans="1:10" x14ac:dyDescent="0.2">
      <c r="A264" s="5" t="s">
        <v>10904</v>
      </c>
      <c r="B264" s="5" t="s">
        <v>83</v>
      </c>
      <c r="C264" s="5"/>
      <c r="D264" s="5" t="s">
        <v>10903</v>
      </c>
      <c r="E264" s="5"/>
      <c r="F264" s="5" t="s">
        <v>10902</v>
      </c>
      <c r="G264" s="5" t="s">
        <v>118</v>
      </c>
      <c r="H264" s="5" t="s">
        <v>3</v>
      </c>
      <c r="I264" s="5"/>
      <c r="J264" s="5"/>
    </row>
    <row r="265" spans="1:10" x14ac:dyDescent="0.2">
      <c r="A265" s="5" t="s">
        <v>10901</v>
      </c>
      <c r="B265" s="5" t="s">
        <v>83</v>
      </c>
      <c r="C265" s="5"/>
      <c r="D265" s="5" t="s">
        <v>10900</v>
      </c>
      <c r="E265" s="5"/>
      <c r="F265" s="5" t="s">
        <v>10899</v>
      </c>
      <c r="G265" s="5" t="s">
        <v>105</v>
      </c>
      <c r="H265" s="5" t="s">
        <v>3</v>
      </c>
      <c r="I265" s="5"/>
      <c r="J265" s="5" t="s">
        <v>10898</v>
      </c>
    </row>
    <row r="266" spans="1:10" x14ac:dyDescent="0.2">
      <c r="A266" s="5" t="s">
        <v>10897</v>
      </c>
      <c r="B266" s="5" t="s">
        <v>83</v>
      </c>
      <c r="C266" s="5"/>
      <c r="D266" s="5" t="s">
        <v>10896</v>
      </c>
      <c r="E266" s="5" t="s">
        <v>93</v>
      </c>
      <c r="F266" s="5" t="s">
        <v>10615</v>
      </c>
      <c r="G266" s="5" t="s">
        <v>91</v>
      </c>
      <c r="H266" s="5" t="s">
        <v>3</v>
      </c>
      <c r="I266" s="5"/>
      <c r="J266" s="5" t="s">
        <v>10895</v>
      </c>
    </row>
    <row r="267" spans="1:10" x14ac:dyDescent="0.2">
      <c r="A267" s="5" t="s">
        <v>10274</v>
      </c>
      <c r="B267" s="5" t="s">
        <v>83</v>
      </c>
      <c r="C267" s="5"/>
      <c r="D267" s="5" t="s">
        <v>10894</v>
      </c>
      <c r="E267" s="5"/>
      <c r="F267" s="5" t="s">
        <v>10893</v>
      </c>
      <c r="G267" s="5" t="s">
        <v>118</v>
      </c>
      <c r="H267" s="5" t="s">
        <v>3</v>
      </c>
      <c r="I267" s="5"/>
      <c r="J267" s="5" t="s">
        <v>10892</v>
      </c>
    </row>
    <row r="268" spans="1:10" x14ac:dyDescent="0.2">
      <c r="A268" s="5" t="s">
        <v>10891</v>
      </c>
      <c r="B268" s="5" t="s">
        <v>83</v>
      </c>
      <c r="C268" s="5"/>
      <c r="D268" s="5" t="s">
        <v>10890</v>
      </c>
      <c r="E268" s="5"/>
      <c r="F268" s="5" t="s">
        <v>10295</v>
      </c>
      <c r="G268" s="5" t="s">
        <v>3059</v>
      </c>
      <c r="H268" s="5" t="s">
        <v>3</v>
      </c>
      <c r="I268" s="5"/>
      <c r="J268" s="5" t="s">
        <v>10294</v>
      </c>
    </row>
    <row r="269" spans="1:10" x14ac:dyDescent="0.2">
      <c r="A269" s="5" t="s">
        <v>10889</v>
      </c>
      <c r="B269" s="5" t="s">
        <v>83</v>
      </c>
      <c r="C269" s="5"/>
      <c r="D269" s="5" t="s">
        <v>10888</v>
      </c>
      <c r="E269" s="5" t="s">
        <v>368</v>
      </c>
      <c r="F269" s="5" t="s">
        <v>10887</v>
      </c>
      <c r="G269" s="5" t="s">
        <v>181</v>
      </c>
      <c r="H269" s="5" t="s">
        <v>3</v>
      </c>
      <c r="I269" s="5"/>
      <c r="J269" s="5"/>
    </row>
    <row r="270" spans="1:10" x14ac:dyDescent="0.2">
      <c r="A270" s="5" t="s">
        <v>10886</v>
      </c>
      <c r="B270" s="5" t="s">
        <v>83</v>
      </c>
      <c r="C270" s="5"/>
      <c r="D270" s="5" t="s">
        <v>10885</v>
      </c>
      <c r="E270" s="5" t="s">
        <v>368</v>
      </c>
      <c r="F270" s="5" t="s">
        <v>10884</v>
      </c>
      <c r="G270" s="5" t="s">
        <v>195</v>
      </c>
      <c r="H270" s="5" t="s">
        <v>3</v>
      </c>
      <c r="I270" s="5"/>
      <c r="J270" s="5"/>
    </row>
    <row r="271" spans="1:10" ht="25.5" x14ac:dyDescent="0.2">
      <c r="A271" s="5" t="s">
        <v>10883</v>
      </c>
      <c r="B271" s="5" t="s">
        <v>83</v>
      </c>
      <c r="C271" s="5"/>
      <c r="D271" s="5" t="s">
        <v>10882</v>
      </c>
      <c r="E271" s="5"/>
      <c r="F271" s="5" t="s">
        <v>10879</v>
      </c>
      <c r="G271" s="5" t="s">
        <v>207</v>
      </c>
      <c r="H271" s="5" t="s">
        <v>3</v>
      </c>
      <c r="I271" s="5"/>
      <c r="J271" s="5"/>
    </row>
    <row r="272" spans="1:10" ht="25.5" x14ac:dyDescent="0.2">
      <c r="A272" s="5" t="s">
        <v>10881</v>
      </c>
      <c r="B272" s="5" t="s">
        <v>83</v>
      </c>
      <c r="C272" s="5"/>
      <c r="D272" s="5" t="s">
        <v>10880</v>
      </c>
      <c r="E272" s="5"/>
      <c r="F272" s="5" t="s">
        <v>10879</v>
      </c>
      <c r="G272" s="5" t="s">
        <v>105</v>
      </c>
      <c r="H272" s="5" t="s">
        <v>3</v>
      </c>
      <c r="I272" s="5"/>
      <c r="J272" s="5"/>
    </row>
    <row r="273" spans="1:10" ht="25.5" x14ac:dyDescent="0.2">
      <c r="A273" s="5" t="s">
        <v>10878</v>
      </c>
      <c r="B273" s="5" t="s">
        <v>83</v>
      </c>
      <c r="C273" s="5"/>
      <c r="D273" s="5" t="s">
        <v>10877</v>
      </c>
      <c r="E273" s="5" t="s">
        <v>368</v>
      </c>
      <c r="F273" s="5" t="s">
        <v>10876</v>
      </c>
      <c r="G273" s="5" t="s">
        <v>195</v>
      </c>
      <c r="H273" s="5" t="s">
        <v>3</v>
      </c>
      <c r="I273" s="5"/>
      <c r="J273" s="5" t="s">
        <v>10875</v>
      </c>
    </row>
    <row r="274" spans="1:10" x14ac:dyDescent="0.2">
      <c r="A274" s="5" t="s">
        <v>7573</v>
      </c>
      <c r="B274" s="5" t="s">
        <v>83</v>
      </c>
      <c r="C274" s="5"/>
      <c r="D274" s="5" t="s">
        <v>10874</v>
      </c>
      <c r="E274" s="5"/>
      <c r="F274" s="5" t="s">
        <v>10873</v>
      </c>
      <c r="G274" s="5" t="s">
        <v>80</v>
      </c>
      <c r="H274" s="5" t="s">
        <v>3</v>
      </c>
      <c r="I274" s="5"/>
      <c r="J274" s="5" t="s">
        <v>10872</v>
      </c>
    </row>
    <row r="275" spans="1:10" ht="25.5" x14ac:dyDescent="0.2">
      <c r="A275" s="5" t="s">
        <v>10871</v>
      </c>
      <c r="B275" s="5" t="s">
        <v>83</v>
      </c>
      <c r="C275" s="5"/>
      <c r="D275" s="5" t="s">
        <v>10870</v>
      </c>
      <c r="E275" s="5"/>
      <c r="F275" s="5" t="s">
        <v>10869</v>
      </c>
      <c r="G275" s="5" t="s">
        <v>1542</v>
      </c>
      <c r="H275" s="5" t="s">
        <v>3</v>
      </c>
      <c r="I275" s="5"/>
      <c r="J275" s="5" t="s">
        <v>10868</v>
      </c>
    </row>
    <row r="276" spans="1:10" x14ac:dyDescent="0.2">
      <c r="A276" s="5" t="s">
        <v>10867</v>
      </c>
      <c r="B276" s="5" t="s">
        <v>83</v>
      </c>
      <c r="C276" s="5"/>
      <c r="D276" s="5" t="s">
        <v>10866</v>
      </c>
      <c r="E276" s="5"/>
      <c r="F276" s="5"/>
      <c r="G276" s="5" t="s">
        <v>105</v>
      </c>
      <c r="H276" s="5" t="s">
        <v>3</v>
      </c>
      <c r="I276" s="5"/>
      <c r="J276" s="5" t="s">
        <v>10865</v>
      </c>
    </row>
    <row r="277" spans="1:10" x14ac:dyDescent="0.2">
      <c r="A277" s="5" t="s">
        <v>10864</v>
      </c>
      <c r="B277" s="5" t="s">
        <v>83</v>
      </c>
      <c r="C277" s="5"/>
      <c r="D277" s="5" t="s">
        <v>10863</v>
      </c>
      <c r="E277" s="5"/>
      <c r="F277" s="5" t="s">
        <v>7974</v>
      </c>
      <c r="G277" s="5" t="s">
        <v>229</v>
      </c>
      <c r="H277" s="5" t="s">
        <v>3</v>
      </c>
      <c r="I277" s="5"/>
      <c r="J277" s="5" t="s">
        <v>10862</v>
      </c>
    </row>
    <row r="278" spans="1:10" ht="25.5" x14ac:dyDescent="0.2">
      <c r="A278" s="5" t="s">
        <v>10861</v>
      </c>
      <c r="B278" s="5" t="s">
        <v>83</v>
      </c>
      <c r="C278" s="5"/>
      <c r="D278" s="5" t="s">
        <v>10860</v>
      </c>
      <c r="E278" s="5"/>
      <c r="F278" s="5" t="s">
        <v>5780</v>
      </c>
      <c r="G278" s="5" t="s">
        <v>105</v>
      </c>
      <c r="H278" s="5" t="s">
        <v>3</v>
      </c>
      <c r="I278" s="5"/>
      <c r="J278" s="5" t="s">
        <v>10859</v>
      </c>
    </row>
    <row r="279" spans="1:10" x14ac:dyDescent="0.2">
      <c r="A279" s="5" t="s">
        <v>10858</v>
      </c>
      <c r="B279" s="5" t="s">
        <v>83</v>
      </c>
      <c r="C279" s="5"/>
      <c r="D279" s="5" t="s">
        <v>10857</v>
      </c>
      <c r="E279" s="5" t="s">
        <v>368</v>
      </c>
      <c r="F279" s="5" t="s">
        <v>10856</v>
      </c>
      <c r="G279" s="5" t="s">
        <v>195</v>
      </c>
      <c r="H279" s="5" t="s">
        <v>3</v>
      </c>
      <c r="I279" s="5"/>
      <c r="J279" s="5"/>
    </row>
    <row r="280" spans="1:10" ht="25.5" x14ac:dyDescent="0.2">
      <c r="A280" s="5" t="s">
        <v>10855</v>
      </c>
      <c r="B280" s="5" t="s">
        <v>83</v>
      </c>
      <c r="C280" s="5"/>
      <c r="D280" s="5" t="s">
        <v>10854</v>
      </c>
      <c r="E280" s="5"/>
      <c r="F280" s="5" t="s">
        <v>10853</v>
      </c>
      <c r="G280" s="5" t="s">
        <v>4</v>
      </c>
      <c r="H280" s="5" t="s">
        <v>3</v>
      </c>
      <c r="I280" s="5"/>
      <c r="J280" s="5" t="s">
        <v>10852</v>
      </c>
    </row>
    <row r="281" spans="1:10" ht="25.5" x14ac:dyDescent="0.2">
      <c r="A281" s="5" t="s">
        <v>10851</v>
      </c>
      <c r="B281" s="5" t="s">
        <v>83</v>
      </c>
      <c r="C281" s="5"/>
      <c r="D281" s="5" t="s">
        <v>10850</v>
      </c>
      <c r="E281" s="5"/>
      <c r="F281" s="5" t="s">
        <v>9187</v>
      </c>
      <c r="G281" s="5" t="s">
        <v>105</v>
      </c>
      <c r="H281" s="5" t="s">
        <v>3</v>
      </c>
      <c r="I281" s="5"/>
      <c r="J281" s="5"/>
    </row>
    <row r="282" spans="1:10" ht="38.25" x14ac:dyDescent="0.2">
      <c r="A282" s="5" t="s">
        <v>10849</v>
      </c>
      <c r="B282" s="5" t="s">
        <v>83</v>
      </c>
      <c r="C282" s="5"/>
      <c r="D282" s="5" t="s">
        <v>10848</v>
      </c>
      <c r="E282" s="5"/>
      <c r="F282" s="5" t="s">
        <v>10847</v>
      </c>
      <c r="G282" s="5" t="s">
        <v>224</v>
      </c>
      <c r="H282" s="5" t="s">
        <v>3</v>
      </c>
      <c r="I282" s="5"/>
      <c r="J282" s="5" t="s">
        <v>10846</v>
      </c>
    </row>
    <row r="283" spans="1:10" ht="38.25" x14ac:dyDescent="0.2">
      <c r="A283" s="5" t="s">
        <v>10845</v>
      </c>
      <c r="B283" s="5" t="s">
        <v>83</v>
      </c>
      <c r="C283" s="5"/>
      <c r="D283" s="5" t="s">
        <v>10844</v>
      </c>
      <c r="E283" s="5"/>
      <c r="F283" s="5" t="s">
        <v>10843</v>
      </c>
      <c r="G283" s="5" t="s">
        <v>3059</v>
      </c>
      <c r="H283" s="5" t="s">
        <v>3</v>
      </c>
      <c r="I283" s="5"/>
      <c r="J283" s="5" t="s">
        <v>10842</v>
      </c>
    </row>
    <row r="284" spans="1:10" x14ac:dyDescent="0.2">
      <c r="A284" s="5" t="s">
        <v>10841</v>
      </c>
      <c r="B284" s="5" t="s">
        <v>83</v>
      </c>
      <c r="C284" s="5"/>
      <c r="D284" s="5" t="s">
        <v>10840</v>
      </c>
      <c r="E284" s="5" t="s">
        <v>368</v>
      </c>
      <c r="F284" s="5" t="s">
        <v>9761</v>
      </c>
      <c r="G284" s="5" t="s">
        <v>181</v>
      </c>
      <c r="H284" s="5" t="s">
        <v>3</v>
      </c>
      <c r="I284" s="5"/>
      <c r="J284" s="5" t="s">
        <v>10839</v>
      </c>
    </row>
    <row r="285" spans="1:10" ht="25.5" x14ac:dyDescent="0.2">
      <c r="A285" s="5" t="s">
        <v>10838</v>
      </c>
      <c r="B285" s="5" t="s">
        <v>83</v>
      </c>
      <c r="C285" s="5"/>
      <c r="D285" s="5" t="s">
        <v>10837</v>
      </c>
      <c r="E285" s="5" t="s">
        <v>368</v>
      </c>
      <c r="F285" s="5" t="s">
        <v>10581</v>
      </c>
      <c r="G285" s="5" t="s">
        <v>91</v>
      </c>
      <c r="H285" s="5" t="s">
        <v>3</v>
      </c>
      <c r="I285" s="5"/>
      <c r="J285" s="5" t="s">
        <v>10836</v>
      </c>
    </row>
    <row r="286" spans="1:10" ht="25.5" x14ac:dyDescent="0.2">
      <c r="A286" s="5" t="s">
        <v>10835</v>
      </c>
      <c r="B286" s="5" t="s">
        <v>83</v>
      </c>
      <c r="C286" s="5"/>
      <c r="D286" s="5" t="s">
        <v>10834</v>
      </c>
      <c r="E286" s="5"/>
      <c r="F286" s="5" t="s">
        <v>10833</v>
      </c>
      <c r="G286" s="5" t="s">
        <v>229</v>
      </c>
      <c r="H286" s="5" t="s">
        <v>3</v>
      </c>
      <c r="I286" s="5"/>
      <c r="J286" s="5" t="s">
        <v>10832</v>
      </c>
    </row>
    <row r="287" spans="1:10" ht="25.5" x14ac:dyDescent="0.2">
      <c r="A287" s="5" t="s">
        <v>10831</v>
      </c>
      <c r="B287" s="5" t="s">
        <v>83</v>
      </c>
      <c r="C287" s="5"/>
      <c r="D287" s="5" t="s">
        <v>10830</v>
      </c>
      <c r="E287" s="5"/>
      <c r="F287" s="5" t="s">
        <v>10829</v>
      </c>
      <c r="G287" s="5" t="s">
        <v>224</v>
      </c>
      <c r="H287" s="5" t="s">
        <v>3</v>
      </c>
      <c r="I287" s="5"/>
      <c r="J287" s="5" t="s">
        <v>10828</v>
      </c>
    </row>
    <row r="288" spans="1:10" x14ac:dyDescent="0.2">
      <c r="A288" s="5" t="s">
        <v>10827</v>
      </c>
      <c r="B288" s="5" t="s">
        <v>83</v>
      </c>
      <c r="C288" s="5"/>
      <c r="D288" s="5" t="s">
        <v>10826</v>
      </c>
      <c r="E288" s="5"/>
      <c r="F288" s="5"/>
      <c r="G288" s="5" t="s">
        <v>195</v>
      </c>
      <c r="H288" s="5" t="s">
        <v>3</v>
      </c>
      <c r="I288" s="5"/>
      <c r="J288" s="5" t="s">
        <v>10825</v>
      </c>
    </row>
    <row r="289" spans="1:10" ht="25.5" x14ac:dyDescent="0.2">
      <c r="A289" s="5" t="s">
        <v>10824</v>
      </c>
      <c r="B289" s="5" t="s">
        <v>83</v>
      </c>
      <c r="C289" s="5"/>
      <c r="D289" s="5" t="s">
        <v>10823</v>
      </c>
      <c r="E289" s="5"/>
      <c r="F289" s="5" t="s">
        <v>10819</v>
      </c>
      <c r="G289" s="5" t="s">
        <v>173</v>
      </c>
      <c r="H289" s="5" t="s">
        <v>3</v>
      </c>
      <c r="I289" s="5"/>
      <c r="J289" s="5" t="s">
        <v>10822</v>
      </c>
    </row>
    <row r="290" spans="1:10" ht="25.5" x14ac:dyDescent="0.2">
      <c r="A290" s="5" t="s">
        <v>10821</v>
      </c>
      <c r="B290" s="5" t="s">
        <v>83</v>
      </c>
      <c r="C290" s="5"/>
      <c r="D290" s="5" t="s">
        <v>10820</v>
      </c>
      <c r="E290" s="5"/>
      <c r="F290" s="5" t="s">
        <v>10819</v>
      </c>
      <c r="G290" s="5" t="s">
        <v>173</v>
      </c>
      <c r="H290" s="5" t="s">
        <v>3</v>
      </c>
      <c r="I290" s="5"/>
      <c r="J290" s="5" t="s">
        <v>10818</v>
      </c>
    </row>
    <row r="291" spans="1:10" x14ac:dyDescent="0.2">
      <c r="A291" s="5" t="s">
        <v>7530</v>
      </c>
      <c r="B291" s="5" t="s">
        <v>83</v>
      </c>
      <c r="C291" s="5"/>
      <c r="D291" s="5" t="s">
        <v>10817</v>
      </c>
      <c r="E291" s="5"/>
      <c r="F291" s="5" t="s">
        <v>10816</v>
      </c>
      <c r="G291" s="5" t="s">
        <v>276</v>
      </c>
      <c r="H291" s="5" t="s">
        <v>3</v>
      </c>
      <c r="I291" s="5"/>
      <c r="J291" s="5"/>
    </row>
    <row r="292" spans="1:10" x14ac:dyDescent="0.2">
      <c r="A292" s="5" t="s">
        <v>10815</v>
      </c>
      <c r="B292" s="5" t="s">
        <v>83</v>
      </c>
      <c r="C292" s="5"/>
      <c r="D292" s="5" t="s">
        <v>10814</v>
      </c>
      <c r="E292" s="5"/>
      <c r="F292" s="5" t="s">
        <v>10813</v>
      </c>
      <c r="G292" s="5" t="s">
        <v>234</v>
      </c>
      <c r="H292" s="5" t="s">
        <v>3</v>
      </c>
      <c r="I292" s="5"/>
      <c r="J292" s="5" t="s">
        <v>10812</v>
      </c>
    </row>
    <row r="293" spans="1:10" ht="25.5" x14ac:dyDescent="0.2">
      <c r="A293" s="5" t="s">
        <v>10811</v>
      </c>
      <c r="B293" s="5" t="s">
        <v>83</v>
      </c>
      <c r="C293" s="5"/>
      <c r="D293" s="5" t="s">
        <v>10564</v>
      </c>
      <c r="E293" s="5"/>
      <c r="F293" s="5"/>
      <c r="G293" s="5" t="s">
        <v>173</v>
      </c>
      <c r="H293" s="5" t="s">
        <v>3</v>
      </c>
      <c r="I293" s="5"/>
      <c r="J293" s="5" t="s">
        <v>10563</v>
      </c>
    </row>
    <row r="294" spans="1:10" ht="25.5" x14ac:dyDescent="0.2">
      <c r="A294" s="5" t="s">
        <v>9300</v>
      </c>
      <c r="B294" s="5" t="s">
        <v>83</v>
      </c>
      <c r="C294" s="5"/>
      <c r="D294" s="5" t="s">
        <v>10810</v>
      </c>
      <c r="E294" s="5"/>
      <c r="F294" s="5"/>
      <c r="G294" s="5" t="s">
        <v>382</v>
      </c>
      <c r="H294" s="5" t="s">
        <v>3</v>
      </c>
      <c r="I294" s="5"/>
      <c r="J294" s="5" t="s">
        <v>10809</v>
      </c>
    </row>
    <row r="295" spans="1:10" ht="25.5" x14ac:dyDescent="0.2">
      <c r="A295" s="5" t="s">
        <v>10808</v>
      </c>
      <c r="B295" s="5" t="s">
        <v>83</v>
      </c>
      <c r="C295" s="5"/>
      <c r="D295" s="5" t="s">
        <v>10807</v>
      </c>
      <c r="E295" s="5"/>
      <c r="F295" s="5" t="s">
        <v>10806</v>
      </c>
      <c r="G295" s="5" t="s">
        <v>1542</v>
      </c>
      <c r="H295" s="5" t="s">
        <v>3</v>
      </c>
      <c r="I295" s="5"/>
      <c r="J295" s="5" t="s">
        <v>10805</v>
      </c>
    </row>
    <row r="296" spans="1:10" ht="25.5" x14ac:dyDescent="0.2">
      <c r="A296" s="5" t="s">
        <v>9150</v>
      </c>
      <c r="B296" s="5" t="s">
        <v>83</v>
      </c>
      <c r="C296" s="5"/>
      <c r="D296" s="5" t="s">
        <v>10804</v>
      </c>
      <c r="E296" s="5"/>
      <c r="F296" s="5" t="s">
        <v>354</v>
      </c>
      <c r="G296" s="5" t="s">
        <v>173</v>
      </c>
      <c r="H296" s="5" t="s">
        <v>3</v>
      </c>
      <c r="I296" s="5"/>
      <c r="J296" s="5" t="s">
        <v>10539</v>
      </c>
    </row>
    <row r="297" spans="1:10" ht="25.5" x14ac:dyDescent="0.2">
      <c r="A297" s="5" t="s">
        <v>7465</v>
      </c>
      <c r="B297" s="5" t="s">
        <v>83</v>
      </c>
      <c r="C297" s="5"/>
      <c r="D297" s="5" t="s">
        <v>10803</v>
      </c>
      <c r="E297" s="5"/>
      <c r="F297" s="5" t="s">
        <v>7463</v>
      </c>
      <c r="G297" s="5" t="s">
        <v>234</v>
      </c>
      <c r="H297" s="5" t="s">
        <v>3</v>
      </c>
      <c r="I297" s="5"/>
      <c r="J297" s="5" t="s">
        <v>10802</v>
      </c>
    </row>
    <row r="298" spans="1:10" x14ac:dyDescent="0.2">
      <c r="A298" s="5" t="s">
        <v>10801</v>
      </c>
      <c r="B298" s="5" t="s">
        <v>83</v>
      </c>
      <c r="C298" s="5"/>
      <c r="D298" s="5" t="s">
        <v>10800</v>
      </c>
      <c r="E298" s="5"/>
      <c r="F298" s="5" t="s">
        <v>10799</v>
      </c>
      <c r="G298" s="5" t="s">
        <v>6584</v>
      </c>
      <c r="H298" s="5" t="s">
        <v>3</v>
      </c>
      <c r="I298" s="5"/>
      <c r="J298" s="5" t="s">
        <v>10798</v>
      </c>
    </row>
    <row r="299" spans="1:10" ht="25.5" x14ac:dyDescent="0.2">
      <c r="A299" s="5" t="s">
        <v>10797</v>
      </c>
      <c r="B299" s="5" t="s">
        <v>83</v>
      </c>
      <c r="C299" s="5"/>
      <c r="D299" s="5" t="s">
        <v>10796</v>
      </c>
      <c r="E299" s="5"/>
      <c r="F299" s="5" t="s">
        <v>10795</v>
      </c>
      <c r="G299" s="5" t="s">
        <v>105</v>
      </c>
      <c r="H299" s="5"/>
      <c r="I299" s="5"/>
      <c r="J299" s="5" t="s">
        <v>10548</v>
      </c>
    </row>
    <row r="300" spans="1:10" ht="25.5" x14ac:dyDescent="0.2">
      <c r="A300" s="5" t="s">
        <v>10794</v>
      </c>
      <c r="B300" s="5" t="s">
        <v>83</v>
      </c>
      <c r="C300" s="5"/>
      <c r="D300" s="5" t="s">
        <v>10793</v>
      </c>
      <c r="E300" s="5" t="s">
        <v>93</v>
      </c>
      <c r="F300" s="5" t="s">
        <v>10792</v>
      </c>
      <c r="G300" s="5" t="s">
        <v>207</v>
      </c>
      <c r="H300" s="5" t="s">
        <v>3</v>
      </c>
      <c r="I300" s="5"/>
      <c r="J300" s="5" t="s">
        <v>10791</v>
      </c>
    </row>
    <row r="301" spans="1:10" x14ac:dyDescent="0.2">
      <c r="A301" s="5" t="s">
        <v>10790</v>
      </c>
      <c r="B301" s="5" t="s">
        <v>83</v>
      </c>
      <c r="C301" s="5"/>
      <c r="D301" s="5" t="s">
        <v>10789</v>
      </c>
      <c r="E301" s="5" t="s">
        <v>368</v>
      </c>
      <c r="F301" s="5" t="s">
        <v>10788</v>
      </c>
      <c r="G301" s="5" t="s">
        <v>195</v>
      </c>
      <c r="H301" s="5" t="s">
        <v>3</v>
      </c>
      <c r="I301" s="5"/>
      <c r="J301" s="5" t="s">
        <v>10787</v>
      </c>
    </row>
    <row r="302" spans="1:10" ht="25.5" x14ac:dyDescent="0.2">
      <c r="A302" s="5" t="s">
        <v>10786</v>
      </c>
      <c r="B302" s="5" t="s">
        <v>83</v>
      </c>
      <c r="C302" s="5"/>
      <c r="D302" s="5" t="s">
        <v>10785</v>
      </c>
      <c r="E302" s="5"/>
      <c r="F302" s="5" t="s">
        <v>10784</v>
      </c>
      <c r="G302" s="5" t="s">
        <v>207</v>
      </c>
      <c r="H302" s="5" t="s">
        <v>3</v>
      </c>
      <c r="I302" s="5"/>
      <c r="J302" s="5" t="s">
        <v>10783</v>
      </c>
    </row>
    <row r="303" spans="1:10" x14ac:dyDescent="0.2">
      <c r="A303" s="5" t="s">
        <v>10782</v>
      </c>
      <c r="B303" s="5" t="s">
        <v>83</v>
      </c>
      <c r="C303" s="5"/>
      <c r="D303" s="5" t="s">
        <v>10781</v>
      </c>
      <c r="E303" s="5"/>
      <c r="F303" s="5" t="s">
        <v>10780</v>
      </c>
      <c r="G303" s="5" t="s">
        <v>105</v>
      </c>
      <c r="H303" s="5" t="s">
        <v>3</v>
      </c>
      <c r="I303" s="5"/>
      <c r="J303" s="5"/>
    </row>
    <row r="304" spans="1:10" x14ac:dyDescent="0.2">
      <c r="A304" s="5" t="s">
        <v>9140</v>
      </c>
      <c r="B304" s="5" t="s">
        <v>83</v>
      </c>
      <c r="C304" s="5"/>
      <c r="D304" s="5">
        <v>1</v>
      </c>
      <c r="E304" s="5"/>
      <c r="F304" s="5" t="s">
        <v>8479</v>
      </c>
      <c r="G304" s="5" t="s">
        <v>328</v>
      </c>
      <c r="H304" s="5" t="s">
        <v>3</v>
      </c>
      <c r="I304" s="5"/>
      <c r="J304" s="5"/>
    </row>
    <row r="305" spans="1:10" ht="25.5" x14ac:dyDescent="0.2">
      <c r="A305" s="5" t="s">
        <v>10779</v>
      </c>
      <c r="B305" s="5" t="s">
        <v>83</v>
      </c>
      <c r="C305" s="5"/>
      <c r="D305" s="5" t="s">
        <v>10778</v>
      </c>
      <c r="E305" s="5"/>
      <c r="F305" s="5"/>
      <c r="G305" s="5" t="s">
        <v>6584</v>
      </c>
      <c r="H305" s="5" t="s">
        <v>3</v>
      </c>
      <c r="I305" s="5"/>
      <c r="J305" s="5" t="s">
        <v>10777</v>
      </c>
    </row>
    <row r="306" spans="1:10" x14ac:dyDescent="0.2">
      <c r="A306" s="5" t="s">
        <v>10776</v>
      </c>
      <c r="B306" s="5" t="s">
        <v>83</v>
      </c>
      <c r="C306" s="5"/>
      <c r="D306" s="5" t="s">
        <v>10475</v>
      </c>
      <c r="E306" s="5"/>
      <c r="F306" s="5" t="s">
        <v>10474</v>
      </c>
      <c r="G306" s="5" t="s">
        <v>283</v>
      </c>
      <c r="H306" s="5" t="s">
        <v>3</v>
      </c>
      <c r="I306" s="5"/>
      <c r="J306" s="5" t="s">
        <v>10775</v>
      </c>
    </row>
    <row r="307" spans="1:10" ht="25.5" x14ac:dyDescent="0.2">
      <c r="A307" s="5" t="s">
        <v>10774</v>
      </c>
      <c r="B307" s="5" t="s">
        <v>83</v>
      </c>
      <c r="C307" s="5"/>
      <c r="D307" s="5" t="s">
        <v>10773</v>
      </c>
      <c r="E307" s="5" t="s">
        <v>368</v>
      </c>
      <c r="F307" s="5" t="s">
        <v>8739</v>
      </c>
      <c r="G307" s="5" t="s">
        <v>195</v>
      </c>
      <c r="H307" s="5" t="s">
        <v>3</v>
      </c>
      <c r="I307" s="5"/>
      <c r="J307" s="5" t="s">
        <v>10772</v>
      </c>
    </row>
    <row r="308" spans="1:10" x14ac:dyDescent="0.2">
      <c r="A308" s="5" t="s">
        <v>7340</v>
      </c>
      <c r="B308" s="5" t="s">
        <v>83</v>
      </c>
      <c r="C308" s="5"/>
      <c r="D308" s="5" t="s">
        <v>10771</v>
      </c>
      <c r="E308" s="5"/>
      <c r="F308" s="5"/>
      <c r="G308" s="5" t="s">
        <v>118</v>
      </c>
      <c r="H308" s="5" t="s">
        <v>3</v>
      </c>
      <c r="I308" s="5"/>
      <c r="J308" s="5" t="s">
        <v>10222</v>
      </c>
    </row>
    <row r="309" spans="1:10" ht="25.5" x14ac:dyDescent="0.2">
      <c r="A309" s="5" t="s">
        <v>10770</v>
      </c>
      <c r="B309" s="5" t="s">
        <v>83</v>
      </c>
      <c r="C309" s="5"/>
      <c r="D309" s="5" t="s">
        <v>10561</v>
      </c>
      <c r="E309" s="5"/>
      <c r="F309" s="5"/>
      <c r="G309" s="5" t="s">
        <v>173</v>
      </c>
      <c r="H309" s="5" t="s">
        <v>3</v>
      </c>
      <c r="I309" s="5"/>
      <c r="J309" s="5" t="s">
        <v>10560</v>
      </c>
    </row>
    <row r="310" spans="1:10" x14ac:dyDescent="0.2">
      <c r="A310" s="5" t="s">
        <v>10769</v>
      </c>
      <c r="B310" s="5" t="s">
        <v>83</v>
      </c>
      <c r="C310" s="5"/>
      <c r="D310" s="5" t="s">
        <v>10768</v>
      </c>
      <c r="E310" s="5"/>
      <c r="F310" s="5" t="s">
        <v>10767</v>
      </c>
      <c r="G310" s="5" t="s">
        <v>105</v>
      </c>
      <c r="H310" s="5" t="s">
        <v>3</v>
      </c>
      <c r="I310" s="5"/>
      <c r="J310" s="5" t="s">
        <v>10766</v>
      </c>
    </row>
    <row r="311" spans="1:10" x14ac:dyDescent="0.2">
      <c r="A311" s="5" t="s">
        <v>10765</v>
      </c>
      <c r="B311" s="5" t="s">
        <v>83</v>
      </c>
      <c r="C311" s="5"/>
      <c r="D311" s="5" t="s">
        <v>10764</v>
      </c>
      <c r="E311" s="5" t="s">
        <v>150</v>
      </c>
      <c r="F311" s="5" t="s">
        <v>10763</v>
      </c>
      <c r="G311" s="5" t="s">
        <v>148</v>
      </c>
      <c r="H311" s="5" t="s">
        <v>137</v>
      </c>
      <c r="I311" s="5" t="s">
        <v>10762</v>
      </c>
      <c r="J311" s="5" t="s">
        <v>10761</v>
      </c>
    </row>
    <row r="312" spans="1:10" x14ac:dyDescent="0.2">
      <c r="A312" s="5" t="s">
        <v>10760</v>
      </c>
      <c r="B312" s="5" t="s">
        <v>83</v>
      </c>
      <c r="C312" s="5"/>
      <c r="D312" s="5" t="s">
        <v>10759</v>
      </c>
      <c r="E312" s="5"/>
      <c r="F312" s="5" t="s">
        <v>10758</v>
      </c>
      <c r="G312" s="5" t="s">
        <v>118</v>
      </c>
      <c r="H312" s="5" t="s">
        <v>3</v>
      </c>
      <c r="I312" s="5"/>
      <c r="J312" s="5" t="s">
        <v>10757</v>
      </c>
    </row>
    <row r="313" spans="1:10" x14ac:dyDescent="0.2">
      <c r="A313" s="5" t="s">
        <v>10756</v>
      </c>
      <c r="B313" s="5" t="s">
        <v>83</v>
      </c>
      <c r="C313" s="5"/>
      <c r="D313" s="5" t="s">
        <v>10755</v>
      </c>
      <c r="E313" s="5"/>
      <c r="F313" s="5"/>
      <c r="G313" s="5" t="s">
        <v>199</v>
      </c>
      <c r="H313" s="5" t="s">
        <v>3</v>
      </c>
      <c r="I313" s="5"/>
      <c r="J313" s="5" t="s">
        <v>10754</v>
      </c>
    </row>
    <row r="314" spans="1:10" x14ac:dyDescent="0.2">
      <c r="A314" s="5" t="s">
        <v>10753</v>
      </c>
      <c r="B314" s="5" t="s">
        <v>83</v>
      </c>
      <c r="C314" s="5"/>
      <c r="D314" s="5" t="s">
        <v>10752</v>
      </c>
      <c r="E314" s="5"/>
      <c r="F314" s="5" t="s">
        <v>10751</v>
      </c>
      <c r="G314" s="5" t="s">
        <v>173</v>
      </c>
      <c r="H314" s="5" t="s">
        <v>3</v>
      </c>
      <c r="I314" s="5"/>
      <c r="J314" s="5" t="s">
        <v>10750</v>
      </c>
    </row>
    <row r="315" spans="1:10" ht="25.5" x14ac:dyDescent="0.2">
      <c r="A315" s="5" t="s">
        <v>10749</v>
      </c>
      <c r="B315" s="5" t="s">
        <v>83</v>
      </c>
      <c r="C315" s="5"/>
      <c r="D315" s="5" t="s">
        <v>10748</v>
      </c>
      <c r="E315" s="5"/>
      <c r="F315" s="5" t="s">
        <v>10747</v>
      </c>
      <c r="G315" s="5" t="s">
        <v>6385</v>
      </c>
      <c r="H315" s="5" t="s">
        <v>3</v>
      </c>
      <c r="I315" s="5"/>
      <c r="J315" s="5" t="s">
        <v>10746</v>
      </c>
    </row>
    <row r="316" spans="1:10" ht="25.5" x14ac:dyDescent="0.2">
      <c r="A316" s="5" t="s">
        <v>10745</v>
      </c>
      <c r="B316" s="5" t="s">
        <v>83</v>
      </c>
      <c r="C316" s="5"/>
      <c r="D316" s="5" t="s">
        <v>10744</v>
      </c>
      <c r="E316" s="5"/>
      <c r="F316" s="5" t="s">
        <v>10743</v>
      </c>
      <c r="G316" s="5" t="s">
        <v>3059</v>
      </c>
      <c r="H316" s="5" t="s">
        <v>3</v>
      </c>
      <c r="I316" s="5"/>
      <c r="J316" s="5"/>
    </row>
    <row r="317" spans="1:10" ht="25.5" x14ac:dyDescent="0.2">
      <c r="A317" s="5" t="s">
        <v>10742</v>
      </c>
      <c r="B317" s="5" t="s">
        <v>83</v>
      </c>
      <c r="C317" s="5"/>
      <c r="D317" s="5" t="s">
        <v>10741</v>
      </c>
      <c r="E317" s="5"/>
      <c r="F317" s="5" t="s">
        <v>10740</v>
      </c>
      <c r="G317" s="5" t="s">
        <v>105</v>
      </c>
      <c r="H317" s="5"/>
      <c r="I317" s="5"/>
      <c r="J317" s="5" t="s">
        <v>10548</v>
      </c>
    </row>
    <row r="318" spans="1:10" ht="25.5" x14ac:dyDescent="0.2">
      <c r="A318" s="5" t="s">
        <v>10739</v>
      </c>
      <c r="B318" s="5" t="s">
        <v>83</v>
      </c>
      <c r="C318" s="5"/>
      <c r="D318" s="5" t="s">
        <v>10738</v>
      </c>
      <c r="E318" s="5"/>
      <c r="F318" s="5" t="s">
        <v>10734</v>
      </c>
      <c r="G318" s="5" t="s">
        <v>4</v>
      </c>
      <c r="H318" s="5" t="s">
        <v>3</v>
      </c>
      <c r="I318" s="5"/>
      <c r="J318" s="5" t="s">
        <v>10737</v>
      </c>
    </row>
    <row r="319" spans="1:10" x14ac:dyDescent="0.2">
      <c r="A319" s="5" t="s">
        <v>10736</v>
      </c>
      <c r="B319" s="5" t="s">
        <v>83</v>
      </c>
      <c r="C319" s="5"/>
      <c r="D319" s="5" t="s">
        <v>10735</v>
      </c>
      <c r="E319" s="5"/>
      <c r="F319" s="5" t="s">
        <v>10734</v>
      </c>
      <c r="G319" s="5" t="s">
        <v>10733</v>
      </c>
      <c r="H319" s="5" t="s">
        <v>3</v>
      </c>
      <c r="I319" s="5"/>
      <c r="J319" s="5" t="s">
        <v>10732</v>
      </c>
    </row>
    <row r="320" spans="1:10" x14ac:dyDescent="0.2">
      <c r="A320" s="5" t="s">
        <v>10731</v>
      </c>
      <c r="B320" s="5" t="s">
        <v>83</v>
      </c>
      <c r="C320" s="5"/>
      <c r="D320" s="5" t="s">
        <v>10730</v>
      </c>
      <c r="E320" s="5"/>
      <c r="F320" s="5" t="s">
        <v>9429</v>
      </c>
      <c r="G320" s="5" t="s">
        <v>229</v>
      </c>
      <c r="H320" s="5" t="s">
        <v>137</v>
      </c>
      <c r="I320" s="5" t="s">
        <v>10729</v>
      </c>
      <c r="J320" s="5" t="s">
        <v>10728</v>
      </c>
    </row>
    <row r="321" spans="1:10" ht="25.5" x14ac:dyDescent="0.2">
      <c r="A321" s="5" t="s">
        <v>10727</v>
      </c>
      <c r="B321" s="5" t="s">
        <v>83</v>
      </c>
      <c r="C321" s="5"/>
      <c r="D321" s="5" t="s">
        <v>10726</v>
      </c>
      <c r="E321" s="5"/>
      <c r="F321" s="5" t="s">
        <v>9429</v>
      </c>
      <c r="G321" s="5" t="s">
        <v>229</v>
      </c>
      <c r="H321" s="5" t="s">
        <v>137</v>
      </c>
      <c r="I321" s="5" t="s">
        <v>10478</v>
      </c>
      <c r="J321" s="5" t="s">
        <v>10725</v>
      </c>
    </row>
    <row r="322" spans="1:10" ht="25.5" x14ac:dyDescent="0.2">
      <c r="A322" s="5" t="s">
        <v>10724</v>
      </c>
      <c r="B322" s="5" t="s">
        <v>83</v>
      </c>
      <c r="C322" s="5"/>
      <c r="D322" s="5" t="s">
        <v>10723</v>
      </c>
      <c r="E322" s="5"/>
      <c r="F322" s="5" t="s">
        <v>10719</v>
      </c>
      <c r="G322" s="5" t="s">
        <v>207</v>
      </c>
      <c r="H322" s="5" t="s">
        <v>3</v>
      </c>
      <c r="I322" s="5"/>
      <c r="J322" s="5" t="s">
        <v>10722</v>
      </c>
    </row>
    <row r="323" spans="1:10" ht="25.5" x14ac:dyDescent="0.2">
      <c r="A323" s="5" t="s">
        <v>10721</v>
      </c>
      <c r="B323" s="5" t="s">
        <v>83</v>
      </c>
      <c r="C323" s="5"/>
      <c r="D323" s="5" t="s">
        <v>10720</v>
      </c>
      <c r="E323" s="5"/>
      <c r="F323" s="5" t="s">
        <v>10719</v>
      </c>
      <c r="G323" s="5" t="s">
        <v>207</v>
      </c>
      <c r="H323" s="5" t="s">
        <v>3</v>
      </c>
      <c r="I323" s="5"/>
      <c r="J323" s="5" t="s">
        <v>10718</v>
      </c>
    </row>
    <row r="324" spans="1:10" x14ac:dyDescent="0.2">
      <c r="A324" s="5" t="s">
        <v>10717</v>
      </c>
      <c r="B324" s="5" t="s">
        <v>83</v>
      </c>
      <c r="C324" s="5"/>
      <c r="D324" s="5" t="s">
        <v>10716</v>
      </c>
      <c r="E324" s="5" t="s">
        <v>93</v>
      </c>
      <c r="F324" s="5" t="s">
        <v>10615</v>
      </c>
      <c r="G324" s="5" t="s">
        <v>91</v>
      </c>
      <c r="H324" s="5" t="s">
        <v>3</v>
      </c>
      <c r="I324" s="5"/>
      <c r="J324" s="5" t="s">
        <v>10715</v>
      </c>
    </row>
    <row r="325" spans="1:10" ht="25.5" x14ac:dyDescent="0.2">
      <c r="A325" s="5" t="s">
        <v>10714</v>
      </c>
      <c r="B325" s="5" t="s">
        <v>83</v>
      </c>
      <c r="C325" s="5"/>
      <c r="D325" s="5" t="s">
        <v>10713</v>
      </c>
      <c r="E325" s="5"/>
      <c r="F325" s="5" t="s">
        <v>10712</v>
      </c>
      <c r="G325" s="5" t="s">
        <v>224</v>
      </c>
      <c r="H325" s="5" t="s">
        <v>3</v>
      </c>
      <c r="I325" s="5"/>
      <c r="J325" s="5" t="s">
        <v>10711</v>
      </c>
    </row>
    <row r="326" spans="1:10" x14ac:dyDescent="0.2">
      <c r="A326" s="5" t="s">
        <v>10710</v>
      </c>
      <c r="B326" s="5" t="s">
        <v>83</v>
      </c>
      <c r="C326" s="5"/>
      <c r="D326" s="5" t="s">
        <v>10709</v>
      </c>
      <c r="E326" s="5"/>
      <c r="F326" s="5" t="s">
        <v>1533</v>
      </c>
      <c r="G326" s="5" t="s">
        <v>118</v>
      </c>
      <c r="H326" s="5" t="s">
        <v>3</v>
      </c>
      <c r="I326" s="5"/>
      <c r="J326" s="5" t="s">
        <v>10708</v>
      </c>
    </row>
    <row r="327" spans="1:10" x14ac:dyDescent="0.2">
      <c r="A327" s="5" t="s">
        <v>10707</v>
      </c>
      <c r="B327" s="5" t="s">
        <v>83</v>
      </c>
      <c r="C327" s="5"/>
      <c r="D327" s="5" t="s">
        <v>10706</v>
      </c>
      <c r="E327" s="5"/>
      <c r="F327" s="5" t="s">
        <v>9245</v>
      </c>
      <c r="G327" s="5" t="s">
        <v>4</v>
      </c>
      <c r="H327" s="5" t="s">
        <v>3</v>
      </c>
      <c r="I327" s="5"/>
      <c r="J327" s="5"/>
    </row>
    <row r="328" spans="1:10" x14ac:dyDescent="0.2">
      <c r="A328" s="5" t="s">
        <v>10705</v>
      </c>
      <c r="B328" s="5" t="s">
        <v>83</v>
      </c>
      <c r="C328" s="5"/>
      <c r="D328" s="5" t="s">
        <v>10704</v>
      </c>
      <c r="E328" s="5"/>
      <c r="F328" s="5" t="s">
        <v>10703</v>
      </c>
      <c r="G328" s="5" t="s">
        <v>6385</v>
      </c>
      <c r="H328" s="5" t="s">
        <v>3</v>
      </c>
      <c r="I328" s="5"/>
      <c r="J328" s="5" t="s">
        <v>10702</v>
      </c>
    </row>
    <row r="329" spans="1:10" ht="25.5" x14ac:dyDescent="0.2">
      <c r="A329" s="5" t="s">
        <v>10701</v>
      </c>
      <c r="B329" s="5" t="s">
        <v>83</v>
      </c>
      <c r="C329" s="5"/>
      <c r="D329" s="5" t="s">
        <v>10700</v>
      </c>
      <c r="E329" s="5"/>
      <c r="F329" s="5" t="s">
        <v>10699</v>
      </c>
      <c r="G329" s="5" t="s">
        <v>6385</v>
      </c>
      <c r="H329" s="5" t="s">
        <v>3</v>
      </c>
      <c r="I329" s="5"/>
      <c r="J329" s="5" t="s">
        <v>10698</v>
      </c>
    </row>
    <row r="330" spans="1:10" x14ac:dyDescent="0.2">
      <c r="A330" s="5" t="s">
        <v>10697</v>
      </c>
      <c r="B330" s="5" t="s">
        <v>83</v>
      </c>
      <c r="C330" s="5"/>
      <c r="D330" s="5" t="s">
        <v>10696</v>
      </c>
      <c r="E330" s="5"/>
      <c r="F330" s="5" t="s">
        <v>345</v>
      </c>
      <c r="G330" s="5" t="s">
        <v>173</v>
      </c>
      <c r="H330" s="5" t="s">
        <v>3</v>
      </c>
      <c r="I330" s="5"/>
      <c r="J330" s="5" t="s">
        <v>10695</v>
      </c>
    </row>
    <row r="331" spans="1:10" x14ac:dyDescent="0.2">
      <c r="A331" s="5" t="s">
        <v>10694</v>
      </c>
      <c r="B331" s="5" t="s">
        <v>83</v>
      </c>
      <c r="C331" s="5"/>
      <c r="D331" s="5" t="s">
        <v>10693</v>
      </c>
      <c r="E331" s="5"/>
      <c r="F331" s="5" t="s">
        <v>345</v>
      </c>
      <c r="G331" s="5" t="s">
        <v>173</v>
      </c>
      <c r="H331" s="5" t="s">
        <v>3</v>
      </c>
      <c r="I331" s="5"/>
      <c r="J331" s="5" t="s">
        <v>10692</v>
      </c>
    </row>
    <row r="332" spans="1:10" x14ac:dyDescent="0.2">
      <c r="A332" s="5" t="s">
        <v>10691</v>
      </c>
      <c r="B332" s="5" t="s">
        <v>83</v>
      </c>
      <c r="C332" s="5"/>
      <c r="D332" s="5" t="s">
        <v>10558</v>
      </c>
      <c r="E332" s="5"/>
      <c r="F332" s="5"/>
      <c r="G332" s="5" t="s">
        <v>173</v>
      </c>
      <c r="H332" s="5" t="s">
        <v>3</v>
      </c>
      <c r="I332" s="5"/>
      <c r="J332" s="5" t="s">
        <v>10557</v>
      </c>
    </row>
    <row r="333" spans="1:10" ht="25.5" x14ac:dyDescent="0.2">
      <c r="A333" s="5" t="s">
        <v>10690</v>
      </c>
      <c r="B333" s="5" t="s">
        <v>83</v>
      </c>
      <c r="C333" s="5"/>
      <c r="D333" s="5" t="s">
        <v>10687</v>
      </c>
      <c r="E333" s="5" t="s">
        <v>150</v>
      </c>
      <c r="F333" s="5" t="s">
        <v>10689</v>
      </c>
      <c r="G333" s="5" t="s">
        <v>148</v>
      </c>
      <c r="H333" s="5" t="s">
        <v>3</v>
      </c>
      <c r="I333" s="5"/>
      <c r="J333" s="5" t="s">
        <v>10686</v>
      </c>
    </row>
    <row r="334" spans="1:10" ht="25.5" x14ac:dyDescent="0.2">
      <c r="A334" s="5" t="s">
        <v>10688</v>
      </c>
      <c r="B334" s="5" t="s">
        <v>83</v>
      </c>
      <c r="C334" s="5"/>
      <c r="D334" s="5" t="s">
        <v>10687</v>
      </c>
      <c r="E334" s="5" t="s">
        <v>213</v>
      </c>
      <c r="F334" s="5"/>
      <c r="G334" s="5" t="s">
        <v>91</v>
      </c>
      <c r="H334" s="5" t="s">
        <v>3</v>
      </c>
      <c r="I334" s="5"/>
      <c r="J334" s="5" t="s">
        <v>10686</v>
      </c>
    </row>
    <row r="335" spans="1:10" ht="25.5" x14ac:dyDescent="0.2">
      <c r="A335" s="5" t="s">
        <v>10685</v>
      </c>
      <c r="B335" s="5" t="s">
        <v>83</v>
      </c>
      <c r="C335" s="5"/>
      <c r="D335" s="5" t="s">
        <v>10684</v>
      </c>
      <c r="E335" s="5"/>
      <c r="F335" s="5" t="s">
        <v>10683</v>
      </c>
      <c r="G335" s="5" t="s">
        <v>105</v>
      </c>
      <c r="H335" s="5" t="s">
        <v>3</v>
      </c>
      <c r="I335" s="5"/>
      <c r="J335" s="5" t="s">
        <v>10682</v>
      </c>
    </row>
    <row r="336" spans="1:10" x14ac:dyDescent="0.2">
      <c r="A336" s="5" t="s">
        <v>10681</v>
      </c>
      <c r="B336" s="5" t="s">
        <v>83</v>
      </c>
      <c r="C336" s="5"/>
      <c r="D336" s="5" t="s">
        <v>10680</v>
      </c>
      <c r="E336" s="5"/>
      <c r="F336" s="5" t="s">
        <v>10679</v>
      </c>
      <c r="G336" s="5" t="s">
        <v>10678</v>
      </c>
      <c r="H336" s="5" t="s">
        <v>3</v>
      </c>
      <c r="I336" s="5"/>
      <c r="J336" s="5"/>
    </row>
    <row r="337" spans="1:10" x14ac:dyDescent="0.2">
      <c r="A337" s="5" t="s">
        <v>10677</v>
      </c>
      <c r="B337" s="5" t="s">
        <v>83</v>
      </c>
      <c r="C337" s="5"/>
      <c r="D337" s="5" t="s">
        <v>10676</v>
      </c>
      <c r="E337" s="5"/>
      <c r="F337" s="5" t="s">
        <v>6534</v>
      </c>
      <c r="G337" s="5" t="s">
        <v>105</v>
      </c>
      <c r="H337" s="5" t="s">
        <v>3</v>
      </c>
      <c r="I337" s="5"/>
      <c r="J337" s="5" t="s">
        <v>10675</v>
      </c>
    </row>
    <row r="338" spans="1:10" x14ac:dyDescent="0.2">
      <c r="A338" s="5" t="s">
        <v>10674</v>
      </c>
      <c r="B338" s="5" t="s">
        <v>83</v>
      </c>
      <c r="C338" s="5"/>
      <c r="D338" s="5" t="s">
        <v>10650</v>
      </c>
      <c r="E338" s="5" t="s">
        <v>5520</v>
      </c>
      <c r="F338" s="5" t="s">
        <v>10649</v>
      </c>
      <c r="G338" s="5" t="s">
        <v>207</v>
      </c>
      <c r="H338" s="5" t="s">
        <v>3</v>
      </c>
      <c r="I338" s="5"/>
      <c r="J338" s="5" t="s">
        <v>10648</v>
      </c>
    </row>
    <row r="339" spans="1:10" x14ac:dyDescent="0.2">
      <c r="A339" s="5" t="s">
        <v>10673</v>
      </c>
      <c r="B339" s="5" t="s">
        <v>83</v>
      </c>
      <c r="C339" s="5"/>
      <c r="D339" s="5" t="s">
        <v>10672</v>
      </c>
      <c r="E339" s="5"/>
      <c r="F339" s="5" t="s">
        <v>10649</v>
      </c>
      <c r="G339" s="5" t="s">
        <v>105</v>
      </c>
      <c r="H339" s="5" t="s">
        <v>3</v>
      </c>
      <c r="I339" s="5"/>
      <c r="J339" s="5" t="s">
        <v>10671</v>
      </c>
    </row>
    <row r="340" spans="1:10" ht="25.5" x14ac:dyDescent="0.2">
      <c r="A340" s="5" t="s">
        <v>10670</v>
      </c>
      <c r="B340" s="5" t="s">
        <v>83</v>
      </c>
      <c r="C340" s="5"/>
      <c r="D340" s="5" t="s">
        <v>10669</v>
      </c>
      <c r="E340" s="5"/>
      <c r="F340" s="5" t="s">
        <v>10668</v>
      </c>
      <c r="G340" s="5" t="s">
        <v>357</v>
      </c>
      <c r="H340" s="5" t="s">
        <v>3</v>
      </c>
      <c r="I340" s="5"/>
      <c r="J340" s="5" t="s">
        <v>10667</v>
      </c>
    </row>
    <row r="341" spans="1:10" x14ac:dyDescent="0.2">
      <c r="A341" s="5" t="s">
        <v>2219</v>
      </c>
      <c r="B341" s="5" t="s">
        <v>83</v>
      </c>
      <c r="C341" s="5"/>
      <c r="D341" s="5" t="s">
        <v>10666</v>
      </c>
      <c r="E341" s="5"/>
      <c r="F341" s="5" t="s">
        <v>2219</v>
      </c>
      <c r="G341" s="5" t="s">
        <v>1527</v>
      </c>
      <c r="H341" s="5" t="s">
        <v>3</v>
      </c>
      <c r="I341" s="5"/>
      <c r="J341" s="5" t="s">
        <v>10665</v>
      </c>
    </row>
    <row r="342" spans="1:10" x14ac:dyDescent="0.2">
      <c r="A342" s="5" t="s">
        <v>9749</v>
      </c>
      <c r="B342" s="5" t="s">
        <v>83</v>
      </c>
      <c r="C342" s="5"/>
      <c r="D342" s="5" t="s">
        <v>9748</v>
      </c>
      <c r="E342" s="5"/>
      <c r="F342" s="5" t="s">
        <v>7970</v>
      </c>
      <c r="G342" s="5" t="s">
        <v>3059</v>
      </c>
      <c r="H342" s="5" t="s">
        <v>3</v>
      </c>
      <c r="I342" s="5"/>
      <c r="J342" s="5" t="s">
        <v>10664</v>
      </c>
    </row>
    <row r="343" spans="1:10" ht="25.5" x14ac:dyDescent="0.2">
      <c r="A343" s="5" t="s">
        <v>10663</v>
      </c>
      <c r="B343" s="5" t="s">
        <v>83</v>
      </c>
      <c r="C343" s="5"/>
      <c r="D343" s="5" t="s">
        <v>10662</v>
      </c>
      <c r="E343" s="5"/>
      <c r="F343" s="5" t="s">
        <v>472</v>
      </c>
      <c r="G343" s="5" t="s">
        <v>283</v>
      </c>
      <c r="H343" s="5" t="s">
        <v>3</v>
      </c>
      <c r="I343" s="5"/>
      <c r="J343" s="5"/>
    </row>
    <row r="344" spans="1:10" ht="25.5" x14ac:dyDescent="0.2">
      <c r="A344" s="5" t="s">
        <v>10661</v>
      </c>
      <c r="B344" s="5" t="s">
        <v>83</v>
      </c>
      <c r="C344" s="5"/>
      <c r="D344" s="5" t="s">
        <v>10660</v>
      </c>
      <c r="E344" s="5"/>
      <c r="F344" s="5" t="s">
        <v>10659</v>
      </c>
      <c r="G344" s="5" t="s">
        <v>10658</v>
      </c>
      <c r="H344" s="5" t="s">
        <v>3</v>
      </c>
      <c r="I344" s="5"/>
      <c r="J344" s="5" t="s">
        <v>10657</v>
      </c>
    </row>
    <row r="345" spans="1:10" x14ac:dyDescent="0.2">
      <c r="A345" s="5" t="s">
        <v>10656</v>
      </c>
      <c r="B345" s="5" t="s">
        <v>83</v>
      </c>
      <c r="C345" s="5"/>
      <c r="D345" s="5" t="s">
        <v>10655</v>
      </c>
      <c r="E345" s="5"/>
      <c r="F345" s="5" t="s">
        <v>10654</v>
      </c>
      <c r="G345" s="5" t="s">
        <v>357</v>
      </c>
      <c r="H345" s="5" t="s">
        <v>3</v>
      </c>
      <c r="I345" s="5"/>
      <c r="J345" s="5"/>
    </row>
    <row r="346" spans="1:10" x14ac:dyDescent="0.2">
      <c r="A346" s="5" t="s">
        <v>9742</v>
      </c>
      <c r="B346" s="5" t="s">
        <v>83</v>
      </c>
      <c r="C346" s="5"/>
      <c r="D346" s="5" t="s">
        <v>9741</v>
      </c>
      <c r="E346" s="5"/>
      <c r="F346" s="5" t="s">
        <v>9740</v>
      </c>
      <c r="G346" s="5" t="s">
        <v>118</v>
      </c>
      <c r="H346" s="5" t="s">
        <v>3</v>
      </c>
      <c r="I346" s="5"/>
      <c r="J346" s="5" t="s">
        <v>9739</v>
      </c>
    </row>
    <row r="347" spans="1:10" ht="25.5" x14ac:dyDescent="0.2">
      <c r="A347" s="5" t="s">
        <v>9127</v>
      </c>
      <c r="B347" s="5" t="s">
        <v>83</v>
      </c>
      <c r="C347" s="5"/>
      <c r="D347" s="5" t="s">
        <v>10653</v>
      </c>
      <c r="E347" s="5"/>
      <c r="F347" s="5" t="s">
        <v>1533</v>
      </c>
      <c r="G347" s="5" t="s">
        <v>105</v>
      </c>
      <c r="H347" s="5" t="s">
        <v>3</v>
      </c>
      <c r="I347" s="5"/>
      <c r="J347" s="5" t="s">
        <v>10652</v>
      </c>
    </row>
    <row r="348" spans="1:10" x14ac:dyDescent="0.2">
      <c r="A348" s="5" t="s">
        <v>10651</v>
      </c>
      <c r="B348" s="5" t="s">
        <v>83</v>
      </c>
      <c r="C348" s="5"/>
      <c r="D348" s="5" t="s">
        <v>10650</v>
      </c>
      <c r="E348" s="5" t="s">
        <v>5520</v>
      </c>
      <c r="F348" s="5" t="s">
        <v>10649</v>
      </c>
      <c r="G348" s="5" t="s">
        <v>207</v>
      </c>
      <c r="H348" s="5" t="s">
        <v>3</v>
      </c>
      <c r="I348" s="5"/>
      <c r="J348" s="5" t="s">
        <v>10648</v>
      </c>
    </row>
    <row r="349" spans="1:10" x14ac:dyDescent="0.2">
      <c r="A349" s="5" t="s">
        <v>10647</v>
      </c>
      <c r="B349" s="5" t="s">
        <v>83</v>
      </c>
      <c r="C349" s="5"/>
      <c r="D349" s="5" t="s">
        <v>10646</v>
      </c>
      <c r="E349" s="5"/>
      <c r="F349" s="5" t="s">
        <v>10645</v>
      </c>
      <c r="G349" s="5" t="s">
        <v>224</v>
      </c>
      <c r="H349" s="5" t="s">
        <v>3</v>
      </c>
      <c r="I349" s="5"/>
      <c r="J349" s="5" t="s">
        <v>10644</v>
      </c>
    </row>
    <row r="350" spans="1:10" ht="25.5" x14ac:dyDescent="0.2">
      <c r="A350" s="5" t="s">
        <v>10643</v>
      </c>
      <c r="B350" s="5" t="s">
        <v>83</v>
      </c>
      <c r="C350" s="5"/>
      <c r="D350" s="5" t="s">
        <v>10642</v>
      </c>
      <c r="E350" s="5" t="s">
        <v>368</v>
      </c>
      <c r="F350" s="5" t="s">
        <v>10641</v>
      </c>
      <c r="G350" s="5" t="s">
        <v>195</v>
      </c>
      <c r="H350" s="5" t="s">
        <v>3</v>
      </c>
      <c r="I350" s="5"/>
      <c r="J350" s="5" t="s">
        <v>10640</v>
      </c>
    </row>
    <row r="351" spans="1:10" ht="25.5" x14ac:dyDescent="0.2">
      <c r="A351" s="5" t="s">
        <v>10639</v>
      </c>
      <c r="B351" s="5" t="s">
        <v>83</v>
      </c>
      <c r="C351" s="5"/>
      <c r="D351" s="5" t="s">
        <v>10638</v>
      </c>
      <c r="E351" s="5" t="s">
        <v>368</v>
      </c>
      <c r="F351" s="5" t="s">
        <v>10637</v>
      </c>
      <c r="G351" s="5" t="s">
        <v>195</v>
      </c>
      <c r="H351" s="5" t="s">
        <v>3</v>
      </c>
      <c r="I351" s="5"/>
      <c r="J351" s="5" t="s">
        <v>10636</v>
      </c>
    </row>
    <row r="352" spans="1:10" ht="25.5" x14ac:dyDescent="0.2">
      <c r="A352" s="5" t="s">
        <v>10635</v>
      </c>
      <c r="B352" s="5" t="s">
        <v>83</v>
      </c>
      <c r="C352" s="5"/>
      <c r="D352" s="5" t="s">
        <v>10634</v>
      </c>
      <c r="E352" s="5"/>
      <c r="F352" s="5" t="s">
        <v>10631</v>
      </c>
      <c r="G352" s="5" t="s">
        <v>80</v>
      </c>
      <c r="H352" s="5" t="s">
        <v>137</v>
      </c>
      <c r="I352" s="5" t="s">
        <v>10437</v>
      </c>
      <c r="J352" s="5" t="s">
        <v>10630</v>
      </c>
    </row>
    <row r="353" spans="1:10" ht="25.5" x14ac:dyDescent="0.2">
      <c r="A353" s="5" t="s">
        <v>10633</v>
      </c>
      <c r="B353" s="5" t="s">
        <v>83</v>
      </c>
      <c r="C353" s="5"/>
      <c r="D353" s="5" t="s">
        <v>10632</v>
      </c>
      <c r="E353" s="5"/>
      <c r="F353" s="5" t="s">
        <v>10631</v>
      </c>
      <c r="G353" s="5" t="s">
        <v>173</v>
      </c>
      <c r="H353" s="5" t="s">
        <v>137</v>
      </c>
      <c r="I353" s="5" t="s">
        <v>10437</v>
      </c>
      <c r="J353" s="5" t="s">
        <v>10630</v>
      </c>
    </row>
    <row r="354" spans="1:10" ht="25.5" x14ac:dyDescent="0.2">
      <c r="A354" s="5" t="s">
        <v>10629</v>
      </c>
      <c r="B354" s="5" t="s">
        <v>83</v>
      </c>
      <c r="C354" s="5"/>
      <c r="D354" s="5" t="s">
        <v>10628</v>
      </c>
      <c r="E354" s="5"/>
      <c r="F354" s="5"/>
      <c r="G354" s="5" t="s">
        <v>105</v>
      </c>
      <c r="H354" s="5" t="s">
        <v>3</v>
      </c>
      <c r="I354" s="5"/>
      <c r="J354" s="5" t="s">
        <v>10627</v>
      </c>
    </row>
    <row r="355" spans="1:10" ht="25.5" x14ac:dyDescent="0.2">
      <c r="A355" s="5" t="s">
        <v>10626</v>
      </c>
      <c r="B355" s="5" t="s">
        <v>83</v>
      </c>
      <c r="C355" s="5"/>
      <c r="D355" s="5" t="s">
        <v>10625</v>
      </c>
      <c r="E355" s="5" t="s">
        <v>10624</v>
      </c>
      <c r="F355" s="5" t="s">
        <v>10623</v>
      </c>
      <c r="G355" s="5" t="s">
        <v>207</v>
      </c>
      <c r="H355" s="5" t="s">
        <v>3</v>
      </c>
      <c r="I355" s="5"/>
      <c r="J355" s="5" t="s">
        <v>10622</v>
      </c>
    </row>
    <row r="356" spans="1:10" ht="25.5" x14ac:dyDescent="0.2">
      <c r="A356" s="5" t="s">
        <v>10621</v>
      </c>
      <c r="B356" s="5" t="s">
        <v>83</v>
      </c>
      <c r="C356" s="5"/>
      <c r="D356" s="5" t="s">
        <v>10620</v>
      </c>
      <c r="E356" s="5"/>
      <c r="F356" s="5" t="s">
        <v>10619</v>
      </c>
      <c r="G356" s="5" t="s">
        <v>148</v>
      </c>
      <c r="H356" s="5" t="s">
        <v>3</v>
      </c>
      <c r="I356" s="5"/>
      <c r="J356" s="5" t="s">
        <v>10618</v>
      </c>
    </row>
    <row r="357" spans="1:10" x14ac:dyDescent="0.2">
      <c r="A357" s="5" t="s">
        <v>10617</v>
      </c>
      <c r="B357" s="5" t="s">
        <v>83</v>
      </c>
      <c r="C357" s="5"/>
      <c r="D357" s="5" t="s">
        <v>10616</v>
      </c>
      <c r="E357" s="5" t="s">
        <v>93</v>
      </c>
      <c r="F357" s="5" t="s">
        <v>10615</v>
      </c>
      <c r="G357" s="5" t="s">
        <v>91</v>
      </c>
      <c r="H357" s="5" t="s">
        <v>3</v>
      </c>
      <c r="I357" s="5"/>
      <c r="J357" s="5" t="s">
        <v>10614</v>
      </c>
    </row>
    <row r="358" spans="1:10" x14ac:dyDescent="0.2">
      <c r="A358" s="5" t="s">
        <v>10613</v>
      </c>
      <c r="B358" s="5" t="s">
        <v>83</v>
      </c>
      <c r="C358" s="5"/>
      <c r="D358" s="5" t="s">
        <v>10612</v>
      </c>
      <c r="E358" s="5"/>
      <c r="F358" s="5"/>
      <c r="G358" s="5" t="s">
        <v>118</v>
      </c>
      <c r="H358" s="5" t="s">
        <v>3</v>
      </c>
      <c r="I358" s="5"/>
      <c r="J358" s="5" t="s">
        <v>10611</v>
      </c>
    </row>
    <row r="359" spans="1:10" x14ac:dyDescent="0.2">
      <c r="A359" s="5" t="s">
        <v>10610</v>
      </c>
      <c r="B359" s="5" t="s">
        <v>83</v>
      </c>
      <c r="C359" s="5"/>
      <c r="D359" s="5" t="s">
        <v>10609</v>
      </c>
      <c r="E359" s="5"/>
      <c r="F359" s="5" t="s">
        <v>10608</v>
      </c>
      <c r="G359" s="5" t="s">
        <v>3059</v>
      </c>
      <c r="H359" s="5" t="s">
        <v>3</v>
      </c>
      <c r="I359" s="5"/>
      <c r="J359" s="5" t="s">
        <v>10607</v>
      </c>
    </row>
    <row r="360" spans="1:10" ht="25.5" x14ac:dyDescent="0.2">
      <c r="A360" s="5" t="s">
        <v>10606</v>
      </c>
      <c r="B360" s="5" t="s">
        <v>83</v>
      </c>
      <c r="C360" s="5"/>
      <c r="D360" s="5" t="s">
        <v>10605</v>
      </c>
      <c r="E360" s="5"/>
      <c r="F360" s="5" t="s">
        <v>10604</v>
      </c>
      <c r="G360" s="5" t="s">
        <v>276</v>
      </c>
      <c r="H360" s="5" t="s">
        <v>137</v>
      </c>
      <c r="I360" s="5" t="s">
        <v>10603</v>
      </c>
      <c r="J360" s="5" t="s">
        <v>10602</v>
      </c>
    </row>
    <row r="361" spans="1:10" x14ac:dyDescent="0.2">
      <c r="A361" s="5" t="s">
        <v>10601</v>
      </c>
      <c r="B361" s="5" t="s">
        <v>83</v>
      </c>
      <c r="C361" s="5"/>
      <c r="D361" s="5" t="s">
        <v>10600</v>
      </c>
      <c r="E361" s="5"/>
      <c r="F361" s="5"/>
      <c r="G361" s="5" t="s">
        <v>4028</v>
      </c>
      <c r="H361" s="5" t="s">
        <v>3</v>
      </c>
      <c r="I361" s="5"/>
      <c r="J361" s="5"/>
    </row>
    <row r="362" spans="1:10" ht="25.5" x14ac:dyDescent="0.2">
      <c r="A362" s="5" t="s">
        <v>10599</v>
      </c>
      <c r="B362" s="5" t="s">
        <v>83</v>
      </c>
      <c r="C362" s="5"/>
      <c r="D362" s="5" t="s">
        <v>10598</v>
      </c>
      <c r="E362" s="5" t="s">
        <v>368</v>
      </c>
      <c r="F362" s="5" t="s">
        <v>156</v>
      </c>
      <c r="G362" s="5" t="s">
        <v>91</v>
      </c>
      <c r="H362" s="5" t="s">
        <v>3</v>
      </c>
      <c r="I362" s="5"/>
      <c r="J362" s="5" t="s">
        <v>10597</v>
      </c>
    </row>
    <row r="363" spans="1:10" x14ac:dyDescent="0.2">
      <c r="A363" s="5" t="s">
        <v>10596</v>
      </c>
      <c r="B363" s="5" t="s">
        <v>83</v>
      </c>
      <c r="C363" s="5"/>
      <c r="D363" s="5" t="s">
        <v>10595</v>
      </c>
      <c r="E363" s="5"/>
      <c r="F363" s="5" t="s">
        <v>8844</v>
      </c>
      <c r="G363" s="5" t="s">
        <v>224</v>
      </c>
      <c r="H363" s="5" t="s">
        <v>3</v>
      </c>
      <c r="I363" s="5"/>
      <c r="J363" s="5" t="s">
        <v>8844</v>
      </c>
    </row>
    <row r="364" spans="1:10" x14ac:dyDescent="0.2">
      <c r="A364" s="5" t="s">
        <v>10594</v>
      </c>
      <c r="B364" s="5" t="s">
        <v>83</v>
      </c>
      <c r="C364" s="5"/>
      <c r="D364" s="5" t="s">
        <v>10590</v>
      </c>
      <c r="E364" s="5"/>
      <c r="F364" s="5" t="s">
        <v>10593</v>
      </c>
      <c r="G364" s="5" t="s">
        <v>118</v>
      </c>
      <c r="H364" s="5" t="s">
        <v>3</v>
      </c>
      <c r="I364" s="5"/>
      <c r="J364" s="5" t="s">
        <v>10592</v>
      </c>
    </row>
    <row r="365" spans="1:10" x14ac:dyDescent="0.2">
      <c r="A365" s="5" t="s">
        <v>10591</v>
      </c>
      <c r="B365" s="5" t="s">
        <v>83</v>
      </c>
      <c r="C365" s="5"/>
      <c r="D365" s="5" t="s">
        <v>10590</v>
      </c>
      <c r="E365" s="5"/>
      <c r="F365" s="5" t="s">
        <v>10589</v>
      </c>
      <c r="G365" s="5" t="s">
        <v>118</v>
      </c>
      <c r="H365" s="5" t="s">
        <v>3</v>
      </c>
      <c r="I365" s="5"/>
      <c r="J365" s="5" t="s">
        <v>10588</v>
      </c>
    </row>
    <row r="366" spans="1:10" x14ac:dyDescent="0.2">
      <c r="A366" s="5" t="s">
        <v>10587</v>
      </c>
      <c r="B366" s="5" t="s">
        <v>83</v>
      </c>
      <c r="C366" s="5"/>
      <c r="D366" s="5" t="s">
        <v>10464</v>
      </c>
      <c r="E366" s="5"/>
      <c r="F366" s="5" t="s">
        <v>10463</v>
      </c>
      <c r="G366" s="5" t="s">
        <v>118</v>
      </c>
      <c r="H366" s="5" t="s">
        <v>3</v>
      </c>
      <c r="I366" s="5"/>
      <c r="J366" s="5" t="s">
        <v>10462</v>
      </c>
    </row>
    <row r="367" spans="1:10" x14ac:dyDescent="0.2">
      <c r="A367" s="5" t="s">
        <v>10586</v>
      </c>
      <c r="B367" s="5" t="s">
        <v>83</v>
      </c>
      <c r="C367" s="5"/>
      <c r="D367" s="5" t="s">
        <v>10585</v>
      </c>
      <c r="E367" s="5"/>
      <c r="F367" s="5" t="s">
        <v>10584</v>
      </c>
      <c r="G367" s="5" t="s">
        <v>10432</v>
      </c>
      <c r="H367" s="5" t="s">
        <v>3</v>
      </c>
      <c r="I367" s="5"/>
      <c r="J367" s="5"/>
    </row>
    <row r="368" spans="1:10" x14ac:dyDescent="0.2">
      <c r="A368" s="5" t="s">
        <v>10583</v>
      </c>
      <c r="B368" s="5" t="s">
        <v>83</v>
      </c>
      <c r="C368" s="5"/>
      <c r="D368" s="5" t="s">
        <v>10582</v>
      </c>
      <c r="E368" s="5" t="s">
        <v>368</v>
      </c>
      <c r="F368" s="5" t="s">
        <v>10581</v>
      </c>
      <c r="G368" s="5" t="s">
        <v>91</v>
      </c>
      <c r="H368" s="5" t="s">
        <v>3</v>
      </c>
      <c r="I368" s="5"/>
      <c r="J368" s="5" t="s">
        <v>10580</v>
      </c>
    </row>
    <row r="369" spans="1:10" ht="25.5" x14ac:dyDescent="0.2">
      <c r="A369" s="5" t="s">
        <v>360</v>
      </c>
      <c r="B369" s="5" t="s">
        <v>83</v>
      </c>
      <c r="C369" s="5"/>
      <c r="D369" s="5" t="s">
        <v>10579</v>
      </c>
      <c r="E369" s="5"/>
      <c r="F369" s="5" t="s">
        <v>358</v>
      </c>
      <c r="G369" s="5" t="s">
        <v>357</v>
      </c>
      <c r="H369" s="5" t="s">
        <v>3</v>
      </c>
      <c r="I369" s="5"/>
      <c r="J369" s="5" t="s">
        <v>10578</v>
      </c>
    </row>
    <row r="370" spans="1:10" x14ac:dyDescent="0.2">
      <c r="A370" s="5" t="s">
        <v>10577</v>
      </c>
      <c r="B370" s="5" t="s">
        <v>83</v>
      </c>
      <c r="C370" s="5"/>
      <c r="D370" s="5" t="s">
        <v>10576</v>
      </c>
      <c r="E370" s="5"/>
      <c r="F370" s="5" t="s">
        <v>4389</v>
      </c>
      <c r="G370" s="5" t="s">
        <v>105</v>
      </c>
      <c r="H370" s="5" t="s">
        <v>3</v>
      </c>
      <c r="I370" s="5"/>
      <c r="J370" s="5" t="s">
        <v>10575</v>
      </c>
    </row>
    <row r="371" spans="1:10" x14ac:dyDescent="0.2">
      <c r="A371" s="5" t="s">
        <v>10574</v>
      </c>
      <c r="B371" s="5" t="s">
        <v>83</v>
      </c>
      <c r="C371" s="5"/>
      <c r="D371" s="5" t="s">
        <v>10573</v>
      </c>
      <c r="E371" s="5"/>
      <c r="F371" s="5" t="s">
        <v>10572</v>
      </c>
      <c r="G371" s="5" t="s">
        <v>173</v>
      </c>
      <c r="H371" s="5" t="s">
        <v>3</v>
      </c>
      <c r="I371" s="5"/>
      <c r="J371" s="5" t="s">
        <v>10571</v>
      </c>
    </row>
    <row r="372" spans="1:10" ht="25.5" x14ac:dyDescent="0.2">
      <c r="A372" s="5" t="s">
        <v>10570</v>
      </c>
      <c r="B372" s="5" t="s">
        <v>83</v>
      </c>
      <c r="C372" s="5"/>
      <c r="D372" s="5" t="s">
        <v>10569</v>
      </c>
      <c r="E372" s="5"/>
      <c r="F372" s="5" t="s">
        <v>10568</v>
      </c>
      <c r="G372" s="5" t="s">
        <v>173</v>
      </c>
      <c r="H372" s="5" t="s">
        <v>3</v>
      </c>
      <c r="I372" s="5"/>
      <c r="J372" s="5" t="s">
        <v>10567</v>
      </c>
    </row>
    <row r="373" spans="1:10" ht="25.5" x14ac:dyDescent="0.2">
      <c r="A373" s="5" t="s">
        <v>10566</v>
      </c>
      <c r="B373" s="5" t="s">
        <v>83</v>
      </c>
      <c r="C373" s="5"/>
      <c r="D373" s="5" t="s">
        <v>10527</v>
      </c>
      <c r="E373" s="5" t="s">
        <v>368</v>
      </c>
      <c r="F373" s="5"/>
      <c r="G373" s="5" t="s">
        <v>148</v>
      </c>
      <c r="H373" s="5" t="s">
        <v>3</v>
      </c>
      <c r="I373" s="5"/>
      <c r="J373" s="5" t="s">
        <v>10526</v>
      </c>
    </row>
    <row r="374" spans="1:10" ht="25.5" x14ac:dyDescent="0.2">
      <c r="A374" s="5" t="s">
        <v>10565</v>
      </c>
      <c r="B374" s="5" t="s">
        <v>83</v>
      </c>
      <c r="C374" s="5"/>
      <c r="D374" s="5" t="s">
        <v>10564</v>
      </c>
      <c r="E374" s="5"/>
      <c r="F374" s="5"/>
      <c r="G374" s="5" t="s">
        <v>173</v>
      </c>
      <c r="H374" s="5" t="s">
        <v>3</v>
      </c>
      <c r="I374" s="5"/>
      <c r="J374" s="5" t="s">
        <v>10563</v>
      </c>
    </row>
    <row r="375" spans="1:10" ht="25.5" x14ac:dyDescent="0.2">
      <c r="A375" s="5" t="s">
        <v>10562</v>
      </c>
      <c r="B375" s="5" t="s">
        <v>83</v>
      </c>
      <c r="C375" s="5"/>
      <c r="D375" s="5" t="s">
        <v>10561</v>
      </c>
      <c r="E375" s="5"/>
      <c r="F375" s="5"/>
      <c r="G375" s="5" t="s">
        <v>173</v>
      </c>
      <c r="H375" s="5" t="s">
        <v>3</v>
      </c>
      <c r="I375" s="5"/>
      <c r="J375" s="5" t="s">
        <v>10560</v>
      </c>
    </row>
    <row r="376" spans="1:10" x14ac:dyDescent="0.2">
      <c r="A376" s="5" t="s">
        <v>10559</v>
      </c>
      <c r="B376" s="5" t="s">
        <v>83</v>
      </c>
      <c r="C376" s="5"/>
      <c r="D376" s="5" t="s">
        <v>10558</v>
      </c>
      <c r="E376" s="5"/>
      <c r="F376" s="5"/>
      <c r="G376" s="5" t="s">
        <v>173</v>
      </c>
      <c r="H376" s="5" t="s">
        <v>3</v>
      </c>
      <c r="I376" s="5"/>
      <c r="J376" s="5" t="s">
        <v>10557</v>
      </c>
    </row>
    <row r="377" spans="1:10" ht="25.5" x14ac:dyDescent="0.2">
      <c r="A377" s="5" t="s">
        <v>10556</v>
      </c>
      <c r="B377" s="5" t="s">
        <v>83</v>
      </c>
      <c r="C377" s="5"/>
      <c r="D377" s="5" t="s">
        <v>10555</v>
      </c>
      <c r="E377" s="5"/>
      <c r="F377" s="5" t="s">
        <v>10554</v>
      </c>
      <c r="G377" s="5" t="s">
        <v>173</v>
      </c>
      <c r="H377" s="5" t="s">
        <v>3</v>
      </c>
      <c r="I377" s="5"/>
      <c r="J377" s="5" t="s">
        <v>10553</v>
      </c>
    </row>
    <row r="378" spans="1:10" x14ac:dyDescent="0.2">
      <c r="A378" s="5" t="s">
        <v>10552</v>
      </c>
      <c r="B378" s="5" t="s">
        <v>83</v>
      </c>
      <c r="C378" s="5"/>
      <c r="D378" s="5" t="s">
        <v>10551</v>
      </c>
      <c r="E378" s="5"/>
      <c r="F378" s="5"/>
      <c r="G378" s="5" t="s">
        <v>276</v>
      </c>
      <c r="H378" s="5" t="s">
        <v>3</v>
      </c>
      <c r="I378" s="5"/>
      <c r="J378" s="5"/>
    </row>
    <row r="379" spans="1:10" ht="25.5" x14ac:dyDescent="0.2">
      <c r="A379" s="5" t="s">
        <v>10550</v>
      </c>
      <c r="B379" s="5" t="s">
        <v>83</v>
      </c>
      <c r="C379" s="5"/>
      <c r="D379" s="5" t="s">
        <v>10549</v>
      </c>
      <c r="E379" s="5"/>
      <c r="F379" s="5" t="s">
        <v>349</v>
      </c>
      <c r="G379" s="5" t="s">
        <v>105</v>
      </c>
      <c r="H379" s="5"/>
      <c r="I379" s="5"/>
      <c r="J379" s="5" t="s">
        <v>10548</v>
      </c>
    </row>
    <row r="380" spans="1:10" x14ac:dyDescent="0.2">
      <c r="A380" s="5" t="s">
        <v>10547</v>
      </c>
      <c r="B380" s="5" t="s">
        <v>83</v>
      </c>
      <c r="C380" s="5"/>
      <c r="D380" s="5" t="s">
        <v>10546</v>
      </c>
      <c r="E380" s="5"/>
      <c r="F380" s="5" t="s">
        <v>10545</v>
      </c>
      <c r="G380" s="5" t="s">
        <v>4057</v>
      </c>
      <c r="H380" s="5" t="s">
        <v>3</v>
      </c>
      <c r="I380" s="5"/>
      <c r="J380" s="5"/>
    </row>
    <row r="381" spans="1:10" ht="25.5" x14ac:dyDescent="0.2">
      <c r="A381" s="5" t="s">
        <v>10544</v>
      </c>
      <c r="B381" s="5" t="s">
        <v>83</v>
      </c>
      <c r="C381" s="5"/>
      <c r="D381" s="5" t="s">
        <v>10543</v>
      </c>
      <c r="E381" s="5"/>
      <c r="F381" s="5" t="s">
        <v>10542</v>
      </c>
      <c r="G381" s="5" t="s">
        <v>382</v>
      </c>
      <c r="H381" s="5" t="s">
        <v>3</v>
      </c>
      <c r="I381" s="5"/>
      <c r="J381" s="5" t="s">
        <v>10541</v>
      </c>
    </row>
    <row r="382" spans="1:10" ht="25.5" x14ac:dyDescent="0.2">
      <c r="A382" s="5" t="s">
        <v>9260</v>
      </c>
      <c r="B382" s="5" t="s">
        <v>83</v>
      </c>
      <c r="C382" s="5"/>
      <c r="D382" s="5" t="s">
        <v>10540</v>
      </c>
      <c r="E382" s="5"/>
      <c r="F382" s="5" t="s">
        <v>354</v>
      </c>
      <c r="G382" s="5" t="s">
        <v>173</v>
      </c>
      <c r="H382" s="5" t="s">
        <v>3</v>
      </c>
      <c r="I382" s="5"/>
      <c r="J382" s="5" t="s">
        <v>10539</v>
      </c>
    </row>
    <row r="383" spans="1:10" ht="25.5" x14ac:dyDescent="0.2">
      <c r="A383" s="5" t="s">
        <v>10538</v>
      </c>
      <c r="B383" s="5" t="s">
        <v>83</v>
      </c>
      <c r="C383" s="5"/>
      <c r="D383" s="5" t="s">
        <v>10537</v>
      </c>
      <c r="E383" s="5"/>
      <c r="F383" s="5" t="s">
        <v>10536</v>
      </c>
      <c r="G383" s="5" t="s">
        <v>224</v>
      </c>
      <c r="H383" s="5" t="s">
        <v>3</v>
      </c>
      <c r="I383" s="5"/>
      <c r="J383" s="5" t="s">
        <v>10535</v>
      </c>
    </row>
    <row r="384" spans="1:10" x14ac:dyDescent="0.2">
      <c r="A384" s="5" t="s">
        <v>10534</v>
      </c>
      <c r="B384" s="5" t="s">
        <v>83</v>
      </c>
      <c r="C384" s="5"/>
      <c r="D384" s="5" t="s">
        <v>10533</v>
      </c>
      <c r="E384" s="5"/>
      <c r="F384" s="5" t="s">
        <v>10530</v>
      </c>
      <c r="G384" s="5" t="s">
        <v>105</v>
      </c>
      <c r="H384" s="5" t="s">
        <v>3</v>
      </c>
      <c r="I384" s="5"/>
      <c r="J384" s="5" t="s">
        <v>10529</v>
      </c>
    </row>
    <row r="385" spans="1:10" x14ac:dyDescent="0.2">
      <c r="A385" s="5" t="s">
        <v>10532</v>
      </c>
      <c r="B385" s="5" t="s">
        <v>83</v>
      </c>
      <c r="C385" s="5"/>
      <c r="D385" s="5" t="s">
        <v>10531</v>
      </c>
      <c r="E385" s="5"/>
      <c r="F385" s="5" t="s">
        <v>10530</v>
      </c>
      <c r="G385" s="5" t="s">
        <v>80</v>
      </c>
      <c r="H385" s="5" t="s">
        <v>3</v>
      </c>
      <c r="I385" s="5"/>
      <c r="J385" s="5" t="s">
        <v>10529</v>
      </c>
    </row>
    <row r="386" spans="1:10" ht="25.5" x14ac:dyDescent="0.2">
      <c r="A386" s="5" t="s">
        <v>10528</v>
      </c>
      <c r="B386" s="5" t="s">
        <v>83</v>
      </c>
      <c r="C386" s="5"/>
      <c r="D386" s="5" t="s">
        <v>10527</v>
      </c>
      <c r="E386" s="5" t="s">
        <v>368</v>
      </c>
      <c r="F386" s="5"/>
      <c r="G386" s="5" t="s">
        <v>148</v>
      </c>
      <c r="H386" s="5" t="s">
        <v>3</v>
      </c>
      <c r="I386" s="5"/>
      <c r="J386" s="5" t="s">
        <v>10526</v>
      </c>
    </row>
    <row r="387" spans="1:10" ht="25.5" x14ac:dyDescent="0.2">
      <c r="A387" s="5" t="s">
        <v>10525</v>
      </c>
      <c r="B387" s="5" t="s">
        <v>83</v>
      </c>
      <c r="C387" s="5"/>
      <c r="D387" s="5" t="s">
        <v>10524</v>
      </c>
      <c r="E387" s="5" t="s">
        <v>368</v>
      </c>
      <c r="F387" s="5" t="s">
        <v>10521</v>
      </c>
      <c r="G387" s="5" t="s">
        <v>195</v>
      </c>
      <c r="H387" s="5" t="s">
        <v>3</v>
      </c>
      <c r="I387" s="5"/>
      <c r="J387" s="5"/>
    </row>
    <row r="388" spans="1:10" ht="25.5" x14ac:dyDescent="0.2">
      <c r="A388" s="5" t="s">
        <v>10523</v>
      </c>
      <c r="B388" s="5" t="s">
        <v>83</v>
      </c>
      <c r="C388" s="5"/>
      <c r="D388" s="5" t="s">
        <v>10522</v>
      </c>
      <c r="E388" s="5" t="s">
        <v>368</v>
      </c>
      <c r="F388" s="5" t="s">
        <v>10521</v>
      </c>
      <c r="G388" s="5" t="s">
        <v>195</v>
      </c>
      <c r="H388" s="5" t="s">
        <v>3</v>
      </c>
      <c r="I388" s="5"/>
      <c r="J388" s="5"/>
    </row>
    <row r="389" spans="1:10" ht="25.5" x14ac:dyDescent="0.2">
      <c r="A389" s="5" t="s">
        <v>10520</v>
      </c>
      <c r="B389" s="5" t="s">
        <v>83</v>
      </c>
      <c r="C389" s="5"/>
      <c r="D389" s="5" t="s">
        <v>10513</v>
      </c>
      <c r="E389" s="5"/>
      <c r="F389" s="5"/>
      <c r="G389" s="5"/>
      <c r="H389" s="5" t="s">
        <v>3</v>
      </c>
      <c r="I389" s="5"/>
      <c r="J389" s="5" t="s">
        <v>10519</v>
      </c>
    </row>
    <row r="390" spans="1:10" ht="25.5" x14ac:dyDescent="0.2">
      <c r="A390" s="5" t="s">
        <v>10518</v>
      </c>
      <c r="B390" s="5" t="s">
        <v>83</v>
      </c>
      <c r="C390" s="5"/>
      <c r="D390" s="5" t="s">
        <v>10513</v>
      </c>
      <c r="E390" s="5" t="s">
        <v>213</v>
      </c>
      <c r="F390" s="5"/>
      <c r="G390" s="5"/>
      <c r="H390" s="5" t="s">
        <v>3</v>
      </c>
      <c r="I390" s="5"/>
      <c r="J390" s="5" t="s">
        <v>10517</v>
      </c>
    </row>
    <row r="391" spans="1:10" ht="25.5" x14ac:dyDescent="0.2">
      <c r="A391" s="5" t="s">
        <v>10516</v>
      </c>
      <c r="B391" s="5" t="s">
        <v>83</v>
      </c>
      <c r="C391" s="5"/>
      <c r="D391" s="5" t="s">
        <v>10513</v>
      </c>
      <c r="E391" s="5"/>
      <c r="F391" s="5"/>
      <c r="G391" s="5"/>
      <c r="H391" s="5" t="s">
        <v>3</v>
      </c>
      <c r="I391" s="5"/>
      <c r="J391" s="5" t="s">
        <v>10515</v>
      </c>
    </row>
    <row r="392" spans="1:10" ht="25.5" x14ac:dyDescent="0.2">
      <c r="A392" s="5" t="s">
        <v>10514</v>
      </c>
      <c r="B392" s="5" t="s">
        <v>83</v>
      </c>
      <c r="C392" s="5"/>
      <c r="D392" s="5" t="s">
        <v>10513</v>
      </c>
      <c r="E392" s="5"/>
      <c r="F392" s="5"/>
      <c r="G392" s="5"/>
      <c r="H392" s="5" t="s">
        <v>3</v>
      </c>
      <c r="I392" s="5"/>
      <c r="J392" s="5" t="s">
        <v>10512</v>
      </c>
    </row>
    <row r="393" spans="1:10" ht="38.25" x14ac:dyDescent="0.2">
      <c r="A393" s="5" t="s">
        <v>10511</v>
      </c>
      <c r="B393" s="5" t="s">
        <v>83</v>
      </c>
      <c r="C393" s="5"/>
      <c r="D393" s="5" t="s">
        <v>10510</v>
      </c>
      <c r="E393" s="5"/>
      <c r="F393" s="5"/>
      <c r="G393" s="5"/>
      <c r="H393" s="5" t="s">
        <v>137</v>
      </c>
      <c r="I393" s="5"/>
      <c r="J393" s="5" t="s">
        <v>10509</v>
      </c>
    </row>
    <row r="394" spans="1:10" ht="25.5" x14ac:dyDescent="0.2">
      <c r="A394" s="5" t="s">
        <v>10508</v>
      </c>
      <c r="B394" s="5" t="s">
        <v>83</v>
      </c>
      <c r="C394" s="5"/>
      <c r="D394" s="5" t="s">
        <v>10507</v>
      </c>
      <c r="E394" s="5"/>
      <c r="F394" s="5" t="s">
        <v>10506</v>
      </c>
      <c r="G394" s="5" t="s">
        <v>122</v>
      </c>
      <c r="H394" s="5" t="s">
        <v>3</v>
      </c>
      <c r="I394" s="5"/>
      <c r="J394" s="5" t="s">
        <v>10505</v>
      </c>
    </row>
    <row r="395" spans="1:10" x14ac:dyDescent="0.2">
      <c r="A395" s="5" t="s">
        <v>297</v>
      </c>
      <c r="B395" s="5" t="s">
        <v>83</v>
      </c>
      <c r="C395" s="5"/>
      <c r="D395" s="5" t="s">
        <v>10504</v>
      </c>
      <c r="E395" s="5"/>
      <c r="F395" s="5" t="s">
        <v>259</v>
      </c>
      <c r="G395" s="5" t="s">
        <v>114</v>
      </c>
      <c r="H395" s="5" t="s">
        <v>3</v>
      </c>
      <c r="I395" s="5"/>
      <c r="J395" s="5" t="s">
        <v>295</v>
      </c>
    </row>
    <row r="396" spans="1:10" x14ac:dyDescent="0.2">
      <c r="A396" s="5" t="s">
        <v>265</v>
      </c>
      <c r="B396" s="5" t="s">
        <v>83</v>
      </c>
      <c r="C396" s="5"/>
      <c r="D396" s="5" t="s">
        <v>10503</v>
      </c>
      <c r="E396" s="5"/>
      <c r="F396" s="5" t="s">
        <v>259</v>
      </c>
      <c r="G396" s="5" t="s">
        <v>118</v>
      </c>
      <c r="H396" s="5" t="s">
        <v>3</v>
      </c>
      <c r="I396" s="5"/>
      <c r="J396" s="5" t="s">
        <v>262</v>
      </c>
    </row>
    <row r="397" spans="1:10" x14ac:dyDescent="0.2">
      <c r="A397" s="5" t="s">
        <v>242</v>
      </c>
      <c r="B397" s="5" t="s">
        <v>83</v>
      </c>
      <c r="C397" s="5"/>
      <c r="D397" s="5" t="s">
        <v>10502</v>
      </c>
      <c r="E397" s="5"/>
      <c r="F397" s="5" t="s">
        <v>240</v>
      </c>
      <c r="G397" s="5" t="s">
        <v>276</v>
      </c>
      <c r="H397" s="5" t="s">
        <v>3</v>
      </c>
      <c r="I397" s="5"/>
      <c r="J397" s="5"/>
    </row>
    <row r="398" spans="1:10" ht="25.5" x14ac:dyDescent="0.2">
      <c r="A398" s="5" t="s">
        <v>10501</v>
      </c>
      <c r="B398" s="5" t="s">
        <v>83</v>
      </c>
      <c r="C398" s="5"/>
      <c r="D398" s="5" t="s">
        <v>10500</v>
      </c>
      <c r="E398" s="5"/>
      <c r="F398" s="5" t="s">
        <v>237</v>
      </c>
      <c r="G398" s="5" t="s">
        <v>80</v>
      </c>
      <c r="H398" s="5" t="s">
        <v>3</v>
      </c>
      <c r="I398" s="5"/>
      <c r="J398" s="5" t="s">
        <v>10499</v>
      </c>
    </row>
    <row r="399" spans="1:10" ht="25.5" x14ac:dyDescent="0.2">
      <c r="A399" s="5" t="s">
        <v>10498</v>
      </c>
      <c r="B399" s="5" t="s">
        <v>83</v>
      </c>
      <c r="C399" s="5"/>
      <c r="D399" s="5" t="s">
        <v>10491</v>
      </c>
      <c r="E399" s="5"/>
      <c r="F399" s="5" t="s">
        <v>10497</v>
      </c>
      <c r="G399" s="5" t="s">
        <v>229</v>
      </c>
      <c r="H399" s="5" t="s">
        <v>3</v>
      </c>
      <c r="I399" s="5"/>
      <c r="J399" s="5" t="s">
        <v>10496</v>
      </c>
    </row>
    <row r="400" spans="1:10" ht="25.5" x14ac:dyDescent="0.2">
      <c r="A400" s="5" t="s">
        <v>10495</v>
      </c>
      <c r="B400" s="5" t="s">
        <v>83</v>
      </c>
      <c r="C400" s="5"/>
      <c r="D400" s="5" t="s">
        <v>10491</v>
      </c>
      <c r="E400" s="5"/>
      <c r="F400" s="5" t="s">
        <v>10494</v>
      </c>
      <c r="G400" s="5" t="s">
        <v>80</v>
      </c>
      <c r="H400" s="5" t="s">
        <v>3</v>
      </c>
      <c r="I400" s="5"/>
      <c r="J400" s="5" t="s">
        <v>10493</v>
      </c>
    </row>
    <row r="401" spans="1:10" ht="25.5" x14ac:dyDescent="0.2">
      <c r="A401" s="5" t="s">
        <v>10492</v>
      </c>
      <c r="B401" s="5" t="s">
        <v>83</v>
      </c>
      <c r="C401" s="5"/>
      <c r="D401" s="5" t="s">
        <v>10491</v>
      </c>
      <c r="E401" s="5"/>
      <c r="F401" s="5" t="s">
        <v>10490</v>
      </c>
      <c r="G401" s="5" t="s">
        <v>118</v>
      </c>
      <c r="H401" s="5" t="s">
        <v>3</v>
      </c>
      <c r="I401" s="5"/>
      <c r="J401" s="5" t="s">
        <v>10489</v>
      </c>
    </row>
    <row r="402" spans="1:10" ht="25.5" x14ac:dyDescent="0.2">
      <c r="A402" s="5" t="s">
        <v>10488</v>
      </c>
      <c r="B402" s="5" t="s">
        <v>83</v>
      </c>
      <c r="C402" s="5"/>
      <c r="D402" s="5" t="s">
        <v>10487</v>
      </c>
      <c r="E402" s="5" t="s">
        <v>368</v>
      </c>
      <c r="F402" s="5" t="s">
        <v>156</v>
      </c>
      <c r="G402" s="5" t="s">
        <v>91</v>
      </c>
      <c r="H402" s="5" t="s">
        <v>3</v>
      </c>
      <c r="I402" s="5"/>
      <c r="J402" s="5" t="s">
        <v>10486</v>
      </c>
    </row>
    <row r="403" spans="1:10" ht="25.5" x14ac:dyDescent="0.2">
      <c r="A403" s="5" t="s">
        <v>10485</v>
      </c>
      <c r="B403" s="5" t="s">
        <v>83</v>
      </c>
      <c r="C403" s="5"/>
      <c r="D403" s="5" t="s">
        <v>10484</v>
      </c>
      <c r="E403" s="5"/>
      <c r="F403" s="5" t="s">
        <v>10483</v>
      </c>
      <c r="G403" s="5" t="s">
        <v>328</v>
      </c>
      <c r="H403" s="5" t="s">
        <v>3</v>
      </c>
      <c r="I403" s="5"/>
      <c r="J403" s="5" t="s">
        <v>10482</v>
      </c>
    </row>
    <row r="404" spans="1:10" x14ac:dyDescent="0.2">
      <c r="A404" s="5" t="s">
        <v>10481</v>
      </c>
      <c r="B404" s="5" t="s">
        <v>83</v>
      </c>
      <c r="C404" s="5"/>
      <c r="D404" s="5" t="s">
        <v>10480</v>
      </c>
      <c r="E404" s="5"/>
      <c r="F404" s="5" t="s">
        <v>10479</v>
      </c>
      <c r="G404" s="5" t="s">
        <v>382</v>
      </c>
      <c r="H404" s="5" t="s">
        <v>137</v>
      </c>
      <c r="I404" s="5" t="s">
        <v>10478</v>
      </c>
      <c r="J404" s="5" t="s">
        <v>10477</v>
      </c>
    </row>
    <row r="405" spans="1:10" x14ac:dyDescent="0.2">
      <c r="A405" s="5" t="s">
        <v>10476</v>
      </c>
      <c r="B405" s="5" t="s">
        <v>83</v>
      </c>
      <c r="C405" s="5"/>
      <c r="D405" s="5" t="s">
        <v>10475</v>
      </c>
      <c r="E405" s="5"/>
      <c r="F405" s="5" t="s">
        <v>10474</v>
      </c>
      <c r="G405" s="5" t="s">
        <v>283</v>
      </c>
      <c r="H405" s="5" t="s">
        <v>3</v>
      </c>
      <c r="I405" s="5"/>
      <c r="J405" s="5" t="s">
        <v>10473</v>
      </c>
    </row>
    <row r="406" spans="1:10" ht="25.5" x14ac:dyDescent="0.2">
      <c r="A406" s="5" t="s">
        <v>10472</v>
      </c>
      <c r="B406" s="5" t="s">
        <v>83</v>
      </c>
      <c r="C406" s="5"/>
      <c r="D406" s="5" t="s">
        <v>10471</v>
      </c>
      <c r="E406" s="5"/>
      <c r="F406" s="5" t="s">
        <v>10470</v>
      </c>
      <c r="G406" s="5" t="s">
        <v>80</v>
      </c>
      <c r="H406" s="5" t="s">
        <v>3</v>
      </c>
      <c r="I406" s="5"/>
      <c r="J406" s="5" t="s">
        <v>10469</v>
      </c>
    </row>
    <row r="407" spans="1:10" x14ac:dyDescent="0.2">
      <c r="A407" s="5" t="s">
        <v>10468</v>
      </c>
      <c r="B407" s="5" t="s">
        <v>83</v>
      </c>
      <c r="C407" s="5"/>
      <c r="D407" s="5" t="s">
        <v>10467</v>
      </c>
      <c r="E407" s="5"/>
      <c r="F407" s="5" t="s">
        <v>345</v>
      </c>
      <c r="G407" s="5" t="s">
        <v>80</v>
      </c>
      <c r="H407" s="5" t="s">
        <v>3</v>
      </c>
      <c r="I407" s="5"/>
      <c r="J407" s="5" t="s">
        <v>10466</v>
      </c>
    </row>
    <row r="408" spans="1:10" x14ac:dyDescent="0.2">
      <c r="A408" s="5" t="s">
        <v>10465</v>
      </c>
      <c r="B408" s="5" t="s">
        <v>83</v>
      </c>
      <c r="C408" s="5"/>
      <c r="D408" s="5" t="s">
        <v>10464</v>
      </c>
      <c r="E408" s="5"/>
      <c r="F408" s="5" t="s">
        <v>10463</v>
      </c>
      <c r="G408" s="5" t="s">
        <v>118</v>
      </c>
      <c r="H408" s="5" t="s">
        <v>3</v>
      </c>
      <c r="I408" s="5"/>
      <c r="J408" s="5" t="s">
        <v>10462</v>
      </c>
    </row>
    <row r="409" spans="1:10" ht="25.5" x14ac:dyDescent="0.2">
      <c r="A409" s="5" t="s">
        <v>10461</v>
      </c>
      <c r="B409" s="5" t="s">
        <v>8</v>
      </c>
      <c r="C409" s="5"/>
      <c r="D409" s="5" t="s">
        <v>10460</v>
      </c>
      <c r="E409" s="5"/>
      <c r="F409" s="5"/>
      <c r="G409" s="5"/>
      <c r="H409" s="5"/>
      <c r="I409" s="5"/>
      <c r="J409" s="5"/>
    </row>
    <row r="410" spans="1:10" ht="25.5" x14ac:dyDescent="0.2">
      <c r="A410" s="5" t="s">
        <v>10459</v>
      </c>
      <c r="B410" s="5" t="s">
        <v>8</v>
      </c>
      <c r="C410" s="5"/>
      <c r="D410" s="5" t="s">
        <v>10458</v>
      </c>
      <c r="E410" s="5"/>
      <c r="F410" s="5"/>
      <c r="G410" s="5"/>
      <c r="H410" s="5"/>
      <c r="I410" s="5"/>
      <c r="J410" s="5"/>
    </row>
    <row r="411" spans="1:10" ht="25.5" x14ac:dyDescent="0.2">
      <c r="A411" s="5" t="s">
        <v>9328</v>
      </c>
      <c r="B411" s="5" t="s">
        <v>8</v>
      </c>
      <c r="C411" s="5"/>
      <c r="D411" s="5" t="s">
        <v>10453</v>
      </c>
      <c r="E411" s="5"/>
      <c r="F411" s="5"/>
      <c r="G411" s="5"/>
      <c r="H411" s="5"/>
      <c r="I411" s="5"/>
      <c r="J411" s="5" t="s">
        <v>10455</v>
      </c>
    </row>
    <row r="412" spans="1:10" ht="25.5" x14ac:dyDescent="0.2">
      <c r="A412" s="5" t="s">
        <v>10457</v>
      </c>
      <c r="B412" s="5" t="s">
        <v>8</v>
      </c>
      <c r="C412" s="5"/>
      <c r="D412" s="5" t="s">
        <v>10456</v>
      </c>
      <c r="E412" s="5"/>
      <c r="F412" s="5"/>
      <c r="G412" s="5"/>
      <c r="H412" s="5"/>
      <c r="I412" s="5"/>
      <c r="J412" s="5" t="s">
        <v>10455</v>
      </c>
    </row>
    <row r="413" spans="1:10" ht="25.5" x14ac:dyDescent="0.2">
      <c r="A413" s="5" t="s">
        <v>10454</v>
      </c>
      <c r="B413" s="5" t="s">
        <v>8</v>
      </c>
      <c r="C413" s="5"/>
      <c r="D413" s="5" t="s">
        <v>10453</v>
      </c>
      <c r="E413" s="5"/>
      <c r="F413" s="5"/>
      <c r="G413" s="5"/>
      <c r="H413" s="5"/>
      <c r="I413" s="5"/>
      <c r="J413" s="5" t="s">
        <v>10450</v>
      </c>
    </row>
    <row r="414" spans="1:10" ht="25.5" x14ac:dyDescent="0.2">
      <c r="A414" s="5" t="s">
        <v>10452</v>
      </c>
      <c r="B414" s="5" t="s">
        <v>8</v>
      </c>
      <c r="C414" s="5"/>
      <c r="D414" s="5" t="s">
        <v>10451</v>
      </c>
      <c r="E414" s="5"/>
      <c r="F414" s="5"/>
      <c r="G414" s="5"/>
      <c r="H414" s="5"/>
      <c r="I414" s="5"/>
      <c r="J414" s="5" t="s">
        <v>10450</v>
      </c>
    </row>
    <row r="415" spans="1:10" ht="38.25" x14ac:dyDescent="0.2">
      <c r="A415" s="5" t="s">
        <v>60</v>
      </c>
      <c r="B415" s="5" t="s">
        <v>8</v>
      </c>
      <c r="C415" s="5"/>
      <c r="D415" s="5" t="s">
        <v>10449</v>
      </c>
      <c r="E415" s="5"/>
      <c r="F415" s="5"/>
      <c r="G415" s="5"/>
      <c r="H415" s="5"/>
      <c r="I415" s="5"/>
      <c r="J415" s="5" t="s">
        <v>10448</v>
      </c>
    </row>
    <row r="416" spans="1:10" ht="25.5" x14ac:dyDescent="0.2">
      <c r="A416" s="5" t="s">
        <v>53</v>
      </c>
      <c r="B416" s="5" t="s">
        <v>8</v>
      </c>
      <c r="C416" s="5"/>
      <c r="D416" s="5" t="s">
        <v>52</v>
      </c>
      <c r="E416" s="5"/>
      <c r="F416" s="5"/>
      <c r="G416" s="5"/>
      <c r="H416" s="5"/>
      <c r="I416" s="5"/>
      <c r="J416" s="5" t="s">
        <v>51</v>
      </c>
    </row>
    <row r="417" spans="1:10" ht="25.5" x14ac:dyDescent="0.2">
      <c r="A417" s="5" t="s">
        <v>10447</v>
      </c>
      <c r="B417" s="5" t="s">
        <v>8</v>
      </c>
      <c r="C417" s="5"/>
      <c r="D417" s="5" t="s">
        <v>10446</v>
      </c>
      <c r="E417" s="5"/>
      <c r="F417" s="5"/>
      <c r="G417" s="5"/>
      <c r="H417" s="5"/>
      <c r="I417" s="5"/>
      <c r="J417" s="5"/>
    </row>
    <row r="418" spans="1:10" ht="25.5" x14ac:dyDescent="0.2">
      <c r="A418" s="5" t="s">
        <v>10445</v>
      </c>
      <c r="B418" s="5" t="s">
        <v>8</v>
      </c>
      <c r="C418" s="5"/>
      <c r="D418" s="5" t="s">
        <v>10444</v>
      </c>
      <c r="E418" s="5"/>
      <c r="F418" s="5"/>
      <c r="G418" s="5"/>
      <c r="H418" s="5"/>
      <c r="I418" s="5"/>
      <c r="J418" s="5"/>
    </row>
    <row r="419" spans="1:10" ht="38.25" x14ac:dyDescent="0.2">
      <c r="A419" s="5" t="s">
        <v>10443</v>
      </c>
      <c r="B419" s="5" t="s">
        <v>8</v>
      </c>
      <c r="C419" s="5"/>
      <c r="D419" s="5" t="s">
        <v>10442</v>
      </c>
      <c r="E419" s="5" t="s">
        <v>10441</v>
      </c>
      <c r="F419" s="5"/>
      <c r="G419" s="5"/>
      <c r="H419" s="5"/>
      <c r="I419" s="5"/>
      <c r="J419" s="5"/>
    </row>
    <row r="420" spans="1:10" ht="25.5" x14ac:dyDescent="0.2">
      <c r="A420" s="5" t="s">
        <v>10440</v>
      </c>
      <c r="B420" s="5" t="s">
        <v>8</v>
      </c>
      <c r="C420" s="5"/>
      <c r="D420" s="5" t="s">
        <v>10439</v>
      </c>
      <c r="E420" s="5"/>
      <c r="F420" s="5"/>
      <c r="G420" s="5"/>
      <c r="H420" s="5"/>
      <c r="I420" s="5"/>
      <c r="J420" s="5" t="s">
        <v>10438</v>
      </c>
    </row>
    <row r="421" spans="1:10" x14ac:dyDescent="0.2">
      <c r="A421" s="5" t="s">
        <v>10437</v>
      </c>
      <c r="B421" s="5" t="s">
        <v>8</v>
      </c>
      <c r="C421" s="5"/>
      <c r="D421" s="5" t="s">
        <v>10436</v>
      </c>
      <c r="E421" s="5"/>
      <c r="F421" s="5"/>
      <c r="G421" s="5"/>
      <c r="H421" s="5"/>
      <c r="I421" s="5"/>
      <c r="J421" s="5"/>
    </row>
    <row r="422" spans="1:10" x14ac:dyDescent="0.2">
      <c r="A422" s="5" t="s">
        <v>1</v>
      </c>
      <c r="B422" s="5" t="s">
        <v>0</v>
      </c>
      <c r="C422" s="5"/>
      <c r="D422" s="5">
        <v>122</v>
      </c>
      <c r="E422" s="5"/>
      <c r="F422" s="5"/>
      <c r="G422" s="5"/>
      <c r="H422" s="5"/>
      <c r="I422" s="5"/>
      <c r="J422" s="5"/>
    </row>
  </sheetData>
  <autoFilter ref="A3:M3" xr:uid="{B2F118FD-E5B2-4E44-9BD3-D0682A1C8D44}"/>
  <mergeCells count="1">
    <mergeCell ref="G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25EE-2404-489D-8711-F27FDB115DCD}">
  <sheetPr codeName="Sheet25"/>
  <dimension ref="A1:Y326"/>
  <sheetViews>
    <sheetView workbookViewId="0">
      <pane ySplit="9645" topLeftCell="A324"/>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12303</v>
      </c>
      <c r="C1" s="14"/>
      <c r="D1" s="14"/>
      <c r="E1" s="14"/>
      <c r="F1" s="13" t="s">
        <v>8892</v>
      </c>
      <c r="G1" s="16">
        <v>45538</v>
      </c>
      <c r="H1" s="16"/>
      <c r="I1" s="16"/>
      <c r="J1" s="11"/>
    </row>
    <row r="2" spans="1:25" ht="18" x14ac:dyDescent="0.2">
      <c r="A2" s="14">
        <f ca="1">COUNTA(OFFSET(A3,1,0,2222,1))</f>
        <v>323</v>
      </c>
      <c r="B2" s="15"/>
      <c r="C2" s="14">
        <f ca="1">MAX(OFFSET(C3,1,0,2222,1))</f>
        <v>154</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12303</v>
      </c>
      <c r="G4" s="5" t="s">
        <v>229</v>
      </c>
      <c r="H4" s="5" t="s">
        <v>3</v>
      </c>
      <c r="I4" s="5"/>
      <c r="J4" s="5" t="s">
        <v>8874</v>
      </c>
    </row>
    <row r="5" spans="1:25" ht="25.5" x14ac:dyDescent="0.2">
      <c r="A5" s="5" t="s">
        <v>8571</v>
      </c>
      <c r="B5" s="5" t="s">
        <v>8584</v>
      </c>
      <c r="C5" s="5">
        <v>0</v>
      </c>
      <c r="D5" s="5"/>
      <c r="E5" s="5"/>
      <c r="F5" s="5" t="s">
        <v>11225</v>
      </c>
      <c r="G5" s="5" t="s">
        <v>896</v>
      </c>
      <c r="H5" s="5" t="s">
        <v>3</v>
      </c>
      <c r="I5" s="5"/>
      <c r="J5" s="5" t="s">
        <v>12302</v>
      </c>
    </row>
    <row r="6" spans="1:25" ht="38.25" x14ac:dyDescent="0.2">
      <c r="A6" s="5" t="s">
        <v>11540</v>
      </c>
      <c r="B6" s="5" t="s">
        <v>8584</v>
      </c>
      <c r="C6" s="5">
        <v>0</v>
      </c>
      <c r="D6" s="5"/>
      <c r="E6" s="5"/>
      <c r="F6" s="5" t="s">
        <v>12300</v>
      </c>
      <c r="G6" s="5" t="s">
        <v>276</v>
      </c>
      <c r="H6" s="5" t="s">
        <v>3</v>
      </c>
      <c r="I6" s="5"/>
      <c r="J6" s="5" t="s">
        <v>12299</v>
      </c>
    </row>
    <row r="7" spans="1:25" ht="38.25" x14ac:dyDescent="0.2">
      <c r="A7" s="5" t="s">
        <v>12301</v>
      </c>
      <c r="B7" s="5" t="s">
        <v>8584</v>
      </c>
      <c r="C7" s="5">
        <v>0</v>
      </c>
      <c r="D7" s="5"/>
      <c r="E7" s="5"/>
      <c r="F7" s="5" t="s">
        <v>12300</v>
      </c>
      <c r="G7" s="5" t="s">
        <v>170</v>
      </c>
      <c r="H7" s="5" t="s">
        <v>3</v>
      </c>
      <c r="I7" s="5"/>
      <c r="J7" s="5" t="s">
        <v>12299</v>
      </c>
    </row>
    <row r="8" spans="1:25" ht="38.25" x14ac:dyDescent="0.2">
      <c r="A8" s="5" t="s">
        <v>11538</v>
      </c>
      <c r="B8" s="5" t="s">
        <v>8584</v>
      </c>
      <c r="C8" s="5">
        <v>1</v>
      </c>
      <c r="D8" s="5"/>
      <c r="E8" s="5"/>
      <c r="F8" s="5" t="s">
        <v>11225</v>
      </c>
      <c r="G8" s="5" t="s">
        <v>105</v>
      </c>
      <c r="H8" s="5" t="s">
        <v>3</v>
      </c>
      <c r="I8" s="5"/>
      <c r="J8" s="5" t="s">
        <v>12297</v>
      </c>
    </row>
    <row r="9" spans="1:25" s="2" customFormat="1" ht="38.25" x14ac:dyDescent="0.2">
      <c r="A9" s="5" t="s">
        <v>12298</v>
      </c>
      <c r="B9" s="5" t="s">
        <v>8584</v>
      </c>
      <c r="C9" s="5">
        <v>1</v>
      </c>
      <c r="D9" s="5"/>
      <c r="E9" s="5"/>
      <c r="F9" s="5" t="s">
        <v>9245</v>
      </c>
      <c r="G9" s="5" t="s">
        <v>105</v>
      </c>
      <c r="H9" s="5" t="s">
        <v>3</v>
      </c>
      <c r="I9" s="5"/>
      <c r="J9" s="5" t="s">
        <v>12297</v>
      </c>
      <c r="M9" s="1"/>
      <c r="N9"/>
      <c r="O9"/>
      <c r="P9"/>
      <c r="Q9"/>
      <c r="R9"/>
      <c r="S9"/>
      <c r="T9"/>
      <c r="U9"/>
      <c r="V9"/>
      <c r="W9"/>
      <c r="X9"/>
      <c r="Y9"/>
    </row>
    <row r="10" spans="1:25" s="2" customFormat="1" x14ac:dyDescent="0.2">
      <c r="A10" s="5" t="s">
        <v>12296</v>
      </c>
      <c r="B10" s="5" t="s">
        <v>8584</v>
      </c>
      <c r="C10" s="5">
        <v>1</v>
      </c>
      <c r="D10" s="5"/>
      <c r="E10" s="5"/>
      <c r="F10" s="5" t="s">
        <v>10313</v>
      </c>
      <c r="G10" s="5" t="s">
        <v>105</v>
      </c>
      <c r="H10" s="5" t="s">
        <v>3</v>
      </c>
      <c r="I10" s="5"/>
      <c r="J10" s="5" t="s">
        <v>11534</v>
      </c>
      <c r="M10" s="1"/>
      <c r="N10"/>
      <c r="O10"/>
      <c r="P10"/>
      <c r="Q10"/>
      <c r="R10"/>
      <c r="S10"/>
      <c r="T10"/>
      <c r="U10"/>
      <c r="V10"/>
      <c r="W10"/>
      <c r="X10"/>
      <c r="Y10"/>
    </row>
    <row r="11" spans="1:25" s="2" customFormat="1" ht="38.25" x14ac:dyDescent="0.2">
      <c r="A11" s="5" t="s">
        <v>10685</v>
      </c>
      <c r="B11" s="5" t="s">
        <v>8584</v>
      </c>
      <c r="C11" s="5">
        <v>2</v>
      </c>
      <c r="D11" s="5"/>
      <c r="E11" s="5"/>
      <c r="F11" s="5" t="s">
        <v>472</v>
      </c>
      <c r="G11" s="5" t="s">
        <v>105</v>
      </c>
      <c r="H11" s="5" t="s">
        <v>3</v>
      </c>
      <c r="I11" s="5"/>
      <c r="J11" s="5" t="s">
        <v>12295</v>
      </c>
      <c r="M11" s="1"/>
      <c r="N11"/>
      <c r="O11"/>
      <c r="P11"/>
      <c r="Q11"/>
      <c r="R11"/>
      <c r="S11"/>
      <c r="T11"/>
      <c r="U11"/>
      <c r="V11"/>
      <c r="W11"/>
      <c r="X11"/>
      <c r="Y11"/>
    </row>
    <row r="12" spans="1:25" s="2" customFormat="1" x14ac:dyDescent="0.2">
      <c r="A12" s="5" t="s">
        <v>12294</v>
      </c>
      <c r="B12" s="5" t="s">
        <v>8584</v>
      </c>
      <c r="C12" s="5">
        <v>3</v>
      </c>
      <c r="D12" s="5"/>
      <c r="E12" s="5" t="s">
        <v>150</v>
      </c>
      <c r="F12" s="5" t="s">
        <v>6618</v>
      </c>
      <c r="G12" s="5" t="s">
        <v>382</v>
      </c>
      <c r="H12" s="5" t="s">
        <v>3</v>
      </c>
      <c r="I12" s="5"/>
      <c r="J12" s="5" t="s">
        <v>12292</v>
      </c>
      <c r="M12" s="1"/>
      <c r="N12"/>
      <c r="O12"/>
      <c r="P12"/>
      <c r="Q12"/>
      <c r="R12"/>
      <c r="S12"/>
      <c r="T12"/>
      <c r="U12"/>
      <c r="V12"/>
      <c r="W12"/>
      <c r="X12"/>
      <c r="Y12"/>
    </row>
    <row r="13" spans="1:25" s="2" customFormat="1" x14ac:dyDescent="0.2">
      <c r="A13" s="5" t="s">
        <v>12293</v>
      </c>
      <c r="B13" s="5" t="s">
        <v>8584</v>
      </c>
      <c r="C13" s="5">
        <v>3</v>
      </c>
      <c r="D13" s="5"/>
      <c r="E13" s="5" t="s">
        <v>213</v>
      </c>
      <c r="F13" s="5" t="s">
        <v>6618</v>
      </c>
      <c r="G13" s="5" t="s">
        <v>91</v>
      </c>
      <c r="H13" s="5" t="s">
        <v>3</v>
      </c>
      <c r="I13" s="5"/>
      <c r="J13" s="5" t="s">
        <v>12292</v>
      </c>
      <c r="M13" s="1"/>
      <c r="N13"/>
      <c r="O13"/>
      <c r="P13"/>
      <c r="Q13"/>
      <c r="R13"/>
      <c r="S13"/>
      <c r="T13"/>
      <c r="U13"/>
      <c r="V13"/>
      <c r="W13"/>
      <c r="X13"/>
      <c r="Y13"/>
    </row>
    <row r="14" spans="1:25" s="2" customFormat="1" x14ac:dyDescent="0.2">
      <c r="A14" s="5" t="s">
        <v>10871</v>
      </c>
      <c r="B14" s="5" t="s">
        <v>8584</v>
      </c>
      <c r="C14" s="5">
        <v>4</v>
      </c>
      <c r="D14" s="5"/>
      <c r="E14" s="5"/>
      <c r="F14" s="5" t="s">
        <v>12291</v>
      </c>
      <c r="G14" s="5" t="s">
        <v>224</v>
      </c>
      <c r="H14" s="5" t="s">
        <v>3</v>
      </c>
      <c r="I14" s="5"/>
      <c r="J14" s="5" t="s">
        <v>12290</v>
      </c>
      <c r="M14" s="1"/>
      <c r="N14"/>
      <c r="O14"/>
      <c r="P14"/>
      <c r="Q14"/>
      <c r="R14"/>
      <c r="S14"/>
      <c r="T14"/>
      <c r="U14"/>
      <c r="V14"/>
      <c r="W14"/>
      <c r="X14"/>
      <c r="Y14"/>
    </row>
    <row r="15" spans="1:25" s="2" customFormat="1" ht="25.5" x14ac:dyDescent="0.2">
      <c r="A15" s="5" t="s">
        <v>7465</v>
      </c>
      <c r="B15" s="5" t="s">
        <v>8584</v>
      </c>
      <c r="C15" s="5">
        <v>4</v>
      </c>
      <c r="D15" s="5"/>
      <c r="E15" s="5"/>
      <c r="F15" s="5" t="s">
        <v>7463</v>
      </c>
      <c r="G15" s="5" t="s">
        <v>12286</v>
      </c>
      <c r="H15" s="5" t="s">
        <v>3</v>
      </c>
      <c r="I15" s="5"/>
      <c r="J15" s="5" t="s">
        <v>12289</v>
      </c>
      <c r="M15" s="1"/>
      <c r="N15"/>
      <c r="O15"/>
      <c r="P15"/>
      <c r="Q15"/>
      <c r="R15"/>
      <c r="S15"/>
      <c r="T15"/>
      <c r="U15"/>
      <c r="V15"/>
      <c r="W15"/>
      <c r="X15"/>
      <c r="Y15"/>
    </row>
    <row r="16" spans="1:25" s="2" customFormat="1" ht="25.5" x14ac:dyDescent="0.2">
      <c r="A16" s="5" t="s">
        <v>12288</v>
      </c>
      <c r="B16" s="5" t="s">
        <v>8584</v>
      </c>
      <c r="C16" s="5">
        <v>4</v>
      </c>
      <c r="D16" s="5"/>
      <c r="E16" s="5" t="s">
        <v>11304</v>
      </c>
      <c r="F16" s="5" t="s">
        <v>12287</v>
      </c>
      <c r="G16" s="5" t="s">
        <v>12286</v>
      </c>
      <c r="H16" s="5" t="s">
        <v>3</v>
      </c>
      <c r="I16" s="5"/>
      <c r="J16" s="5" t="s">
        <v>12285</v>
      </c>
      <c r="M16" s="1"/>
      <c r="N16"/>
      <c r="O16"/>
      <c r="P16"/>
      <c r="Q16"/>
      <c r="R16"/>
      <c r="S16"/>
      <c r="T16"/>
      <c r="U16"/>
      <c r="V16"/>
      <c r="W16"/>
      <c r="X16"/>
      <c r="Y16"/>
    </row>
    <row r="17" spans="1:25" s="2" customFormat="1" x14ac:dyDescent="0.2">
      <c r="A17" s="5" t="s">
        <v>11213</v>
      </c>
      <c r="B17" s="5" t="s">
        <v>8584</v>
      </c>
      <c r="C17" s="5">
        <v>5</v>
      </c>
      <c r="D17" s="5"/>
      <c r="E17" s="5" t="s">
        <v>11304</v>
      </c>
      <c r="F17" s="5" t="s">
        <v>11211</v>
      </c>
      <c r="G17" s="5" t="s">
        <v>224</v>
      </c>
      <c r="H17" s="5" t="s">
        <v>137</v>
      </c>
      <c r="I17" s="5" t="s">
        <v>11213</v>
      </c>
      <c r="J17" s="5" t="s">
        <v>11210</v>
      </c>
      <c r="M17" s="1"/>
      <c r="N17"/>
      <c r="O17"/>
      <c r="P17"/>
      <c r="Q17"/>
      <c r="R17"/>
      <c r="S17"/>
      <c r="T17"/>
      <c r="U17"/>
      <c r="V17"/>
      <c r="W17"/>
      <c r="X17"/>
      <c r="Y17"/>
    </row>
    <row r="18" spans="1:25" s="2" customFormat="1" x14ac:dyDescent="0.2">
      <c r="A18" s="5" t="s">
        <v>10753</v>
      </c>
      <c r="B18" s="5" t="s">
        <v>8584</v>
      </c>
      <c r="C18" s="5">
        <v>6</v>
      </c>
      <c r="D18" s="5"/>
      <c r="E18" s="5"/>
      <c r="F18" s="5" t="s">
        <v>10751</v>
      </c>
      <c r="G18" s="5" t="s">
        <v>173</v>
      </c>
      <c r="H18" s="5" t="s">
        <v>3</v>
      </c>
      <c r="I18" s="5"/>
      <c r="J18" s="5" t="s">
        <v>10750</v>
      </c>
      <c r="M18" s="1"/>
      <c r="N18"/>
      <c r="O18"/>
      <c r="P18"/>
      <c r="Q18"/>
      <c r="R18"/>
      <c r="S18"/>
      <c r="T18"/>
      <c r="U18"/>
      <c r="V18"/>
      <c r="W18"/>
      <c r="X18"/>
      <c r="Y18"/>
    </row>
    <row r="19" spans="1:25" s="2" customFormat="1" ht="25.5" x14ac:dyDescent="0.2">
      <c r="A19" s="5" t="s">
        <v>12284</v>
      </c>
      <c r="B19" s="5" t="s">
        <v>8584</v>
      </c>
      <c r="C19" s="5">
        <v>7</v>
      </c>
      <c r="D19" s="5"/>
      <c r="E19" s="5"/>
      <c r="F19" s="5" t="s">
        <v>12283</v>
      </c>
      <c r="G19" s="5" t="s">
        <v>122</v>
      </c>
      <c r="H19" s="5" t="s">
        <v>3</v>
      </c>
      <c r="I19" s="5"/>
      <c r="J19" s="5" t="s">
        <v>12283</v>
      </c>
      <c r="M19" s="1"/>
      <c r="N19"/>
      <c r="O19"/>
      <c r="P19"/>
      <c r="Q19"/>
      <c r="R19"/>
      <c r="S19"/>
      <c r="T19"/>
      <c r="U19"/>
      <c r="V19"/>
      <c r="W19"/>
      <c r="X19"/>
      <c r="Y19"/>
    </row>
    <row r="20" spans="1:25" s="2" customFormat="1" x14ac:dyDescent="0.2">
      <c r="A20" s="5" t="s">
        <v>12282</v>
      </c>
      <c r="B20" s="5" t="s">
        <v>8584</v>
      </c>
      <c r="C20" s="5">
        <v>7</v>
      </c>
      <c r="D20" s="5"/>
      <c r="E20" s="5"/>
      <c r="F20" s="5" t="s">
        <v>12281</v>
      </c>
      <c r="G20" s="5" t="s">
        <v>122</v>
      </c>
      <c r="H20" s="5" t="s">
        <v>3</v>
      </c>
      <c r="I20" s="5"/>
      <c r="J20" s="5" t="s">
        <v>12280</v>
      </c>
      <c r="M20" s="1"/>
      <c r="N20"/>
      <c r="O20"/>
      <c r="P20"/>
      <c r="Q20"/>
      <c r="R20"/>
      <c r="S20"/>
      <c r="T20"/>
      <c r="U20"/>
      <c r="V20"/>
      <c r="W20"/>
      <c r="X20"/>
      <c r="Y20"/>
    </row>
    <row r="21" spans="1:25" s="2" customFormat="1" ht="25.5" x14ac:dyDescent="0.2">
      <c r="A21" s="5" t="s">
        <v>12279</v>
      </c>
      <c r="B21" s="5" t="s">
        <v>8584</v>
      </c>
      <c r="C21" s="5">
        <v>7</v>
      </c>
      <c r="D21" s="5"/>
      <c r="E21" s="5"/>
      <c r="F21" s="5" t="s">
        <v>11707</v>
      </c>
      <c r="G21" s="5" t="s">
        <v>122</v>
      </c>
      <c r="H21" s="5" t="s">
        <v>3</v>
      </c>
      <c r="I21" s="5"/>
      <c r="J21" s="5" t="s">
        <v>12278</v>
      </c>
      <c r="M21" s="1"/>
      <c r="N21"/>
      <c r="O21"/>
      <c r="P21"/>
      <c r="Q21"/>
      <c r="R21"/>
      <c r="S21"/>
      <c r="T21"/>
      <c r="U21"/>
      <c r="V21"/>
      <c r="W21"/>
      <c r="X21"/>
      <c r="Y21"/>
    </row>
    <row r="22" spans="1:25" s="2" customFormat="1" ht="25.5" x14ac:dyDescent="0.2">
      <c r="A22" s="5" t="s">
        <v>12277</v>
      </c>
      <c r="B22" s="5" t="s">
        <v>8584</v>
      </c>
      <c r="C22" s="5">
        <v>8</v>
      </c>
      <c r="D22" s="5"/>
      <c r="E22" s="5" t="s">
        <v>11304</v>
      </c>
      <c r="F22" s="5" t="s">
        <v>12277</v>
      </c>
      <c r="G22" s="5" t="s">
        <v>224</v>
      </c>
      <c r="H22" s="5" t="s">
        <v>137</v>
      </c>
      <c r="I22" s="5"/>
      <c r="J22" s="5" t="s">
        <v>12276</v>
      </c>
      <c r="M22" s="1"/>
      <c r="N22"/>
      <c r="O22"/>
      <c r="P22"/>
      <c r="Q22"/>
      <c r="R22"/>
      <c r="S22"/>
      <c r="T22"/>
      <c r="U22"/>
      <c r="V22"/>
      <c r="W22"/>
      <c r="X22"/>
      <c r="Y22"/>
    </row>
    <row r="23" spans="1:25" s="2" customFormat="1" x14ac:dyDescent="0.2">
      <c r="A23" s="5" t="s">
        <v>11464</v>
      </c>
      <c r="B23" s="5" t="s">
        <v>8584</v>
      </c>
      <c r="C23" s="5">
        <v>9</v>
      </c>
      <c r="D23" s="5"/>
      <c r="E23" s="5"/>
      <c r="F23" s="5" t="s">
        <v>2219</v>
      </c>
      <c r="G23" s="5" t="s">
        <v>118</v>
      </c>
      <c r="H23" s="5" t="s">
        <v>3</v>
      </c>
      <c r="I23" s="5"/>
      <c r="J23" s="5" t="s">
        <v>12273</v>
      </c>
      <c r="M23" s="1"/>
      <c r="N23"/>
      <c r="O23"/>
      <c r="P23"/>
      <c r="Q23"/>
      <c r="R23"/>
      <c r="S23"/>
      <c r="T23"/>
      <c r="U23"/>
      <c r="V23"/>
      <c r="W23"/>
      <c r="X23"/>
      <c r="Y23"/>
    </row>
    <row r="24" spans="1:25" s="2" customFormat="1" x14ac:dyDescent="0.2">
      <c r="A24" s="5" t="s">
        <v>12275</v>
      </c>
      <c r="B24" s="5" t="s">
        <v>8584</v>
      </c>
      <c r="C24" s="5">
        <v>9</v>
      </c>
      <c r="D24" s="5"/>
      <c r="E24" s="5"/>
      <c r="F24" s="5" t="s">
        <v>2219</v>
      </c>
      <c r="G24" s="5" t="s">
        <v>118</v>
      </c>
      <c r="H24" s="5" t="s">
        <v>3</v>
      </c>
      <c r="I24" s="5"/>
      <c r="J24" s="5" t="s">
        <v>12273</v>
      </c>
      <c r="M24" s="1"/>
      <c r="N24"/>
      <c r="O24"/>
      <c r="P24"/>
      <c r="Q24"/>
      <c r="R24"/>
      <c r="S24"/>
      <c r="T24"/>
      <c r="U24"/>
      <c r="V24"/>
      <c r="W24"/>
      <c r="X24"/>
      <c r="Y24"/>
    </row>
    <row r="25" spans="1:25" s="2" customFormat="1" x14ac:dyDescent="0.2">
      <c r="A25" s="5" t="s">
        <v>2219</v>
      </c>
      <c r="B25" s="5" t="s">
        <v>8584</v>
      </c>
      <c r="C25" s="5">
        <v>9</v>
      </c>
      <c r="D25" s="5"/>
      <c r="E25" s="5"/>
      <c r="F25" s="5" t="s">
        <v>7970</v>
      </c>
      <c r="G25" s="5" t="s">
        <v>118</v>
      </c>
      <c r="H25" s="5" t="s">
        <v>3</v>
      </c>
      <c r="I25" s="5"/>
      <c r="J25" s="5" t="s">
        <v>12273</v>
      </c>
      <c r="M25" s="1"/>
      <c r="N25"/>
      <c r="O25"/>
      <c r="P25"/>
      <c r="Q25"/>
      <c r="R25"/>
      <c r="S25"/>
      <c r="T25"/>
      <c r="U25"/>
      <c r="V25"/>
      <c r="W25"/>
      <c r="X25"/>
      <c r="Y25"/>
    </row>
    <row r="26" spans="1:25" s="2" customFormat="1" x14ac:dyDescent="0.2">
      <c r="A26" s="5" t="s">
        <v>12274</v>
      </c>
      <c r="B26" s="5" t="s">
        <v>8584</v>
      </c>
      <c r="C26" s="5">
        <v>9</v>
      </c>
      <c r="D26" s="5"/>
      <c r="E26" s="5"/>
      <c r="F26" s="5" t="s">
        <v>2219</v>
      </c>
      <c r="G26" s="5" t="s">
        <v>118</v>
      </c>
      <c r="H26" s="5" t="s">
        <v>3</v>
      </c>
      <c r="I26" s="5"/>
      <c r="J26" s="5" t="s">
        <v>12273</v>
      </c>
      <c r="M26" s="1"/>
      <c r="N26"/>
      <c r="O26"/>
      <c r="P26"/>
      <c r="Q26"/>
      <c r="R26"/>
      <c r="S26"/>
      <c r="T26"/>
      <c r="U26"/>
      <c r="V26"/>
      <c r="W26"/>
      <c r="X26"/>
      <c r="Y26"/>
    </row>
    <row r="27" spans="1:25" s="2" customFormat="1" ht="25.5" x14ac:dyDescent="0.2">
      <c r="A27" s="5" t="s">
        <v>12272</v>
      </c>
      <c r="B27" s="5" t="s">
        <v>8584</v>
      </c>
      <c r="C27" s="5">
        <v>10</v>
      </c>
      <c r="D27" s="5"/>
      <c r="E27" s="5"/>
      <c r="F27" s="5" t="s">
        <v>10758</v>
      </c>
      <c r="G27" s="5" t="s">
        <v>4</v>
      </c>
      <c r="H27" s="5" t="s">
        <v>3</v>
      </c>
      <c r="I27" s="5"/>
      <c r="J27" s="5" t="s">
        <v>12271</v>
      </c>
      <c r="M27" s="1"/>
      <c r="N27"/>
      <c r="O27"/>
      <c r="P27"/>
      <c r="Q27"/>
      <c r="R27"/>
      <c r="S27"/>
      <c r="T27"/>
      <c r="U27"/>
      <c r="V27"/>
      <c r="W27"/>
      <c r="X27"/>
      <c r="Y27"/>
    </row>
    <row r="28" spans="1:25" s="2" customFormat="1" ht="38.25" x14ac:dyDescent="0.2">
      <c r="A28" s="5" t="s">
        <v>12221</v>
      </c>
      <c r="B28" s="5" t="s">
        <v>8584</v>
      </c>
      <c r="C28" s="5">
        <v>11</v>
      </c>
      <c r="D28" s="5"/>
      <c r="E28" s="5"/>
      <c r="F28" s="5" t="s">
        <v>12221</v>
      </c>
      <c r="G28" s="5" t="s">
        <v>118</v>
      </c>
      <c r="H28" s="5" t="s">
        <v>3</v>
      </c>
      <c r="I28" s="5"/>
      <c r="J28" s="5" t="s">
        <v>12270</v>
      </c>
      <c r="M28" s="1"/>
      <c r="N28"/>
      <c r="O28"/>
      <c r="P28"/>
      <c r="Q28"/>
      <c r="R28"/>
      <c r="S28"/>
      <c r="T28"/>
      <c r="U28"/>
      <c r="V28"/>
      <c r="W28"/>
      <c r="X28"/>
      <c r="Y28"/>
    </row>
    <row r="29" spans="1:25" s="2" customFormat="1" ht="25.5" x14ac:dyDescent="0.2">
      <c r="A29" s="5" t="s">
        <v>12269</v>
      </c>
      <c r="B29" s="5" t="s">
        <v>8584</v>
      </c>
      <c r="C29" s="5">
        <v>12</v>
      </c>
      <c r="D29" s="5"/>
      <c r="E29" s="5"/>
      <c r="F29" s="5" t="s">
        <v>12268</v>
      </c>
      <c r="G29" s="5" t="s">
        <v>4</v>
      </c>
      <c r="H29" s="5" t="s">
        <v>3</v>
      </c>
      <c r="I29" s="5"/>
      <c r="J29" s="5" t="s">
        <v>12267</v>
      </c>
      <c r="M29" s="1"/>
      <c r="N29"/>
      <c r="O29"/>
      <c r="P29"/>
      <c r="Q29"/>
      <c r="R29"/>
      <c r="S29"/>
      <c r="T29"/>
      <c r="U29"/>
      <c r="V29"/>
      <c r="W29"/>
      <c r="X29"/>
      <c r="Y29"/>
    </row>
    <row r="30" spans="1:25" s="2" customFormat="1" ht="25.5" x14ac:dyDescent="0.2">
      <c r="A30" s="5" t="s">
        <v>12266</v>
      </c>
      <c r="B30" s="5" t="s">
        <v>8584</v>
      </c>
      <c r="C30" s="5">
        <v>14</v>
      </c>
      <c r="D30" s="5"/>
      <c r="E30" s="5"/>
      <c r="F30" s="5" t="s">
        <v>12265</v>
      </c>
      <c r="G30" s="5" t="s">
        <v>118</v>
      </c>
      <c r="H30" s="5" t="s">
        <v>137</v>
      </c>
      <c r="I30" s="5"/>
      <c r="J30" s="5" t="s">
        <v>12264</v>
      </c>
      <c r="M30" s="1"/>
      <c r="N30"/>
      <c r="O30"/>
      <c r="P30"/>
      <c r="Q30"/>
      <c r="R30"/>
      <c r="S30"/>
      <c r="T30"/>
      <c r="U30"/>
      <c r="V30"/>
      <c r="W30"/>
      <c r="X30"/>
      <c r="Y30"/>
    </row>
    <row r="31" spans="1:25" s="2" customFormat="1" ht="25.5" x14ac:dyDescent="0.2">
      <c r="A31" s="5" t="s">
        <v>12263</v>
      </c>
      <c r="B31" s="5" t="s">
        <v>8584</v>
      </c>
      <c r="C31" s="5">
        <v>14</v>
      </c>
      <c r="D31" s="5"/>
      <c r="E31" s="5"/>
      <c r="F31" s="5" t="s">
        <v>12262</v>
      </c>
      <c r="G31" s="5" t="s">
        <v>155</v>
      </c>
      <c r="H31" s="5" t="s">
        <v>3</v>
      </c>
      <c r="I31" s="5"/>
      <c r="J31" s="5" t="s">
        <v>12261</v>
      </c>
      <c r="M31" s="1"/>
      <c r="N31"/>
      <c r="O31"/>
      <c r="P31"/>
      <c r="Q31"/>
      <c r="R31"/>
      <c r="S31"/>
      <c r="T31"/>
      <c r="U31"/>
      <c r="V31"/>
      <c r="W31"/>
      <c r="X31"/>
      <c r="Y31"/>
    </row>
    <row r="32" spans="1:25" s="2" customFormat="1" ht="25.5" x14ac:dyDescent="0.2">
      <c r="A32" s="5" t="s">
        <v>12259</v>
      </c>
      <c r="B32" s="5" t="s">
        <v>8584</v>
      </c>
      <c r="C32" s="5">
        <v>15</v>
      </c>
      <c r="D32" s="5"/>
      <c r="E32" s="5"/>
      <c r="F32" s="5" t="s">
        <v>12260</v>
      </c>
      <c r="G32" s="5" t="s">
        <v>4028</v>
      </c>
      <c r="H32" s="5" t="s">
        <v>137</v>
      </c>
      <c r="I32" s="5" t="s">
        <v>12259</v>
      </c>
      <c r="J32" s="5" t="s">
        <v>12258</v>
      </c>
      <c r="M32" s="1"/>
      <c r="N32"/>
      <c r="O32"/>
      <c r="P32"/>
      <c r="Q32"/>
      <c r="R32"/>
      <c r="S32"/>
      <c r="T32"/>
      <c r="U32"/>
      <c r="V32"/>
      <c r="W32"/>
      <c r="X32"/>
      <c r="Y32"/>
    </row>
    <row r="33" spans="1:25" s="2" customFormat="1" x14ac:dyDescent="0.2">
      <c r="A33" s="5" t="s">
        <v>12257</v>
      </c>
      <c r="B33" s="5" t="s">
        <v>8584</v>
      </c>
      <c r="C33" s="5">
        <v>15</v>
      </c>
      <c r="D33" s="5"/>
      <c r="E33" s="5" t="s">
        <v>11304</v>
      </c>
      <c r="F33" s="5" t="s">
        <v>12256</v>
      </c>
      <c r="G33" s="5" t="s">
        <v>9595</v>
      </c>
      <c r="H33" s="5" t="s">
        <v>3</v>
      </c>
      <c r="I33" s="5"/>
      <c r="J33" s="5" t="s">
        <v>12256</v>
      </c>
      <c r="M33" s="1"/>
      <c r="N33"/>
      <c r="O33"/>
      <c r="P33"/>
      <c r="Q33"/>
      <c r="R33"/>
      <c r="S33"/>
      <c r="T33"/>
      <c r="U33"/>
      <c r="V33"/>
      <c r="W33"/>
      <c r="X33"/>
      <c r="Y33"/>
    </row>
    <row r="34" spans="1:25" s="2" customFormat="1" ht="25.5" x14ac:dyDescent="0.2">
      <c r="A34" s="5" t="s">
        <v>12254</v>
      </c>
      <c r="B34" s="5" t="s">
        <v>8584</v>
      </c>
      <c r="C34" s="5">
        <v>16</v>
      </c>
      <c r="D34" s="5"/>
      <c r="E34" s="5"/>
      <c r="F34" s="5" t="s">
        <v>12255</v>
      </c>
      <c r="G34" s="5" t="s">
        <v>224</v>
      </c>
      <c r="H34" s="5" t="s">
        <v>137</v>
      </c>
      <c r="I34" s="5" t="s">
        <v>12254</v>
      </c>
      <c r="J34" s="5" t="s">
        <v>12253</v>
      </c>
      <c r="M34" s="1"/>
      <c r="N34"/>
      <c r="O34"/>
      <c r="P34"/>
      <c r="Q34"/>
      <c r="R34"/>
      <c r="S34"/>
      <c r="T34"/>
      <c r="U34"/>
      <c r="V34"/>
      <c r="W34"/>
      <c r="X34"/>
      <c r="Y34"/>
    </row>
    <row r="35" spans="1:25" s="2" customFormat="1" x14ac:dyDescent="0.2">
      <c r="A35" s="5" t="s">
        <v>12252</v>
      </c>
      <c r="B35" s="5" t="s">
        <v>8584</v>
      </c>
      <c r="C35" s="5">
        <v>17</v>
      </c>
      <c r="D35" s="5"/>
      <c r="E35" s="5"/>
      <c r="F35" s="5" t="s">
        <v>11201</v>
      </c>
      <c r="G35" s="5" t="s">
        <v>4</v>
      </c>
      <c r="H35" s="5" t="s">
        <v>3</v>
      </c>
      <c r="I35" s="5"/>
      <c r="J35" s="5" t="s">
        <v>12251</v>
      </c>
      <c r="M35" s="1"/>
      <c r="N35"/>
      <c r="O35"/>
      <c r="P35"/>
      <c r="Q35"/>
      <c r="R35"/>
      <c r="S35"/>
      <c r="T35"/>
      <c r="U35"/>
      <c r="V35"/>
      <c r="W35"/>
      <c r="X35"/>
      <c r="Y35"/>
    </row>
    <row r="36" spans="1:25" s="2" customFormat="1" x14ac:dyDescent="0.2">
      <c r="A36" s="5" t="s">
        <v>11201</v>
      </c>
      <c r="B36" s="5" t="s">
        <v>8584</v>
      </c>
      <c r="C36" s="5">
        <v>18</v>
      </c>
      <c r="D36" s="5"/>
      <c r="E36" s="5"/>
      <c r="F36" s="5" t="s">
        <v>12250</v>
      </c>
      <c r="G36" s="5" t="s">
        <v>170</v>
      </c>
      <c r="H36" s="5" t="s">
        <v>3</v>
      </c>
      <c r="I36" s="5"/>
      <c r="J36" s="5" t="s">
        <v>12249</v>
      </c>
      <c r="M36" s="1"/>
      <c r="N36"/>
      <c r="O36"/>
      <c r="P36"/>
      <c r="Q36"/>
      <c r="R36"/>
      <c r="S36"/>
      <c r="T36"/>
      <c r="U36"/>
      <c r="V36"/>
      <c r="W36"/>
      <c r="X36"/>
      <c r="Y36"/>
    </row>
    <row r="37" spans="1:25" s="2" customFormat="1" x14ac:dyDescent="0.2">
      <c r="A37" s="5" t="s">
        <v>12248</v>
      </c>
      <c r="B37" s="5" t="s">
        <v>8584</v>
      </c>
      <c r="C37" s="5">
        <v>19</v>
      </c>
      <c r="D37" s="5"/>
      <c r="E37" s="5"/>
      <c r="F37" s="5" t="s">
        <v>9123</v>
      </c>
      <c r="G37" s="5" t="s">
        <v>170</v>
      </c>
      <c r="H37" s="5" t="s">
        <v>3</v>
      </c>
      <c r="I37" s="5"/>
      <c r="J37" s="5" t="s">
        <v>12247</v>
      </c>
      <c r="M37" s="1"/>
      <c r="N37"/>
      <c r="O37"/>
      <c r="P37"/>
      <c r="Q37"/>
      <c r="R37"/>
      <c r="S37"/>
      <c r="T37"/>
      <c r="U37"/>
      <c r="V37"/>
      <c r="W37"/>
      <c r="X37"/>
      <c r="Y37"/>
    </row>
    <row r="38" spans="1:25" s="2" customFormat="1" x14ac:dyDescent="0.2">
      <c r="A38" s="5" t="s">
        <v>10769</v>
      </c>
      <c r="B38" s="5" t="s">
        <v>8584</v>
      </c>
      <c r="C38" s="5">
        <v>20</v>
      </c>
      <c r="D38" s="5"/>
      <c r="E38" s="5" t="s">
        <v>6367</v>
      </c>
      <c r="F38" s="5" t="s">
        <v>10767</v>
      </c>
      <c r="G38" s="5" t="s">
        <v>105</v>
      </c>
      <c r="H38" s="5" t="s">
        <v>3</v>
      </c>
      <c r="I38" s="5"/>
      <c r="J38" s="5" t="s">
        <v>10766</v>
      </c>
      <c r="M38" s="1"/>
      <c r="N38"/>
      <c r="O38"/>
      <c r="P38"/>
      <c r="Q38"/>
      <c r="R38"/>
      <c r="S38"/>
      <c r="T38"/>
      <c r="U38"/>
      <c r="V38"/>
      <c r="W38"/>
      <c r="X38"/>
      <c r="Y38"/>
    </row>
    <row r="39" spans="1:25" s="2" customFormat="1" ht="25.5" x14ac:dyDescent="0.2">
      <c r="A39" s="5" t="s">
        <v>12246</v>
      </c>
      <c r="B39" s="5" t="s">
        <v>8584</v>
      </c>
      <c r="C39" s="5">
        <v>21</v>
      </c>
      <c r="D39" s="5"/>
      <c r="E39" s="5"/>
      <c r="F39" s="5" t="s">
        <v>12245</v>
      </c>
      <c r="G39" s="5" t="s">
        <v>224</v>
      </c>
      <c r="H39" s="5" t="s">
        <v>3</v>
      </c>
      <c r="I39" s="5"/>
      <c r="J39" s="5" t="s">
        <v>12244</v>
      </c>
      <c r="M39" s="1"/>
      <c r="N39"/>
      <c r="O39"/>
      <c r="P39"/>
      <c r="Q39"/>
      <c r="R39"/>
      <c r="S39"/>
      <c r="T39"/>
      <c r="U39"/>
      <c r="V39"/>
      <c r="W39"/>
      <c r="X39"/>
      <c r="Y39"/>
    </row>
    <row r="40" spans="1:25" s="2" customFormat="1" x14ac:dyDescent="0.2">
      <c r="A40" s="5" t="s">
        <v>11441</v>
      </c>
      <c r="B40" s="5" t="s">
        <v>8584</v>
      </c>
      <c r="C40" s="5">
        <v>21</v>
      </c>
      <c r="D40" s="5"/>
      <c r="E40" s="5"/>
      <c r="F40" s="5" t="s">
        <v>9769</v>
      </c>
      <c r="G40" s="5" t="s">
        <v>105</v>
      </c>
      <c r="H40" s="5" t="s">
        <v>3</v>
      </c>
      <c r="I40" s="5"/>
      <c r="J40" s="5" t="s">
        <v>12243</v>
      </c>
      <c r="M40" s="1"/>
      <c r="N40"/>
      <c r="O40"/>
      <c r="P40"/>
      <c r="Q40"/>
      <c r="R40"/>
      <c r="S40"/>
      <c r="T40"/>
      <c r="U40"/>
      <c r="V40"/>
      <c r="W40"/>
      <c r="X40"/>
      <c r="Y40"/>
    </row>
    <row r="41" spans="1:25" s="2" customFormat="1" x14ac:dyDescent="0.2">
      <c r="A41" s="5" t="s">
        <v>10760</v>
      </c>
      <c r="B41" s="5" t="s">
        <v>8584</v>
      </c>
      <c r="C41" s="5">
        <v>22</v>
      </c>
      <c r="D41" s="5"/>
      <c r="E41" s="5"/>
      <c r="F41" s="5" t="s">
        <v>10758</v>
      </c>
      <c r="G41" s="5" t="s">
        <v>118</v>
      </c>
      <c r="H41" s="5" t="s">
        <v>3</v>
      </c>
      <c r="I41" s="5"/>
      <c r="J41" s="5" t="s">
        <v>10757</v>
      </c>
      <c r="M41" s="1"/>
      <c r="N41"/>
      <c r="O41"/>
      <c r="P41"/>
      <c r="Q41"/>
      <c r="R41"/>
      <c r="S41"/>
      <c r="T41"/>
      <c r="U41"/>
      <c r="V41"/>
      <c r="W41"/>
      <c r="X41"/>
      <c r="Y41"/>
    </row>
    <row r="42" spans="1:25" s="2" customFormat="1" ht="25.5" x14ac:dyDescent="0.2">
      <c r="A42" s="5" t="s">
        <v>10670</v>
      </c>
      <c r="B42" s="5" t="s">
        <v>8584</v>
      </c>
      <c r="C42" s="5">
        <v>23</v>
      </c>
      <c r="D42" s="5"/>
      <c r="E42" s="5" t="s">
        <v>11304</v>
      </c>
      <c r="F42" s="5" t="s">
        <v>10668</v>
      </c>
      <c r="G42" s="5" t="s">
        <v>4028</v>
      </c>
      <c r="H42" s="5" t="s">
        <v>3</v>
      </c>
      <c r="I42" s="5"/>
      <c r="J42" s="5" t="s">
        <v>12242</v>
      </c>
      <c r="M42" s="1"/>
      <c r="N42"/>
      <c r="O42"/>
      <c r="P42"/>
      <c r="Q42"/>
      <c r="R42"/>
      <c r="S42"/>
      <c r="T42"/>
      <c r="U42"/>
      <c r="V42"/>
      <c r="W42"/>
      <c r="X42"/>
      <c r="Y42"/>
    </row>
    <row r="43" spans="1:25" s="2" customFormat="1" x14ac:dyDescent="0.2">
      <c r="A43" s="5" t="s">
        <v>11047</v>
      </c>
      <c r="B43" s="5" t="s">
        <v>8584</v>
      </c>
      <c r="C43" s="5">
        <v>24</v>
      </c>
      <c r="D43" s="5"/>
      <c r="E43" s="5"/>
      <c r="F43" s="5" t="s">
        <v>12241</v>
      </c>
      <c r="G43" s="5" t="s">
        <v>80</v>
      </c>
      <c r="H43" s="5" t="s">
        <v>3</v>
      </c>
      <c r="I43" s="5"/>
      <c r="J43" s="5" t="s">
        <v>11045</v>
      </c>
      <c r="M43" s="1"/>
      <c r="N43"/>
      <c r="O43"/>
      <c r="P43"/>
      <c r="Q43"/>
      <c r="R43"/>
      <c r="S43"/>
      <c r="T43"/>
      <c r="U43"/>
      <c r="V43"/>
      <c r="W43"/>
      <c r="X43"/>
      <c r="Y43"/>
    </row>
    <row r="44" spans="1:25" s="2" customFormat="1" x14ac:dyDescent="0.2">
      <c r="A44" s="5" t="s">
        <v>12240</v>
      </c>
      <c r="B44" s="5" t="s">
        <v>8584</v>
      </c>
      <c r="C44" s="5">
        <v>25</v>
      </c>
      <c r="D44" s="5"/>
      <c r="E44" s="5" t="s">
        <v>150</v>
      </c>
      <c r="F44" s="5" t="s">
        <v>10568</v>
      </c>
      <c r="G44" s="5" t="s">
        <v>148</v>
      </c>
      <c r="H44" s="5" t="s">
        <v>3</v>
      </c>
      <c r="I44" s="5"/>
      <c r="J44" s="5" t="s">
        <v>12238</v>
      </c>
      <c r="M44" s="1"/>
      <c r="N44"/>
      <c r="O44"/>
      <c r="P44"/>
      <c r="Q44"/>
      <c r="R44"/>
      <c r="S44"/>
      <c r="T44"/>
      <c r="U44"/>
      <c r="V44"/>
      <c r="W44"/>
      <c r="X44"/>
      <c r="Y44"/>
    </row>
    <row r="45" spans="1:25" s="2" customFormat="1" x14ac:dyDescent="0.2">
      <c r="A45" s="5" t="s">
        <v>12239</v>
      </c>
      <c r="B45" s="5" t="s">
        <v>8584</v>
      </c>
      <c r="C45" s="5">
        <v>25</v>
      </c>
      <c r="D45" s="5"/>
      <c r="E45" s="5" t="s">
        <v>213</v>
      </c>
      <c r="F45" s="5" t="s">
        <v>10568</v>
      </c>
      <c r="G45" s="5" t="s">
        <v>91</v>
      </c>
      <c r="H45" s="5" t="s">
        <v>3</v>
      </c>
      <c r="I45" s="5"/>
      <c r="J45" s="5" t="s">
        <v>12238</v>
      </c>
      <c r="M45" s="1"/>
      <c r="N45"/>
      <c r="O45"/>
      <c r="P45"/>
      <c r="Q45"/>
      <c r="R45"/>
      <c r="S45"/>
      <c r="T45"/>
      <c r="U45"/>
      <c r="V45"/>
      <c r="W45"/>
      <c r="X45"/>
      <c r="Y45"/>
    </row>
    <row r="46" spans="1:25" s="2" customFormat="1" x14ac:dyDescent="0.2">
      <c r="A46" s="5" t="s">
        <v>12237</v>
      </c>
      <c r="B46" s="5" t="s">
        <v>8584</v>
      </c>
      <c r="C46" s="5">
        <v>26</v>
      </c>
      <c r="D46" s="5"/>
      <c r="E46" s="5" t="s">
        <v>150</v>
      </c>
      <c r="F46" s="5" t="s">
        <v>10568</v>
      </c>
      <c r="G46" s="5" t="s">
        <v>148</v>
      </c>
      <c r="H46" s="5" t="s">
        <v>3</v>
      </c>
      <c r="I46" s="5"/>
      <c r="J46" s="5" t="s">
        <v>12235</v>
      </c>
      <c r="M46" s="1"/>
      <c r="N46"/>
      <c r="O46"/>
      <c r="P46"/>
      <c r="Q46"/>
      <c r="R46"/>
      <c r="S46"/>
      <c r="T46"/>
      <c r="U46"/>
      <c r="V46"/>
      <c r="W46"/>
      <c r="X46"/>
      <c r="Y46"/>
    </row>
    <row r="47" spans="1:25" s="2" customFormat="1" x14ac:dyDescent="0.2">
      <c r="A47" s="5" t="s">
        <v>12236</v>
      </c>
      <c r="B47" s="5" t="s">
        <v>8584</v>
      </c>
      <c r="C47" s="5">
        <v>26</v>
      </c>
      <c r="D47" s="5"/>
      <c r="E47" s="5" t="s">
        <v>213</v>
      </c>
      <c r="F47" s="5" t="s">
        <v>10568</v>
      </c>
      <c r="G47" s="5" t="s">
        <v>91</v>
      </c>
      <c r="H47" s="5" t="s">
        <v>3</v>
      </c>
      <c r="I47" s="5"/>
      <c r="J47" s="5" t="s">
        <v>12235</v>
      </c>
      <c r="M47" s="1"/>
      <c r="N47"/>
      <c r="O47"/>
      <c r="P47"/>
      <c r="Q47"/>
      <c r="R47"/>
      <c r="S47"/>
      <c r="T47"/>
      <c r="U47"/>
      <c r="V47"/>
      <c r="W47"/>
      <c r="X47"/>
      <c r="Y47"/>
    </row>
    <row r="48" spans="1:25" s="2" customFormat="1" ht="25.5" x14ac:dyDescent="0.2">
      <c r="A48" s="5" t="s">
        <v>12234</v>
      </c>
      <c r="B48" s="5" t="s">
        <v>8584</v>
      </c>
      <c r="C48" s="5">
        <v>27</v>
      </c>
      <c r="D48" s="5"/>
      <c r="E48" s="5"/>
      <c r="F48" s="5" t="s">
        <v>10568</v>
      </c>
      <c r="G48" s="5" t="s">
        <v>114</v>
      </c>
      <c r="H48" s="5" t="s">
        <v>3</v>
      </c>
      <c r="I48" s="5"/>
      <c r="J48" s="5" t="s">
        <v>12233</v>
      </c>
      <c r="M48" s="1"/>
      <c r="N48"/>
      <c r="O48"/>
      <c r="P48"/>
      <c r="Q48"/>
      <c r="R48"/>
      <c r="S48"/>
      <c r="T48"/>
      <c r="U48"/>
      <c r="V48"/>
      <c r="W48"/>
      <c r="X48"/>
      <c r="Y48"/>
    </row>
    <row r="49" spans="1:25" s="2" customFormat="1" ht="25.5" x14ac:dyDescent="0.2">
      <c r="A49" s="5" t="s">
        <v>12232</v>
      </c>
      <c r="B49" s="5" t="s">
        <v>8584</v>
      </c>
      <c r="C49" s="5">
        <v>27</v>
      </c>
      <c r="D49" s="5"/>
      <c r="E49" s="5"/>
      <c r="F49" s="5" t="s">
        <v>10568</v>
      </c>
      <c r="G49" s="5" t="s">
        <v>114</v>
      </c>
      <c r="H49" s="5" t="s">
        <v>3</v>
      </c>
      <c r="I49" s="5"/>
      <c r="J49" s="5" t="s">
        <v>12231</v>
      </c>
      <c r="M49" s="1"/>
      <c r="N49"/>
      <c r="O49"/>
      <c r="P49"/>
      <c r="Q49"/>
      <c r="R49"/>
      <c r="S49"/>
      <c r="T49"/>
      <c r="U49"/>
      <c r="V49"/>
      <c r="W49"/>
      <c r="X49"/>
      <c r="Y49"/>
    </row>
    <row r="50" spans="1:25" s="2" customFormat="1" ht="25.5" x14ac:dyDescent="0.2">
      <c r="A50" s="5" t="s">
        <v>12230</v>
      </c>
      <c r="B50" s="5" t="s">
        <v>8584</v>
      </c>
      <c r="C50" s="5">
        <v>28</v>
      </c>
      <c r="D50" s="5"/>
      <c r="E50" s="5"/>
      <c r="F50" s="5" t="s">
        <v>12229</v>
      </c>
      <c r="G50" s="5" t="s">
        <v>173</v>
      </c>
      <c r="H50" s="5" t="s">
        <v>3</v>
      </c>
      <c r="I50" s="5"/>
      <c r="J50" s="5" t="s">
        <v>12228</v>
      </c>
      <c r="M50" s="1"/>
      <c r="N50"/>
      <c r="O50"/>
      <c r="P50"/>
      <c r="Q50"/>
      <c r="R50"/>
      <c r="S50"/>
      <c r="T50"/>
      <c r="U50"/>
      <c r="V50"/>
      <c r="W50"/>
      <c r="X50"/>
      <c r="Y50"/>
    </row>
    <row r="51" spans="1:25" s="2" customFormat="1" x14ac:dyDescent="0.2">
      <c r="A51" s="5" t="s">
        <v>12227</v>
      </c>
      <c r="B51" s="5" t="s">
        <v>8584</v>
      </c>
      <c r="C51" s="5">
        <v>29</v>
      </c>
      <c r="D51" s="5"/>
      <c r="E51" s="5"/>
      <c r="F51" s="5" t="s">
        <v>10568</v>
      </c>
      <c r="G51" s="5" t="s">
        <v>170</v>
      </c>
      <c r="H51" s="5" t="s">
        <v>3</v>
      </c>
      <c r="I51" s="5"/>
      <c r="J51" s="5" t="s">
        <v>12226</v>
      </c>
      <c r="M51" s="1"/>
      <c r="N51"/>
      <c r="O51"/>
      <c r="P51"/>
      <c r="Q51"/>
      <c r="R51"/>
      <c r="S51"/>
      <c r="T51"/>
      <c r="U51"/>
      <c r="V51"/>
      <c r="W51"/>
      <c r="X51"/>
      <c r="Y51"/>
    </row>
    <row r="52" spans="1:25" s="2" customFormat="1" ht="25.5" x14ac:dyDescent="0.2">
      <c r="A52" s="5" t="s">
        <v>12225</v>
      </c>
      <c r="B52" s="5" t="s">
        <v>8584</v>
      </c>
      <c r="C52" s="5">
        <v>30</v>
      </c>
      <c r="D52" s="5"/>
      <c r="E52" s="5" t="s">
        <v>150</v>
      </c>
      <c r="F52" s="5" t="s">
        <v>10568</v>
      </c>
      <c r="G52" s="5" t="s">
        <v>148</v>
      </c>
      <c r="H52" s="5" t="s">
        <v>3</v>
      </c>
      <c r="I52" s="5"/>
      <c r="J52" s="5" t="s">
        <v>12224</v>
      </c>
      <c r="M52" s="1"/>
      <c r="N52"/>
      <c r="O52"/>
      <c r="P52"/>
      <c r="Q52"/>
      <c r="R52"/>
      <c r="S52"/>
      <c r="T52"/>
      <c r="U52"/>
      <c r="V52"/>
      <c r="W52"/>
      <c r="X52"/>
      <c r="Y52"/>
    </row>
    <row r="53" spans="1:25" s="2" customFormat="1" x14ac:dyDescent="0.2">
      <c r="A53" s="5" t="s">
        <v>11416</v>
      </c>
      <c r="B53" s="5" t="s">
        <v>8584</v>
      </c>
      <c r="C53" s="5">
        <v>31</v>
      </c>
      <c r="D53" s="5"/>
      <c r="E53" s="5"/>
      <c r="F53" s="5" t="s">
        <v>11415</v>
      </c>
      <c r="G53" s="5" t="s">
        <v>105</v>
      </c>
      <c r="H53" s="5" t="s">
        <v>3</v>
      </c>
      <c r="I53" s="5"/>
      <c r="J53" s="5" t="s">
        <v>11415</v>
      </c>
      <c r="M53" s="1"/>
      <c r="N53"/>
      <c r="O53"/>
      <c r="P53"/>
      <c r="Q53"/>
      <c r="R53"/>
      <c r="S53"/>
      <c r="T53"/>
      <c r="U53"/>
      <c r="V53"/>
      <c r="W53"/>
      <c r="X53"/>
      <c r="Y53"/>
    </row>
    <row r="54" spans="1:25" s="2" customFormat="1" ht="25.5" x14ac:dyDescent="0.2">
      <c r="A54" s="5" t="s">
        <v>7909</v>
      </c>
      <c r="B54" s="5" t="s">
        <v>8584</v>
      </c>
      <c r="C54" s="5">
        <v>32</v>
      </c>
      <c r="D54" s="5"/>
      <c r="E54" s="5" t="s">
        <v>6367</v>
      </c>
      <c r="F54" s="5" t="s">
        <v>7906</v>
      </c>
      <c r="G54" s="5" t="s">
        <v>105</v>
      </c>
      <c r="H54" s="5" t="s">
        <v>3</v>
      </c>
      <c r="I54" s="5"/>
      <c r="J54" s="5" t="s">
        <v>12223</v>
      </c>
      <c r="M54" s="1"/>
      <c r="N54"/>
      <c r="O54"/>
      <c r="P54"/>
      <c r="Q54"/>
      <c r="R54"/>
      <c r="S54"/>
      <c r="T54"/>
      <c r="U54"/>
      <c r="V54"/>
      <c r="W54"/>
      <c r="X54"/>
      <c r="Y54"/>
    </row>
    <row r="55" spans="1:25" s="2" customFormat="1" ht="25.5" x14ac:dyDescent="0.2">
      <c r="A55" s="5" t="s">
        <v>12222</v>
      </c>
      <c r="B55" s="5" t="s">
        <v>8584</v>
      </c>
      <c r="C55" s="5">
        <v>33</v>
      </c>
      <c r="D55" s="5"/>
      <c r="E55" s="5"/>
      <c r="F55" s="5" t="s">
        <v>12221</v>
      </c>
      <c r="G55" s="5" t="s">
        <v>170</v>
      </c>
      <c r="H55" s="5" t="s">
        <v>3</v>
      </c>
      <c r="I55" s="5"/>
      <c r="J55" s="5" t="s">
        <v>12208</v>
      </c>
      <c r="M55" s="1"/>
      <c r="N55"/>
      <c r="O55"/>
      <c r="P55"/>
      <c r="Q55"/>
      <c r="R55"/>
      <c r="S55"/>
      <c r="T55"/>
      <c r="U55"/>
      <c r="V55"/>
      <c r="W55"/>
      <c r="X55"/>
      <c r="Y55"/>
    </row>
    <row r="56" spans="1:25" s="2" customFormat="1" ht="25.5" x14ac:dyDescent="0.2">
      <c r="A56" s="5" t="s">
        <v>12220</v>
      </c>
      <c r="B56" s="5" t="s">
        <v>8584</v>
      </c>
      <c r="C56" s="5">
        <v>33</v>
      </c>
      <c r="D56" s="5"/>
      <c r="E56" s="5"/>
      <c r="F56" s="5" t="s">
        <v>11914</v>
      </c>
      <c r="G56" s="5" t="s">
        <v>896</v>
      </c>
      <c r="H56" s="5" t="s">
        <v>3</v>
      </c>
      <c r="I56" s="5"/>
      <c r="J56" s="5" t="s">
        <v>12208</v>
      </c>
      <c r="M56" s="1"/>
      <c r="N56"/>
      <c r="O56"/>
      <c r="P56"/>
      <c r="Q56"/>
      <c r="R56"/>
      <c r="S56"/>
      <c r="T56"/>
      <c r="U56"/>
      <c r="V56"/>
      <c r="W56"/>
      <c r="X56"/>
      <c r="Y56"/>
    </row>
    <row r="57" spans="1:25" s="2" customFormat="1" ht="25.5" x14ac:dyDescent="0.2">
      <c r="A57" s="5" t="s">
        <v>12219</v>
      </c>
      <c r="B57" s="5" t="s">
        <v>8584</v>
      </c>
      <c r="C57" s="5">
        <v>33</v>
      </c>
      <c r="D57" s="5"/>
      <c r="E57" s="5"/>
      <c r="F57" s="5" t="s">
        <v>12218</v>
      </c>
      <c r="G57" s="5" t="s">
        <v>224</v>
      </c>
      <c r="H57" s="5" t="s">
        <v>137</v>
      </c>
      <c r="I57" s="5" t="s">
        <v>12217</v>
      </c>
      <c r="J57" s="5" t="s">
        <v>12216</v>
      </c>
      <c r="M57" s="1"/>
      <c r="N57"/>
      <c r="O57"/>
      <c r="P57"/>
      <c r="Q57"/>
      <c r="R57"/>
      <c r="S57"/>
      <c r="T57"/>
      <c r="U57"/>
      <c r="V57"/>
      <c r="W57"/>
      <c r="X57"/>
      <c r="Y57"/>
    </row>
    <row r="58" spans="1:25" s="2" customFormat="1" ht="25.5" x14ac:dyDescent="0.2">
      <c r="A58" s="5" t="s">
        <v>12215</v>
      </c>
      <c r="B58" s="5" t="s">
        <v>8584</v>
      </c>
      <c r="C58" s="5">
        <v>34</v>
      </c>
      <c r="D58" s="5"/>
      <c r="E58" s="5"/>
      <c r="F58" s="5" t="s">
        <v>12214</v>
      </c>
      <c r="G58" s="5" t="s">
        <v>4028</v>
      </c>
      <c r="H58" s="5" t="s">
        <v>3</v>
      </c>
      <c r="I58" s="5"/>
      <c r="J58" s="5" t="s">
        <v>12208</v>
      </c>
      <c r="M58" s="1"/>
      <c r="N58"/>
      <c r="O58"/>
      <c r="P58"/>
      <c r="Q58"/>
      <c r="R58"/>
      <c r="S58"/>
      <c r="T58"/>
      <c r="U58"/>
      <c r="V58"/>
      <c r="W58"/>
      <c r="X58"/>
      <c r="Y58"/>
    </row>
    <row r="59" spans="1:25" s="2" customFormat="1" ht="25.5" x14ac:dyDescent="0.2">
      <c r="A59" s="5" t="s">
        <v>12213</v>
      </c>
      <c r="B59" s="5" t="s">
        <v>8584</v>
      </c>
      <c r="C59" s="5">
        <v>34</v>
      </c>
      <c r="D59" s="5"/>
      <c r="E59" s="5"/>
      <c r="F59" s="5" t="s">
        <v>12212</v>
      </c>
      <c r="G59" s="5" t="s">
        <v>173</v>
      </c>
      <c r="H59" s="5" t="s">
        <v>3</v>
      </c>
      <c r="I59" s="5"/>
      <c r="J59" s="5" t="s">
        <v>12211</v>
      </c>
      <c r="M59" s="1"/>
      <c r="N59"/>
      <c r="O59"/>
      <c r="P59"/>
      <c r="Q59"/>
      <c r="R59"/>
      <c r="S59"/>
      <c r="T59"/>
      <c r="U59"/>
      <c r="V59"/>
      <c r="W59"/>
      <c r="X59"/>
      <c r="Y59"/>
    </row>
    <row r="60" spans="1:25" s="2" customFormat="1" ht="38.25" x14ac:dyDescent="0.2">
      <c r="A60" s="5" t="s">
        <v>12210</v>
      </c>
      <c r="B60" s="5" t="s">
        <v>8584</v>
      </c>
      <c r="C60" s="5">
        <v>35</v>
      </c>
      <c r="D60" s="5"/>
      <c r="E60" s="5"/>
      <c r="F60" s="5" t="s">
        <v>12209</v>
      </c>
      <c r="G60" s="5" t="s">
        <v>4028</v>
      </c>
      <c r="H60" s="5" t="s">
        <v>3</v>
      </c>
      <c r="I60" s="5"/>
      <c r="J60" s="5" t="s">
        <v>12208</v>
      </c>
      <c r="M60" s="1"/>
      <c r="N60"/>
      <c r="O60"/>
      <c r="P60"/>
      <c r="Q60"/>
      <c r="R60"/>
      <c r="S60"/>
      <c r="T60"/>
      <c r="U60"/>
      <c r="V60"/>
      <c r="W60"/>
      <c r="X60"/>
      <c r="Y60"/>
    </row>
    <row r="61" spans="1:25" s="2" customFormat="1" ht="25.5" x14ac:dyDescent="0.2">
      <c r="A61" s="5" t="s">
        <v>12207</v>
      </c>
      <c r="B61" s="5" t="s">
        <v>8584</v>
      </c>
      <c r="C61" s="5">
        <v>35</v>
      </c>
      <c r="D61" s="5"/>
      <c r="E61" s="5"/>
      <c r="F61" s="5" t="s">
        <v>12206</v>
      </c>
      <c r="G61" s="5" t="s">
        <v>105</v>
      </c>
      <c r="H61" s="5" t="s">
        <v>3</v>
      </c>
      <c r="I61" s="5"/>
      <c r="J61" s="5" t="s">
        <v>12205</v>
      </c>
      <c r="M61" s="1"/>
      <c r="N61"/>
      <c r="O61"/>
      <c r="P61"/>
      <c r="Q61"/>
      <c r="R61"/>
      <c r="S61"/>
      <c r="T61"/>
      <c r="U61"/>
      <c r="V61"/>
      <c r="W61"/>
      <c r="X61"/>
      <c r="Y61"/>
    </row>
    <row r="62" spans="1:25" s="2" customFormat="1" ht="25.5" x14ac:dyDescent="0.2">
      <c r="A62" s="5" t="s">
        <v>12204</v>
      </c>
      <c r="B62" s="5" t="s">
        <v>8584</v>
      </c>
      <c r="C62" s="5">
        <v>36</v>
      </c>
      <c r="D62" s="5"/>
      <c r="E62" s="5"/>
      <c r="F62" s="5" t="s">
        <v>11225</v>
      </c>
      <c r="G62" s="5" t="s">
        <v>170</v>
      </c>
      <c r="H62" s="5" t="s">
        <v>137</v>
      </c>
      <c r="I62" s="5" t="s">
        <v>12197</v>
      </c>
      <c r="J62" s="5" t="s">
        <v>12203</v>
      </c>
      <c r="M62" s="1"/>
      <c r="N62"/>
      <c r="O62"/>
      <c r="P62"/>
      <c r="Q62"/>
      <c r="R62"/>
      <c r="S62"/>
      <c r="T62"/>
      <c r="U62"/>
      <c r="V62"/>
      <c r="W62"/>
      <c r="X62"/>
      <c r="Y62"/>
    </row>
    <row r="63" spans="1:25" s="2" customFormat="1" ht="25.5" x14ac:dyDescent="0.2">
      <c r="A63" s="5" t="s">
        <v>12202</v>
      </c>
      <c r="B63" s="5" t="s">
        <v>8584</v>
      </c>
      <c r="C63" s="5">
        <v>37</v>
      </c>
      <c r="D63" s="5"/>
      <c r="E63" s="5" t="s">
        <v>150</v>
      </c>
      <c r="F63" s="5" t="s">
        <v>12200</v>
      </c>
      <c r="G63" s="5" t="s">
        <v>148</v>
      </c>
      <c r="H63" s="5" t="s">
        <v>137</v>
      </c>
      <c r="I63" s="5" t="s">
        <v>12197</v>
      </c>
      <c r="J63" s="5" t="s">
        <v>12199</v>
      </c>
      <c r="M63" s="1"/>
      <c r="N63"/>
      <c r="O63"/>
      <c r="P63"/>
      <c r="Q63"/>
      <c r="R63"/>
      <c r="S63"/>
      <c r="T63"/>
      <c r="U63"/>
      <c r="V63"/>
      <c r="W63"/>
      <c r="X63"/>
      <c r="Y63"/>
    </row>
    <row r="64" spans="1:25" s="2" customFormat="1" ht="25.5" x14ac:dyDescent="0.2">
      <c r="A64" s="5" t="s">
        <v>12201</v>
      </c>
      <c r="B64" s="5" t="s">
        <v>8584</v>
      </c>
      <c r="C64" s="5">
        <v>37</v>
      </c>
      <c r="D64" s="5"/>
      <c r="E64" s="5" t="s">
        <v>213</v>
      </c>
      <c r="F64" s="5" t="s">
        <v>12200</v>
      </c>
      <c r="G64" s="5" t="s">
        <v>91</v>
      </c>
      <c r="H64" s="5" t="s">
        <v>137</v>
      </c>
      <c r="I64" s="5" t="s">
        <v>12197</v>
      </c>
      <c r="J64" s="5" t="s">
        <v>12199</v>
      </c>
      <c r="M64" s="1"/>
      <c r="N64"/>
      <c r="O64"/>
      <c r="P64"/>
      <c r="Q64"/>
      <c r="R64"/>
      <c r="S64"/>
      <c r="T64"/>
      <c r="U64"/>
      <c r="V64"/>
      <c r="W64"/>
      <c r="X64"/>
      <c r="Y64"/>
    </row>
    <row r="65" spans="1:25" s="2" customFormat="1" ht="25.5" x14ac:dyDescent="0.2">
      <c r="A65" s="5" t="s">
        <v>12198</v>
      </c>
      <c r="B65" s="5" t="s">
        <v>8584</v>
      </c>
      <c r="C65" s="5">
        <v>38</v>
      </c>
      <c r="D65" s="5"/>
      <c r="E65" s="5"/>
      <c r="F65" s="5" t="s">
        <v>11225</v>
      </c>
      <c r="G65" s="5" t="s">
        <v>283</v>
      </c>
      <c r="H65" s="5" t="s">
        <v>137</v>
      </c>
      <c r="I65" s="5" t="s">
        <v>12197</v>
      </c>
      <c r="J65" s="5" t="s">
        <v>12196</v>
      </c>
      <c r="M65" s="1"/>
      <c r="N65"/>
      <c r="O65"/>
      <c r="P65"/>
      <c r="Q65"/>
      <c r="R65"/>
      <c r="S65"/>
      <c r="T65"/>
      <c r="U65"/>
      <c r="V65"/>
      <c r="W65"/>
      <c r="X65"/>
      <c r="Y65"/>
    </row>
    <row r="66" spans="1:25" s="2" customFormat="1" ht="25.5" x14ac:dyDescent="0.2">
      <c r="A66" s="5" t="s">
        <v>11331</v>
      </c>
      <c r="B66" s="5" t="s">
        <v>8584</v>
      </c>
      <c r="C66" s="5">
        <v>39</v>
      </c>
      <c r="D66" s="5"/>
      <c r="E66" s="5"/>
      <c r="F66" s="5" t="s">
        <v>7980</v>
      </c>
      <c r="G66" s="5" t="s">
        <v>207</v>
      </c>
      <c r="H66" s="5" t="s">
        <v>137</v>
      </c>
      <c r="I66" s="5" t="s">
        <v>11839</v>
      </c>
      <c r="J66" s="5" t="s">
        <v>12195</v>
      </c>
      <c r="M66" s="1"/>
      <c r="N66"/>
      <c r="O66"/>
      <c r="P66"/>
      <c r="Q66"/>
      <c r="R66"/>
      <c r="S66"/>
      <c r="T66"/>
      <c r="U66"/>
      <c r="V66"/>
      <c r="W66"/>
      <c r="X66"/>
      <c r="Y66"/>
    </row>
    <row r="67" spans="1:25" s="2" customFormat="1" ht="25.5" x14ac:dyDescent="0.2">
      <c r="A67" s="5" t="s">
        <v>12194</v>
      </c>
      <c r="B67" s="5" t="s">
        <v>8584</v>
      </c>
      <c r="C67" s="5">
        <v>40</v>
      </c>
      <c r="D67" s="5"/>
      <c r="E67" s="5"/>
      <c r="F67" s="5" t="s">
        <v>12193</v>
      </c>
      <c r="G67" s="5" t="s">
        <v>224</v>
      </c>
      <c r="H67" s="5" t="s">
        <v>3</v>
      </c>
      <c r="I67" s="5"/>
      <c r="J67" s="5" t="s">
        <v>12192</v>
      </c>
      <c r="M67" s="1"/>
      <c r="N67"/>
      <c r="O67"/>
      <c r="P67"/>
      <c r="Q67"/>
      <c r="R67"/>
      <c r="S67"/>
      <c r="T67"/>
      <c r="U67"/>
      <c r="V67"/>
      <c r="W67"/>
      <c r="X67"/>
      <c r="Y67"/>
    </row>
    <row r="68" spans="1:25" s="2" customFormat="1" ht="25.5" x14ac:dyDescent="0.2">
      <c r="A68" s="5" t="s">
        <v>12191</v>
      </c>
      <c r="B68" s="5" t="s">
        <v>8584</v>
      </c>
      <c r="C68" s="5">
        <v>41</v>
      </c>
      <c r="D68" s="5"/>
      <c r="E68" s="5"/>
      <c r="F68" s="5" t="s">
        <v>12190</v>
      </c>
      <c r="G68" s="5" t="s">
        <v>3059</v>
      </c>
      <c r="H68" s="5" t="s">
        <v>3</v>
      </c>
      <c r="I68" s="5"/>
      <c r="J68" s="5" t="s">
        <v>12189</v>
      </c>
      <c r="M68" s="1"/>
      <c r="N68"/>
      <c r="O68"/>
      <c r="P68"/>
      <c r="Q68"/>
      <c r="R68"/>
      <c r="S68"/>
      <c r="T68"/>
      <c r="U68"/>
      <c r="V68"/>
      <c r="W68"/>
      <c r="X68"/>
      <c r="Y68"/>
    </row>
    <row r="69" spans="1:25" s="2" customFormat="1" ht="25.5" x14ac:dyDescent="0.2">
      <c r="A69" s="5" t="s">
        <v>12188</v>
      </c>
      <c r="B69" s="5" t="s">
        <v>8584</v>
      </c>
      <c r="C69" s="5">
        <v>42</v>
      </c>
      <c r="D69" s="5"/>
      <c r="E69" s="5"/>
      <c r="F69" s="5" t="s">
        <v>12187</v>
      </c>
      <c r="G69" s="5" t="s">
        <v>224</v>
      </c>
      <c r="H69" s="5" t="s">
        <v>3</v>
      </c>
      <c r="I69" s="5"/>
      <c r="J69" s="5" t="s">
        <v>12186</v>
      </c>
      <c r="M69" s="1"/>
      <c r="N69"/>
      <c r="O69"/>
      <c r="P69"/>
      <c r="Q69"/>
      <c r="R69"/>
      <c r="S69"/>
      <c r="T69"/>
      <c r="U69"/>
      <c r="V69"/>
      <c r="W69"/>
      <c r="X69"/>
      <c r="Y69"/>
    </row>
    <row r="70" spans="1:25" s="2" customFormat="1" ht="25.5" x14ac:dyDescent="0.2">
      <c r="A70" s="5" t="s">
        <v>12185</v>
      </c>
      <c r="B70" s="5" t="s">
        <v>8584</v>
      </c>
      <c r="C70" s="5">
        <v>43</v>
      </c>
      <c r="D70" s="5"/>
      <c r="E70" s="5"/>
      <c r="F70" s="5" t="s">
        <v>12172</v>
      </c>
      <c r="G70" s="5" t="s">
        <v>105</v>
      </c>
      <c r="H70" s="5" t="s">
        <v>3</v>
      </c>
      <c r="I70" s="5"/>
      <c r="J70" s="5" t="s">
        <v>12184</v>
      </c>
      <c r="M70" s="1"/>
      <c r="N70"/>
      <c r="O70"/>
      <c r="P70"/>
      <c r="Q70"/>
      <c r="R70"/>
      <c r="S70"/>
      <c r="T70"/>
      <c r="U70"/>
      <c r="V70"/>
      <c r="W70"/>
      <c r="X70"/>
      <c r="Y70"/>
    </row>
    <row r="71" spans="1:25" s="2" customFormat="1" ht="25.5" x14ac:dyDescent="0.2">
      <c r="A71" s="5" t="s">
        <v>12183</v>
      </c>
      <c r="B71" s="5" t="s">
        <v>8584</v>
      </c>
      <c r="C71" s="5">
        <v>44</v>
      </c>
      <c r="D71" s="5"/>
      <c r="E71" s="5"/>
      <c r="F71" s="5" t="s">
        <v>12182</v>
      </c>
      <c r="G71" s="5" t="s">
        <v>229</v>
      </c>
      <c r="H71" s="5" t="s">
        <v>3</v>
      </c>
      <c r="I71" s="5"/>
      <c r="J71" s="5" t="s">
        <v>12181</v>
      </c>
      <c r="M71" s="1"/>
      <c r="N71"/>
      <c r="O71"/>
      <c r="P71"/>
      <c r="Q71"/>
      <c r="R71"/>
      <c r="S71"/>
      <c r="T71"/>
      <c r="U71"/>
      <c r="V71"/>
      <c r="W71"/>
      <c r="X71"/>
      <c r="Y71"/>
    </row>
    <row r="72" spans="1:25" s="2" customFormat="1" x14ac:dyDescent="0.2">
      <c r="A72" s="5" t="s">
        <v>12180</v>
      </c>
      <c r="B72" s="5" t="s">
        <v>8584</v>
      </c>
      <c r="C72" s="5">
        <v>45</v>
      </c>
      <c r="D72" s="5"/>
      <c r="E72" s="5" t="s">
        <v>150</v>
      </c>
      <c r="F72" s="5" t="s">
        <v>12172</v>
      </c>
      <c r="G72" s="5" t="s">
        <v>148</v>
      </c>
      <c r="H72" s="5" t="s">
        <v>3</v>
      </c>
      <c r="I72" s="5"/>
      <c r="J72" s="5" t="s">
        <v>12178</v>
      </c>
      <c r="M72" s="1"/>
      <c r="N72"/>
      <c r="O72"/>
      <c r="P72"/>
      <c r="Q72"/>
      <c r="R72"/>
      <c r="S72"/>
      <c r="T72"/>
      <c r="U72"/>
      <c r="V72"/>
      <c r="W72"/>
      <c r="X72"/>
      <c r="Y72"/>
    </row>
    <row r="73" spans="1:25" s="2" customFormat="1" x14ac:dyDescent="0.2">
      <c r="A73" s="5" t="s">
        <v>12179</v>
      </c>
      <c r="B73" s="5" t="s">
        <v>8584</v>
      </c>
      <c r="C73" s="5">
        <v>45</v>
      </c>
      <c r="D73" s="5"/>
      <c r="E73" s="5" t="s">
        <v>213</v>
      </c>
      <c r="F73" s="5" t="s">
        <v>12172</v>
      </c>
      <c r="G73" s="5" t="s">
        <v>91</v>
      </c>
      <c r="H73" s="5" t="s">
        <v>3</v>
      </c>
      <c r="I73" s="5"/>
      <c r="J73" s="5" t="s">
        <v>12178</v>
      </c>
      <c r="M73" s="1"/>
      <c r="N73"/>
      <c r="O73"/>
      <c r="P73"/>
      <c r="Q73"/>
      <c r="R73"/>
      <c r="S73"/>
      <c r="T73"/>
      <c r="U73"/>
      <c r="V73"/>
      <c r="W73"/>
      <c r="X73"/>
      <c r="Y73"/>
    </row>
    <row r="74" spans="1:25" s="2" customFormat="1" ht="25.5" x14ac:dyDescent="0.2">
      <c r="A74" s="5" t="s">
        <v>12177</v>
      </c>
      <c r="B74" s="5" t="s">
        <v>8584</v>
      </c>
      <c r="C74" s="5">
        <v>46</v>
      </c>
      <c r="D74" s="5"/>
      <c r="E74" s="5"/>
      <c r="F74" s="5" t="s">
        <v>12176</v>
      </c>
      <c r="G74" s="5" t="s">
        <v>229</v>
      </c>
      <c r="H74" s="5" t="s">
        <v>3</v>
      </c>
      <c r="I74" s="5"/>
      <c r="J74" s="5" t="s">
        <v>12175</v>
      </c>
      <c r="M74" s="1"/>
      <c r="N74"/>
      <c r="O74"/>
      <c r="P74"/>
      <c r="Q74"/>
      <c r="R74"/>
      <c r="S74"/>
      <c r="T74"/>
      <c r="U74"/>
      <c r="V74"/>
      <c r="W74"/>
      <c r="X74"/>
      <c r="Y74"/>
    </row>
    <row r="75" spans="1:25" s="2" customFormat="1" ht="25.5" x14ac:dyDescent="0.2">
      <c r="A75" s="5" t="s">
        <v>12174</v>
      </c>
      <c r="B75" s="5" t="s">
        <v>8584</v>
      </c>
      <c r="C75" s="5">
        <v>47</v>
      </c>
      <c r="D75" s="5"/>
      <c r="E75" s="5" t="s">
        <v>150</v>
      </c>
      <c r="F75" s="5" t="s">
        <v>12172</v>
      </c>
      <c r="G75" s="5" t="s">
        <v>148</v>
      </c>
      <c r="H75" s="5" t="s">
        <v>3</v>
      </c>
      <c r="I75" s="5"/>
      <c r="J75" s="5" t="s">
        <v>12171</v>
      </c>
      <c r="M75" s="1"/>
      <c r="N75"/>
      <c r="O75"/>
      <c r="P75"/>
      <c r="Q75"/>
      <c r="R75"/>
      <c r="S75"/>
      <c r="T75"/>
      <c r="U75"/>
      <c r="V75"/>
      <c r="W75"/>
      <c r="X75"/>
      <c r="Y75"/>
    </row>
    <row r="76" spans="1:25" s="2" customFormat="1" ht="25.5" x14ac:dyDescent="0.2">
      <c r="A76" s="5" t="s">
        <v>12173</v>
      </c>
      <c r="B76" s="5" t="s">
        <v>8584</v>
      </c>
      <c r="C76" s="5">
        <v>47</v>
      </c>
      <c r="D76" s="5"/>
      <c r="E76" s="5" t="s">
        <v>213</v>
      </c>
      <c r="F76" s="5" t="s">
        <v>12172</v>
      </c>
      <c r="G76" s="5" t="s">
        <v>91</v>
      </c>
      <c r="H76" s="5" t="s">
        <v>3</v>
      </c>
      <c r="I76" s="5"/>
      <c r="J76" s="5" t="s">
        <v>12171</v>
      </c>
      <c r="M76" s="1"/>
      <c r="N76"/>
      <c r="O76"/>
      <c r="P76"/>
      <c r="Q76"/>
      <c r="R76"/>
      <c r="S76"/>
      <c r="T76"/>
      <c r="U76"/>
      <c r="V76"/>
      <c r="W76"/>
      <c r="X76"/>
      <c r="Y76"/>
    </row>
    <row r="77" spans="1:25" s="2" customFormat="1" x14ac:dyDescent="0.2">
      <c r="A77" s="5" t="s">
        <v>11227</v>
      </c>
      <c r="B77" s="5" t="s">
        <v>8584</v>
      </c>
      <c r="C77" s="5">
        <v>48</v>
      </c>
      <c r="D77" s="5"/>
      <c r="E77" s="5"/>
      <c r="F77" s="5" t="s">
        <v>11225</v>
      </c>
      <c r="G77" s="5" t="s">
        <v>170</v>
      </c>
      <c r="H77" s="5" t="s">
        <v>3</v>
      </c>
      <c r="I77" s="5"/>
      <c r="J77" s="5" t="s">
        <v>12170</v>
      </c>
      <c r="M77" s="1"/>
      <c r="N77"/>
      <c r="O77"/>
      <c r="P77"/>
      <c r="Q77"/>
      <c r="R77"/>
      <c r="S77"/>
      <c r="T77"/>
      <c r="U77"/>
      <c r="V77"/>
      <c r="W77"/>
      <c r="X77"/>
      <c r="Y77"/>
    </row>
    <row r="78" spans="1:25" s="2" customFormat="1" x14ac:dyDescent="0.2">
      <c r="A78" s="5" t="s">
        <v>12169</v>
      </c>
      <c r="B78" s="5" t="s">
        <v>8584</v>
      </c>
      <c r="C78" s="5">
        <v>49</v>
      </c>
      <c r="D78" s="5"/>
      <c r="E78" s="5"/>
      <c r="F78" s="5" t="s">
        <v>12168</v>
      </c>
      <c r="G78" s="5" t="s">
        <v>122</v>
      </c>
      <c r="H78" s="5" t="s">
        <v>3</v>
      </c>
      <c r="I78" s="5"/>
      <c r="J78" s="5" t="s">
        <v>12168</v>
      </c>
      <c r="M78" s="1"/>
      <c r="N78"/>
      <c r="O78"/>
      <c r="P78"/>
      <c r="Q78"/>
      <c r="R78"/>
      <c r="S78"/>
      <c r="T78"/>
      <c r="U78"/>
      <c r="V78"/>
      <c r="W78"/>
      <c r="X78"/>
      <c r="Y78"/>
    </row>
    <row r="79" spans="1:25" s="2" customFormat="1" x14ac:dyDescent="0.2">
      <c r="A79" s="5" t="s">
        <v>12167</v>
      </c>
      <c r="B79" s="5" t="s">
        <v>8584</v>
      </c>
      <c r="C79" s="5">
        <v>49</v>
      </c>
      <c r="D79" s="5"/>
      <c r="E79" s="5"/>
      <c r="F79" s="5"/>
      <c r="G79" s="5" t="s">
        <v>122</v>
      </c>
      <c r="H79" s="5" t="s">
        <v>3</v>
      </c>
      <c r="I79" s="5"/>
      <c r="J79" s="5" t="s">
        <v>12166</v>
      </c>
      <c r="M79" s="1"/>
      <c r="N79"/>
      <c r="O79"/>
      <c r="P79"/>
      <c r="Q79"/>
      <c r="R79"/>
      <c r="S79"/>
      <c r="T79"/>
      <c r="U79"/>
      <c r="V79"/>
      <c r="W79"/>
      <c r="X79"/>
      <c r="Y79"/>
    </row>
    <row r="80" spans="1:25" s="2" customFormat="1" ht="25.5" x14ac:dyDescent="0.2">
      <c r="A80" s="5" t="s">
        <v>12165</v>
      </c>
      <c r="B80" s="5" t="s">
        <v>8584</v>
      </c>
      <c r="C80" s="5">
        <v>50</v>
      </c>
      <c r="D80" s="5"/>
      <c r="E80" s="5"/>
      <c r="F80" s="5" t="s">
        <v>12164</v>
      </c>
      <c r="G80" s="5" t="s">
        <v>122</v>
      </c>
      <c r="H80" s="5" t="s">
        <v>3</v>
      </c>
      <c r="I80" s="5"/>
      <c r="J80" s="5" t="s">
        <v>12164</v>
      </c>
      <c r="M80" s="1"/>
      <c r="N80"/>
      <c r="O80"/>
      <c r="P80"/>
      <c r="Q80"/>
      <c r="R80"/>
      <c r="S80"/>
      <c r="T80"/>
      <c r="U80"/>
      <c r="V80"/>
      <c r="W80"/>
      <c r="X80"/>
      <c r="Y80"/>
    </row>
    <row r="81" spans="1:25" s="2" customFormat="1" x14ac:dyDescent="0.2">
      <c r="A81" s="5" t="s">
        <v>12163</v>
      </c>
      <c r="B81" s="5" t="s">
        <v>8584</v>
      </c>
      <c r="C81" s="5">
        <v>50</v>
      </c>
      <c r="D81" s="5"/>
      <c r="E81" s="5"/>
      <c r="F81" s="5"/>
      <c r="G81" s="5" t="s">
        <v>122</v>
      </c>
      <c r="H81" s="5" t="s">
        <v>3</v>
      </c>
      <c r="I81" s="5"/>
      <c r="J81" s="5" t="s">
        <v>12162</v>
      </c>
      <c r="M81" s="1"/>
      <c r="N81"/>
      <c r="O81"/>
      <c r="P81"/>
      <c r="Q81"/>
      <c r="R81"/>
      <c r="S81"/>
      <c r="T81"/>
      <c r="U81"/>
      <c r="V81"/>
      <c r="W81"/>
      <c r="X81"/>
      <c r="Y81"/>
    </row>
    <row r="82" spans="1:25" s="2" customFormat="1" x14ac:dyDescent="0.2">
      <c r="A82" s="5" t="s">
        <v>12161</v>
      </c>
      <c r="B82" s="5" t="s">
        <v>8584</v>
      </c>
      <c r="C82" s="5">
        <v>51</v>
      </c>
      <c r="D82" s="5"/>
      <c r="E82" s="5" t="s">
        <v>11304</v>
      </c>
      <c r="F82" s="5" t="s">
        <v>12160</v>
      </c>
      <c r="G82" s="5" t="s">
        <v>11973</v>
      </c>
      <c r="H82" s="5" t="s">
        <v>3</v>
      </c>
      <c r="I82" s="5"/>
      <c r="J82" s="5" t="s">
        <v>12159</v>
      </c>
      <c r="M82" s="1"/>
      <c r="N82"/>
      <c r="O82"/>
      <c r="P82"/>
      <c r="Q82"/>
      <c r="R82"/>
      <c r="S82"/>
      <c r="T82"/>
      <c r="U82"/>
      <c r="V82"/>
      <c r="W82"/>
      <c r="X82"/>
      <c r="Y82"/>
    </row>
    <row r="83" spans="1:25" s="2" customFormat="1" x14ac:dyDescent="0.2">
      <c r="A83" s="5" t="s">
        <v>12158</v>
      </c>
      <c r="B83" s="5" t="s">
        <v>8584</v>
      </c>
      <c r="C83" s="5">
        <v>51</v>
      </c>
      <c r="D83" s="5"/>
      <c r="E83" s="5"/>
      <c r="F83" s="5"/>
      <c r="G83" s="5" t="s">
        <v>8604</v>
      </c>
      <c r="H83" s="5" t="s">
        <v>3</v>
      </c>
      <c r="I83" s="5"/>
      <c r="J83" s="5" t="s">
        <v>12157</v>
      </c>
      <c r="M83" s="1"/>
      <c r="N83"/>
      <c r="O83"/>
      <c r="P83"/>
      <c r="Q83"/>
      <c r="R83"/>
      <c r="S83"/>
      <c r="T83"/>
      <c r="U83"/>
      <c r="V83"/>
      <c r="W83"/>
      <c r="X83"/>
      <c r="Y83"/>
    </row>
    <row r="84" spans="1:25" s="2" customFormat="1" ht="25.5" x14ac:dyDescent="0.2">
      <c r="A84" s="5" t="s">
        <v>12156</v>
      </c>
      <c r="B84" s="5" t="s">
        <v>8584</v>
      </c>
      <c r="C84" s="5">
        <v>52</v>
      </c>
      <c r="D84" s="5"/>
      <c r="E84" s="5"/>
      <c r="F84" s="5" t="s">
        <v>12155</v>
      </c>
      <c r="G84" s="5" t="s">
        <v>229</v>
      </c>
      <c r="H84" s="5" t="s">
        <v>3</v>
      </c>
      <c r="I84" s="5"/>
      <c r="J84" s="5" t="s">
        <v>12154</v>
      </c>
      <c r="M84" s="1"/>
      <c r="N84"/>
      <c r="O84"/>
      <c r="P84"/>
      <c r="Q84"/>
      <c r="R84"/>
      <c r="S84"/>
      <c r="T84"/>
      <c r="U84"/>
      <c r="V84"/>
      <c r="W84"/>
      <c r="X84"/>
      <c r="Y84"/>
    </row>
    <row r="85" spans="1:25" s="2" customFormat="1" ht="25.5" x14ac:dyDescent="0.2">
      <c r="A85" s="5" t="s">
        <v>12153</v>
      </c>
      <c r="B85" s="5" t="s">
        <v>8584</v>
      </c>
      <c r="C85" s="5">
        <v>53</v>
      </c>
      <c r="D85" s="5"/>
      <c r="E85" s="5"/>
      <c r="F85" s="5" t="s">
        <v>12152</v>
      </c>
      <c r="G85" s="5" t="s">
        <v>105</v>
      </c>
      <c r="H85" s="5" t="s">
        <v>137</v>
      </c>
      <c r="I85" s="5" t="s">
        <v>11615</v>
      </c>
      <c r="J85" s="5" t="s">
        <v>12151</v>
      </c>
      <c r="M85" s="1"/>
      <c r="N85"/>
      <c r="O85"/>
      <c r="P85"/>
      <c r="Q85"/>
      <c r="R85"/>
      <c r="S85"/>
      <c r="T85"/>
      <c r="U85"/>
      <c r="V85"/>
      <c r="W85"/>
      <c r="X85"/>
      <c r="Y85"/>
    </row>
    <row r="86" spans="1:25" s="2" customFormat="1" ht="25.5" x14ac:dyDescent="0.2">
      <c r="A86" s="5" t="s">
        <v>12150</v>
      </c>
      <c r="B86" s="5" t="s">
        <v>8584</v>
      </c>
      <c r="C86" s="5">
        <v>54</v>
      </c>
      <c r="D86" s="5"/>
      <c r="E86" s="5" t="s">
        <v>138</v>
      </c>
      <c r="F86" s="5" t="s">
        <v>12149</v>
      </c>
      <c r="G86" s="5" t="s">
        <v>207</v>
      </c>
      <c r="H86" s="5" t="s">
        <v>3</v>
      </c>
      <c r="I86" s="5"/>
      <c r="J86" s="5" t="s">
        <v>12148</v>
      </c>
      <c r="M86" s="1"/>
      <c r="N86"/>
      <c r="O86"/>
      <c r="P86"/>
      <c r="Q86"/>
      <c r="R86"/>
      <c r="S86"/>
      <c r="T86"/>
      <c r="U86"/>
      <c r="V86"/>
      <c r="W86"/>
      <c r="X86"/>
      <c r="Y86"/>
    </row>
    <row r="87" spans="1:25" s="2" customFormat="1" x14ac:dyDescent="0.2">
      <c r="A87" s="5" t="s">
        <v>12147</v>
      </c>
      <c r="B87" s="5" t="s">
        <v>8584</v>
      </c>
      <c r="C87" s="5">
        <v>55</v>
      </c>
      <c r="D87" s="5"/>
      <c r="E87" s="5"/>
      <c r="F87" s="5" t="s">
        <v>12146</v>
      </c>
      <c r="G87" s="5" t="s">
        <v>80</v>
      </c>
      <c r="H87" s="5" t="s">
        <v>3</v>
      </c>
      <c r="I87" s="5"/>
      <c r="J87" s="5" t="s">
        <v>12145</v>
      </c>
      <c r="M87" s="1"/>
      <c r="N87"/>
      <c r="O87"/>
      <c r="P87"/>
      <c r="Q87"/>
      <c r="R87"/>
      <c r="S87"/>
      <c r="T87"/>
      <c r="U87"/>
      <c r="V87"/>
      <c r="W87"/>
      <c r="X87"/>
      <c r="Y87"/>
    </row>
    <row r="88" spans="1:25" s="2" customFormat="1" ht="25.5" x14ac:dyDescent="0.2">
      <c r="A88" s="5" t="s">
        <v>12144</v>
      </c>
      <c r="B88" s="5" t="s">
        <v>8584</v>
      </c>
      <c r="C88" s="5">
        <v>56</v>
      </c>
      <c r="D88" s="5"/>
      <c r="E88" s="5"/>
      <c r="F88" s="5" t="s">
        <v>12143</v>
      </c>
      <c r="G88" s="5" t="s">
        <v>105</v>
      </c>
      <c r="H88" s="5" t="s">
        <v>3</v>
      </c>
      <c r="I88" s="5"/>
      <c r="J88" s="5" t="s">
        <v>12142</v>
      </c>
      <c r="M88" s="1"/>
      <c r="N88"/>
      <c r="O88"/>
      <c r="P88"/>
      <c r="Q88"/>
      <c r="R88"/>
      <c r="S88"/>
      <c r="T88"/>
      <c r="U88"/>
      <c r="V88"/>
      <c r="W88"/>
      <c r="X88"/>
      <c r="Y88"/>
    </row>
    <row r="89" spans="1:25" s="2" customFormat="1" ht="38.25" x14ac:dyDescent="0.2">
      <c r="A89" s="5" t="s">
        <v>12141</v>
      </c>
      <c r="B89" s="5" t="s">
        <v>8584</v>
      </c>
      <c r="C89" s="5">
        <v>57</v>
      </c>
      <c r="D89" s="5"/>
      <c r="E89" s="5"/>
      <c r="F89" s="5" t="s">
        <v>6581</v>
      </c>
      <c r="G89" s="5" t="s">
        <v>114</v>
      </c>
      <c r="H89" s="5" t="s">
        <v>3</v>
      </c>
      <c r="I89" s="5"/>
      <c r="J89" s="5" t="s">
        <v>12140</v>
      </c>
      <c r="M89" s="1"/>
      <c r="N89"/>
      <c r="O89"/>
      <c r="P89"/>
      <c r="Q89"/>
      <c r="R89"/>
      <c r="S89"/>
      <c r="T89"/>
      <c r="U89"/>
      <c r="V89"/>
      <c r="W89"/>
      <c r="X89"/>
      <c r="Y89"/>
    </row>
    <row r="90" spans="1:25" s="2" customFormat="1" ht="25.5" x14ac:dyDescent="0.2">
      <c r="A90" s="5" t="s">
        <v>12139</v>
      </c>
      <c r="B90" s="5" t="s">
        <v>8584</v>
      </c>
      <c r="C90" s="5">
        <v>58</v>
      </c>
      <c r="D90" s="5"/>
      <c r="E90" s="5" t="s">
        <v>150</v>
      </c>
      <c r="F90" s="5" t="s">
        <v>212</v>
      </c>
      <c r="G90" s="5" t="s">
        <v>148</v>
      </c>
      <c r="H90" s="5" t="s">
        <v>3</v>
      </c>
      <c r="I90" s="5"/>
      <c r="J90" s="5" t="s">
        <v>12137</v>
      </c>
      <c r="M90" s="1"/>
      <c r="N90"/>
      <c r="O90"/>
      <c r="P90"/>
      <c r="Q90"/>
      <c r="R90"/>
      <c r="S90"/>
      <c r="T90"/>
      <c r="U90"/>
      <c r="V90"/>
      <c r="W90"/>
      <c r="X90"/>
      <c r="Y90"/>
    </row>
    <row r="91" spans="1:25" s="2" customFormat="1" ht="25.5" x14ac:dyDescent="0.2">
      <c r="A91" s="5" t="s">
        <v>12138</v>
      </c>
      <c r="B91" s="5" t="s">
        <v>8584</v>
      </c>
      <c r="C91" s="5">
        <v>58</v>
      </c>
      <c r="D91" s="5"/>
      <c r="E91" s="5" t="s">
        <v>213</v>
      </c>
      <c r="F91" s="5" t="s">
        <v>212</v>
      </c>
      <c r="G91" s="5" t="s">
        <v>91</v>
      </c>
      <c r="H91" s="5" t="s">
        <v>3</v>
      </c>
      <c r="I91" s="5"/>
      <c r="J91" s="5" t="s">
        <v>12137</v>
      </c>
      <c r="M91" s="1"/>
      <c r="N91"/>
      <c r="O91"/>
      <c r="P91"/>
      <c r="Q91"/>
      <c r="R91"/>
      <c r="S91"/>
      <c r="T91"/>
      <c r="U91"/>
      <c r="V91"/>
      <c r="W91"/>
      <c r="X91"/>
      <c r="Y91"/>
    </row>
    <row r="92" spans="1:25" s="2" customFormat="1" ht="25.5" x14ac:dyDescent="0.2">
      <c r="A92" s="5" t="s">
        <v>12136</v>
      </c>
      <c r="B92" s="5" t="s">
        <v>8584</v>
      </c>
      <c r="C92" s="5">
        <v>58</v>
      </c>
      <c r="D92" s="5"/>
      <c r="E92" s="5" t="s">
        <v>150</v>
      </c>
      <c r="F92" s="5" t="s">
        <v>212</v>
      </c>
      <c r="G92" s="5" t="s">
        <v>148</v>
      </c>
      <c r="H92" s="5" t="s">
        <v>3</v>
      </c>
      <c r="I92" s="5"/>
      <c r="J92" s="5" t="s">
        <v>12134</v>
      </c>
      <c r="M92" s="1"/>
      <c r="N92"/>
      <c r="O92"/>
      <c r="P92"/>
      <c r="Q92"/>
      <c r="R92"/>
      <c r="S92"/>
      <c r="T92"/>
      <c r="U92"/>
      <c r="V92"/>
      <c r="W92"/>
      <c r="X92"/>
      <c r="Y92"/>
    </row>
    <row r="93" spans="1:25" s="2" customFormat="1" ht="25.5" x14ac:dyDescent="0.2">
      <c r="A93" s="5" t="s">
        <v>12135</v>
      </c>
      <c r="B93" s="5" t="s">
        <v>8584</v>
      </c>
      <c r="C93" s="5">
        <v>58</v>
      </c>
      <c r="D93" s="5"/>
      <c r="E93" s="5" t="s">
        <v>213</v>
      </c>
      <c r="F93" s="5" t="s">
        <v>212</v>
      </c>
      <c r="G93" s="5" t="s">
        <v>91</v>
      </c>
      <c r="H93" s="5" t="s">
        <v>3</v>
      </c>
      <c r="I93" s="5"/>
      <c r="J93" s="5" t="s">
        <v>12134</v>
      </c>
      <c r="M93" s="1"/>
      <c r="N93"/>
      <c r="O93"/>
      <c r="P93"/>
      <c r="Q93"/>
      <c r="R93"/>
      <c r="S93"/>
      <c r="T93"/>
      <c r="U93"/>
      <c r="V93"/>
      <c r="W93"/>
      <c r="X93"/>
      <c r="Y93"/>
    </row>
    <row r="94" spans="1:25" s="2" customFormat="1" x14ac:dyDescent="0.2">
      <c r="A94" s="5" t="s">
        <v>12133</v>
      </c>
      <c r="B94" s="5" t="s">
        <v>8584</v>
      </c>
      <c r="C94" s="5">
        <v>59</v>
      </c>
      <c r="D94" s="5"/>
      <c r="E94" s="5"/>
      <c r="F94" s="5" t="s">
        <v>11699</v>
      </c>
      <c r="G94" s="5" t="s">
        <v>80</v>
      </c>
      <c r="H94" s="5" t="s">
        <v>3</v>
      </c>
      <c r="I94" s="5"/>
      <c r="J94" s="5" t="s">
        <v>12132</v>
      </c>
      <c r="M94" s="1"/>
      <c r="N94"/>
      <c r="O94"/>
      <c r="P94"/>
      <c r="Q94"/>
      <c r="R94"/>
      <c r="S94"/>
      <c r="T94"/>
      <c r="U94"/>
      <c r="V94"/>
      <c r="W94"/>
      <c r="X94"/>
      <c r="Y94"/>
    </row>
    <row r="95" spans="1:25" s="2" customFormat="1" ht="25.5" x14ac:dyDescent="0.2">
      <c r="A95" s="5" t="s">
        <v>12131</v>
      </c>
      <c r="B95" s="5" t="s">
        <v>8584</v>
      </c>
      <c r="C95" s="5">
        <v>60</v>
      </c>
      <c r="D95" s="5"/>
      <c r="E95" s="5" t="s">
        <v>150</v>
      </c>
      <c r="F95" s="5" t="s">
        <v>12129</v>
      </c>
      <c r="G95" s="5" t="s">
        <v>148</v>
      </c>
      <c r="H95" s="5" t="s">
        <v>3</v>
      </c>
      <c r="I95" s="5"/>
      <c r="J95" s="5" t="s">
        <v>12128</v>
      </c>
      <c r="M95" s="1"/>
      <c r="N95"/>
      <c r="O95"/>
      <c r="P95"/>
      <c r="Q95"/>
      <c r="R95"/>
      <c r="S95"/>
      <c r="T95"/>
      <c r="U95"/>
      <c r="V95"/>
      <c r="W95"/>
      <c r="X95"/>
      <c r="Y95"/>
    </row>
    <row r="96" spans="1:25" s="2" customFormat="1" ht="25.5" x14ac:dyDescent="0.2">
      <c r="A96" s="5" t="s">
        <v>12130</v>
      </c>
      <c r="B96" s="5" t="s">
        <v>8584</v>
      </c>
      <c r="C96" s="5">
        <v>60</v>
      </c>
      <c r="D96" s="5"/>
      <c r="E96" s="5" t="s">
        <v>213</v>
      </c>
      <c r="F96" s="5" t="s">
        <v>12129</v>
      </c>
      <c r="G96" s="5" t="s">
        <v>91</v>
      </c>
      <c r="H96" s="5" t="s">
        <v>3</v>
      </c>
      <c r="I96" s="5"/>
      <c r="J96" s="5" t="s">
        <v>12128</v>
      </c>
      <c r="M96" s="1"/>
      <c r="N96"/>
      <c r="O96"/>
      <c r="P96"/>
      <c r="Q96"/>
      <c r="R96"/>
      <c r="S96"/>
      <c r="T96"/>
      <c r="U96"/>
      <c r="V96"/>
      <c r="W96"/>
      <c r="X96"/>
      <c r="Y96"/>
    </row>
    <row r="97" spans="1:25" s="2" customFormat="1" ht="38.25" x14ac:dyDescent="0.2">
      <c r="A97" s="5" t="s">
        <v>12127</v>
      </c>
      <c r="B97" s="5" t="s">
        <v>8584</v>
      </c>
      <c r="C97" s="5">
        <v>61</v>
      </c>
      <c r="D97" s="5"/>
      <c r="E97" s="5" t="s">
        <v>11304</v>
      </c>
      <c r="F97" s="5" t="s">
        <v>12126</v>
      </c>
      <c r="G97" s="5" t="s">
        <v>224</v>
      </c>
      <c r="H97" s="5" t="s">
        <v>137</v>
      </c>
      <c r="I97" s="5" t="s">
        <v>12125</v>
      </c>
      <c r="J97" s="5" t="s">
        <v>12124</v>
      </c>
      <c r="M97" s="1"/>
      <c r="N97"/>
      <c r="O97"/>
      <c r="P97"/>
      <c r="Q97"/>
      <c r="R97"/>
      <c r="S97"/>
      <c r="T97"/>
      <c r="U97"/>
      <c r="V97"/>
      <c r="W97"/>
      <c r="X97"/>
      <c r="Y97"/>
    </row>
    <row r="98" spans="1:25" s="2" customFormat="1" ht="38.25" x14ac:dyDescent="0.2">
      <c r="A98" s="5" t="s">
        <v>12123</v>
      </c>
      <c r="B98" s="5" t="s">
        <v>8584</v>
      </c>
      <c r="C98" s="5">
        <v>62</v>
      </c>
      <c r="D98" s="5"/>
      <c r="E98" s="5"/>
      <c r="F98" s="5" t="s">
        <v>12121</v>
      </c>
      <c r="G98" s="5" t="s">
        <v>224</v>
      </c>
      <c r="H98" s="5" t="s">
        <v>137</v>
      </c>
      <c r="I98" s="5" t="s">
        <v>12122</v>
      </c>
      <c r="J98" s="5" t="s">
        <v>12121</v>
      </c>
      <c r="M98" s="1"/>
      <c r="N98"/>
      <c r="O98"/>
      <c r="P98"/>
      <c r="Q98"/>
      <c r="R98"/>
      <c r="S98"/>
      <c r="T98"/>
      <c r="U98"/>
      <c r="V98"/>
      <c r="W98"/>
      <c r="X98"/>
      <c r="Y98"/>
    </row>
    <row r="99" spans="1:25" s="2" customFormat="1" ht="25.5" x14ac:dyDescent="0.2">
      <c r="A99" s="5" t="s">
        <v>12120</v>
      </c>
      <c r="B99" s="5" t="s">
        <v>8584</v>
      </c>
      <c r="C99" s="5">
        <v>63</v>
      </c>
      <c r="D99" s="5"/>
      <c r="E99" s="5" t="s">
        <v>11304</v>
      </c>
      <c r="F99" s="5" t="s">
        <v>12119</v>
      </c>
      <c r="G99" s="5" t="s">
        <v>224</v>
      </c>
      <c r="H99" s="5" t="s">
        <v>137</v>
      </c>
      <c r="I99" s="5" t="s">
        <v>11615</v>
      </c>
      <c r="J99" s="5" t="s">
        <v>12118</v>
      </c>
      <c r="M99" s="1"/>
      <c r="N99"/>
      <c r="O99"/>
      <c r="P99"/>
      <c r="Q99"/>
      <c r="R99"/>
      <c r="S99"/>
      <c r="T99"/>
      <c r="U99"/>
      <c r="V99"/>
      <c r="W99"/>
      <c r="X99"/>
      <c r="Y99"/>
    </row>
    <row r="100" spans="1:25" s="2" customFormat="1" ht="25.5" x14ac:dyDescent="0.2">
      <c r="A100" s="5" t="s">
        <v>12117</v>
      </c>
      <c r="B100" s="5" t="s">
        <v>8584</v>
      </c>
      <c r="C100" s="5">
        <v>63</v>
      </c>
      <c r="D100" s="5"/>
      <c r="E100" s="5" t="s">
        <v>11304</v>
      </c>
      <c r="F100" s="5" t="s">
        <v>12116</v>
      </c>
      <c r="G100" s="5" t="s">
        <v>234</v>
      </c>
      <c r="H100" s="5" t="s">
        <v>137</v>
      </c>
      <c r="I100" s="5" t="s">
        <v>11615</v>
      </c>
      <c r="J100" s="5" t="s">
        <v>12116</v>
      </c>
      <c r="M100" s="1"/>
      <c r="N100"/>
      <c r="O100"/>
      <c r="P100"/>
      <c r="Q100"/>
      <c r="R100"/>
      <c r="S100"/>
      <c r="T100"/>
      <c r="U100"/>
      <c r="V100"/>
      <c r="W100"/>
      <c r="X100"/>
      <c r="Y100"/>
    </row>
    <row r="101" spans="1:25" s="2" customFormat="1" ht="25.5" x14ac:dyDescent="0.2">
      <c r="A101" s="5" t="s">
        <v>12115</v>
      </c>
      <c r="B101" s="5" t="s">
        <v>8584</v>
      </c>
      <c r="C101" s="5">
        <v>64</v>
      </c>
      <c r="D101" s="5"/>
      <c r="E101" s="5" t="s">
        <v>11304</v>
      </c>
      <c r="F101" s="5" t="s">
        <v>12112</v>
      </c>
      <c r="G101" s="5" t="s">
        <v>12114</v>
      </c>
      <c r="H101" s="5" t="s">
        <v>137</v>
      </c>
      <c r="I101" s="5" t="s">
        <v>12113</v>
      </c>
      <c r="J101" s="5" t="s">
        <v>12112</v>
      </c>
      <c r="M101" s="1"/>
      <c r="N101"/>
      <c r="O101"/>
      <c r="P101"/>
      <c r="Q101"/>
      <c r="R101"/>
      <c r="S101"/>
      <c r="T101"/>
      <c r="U101"/>
      <c r="V101"/>
      <c r="W101"/>
      <c r="X101"/>
      <c r="Y101"/>
    </row>
    <row r="102" spans="1:25" s="2" customFormat="1" ht="25.5" x14ac:dyDescent="0.2">
      <c r="A102" s="5" t="s">
        <v>12111</v>
      </c>
      <c r="B102" s="5" t="s">
        <v>8584</v>
      </c>
      <c r="C102" s="5">
        <v>65</v>
      </c>
      <c r="D102" s="5"/>
      <c r="E102" s="5"/>
      <c r="F102" s="5" t="s">
        <v>12110</v>
      </c>
      <c r="G102" s="5" t="s">
        <v>122</v>
      </c>
      <c r="H102" s="5" t="s">
        <v>137</v>
      </c>
      <c r="I102" s="5" t="s">
        <v>11615</v>
      </c>
      <c r="J102" s="5" t="s">
        <v>12110</v>
      </c>
      <c r="M102" s="1"/>
      <c r="N102"/>
      <c r="O102"/>
      <c r="P102"/>
      <c r="Q102"/>
      <c r="R102"/>
      <c r="S102"/>
      <c r="T102"/>
      <c r="U102"/>
      <c r="V102"/>
      <c r="W102"/>
      <c r="X102"/>
      <c r="Y102"/>
    </row>
    <row r="103" spans="1:25" s="2" customFormat="1" ht="25.5" x14ac:dyDescent="0.2">
      <c r="A103" s="5" t="s">
        <v>12109</v>
      </c>
      <c r="B103" s="5" t="s">
        <v>8584</v>
      </c>
      <c r="C103" s="5">
        <v>65</v>
      </c>
      <c r="D103" s="5"/>
      <c r="E103" s="5"/>
      <c r="F103" s="5" t="s">
        <v>12108</v>
      </c>
      <c r="G103" s="5" t="s">
        <v>122</v>
      </c>
      <c r="H103" s="5" t="s">
        <v>137</v>
      </c>
      <c r="I103" s="5" t="s">
        <v>11615</v>
      </c>
      <c r="J103" s="5" t="s">
        <v>12107</v>
      </c>
      <c r="M103" s="1"/>
      <c r="N103"/>
      <c r="O103"/>
      <c r="P103"/>
      <c r="Q103"/>
      <c r="R103"/>
      <c r="S103"/>
      <c r="T103"/>
      <c r="U103"/>
      <c r="V103"/>
      <c r="W103"/>
      <c r="X103"/>
      <c r="Y103"/>
    </row>
    <row r="104" spans="1:25" s="2" customFormat="1" ht="25.5" x14ac:dyDescent="0.2">
      <c r="A104" s="5" t="s">
        <v>12106</v>
      </c>
      <c r="B104" s="5" t="s">
        <v>8584</v>
      </c>
      <c r="C104" s="5">
        <v>66</v>
      </c>
      <c r="D104" s="5"/>
      <c r="E104" s="5"/>
      <c r="F104" s="5" t="s">
        <v>12105</v>
      </c>
      <c r="G104" s="5" t="s">
        <v>122</v>
      </c>
      <c r="H104" s="5" t="s">
        <v>137</v>
      </c>
      <c r="I104" s="5" t="s">
        <v>11615</v>
      </c>
      <c r="J104" s="5" t="s">
        <v>12105</v>
      </c>
      <c r="M104" s="1"/>
      <c r="N104"/>
      <c r="O104"/>
      <c r="P104"/>
      <c r="Q104"/>
      <c r="R104"/>
      <c r="S104"/>
      <c r="T104"/>
      <c r="U104"/>
      <c r="V104"/>
      <c r="W104"/>
      <c r="X104"/>
      <c r="Y104"/>
    </row>
    <row r="105" spans="1:25" s="2" customFormat="1" ht="25.5" x14ac:dyDescent="0.2">
      <c r="A105" s="5" t="s">
        <v>12104</v>
      </c>
      <c r="B105" s="5" t="s">
        <v>8584</v>
      </c>
      <c r="C105" s="5">
        <v>66</v>
      </c>
      <c r="D105" s="5"/>
      <c r="E105" s="5"/>
      <c r="F105" s="5" t="s">
        <v>12103</v>
      </c>
      <c r="G105" s="5" t="s">
        <v>122</v>
      </c>
      <c r="H105" s="5" t="s">
        <v>137</v>
      </c>
      <c r="I105" s="5" t="s">
        <v>11615</v>
      </c>
      <c r="J105" s="5" t="s">
        <v>12102</v>
      </c>
      <c r="M105" s="1"/>
      <c r="N105"/>
      <c r="O105"/>
      <c r="P105"/>
      <c r="Q105"/>
      <c r="R105"/>
      <c r="S105"/>
      <c r="T105"/>
      <c r="U105"/>
      <c r="V105"/>
      <c r="W105"/>
      <c r="X105"/>
      <c r="Y105"/>
    </row>
    <row r="106" spans="1:25" s="2" customFormat="1" ht="25.5" x14ac:dyDescent="0.2">
      <c r="A106" s="5" t="s">
        <v>12101</v>
      </c>
      <c r="B106" s="5" t="s">
        <v>8584</v>
      </c>
      <c r="C106" s="5">
        <v>67</v>
      </c>
      <c r="D106" s="5"/>
      <c r="E106" s="5"/>
      <c r="F106" s="5" t="s">
        <v>12100</v>
      </c>
      <c r="G106" s="5" t="s">
        <v>122</v>
      </c>
      <c r="H106" s="5" t="s">
        <v>137</v>
      </c>
      <c r="I106" s="5" t="s">
        <v>11615</v>
      </c>
      <c r="J106" s="5" t="s">
        <v>12100</v>
      </c>
      <c r="M106" s="1"/>
      <c r="N106"/>
      <c r="O106"/>
      <c r="P106"/>
      <c r="Q106"/>
      <c r="R106"/>
      <c r="S106"/>
      <c r="T106"/>
      <c r="U106"/>
      <c r="V106"/>
      <c r="W106"/>
      <c r="X106"/>
      <c r="Y106"/>
    </row>
    <row r="107" spans="1:25" s="2" customFormat="1" ht="25.5" x14ac:dyDescent="0.2">
      <c r="A107" s="5" t="s">
        <v>12099</v>
      </c>
      <c r="B107" s="5" t="s">
        <v>8584</v>
      </c>
      <c r="C107" s="5">
        <v>67</v>
      </c>
      <c r="D107" s="5"/>
      <c r="E107" s="5"/>
      <c r="F107" s="5" t="s">
        <v>12098</v>
      </c>
      <c r="G107" s="5" t="s">
        <v>122</v>
      </c>
      <c r="H107" s="5" t="s">
        <v>137</v>
      </c>
      <c r="I107" s="5" t="s">
        <v>11615</v>
      </c>
      <c r="J107" s="5" t="s">
        <v>12097</v>
      </c>
      <c r="M107" s="1"/>
      <c r="N107"/>
      <c r="O107"/>
      <c r="P107"/>
      <c r="Q107"/>
      <c r="R107"/>
      <c r="S107"/>
      <c r="T107"/>
      <c r="U107"/>
      <c r="V107"/>
      <c r="W107"/>
      <c r="X107"/>
      <c r="Y107"/>
    </row>
    <row r="108" spans="1:25" s="2" customFormat="1" ht="25.5" x14ac:dyDescent="0.2">
      <c r="A108" s="5" t="s">
        <v>12096</v>
      </c>
      <c r="B108" s="5" t="s">
        <v>8584</v>
      </c>
      <c r="C108" s="5">
        <v>68</v>
      </c>
      <c r="D108" s="5"/>
      <c r="E108" s="5" t="s">
        <v>11304</v>
      </c>
      <c r="F108" s="5" t="s">
        <v>12095</v>
      </c>
      <c r="G108" s="5" t="s">
        <v>8604</v>
      </c>
      <c r="H108" s="5" t="s">
        <v>3</v>
      </c>
      <c r="I108" s="5" t="s">
        <v>11615</v>
      </c>
      <c r="J108" s="5" t="s">
        <v>12095</v>
      </c>
      <c r="M108" s="1"/>
      <c r="N108"/>
      <c r="O108"/>
      <c r="P108"/>
      <c r="Q108"/>
      <c r="R108"/>
      <c r="S108"/>
      <c r="T108"/>
      <c r="U108"/>
      <c r="V108"/>
      <c r="W108"/>
      <c r="X108"/>
      <c r="Y108"/>
    </row>
    <row r="109" spans="1:25" s="2" customFormat="1" ht="25.5" x14ac:dyDescent="0.2">
      <c r="A109" s="5" t="s">
        <v>12094</v>
      </c>
      <c r="B109" s="5" t="s">
        <v>8584</v>
      </c>
      <c r="C109" s="5">
        <v>68</v>
      </c>
      <c r="D109" s="5"/>
      <c r="E109" s="5" t="s">
        <v>11304</v>
      </c>
      <c r="F109" s="5" t="s">
        <v>12093</v>
      </c>
      <c r="G109" s="5" t="s">
        <v>8604</v>
      </c>
      <c r="H109" s="5" t="s">
        <v>137</v>
      </c>
      <c r="I109" s="5" t="s">
        <v>11615</v>
      </c>
      <c r="J109" s="5" t="s">
        <v>12092</v>
      </c>
      <c r="M109" s="1"/>
      <c r="N109"/>
      <c r="O109"/>
      <c r="P109"/>
      <c r="Q109"/>
      <c r="R109"/>
      <c r="S109"/>
      <c r="T109"/>
      <c r="U109"/>
      <c r="V109"/>
      <c r="W109"/>
      <c r="X109"/>
      <c r="Y109"/>
    </row>
    <row r="110" spans="1:25" s="2" customFormat="1" x14ac:dyDescent="0.2">
      <c r="A110" s="5" t="s">
        <v>11192</v>
      </c>
      <c r="B110" s="5" t="s">
        <v>8584</v>
      </c>
      <c r="C110" s="5">
        <v>69</v>
      </c>
      <c r="D110" s="5"/>
      <c r="E110" s="5" t="s">
        <v>6367</v>
      </c>
      <c r="F110" s="5" t="s">
        <v>11190</v>
      </c>
      <c r="G110" s="5" t="s">
        <v>105</v>
      </c>
      <c r="H110" s="5" t="s">
        <v>3</v>
      </c>
      <c r="I110" s="5"/>
      <c r="J110" s="5" t="s">
        <v>11189</v>
      </c>
      <c r="M110" s="1"/>
      <c r="N110"/>
      <c r="O110"/>
      <c r="P110"/>
      <c r="Q110"/>
      <c r="R110"/>
      <c r="S110"/>
      <c r="T110"/>
      <c r="U110"/>
      <c r="V110"/>
      <c r="W110"/>
      <c r="X110"/>
      <c r="Y110"/>
    </row>
    <row r="111" spans="1:25" s="2" customFormat="1" ht="25.5" x14ac:dyDescent="0.2">
      <c r="A111" s="5" t="s">
        <v>11121</v>
      </c>
      <c r="B111" s="5" t="s">
        <v>8584</v>
      </c>
      <c r="C111" s="5">
        <v>70</v>
      </c>
      <c r="D111" s="5"/>
      <c r="E111" s="5"/>
      <c r="F111" s="5" t="s">
        <v>11671</v>
      </c>
      <c r="G111" s="5" t="s">
        <v>224</v>
      </c>
      <c r="H111" s="5" t="s">
        <v>3</v>
      </c>
      <c r="I111" s="5"/>
      <c r="J111" s="5" t="s">
        <v>12091</v>
      </c>
      <c r="M111" s="1"/>
      <c r="N111"/>
      <c r="O111"/>
      <c r="P111"/>
      <c r="Q111"/>
      <c r="R111"/>
      <c r="S111"/>
      <c r="T111"/>
      <c r="U111"/>
      <c r="V111"/>
      <c r="W111"/>
      <c r="X111"/>
      <c r="Y111"/>
    </row>
    <row r="112" spans="1:25" s="2" customFormat="1" ht="25.5" x14ac:dyDescent="0.2">
      <c r="A112" s="5" t="s">
        <v>12090</v>
      </c>
      <c r="B112" s="5" t="s">
        <v>8584</v>
      </c>
      <c r="C112" s="5">
        <v>70</v>
      </c>
      <c r="D112" s="5"/>
      <c r="E112" s="5" t="s">
        <v>11304</v>
      </c>
      <c r="F112" s="5" t="s">
        <v>11671</v>
      </c>
      <c r="G112" s="5" t="s">
        <v>224</v>
      </c>
      <c r="H112" s="5" t="s">
        <v>137</v>
      </c>
      <c r="I112" s="5" t="s">
        <v>12089</v>
      </c>
      <c r="J112" s="5" t="s">
        <v>12088</v>
      </c>
      <c r="M112" s="1"/>
      <c r="N112"/>
      <c r="O112"/>
      <c r="P112"/>
      <c r="Q112"/>
      <c r="R112"/>
      <c r="S112"/>
      <c r="T112"/>
      <c r="U112"/>
      <c r="V112"/>
      <c r="W112"/>
      <c r="X112"/>
      <c r="Y112"/>
    </row>
    <row r="113" spans="1:25" s="2" customFormat="1" ht="38.25" x14ac:dyDescent="0.2">
      <c r="A113" s="5" t="s">
        <v>12087</v>
      </c>
      <c r="B113" s="5" t="s">
        <v>8584</v>
      </c>
      <c r="C113" s="5">
        <v>71</v>
      </c>
      <c r="D113" s="5"/>
      <c r="E113" s="5"/>
      <c r="F113" s="5" t="s">
        <v>12086</v>
      </c>
      <c r="G113" s="5" t="s">
        <v>122</v>
      </c>
      <c r="H113" s="5" t="s">
        <v>3</v>
      </c>
      <c r="I113" s="5"/>
      <c r="J113" s="5" t="s">
        <v>12085</v>
      </c>
      <c r="M113" s="1"/>
      <c r="N113"/>
      <c r="O113"/>
      <c r="P113"/>
      <c r="Q113"/>
      <c r="R113"/>
      <c r="S113"/>
      <c r="T113"/>
      <c r="U113"/>
      <c r="V113"/>
      <c r="W113"/>
      <c r="X113"/>
      <c r="Y113"/>
    </row>
    <row r="114" spans="1:25" s="2" customFormat="1" x14ac:dyDescent="0.2">
      <c r="A114" s="5" t="s">
        <v>12084</v>
      </c>
      <c r="B114" s="5" t="s">
        <v>8584</v>
      </c>
      <c r="C114" s="5">
        <v>72</v>
      </c>
      <c r="D114" s="5"/>
      <c r="E114" s="5"/>
      <c r="F114" s="5" t="s">
        <v>12083</v>
      </c>
      <c r="G114" s="5" t="s">
        <v>8604</v>
      </c>
      <c r="H114" s="5" t="s">
        <v>3</v>
      </c>
      <c r="I114" s="5"/>
      <c r="J114" s="5" t="s">
        <v>12082</v>
      </c>
      <c r="M114" s="1"/>
      <c r="N114"/>
      <c r="O114"/>
      <c r="P114"/>
      <c r="Q114"/>
      <c r="R114"/>
      <c r="S114"/>
      <c r="T114"/>
      <c r="U114"/>
      <c r="V114"/>
      <c r="W114"/>
      <c r="X114"/>
      <c r="Y114"/>
    </row>
    <row r="115" spans="1:25" s="2" customFormat="1" ht="25.5" x14ac:dyDescent="0.2">
      <c r="A115" s="5" t="s">
        <v>12081</v>
      </c>
      <c r="B115" s="5" t="s">
        <v>8584</v>
      </c>
      <c r="C115" s="5">
        <v>73</v>
      </c>
      <c r="D115" s="5"/>
      <c r="E115" s="5"/>
      <c r="F115" s="5" t="s">
        <v>12080</v>
      </c>
      <c r="G115" s="5" t="s">
        <v>122</v>
      </c>
      <c r="H115" s="5" t="s">
        <v>3</v>
      </c>
      <c r="I115" s="5"/>
      <c r="J115" s="5" t="s">
        <v>12079</v>
      </c>
      <c r="M115" s="1"/>
      <c r="N115"/>
      <c r="O115"/>
      <c r="P115"/>
      <c r="Q115"/>
      <c r="R115"/>
      <c r="S115"/>
      <c r="T115"/>
      <c r="U115"/>
      <c r="V115"/>
      <c r="W115"/>
      <c r="X115"/>
      <c r="Y115"/>
    </row>
    <row r="116" spans="1:25" s="2" customFormat="1" ht="25.5" x14ac:dyDescent="0.2">
      <c r="A116" s="5" t="s">
        <v>12078</v>
      </c>
      <c r="B116" s="5" t="s">
        <v>8584</v>
      </c>
      <c r="C116" s="5">
        <v>74</v>
      </c>
      <c r="D116" s="5"/>
      <c r="E116" s="5"/>
      <c r="F116" s="5" t="s">
        <v>12077</v>
      </c>
      <c r="G116" s="5" t="s">
        <v>283</v>
      </c>
      <c r="H116" s="5" t="s">
        <v>3</v>
      </c>
      <c r="I116" s="5"/>
      <c r="J116" s="5" t="s">
        <v>12076</v>
      </c>
      <c r="M116" s="1"/>
      <c r="N116"/>
      <c r="O116"/>
      <c r="P116"/>
      <c r="Q116"/>
      <c r="R116"/>
      <c r="S116"/>
      <c r="T116"/>
      <c r="U116"/>
      <c r="V116"/>
      <c r="W116"/>
      <c r="X116"/>
      <c r="Y116"/>
    </row>
    <row r="117" spans="1:25" s="2" customFormat="1" ht="25.5" x14ac:dyDescent="0.2">
      <c r="A117" s="5" t="s">
        <v>12075</v>
      </c>
      <c r="B117" s="5" t="s">
        <v>8584</v>
      </c>
      <c r="C117" s="5">
        <v>75</v>
      </c>
      <c r="D117" s="5"/>
      <c r="E117" s="5"/>
      <c r="F117" s="5" t="s">
        <v>12070</v>
      </c>
      <c r="G117" s="5" t="s">
        <v>170</v>
      </c>
      <c r="H117" s="5" t="s">
        <v>137</v>
      </c>
      <c r="I117" s="5" t="s">
        <v>12069</v>
      </c>
      <c r="J117" s="5" t="s">
        <v>12074</v>
      </c>
      <c r="M117" s="1"/>
      <c r="N117"/>
      <c r="O117"/>
      <c r="P117"/>
      <c r="Q117"/>
      <c r="R117"/>
      <c r="S117"/>
      <c r="T117"/>
      <c r="U117"/>
      <c r="V117"/>
      <c r="W117"/>
      <c r="X117"/>
      <c r="Y117"/>
    </row>
    <row r="118" spans="1:25" s="2" customFormat="1" ht="25.5" x14ac:dyDescent="0.2">
      <c r="A118" s="5" t="s">
        <v>12073</v>
      </c>
      <c r="B118" s="5" t="s">
        <v>8584</v>
      </c>
      <c r="C118" s="5">
        <v>76</v>
      </c>
      <c r="D118" s="5"/>
      <c r="E118" s="5"/>
      <c r="F118" s="5" t="s">
        <v>12070</v>
      </c>
      <c r="G118" s="5" t="s">
        <v>170</v>
      </c>
      <c r="H118" s="5" t="s">
        <v>137</v>
      </c>
      <c r="I118" s="5" t="s">
        <v>12069</v>
      </c>
      <c r="J118" s="5" t="s">
        <v>12072</v>
      </c>
      <c r="M118" s="1"/>
      <c r="N118"/>
      <c r="O118"/>
      <c r="P118"/>
      <c r="Q118"/>
      <c r="R118"/>
      <c r="S118"/>
      <c r="T118"/>
      <c r="U118"/>
      <c r="V118"/>
      <c r="W118"/>
      <c r="X118"/>
      <c r="Y118"/>
    </row>
    <row r="119" spans="1:25" s="2" customFormat="1" ht="25.5" x14ac:dyDescent="0.2">
      <c r="A119" s="5" t="s">
        <v>12071</v>
      </c>
      <c r="B119" s="5" t="s">
        <v>8584</v>
      </c>
      <c r="C119" s="5">
        <v>77</v>
      </c>
      <c r="D119" s="5"/>
      <c r="E119" s="5"/>
      <c r="F119" s="5" t="s">
        <v>12070</v>
      </c>
      <c r="G119" s="5" t="s">
        <v>234</v>
      </c>
      <c r="H119" s="5" t="s">
        <v>137</v>
      </c>
      <c r="I119" s="5" t="s">
        <v>12069</v>
      </c>
      <c r="J119" s="5" t="s">
        <v>12068</v>
      </c>
      <c r="M119" s="1"/>
      <c r="N119"/>
      <c r="O119"/>
      <c r="P119"/>
      <c r="Q119"/>
      <c r="R119"/>
      <c r="S119"/>
      <c r="T119"/>
      <c r="U119"/>
      <c r="V119"/>
      <c r="W119"/>
      <c r="X119"/>
      <c r="Y119"/>
    </row>
    <row r="120" spans="1:25" s="2" customFormat="1" ht="25.5" x14ac:dyDescent="0.2">
      <c r="A120" s="5" t="s">
        <v>12067</v>
      </c>
      <c r="B120" s="5" t="s">
        <v>8584</v>
      </c>
      <c r="C120" s="5">
        <v>78</v>
      </c>
      <c r="D120" s="5"/>
      <c r="E120" s="5"/>
      <c r="F120" s="5" t="s">
        <v>12066</v>
      </c>
      <c r="G120" s="5" t="s">
        <v>105</v>
      </c>
      <c r="H120" s="5" t="s">
        <v>3</v>
      </c>
      <c r="I120" s="5"/>
      <c r="J120" s="5" t="s">
        <v>12065</v>
      </c>
      <c r="M120" s="1"/>
      <c r="N120"/>
      <c r="O120"/>
      <c r="P120"/>
      <c r="Q120"/>
      <c r="R120"/>
      <c r="S120"/>
      <c r="T120"/>
      <c r="U120"/>
      <c r="V120"/>
      <c r="W120"/>
      <c r="X120"/>
      <c r="Y120"/>
    </row>
    <row r="121" spans="1:25" s="2" customFormat="1" x14ac:dyDescent="0.2">
      <c r="A121" s="5" t="s">
        <v>12064</v>
      </c>
      <c r="B121" s="5" t="s">
        <v>8584</v>
      </c>
      <c r="C121" s="5">
        <v>79</v>
      </c>
      <c r="D121" s="5"/>
      <c r="E121" s="5"/>
      <c r="F121" s="5" t="s">
        <v>10568</v>
      </c>
      <c r="G121" s="5" t="s">
        <v>170</v>
      </c>
      <c r="H121" s="5" t="s">
        <v>3</v>
      </c>
      <c r="I121" s="5"/>
      <c r="J121" s="5" t="s">
        <v>12063</v>
      </c>
      <c r="M121" s="1"/>
      <c r="N121"/>
      <c r="O121"/>
      <c r="P121"/>
      <c r="Q121"/>
      <c r="R121"/>
      <c r="S121"/>
      <c r="T121"/>
      <c r="U121"/>
      <c r="V121"/>
      <c r="W121"/>
      <c r="X121"/>
      <c r="Y121"/>
    </row>
    <row r="122" spans="1:25" s="2" customFormat="1" x14ac:dyDescent="0.2">
      <c r="A122" s="5" t="s">
        <v>12062</v>
      </c>
      <c r="B122" s="5" t="s">
        <v>8584</v>
      </c>
      <c r="C122" s="5">
        <v>80</v>
      </c>
      <c r="D122" s="5"/>
      <c r="E122" s="5"/>
      <c r="F122" s="5" t="s">
        <v>12062</v>
      </c>
      <c r="G122" s="5" t="s">
        <v>155</v>
      </c>
      <c r="H122" s="5" t="s">
        <v>3</v>
      </c>
      <c r="I122" s="5"/>
      <c r="J122" s="5" t="s">
        <v>12062</v>
      </c>
      <c r="M122" s="1"/>
      <c r="N122"/>
      <c r="O122"/>
      <c r="P122"/>
      <c r="Q122"/>
      <c r="R122"/>
      <c r="S122"/>
      <c r="T122"/>
      <c r="U122"/>
      <c r="V122"/>
      <c r="W122"/>
      <c r="X122"/>
      <c r="Y122"/>
    </row>
    <row r="123" spans="1:25" s="2" customFormat="1" x14ac:dyDescent="0.2">
      <c r="A123" s="5" t="s">
        <v>12061</v>
      </c>
      <c r="B123" s="5" t="s">
        <v>8584</v>
      </c>
      <c r="C123" s="5">
        <v>81</v>
      </c>
      <c r="D123" s="5"/>
      <c r="E123" s="5" t="s">
        <v>6367</v>
      </c>
      <c r="F123" s="5" t="s">
        <v>12060</v>
      </c>
      <c r="G123" s="5" t="s">
        <v>105</v>
      </c>
      <c r="H123" s="5" t="s">
        <v>3</v>
      </c>
      <c r="I123" s="5"/>
      <c r="J123" s="5" t="s">
        <v>12059</v>
      </c>
      <c r="M123" s="1"/>
      <c r="N123"/>
      <c r="O123"/>
      <c r="P123"/>
      <c r="Q123"/>
      <c r="R123"/>
      <c r="S123"/>
      <c r="T123"/>
      <c r="U123"/>
      <c r="V123"/>
      <c r="W123"/>
      <c r="X123"/>
      <c r="Y123"/>
    </row>
    <row r="124" spans="1:25" s="2" customFormat="1" x14ac:dyDescent="0.2">
      <c r="A124" s="5" t="s">
        <v>12058</v>
      </c>
      <c r="B124" s="5" t="s">
        <v>8584</v>
      </c>
      <c r="C124" s="5">
        <v>82</v>
      </c>
      <c r="D124" s="5"/>
      <c r="E124" s="5"/>
      <c r="F124" s="5"/>
      <c r="G124" s="5" t="s">
        <v>91</v>
      </c>
      <c r="H124" s="5" t="s">
        <v>3</v>
      </c>
      <c r="I124" s="5"/>
      <c r="J124" s="5" t="s">
        <v>12057</v>
      </c>
      <c r="M124" s="1"/>
      <c r="N124"/>
      <c r="O124"/>
      <c r="P124"/>
      <c r="Q124"/>
      <c r="R124"/>
      <c r="S124"/>
      <c r="T124"/>
      <c r="U124"/>
      <c r="V124"/>
      <c r="W124"/>
      <c r="X124"/>
      <c r="Y124"/>
    </row>
    <row r="125" spans="1:25" s="2" customFormat="1" x14ac:dyDescent="0.2">
      <c r="A125" s="5" t="s">
        <v>12056</v>
      </c>
      <c r="B125" s="5" t="s">
        <v>8584</v>
      </c>
      <c r="C125" s="5">
        <v>83</v>
      </c>
      <c r="D125" s="5"/>
      <c r="E125" s="5"/>
      <c r="F125" s="5"/>
      <c r="G125" s="5" t="s">
        <v>91</v>
      </c>
      <c r="H125" s="5" t="s">
        <v>3</v>
      </c>
      <c r="I125" s="5"/>
      <c r="J125" s="5" t="s">
        <v>12055</v>
      </c>
      <c r="M125" s="1"/>
      <c r="N125"/>
      <c r="O125"/>
      <c r="P125"/>
      <c r="Q125"/>
      <c r="R125"/>
      <c r="S125"/>
      <c r="T125"/>
      <c r="U125"/>
      <c r="V125"/>
      <c r="W125"/>
      <c r="X125"/>
      <c r="Y125"/>
    </row>
    <row r="126" spans="1:25" s="2" customFormat="1" ht="25.5" x14ac:dyDescent="0.2">
      <c r="A126" s="5" t="s">
        <v>12054</v>
      </c>
      <c r="B126" s="5" t="s">
        <v>8584</v>
      </c>
      <c r="C126" s="5">
        <v>84</v>
      </c>
      <c r="D126" s="5"/>
      <c r="E126" s="5"/>
      <c r="F126" s="5" t="s">
        <v>259</v>
      </c>
      <c r="G126" s="5" t="s">
        <v>170</v>
      </c>
      <c r="H126" s="5" t="s">
        <v>137</v>
      </c>
      <c r="I126" s="5" t="s">
        <v>12041</v>
      </c>
      <c r="J126" s="5" t="s">
        <v>12053</v>
      </c>
      <c r="M126" s="1"/>
      <c r="N126"/>
      <c r="O126"/>
      <c r="P126"/>
      <c r="Q126"/>
      <c r="R126"/>
      <c r="S126"/>
      <c r="T126"/>
      <c r="U126"/>
      <c r="V126"/>
      <c r="W126"/>
      <c r="X126"/>
      <c r="Y126"/>
    </row>
    <row r="127" spans="1:25" s="2" customFormat="1" ht="25.5" x14ac:dyDescent="0.2">
      <c r="A127" s="5" t="s">
        <v>12052</v>
      </c>
      <c r="B127" s="5" t="s">
        <v>8584</v>
      </c>
      <c r="C127" s="5">
        <v>85</v>
      </c>
      <c r="D127" s="5"/>
      <c r="E127" s="5"/>
      <c r="F127" s="5"/>
      <c r="G127" s="5" t="s">
        <v>105</v>
      </c>
      <c r="H127" s="5" t="s">
        <v>3</v>
      </c>
      <c r="I127" s="5"/>
      <c r="J127" s="5" t="s">
        <v>12051</v>
      </c>
      <c r="M127" s="1"/>
      <c r="N127"/>
      <c r="O127"/>
      <c r="P127"/>
      <c r="Q127"/>
      <c r="R127"/>
      <c r="S127"/>
      <c r="T127"/>
      <c r="U127"/>
      <c r="V127"/>
      <c r="W127"/>
      <c r="X127"/>
      <c r="Y127"/>
    </row>
    <row r="128" spans="1:25" s="2" customFormat="1" x14ac:dyDescent="0.2">
      <c r="A128" s="5" t="s">
        <v>12050</v>
      </c>
      <c r="B128" s="5" t="s">
        <v>8584</v>
      </c>
      <c r="C128" s="5">
        <v>86</v>
      </c>
      <c r="D128" s="5"/>
      <c r="E128" s="5"/>
      <c r="F128" s="5"/>
      <c r="G128" s="5" t="s">
        <v>224</v>
      </c>
      <c r="H128" s="5" t="s">
        <v>3</v>
      </c>
      <c r="I128" s="5"/>
      <c r="J128" s="5" t="s">
        <v>12049</v>
      </c>
      <c r="M128" s="1"/>
      <c r="N128"/>
      <c r="O128"/>
      <c r="P128"/>
      <c r="Q128"/>
      <c r="R128"/>
      <c r="S128"/>
      <c r="T128"/>
      <c r="U128"/>
      <c r="V128"/>
      <c r="W128"/>
      <c r="X128"/>
      <c r="Y128"/>
    </row>
    <row r="129" spans="1:25" s="2" customFormat="1" x14ac:dyDescent="0.2">
      <c r="A129" s="5" t="s">
        <v>12048</v>
      </c>
      <c r="B129" s="5" t="s">
        <v>8584</v>
      </c>
      <c r="C129" s="5">
        <v>87</v>
      </c>
      <c r="D129" s="5"/>
      <c r="E129" s="5"/>
      <c r="F129" s="5"/>
      <c r="G129" s="5" t="s">
        <v>3059</v>
      </c>
      <c r="H129" s="5" t="s">
        <v>3</v>
      </c>
      <c r="I129" s="5"/>
      <c r="J129" s="5" t="s">
        <v>12047</v>
      </c>
      <c r="M129" s="1"/>
      <c r="N129"/>
      <c r="O129"/>
      <c r="P129"/>
      <c r="Q129"/>
      <c r="R129"/>
      <c r="S129"/>
      <c r="T129"/>
      <c r="U129"/>
      <c r="V129"/>
      <c r="W129"/>
      <c r="X129"/>
      <c r="Y129"/>
    </row>
    <row r="130" spans="1:25" s="2" customFormat="1" x14ac:dyDescent="0.2">
      <c r="A130" s="5" t="s">
        <v>12046</v>
      </c>
      <c r="B130" s="5" t="s">
        <v>8584</v>
      </c>
      <c r="C130" s="5">
        <v>88</v>
      </c>
      <c r="D130" s="5"/>
      <c r="E130" s="5"/>
      <c r="F130" s="5"/>
      <c r="G130" s="5" t="s">
        <v>91</v>
      </c>
      <c r="H130" s="5" t="s">
        <v>3</v>
      </c>
      <c r="I130" s="5"/>
      <c r="J130" s="5" t="s">
        <v>12045</v>
      </c>
      <c r="M130" s="1"/>
      <c r="N130"/>
      <c r="O130"/>
      <c r="P130"/>
      <c r="Q130"/>
      <c r="R130"/>
      <c r="S130"/>
      <c r="T130"/>
      <c r="U130"/>
      <c r="V130"/>
      <c r="W130"/>
      <c r="X130"/>
      <c r="Y130"/>
    </row>
    <row r="131" spans="1:25" s="2" customFormat="1" x14ac:dyDescent="0.2">
      <c r="A131" s="5" t="s">
        <v>12044</v>
      </c>
      <c r="B131" s="5" t="s">
        <v>8584</v>
      </c>
      <c r="C131" s="5">
        <v>89</v>
      </c>
      <c r="D131" s="5"/>
      <c r="E131" s="5"/>
      <c r="F131" s="5" t="s">
        <v>259</v>
      </c>
      <c r="G131" s="5" t="s">
        <v>382</v>
      </c>
      <c r="H131" s="5" t="s">
        <v>3</v>
      </c>
      <c r="I131" s="5"/>
      <c r="J131" s="5" t="s">
        <v>12043</v>
      </c>
      <c r="M131" s="1"/>
      <c r="N131"/>
      <c r="O131"/>
      <c r="P131"/>
      <c r="Q131"/>
      <c r="R131"/>
      <c r="S131"/>
      <c r="T131"/>
      <c r="U131"/>
      <c r="V131"/>
      <c r="W131"/>
      <c r="X131"/>
      <c r="Y131"/>
    </row>
    <row r="132" spans="1:25" s="2" customFormat="1" ht="25.5" x14ac:dyDescent="0.2">
      <c r="A132" s="5" t="s">
        <v>12042</v>
      </c>
      <c r="B132" s="5" t="s">
        <v>8584</v>
      </c>
      <c r="C132" s="5">
        <v>90</v>
      </c>
      <c r="D132" s="5"/>
      <c r="E132" s="5"/>
      <c r="F132" s="5" t="s">
        <v>259</v>
      </c>
      <c r="G132" s="5" t="s">
        <v>382</v>
      </c>
      <c r="H132" s="5" t="s">
        <v>137</v>
      </c>
      <c r="I132" s="5" t="s">
        <v>12041</v>
      </c>
      <c r="J132" s="5" t="s">
        <v>12040</v>
      </c>
      <c r="M132" s="1"/>
      <c r="N132"/>
      <c r="O132"/>
      <c r="P132"/>
      <c r="Q132"/>
      <c r="R132"/>
      <c r="S132"/>
      <c r="T132"/>
      <c r="U132"/>
      <c r="V132"/>
      <c r="W132"/>
      <c r="X132"/>
      <c r="Y132"/>
    </row>
    <row r="133" spans="1:25" s="2" customFormat="1" ht="25.5" x14ac:dyDescent="0.2">
      <c r="A133" s="5" t="s">
        <v>12039</v>
      </c>
      <c r="B133" s="5" t="s">
        <v>8584</v>
      </c>
      <c r="C133" s="5">
        <v>91</v>
      </c>
      <c r="D133" s="5"/>
      <c r="E133" s="5"/>
      <c r="F133" s="5" t="s">
        <v>259</v>
      </c>
      <c r="G133" s="5" t="s">
        <v>382</v>
      </c>
      <c r="H133" s="5" t="s">
        <v>3</v>
      </c>
      <c r="I133" s="5"/>
      <c r="J133" s="5" t="s">
        <v>12038</v>
      </c>
      <c r="M133" s="1"/>
      <c r="N133"/>
      <c r="O133"/>
      <c r="P133"/>
      <c r="Q133"/>
      <c r="R133"/>
      <c r="S133"/>
      <c r="T133"/>
      <c r="U133"/>
      <c r="V133"/>
      <c r="W133"/>
      <c r="X133"/>
      <c r="Y133"/>
    </row>
    <row r="134" spans="1:25" s="2" customFormat="1" ht="25.5" x14ac:dyDescent="0.2">
      <c r="A134" s="5" t="s">
        <v>12037</v>
      </c>
      <c r="B134" s="5" t="s">
        <v>8584</v>
      </c>
      <c r="C134" s="5">
        <v>92</v>
      </c>
      <c r="D134" s="5"/>
      <c r="E134" s="5"/>
      <c r="F134" s="5" t="s">
        <v>12036</v>
      </c>
      <c r="G134" s="5" t="s">
        <v>170</v>
      </c>
      <c r="H134" s="5" t="s">
        <v>3</v>
      </c>
      <c r="I134" s="5"/>
      <c r="J134" s="5" t="s">
        <v>12035</v>
      </c>
      <c r="M134" s="1"/>
      <c r="N134"/>
      <c r="O134"/>
      <c r="P134"/>
      <c r="Q134"/>
      <c r="R134"/>
      <c r="S134"/>
      <c r="T134"/>
      <c r="U134"/>
      <c r="V134"/>
      <c r="W134"/>
      <c r="X134"/>
      <c r="Y134"/>
    </row>
    <row r="135" spans="1:25" s="2" customFormat="1" ht="25.5" x14ac:dyDescent="0.2">
      <c r="A135" s="5" t="s">
        <v>12034</v>
      </c>
      <c r="B135" s="5" t="s">
        <v>8584</v>
      </c>
      <c r="C135" s="5">
        <v>93</v>
      </c>
      <c r="D135" s="5"/>
      <c r="E135" s="5"/>
      <c r="F135" s="5"/>
      <c r="G135" s="5" t="s">
        <v>80</v>
      </c>
      <c r="H135" s="5" t="s">
        <v>137</v>
      </c>
      <c r="I135" s="5" t="s">
        <v>12033</v>
      </c>
      <c r="J135" s="5"/>
      <c r="M135" s="1"/>
      <c r="N135"/>
      <c r="O135"/>
      <c r="P135"/>
      <c r="Q135"/>
      <c r="R135"/>
      <c r="S135"/>
      <c r="T135"/>
      <c r="U135"/>
      <c r="V135"/>
      <c r="W135"/>
      <c r="X135"/>
      <c r="Y135"/>
    </row>
    <row r="136" spans="1:25" s="2" customFormat="1" ht="25.5" x14ac:dyDescent="0.2">
      <c r="A136" s="5" t="s">
        <v>12033</v>
      </c>
      <c r="B136" s="5" t="s">
        <v>8584</v>
      </c>
      <c r="C136" s="5">
        <v>94</v>
      </c>
      <c r="D136" s="5"/>
      <c r="E136" s="5"/>
      <c r="F136" s="5"/>
      <c r="G136" s="5" t="s">
        <v>224</v>
      </c>
      <c r="H136" s="5" t="s">
        <v>137</v>
      </c>
      <c r="I136" s="5" t="s">
        <v>12033</v>
      </c>
      <c r="J136" s="5"/>
      <c r="M136" s="1"/>
      <c r="N136"/>
      <c r="O136"/>
      <c r="P136"/>
      <c r="Q136"/>
      <c r="R136"/>
      <c r="S136"/>
      <c r="T136"/>
      <c r="U136"/>
      <c r="V136"/>
      <c r="W136"/>
      <c r="X136"/>
      <c r="Y136"/>
    </row>
    <row r="137" spans="1:25" s="2" customFormat="1" ht="38.25" x14ac:dyDescent="0.2">
      <c r="A137" s="5" t="s">
        <v>12032</v>
      </c>
      <c r="B137" s="5" t="s">
        <v>8584</v>
      </c>
      <c r="C137" s="5">
        <v>95</v>
      </c>
      <c r="D137" s="5"/>
      <c r="E137" s="5"/>
      <c r="F137" s="5" t="s">
        <v>12031</v>
      </c>
      <c r="G137" s="5" t="s">
        <v>170</v>
      </c>
      <c r="H137" s="5" t="s">
        <v>3</v>
      </c>
      <c r="I137" s="5"/>
      <c r="J137" s="5" t="s">
        <v>12030</v>
      </c>
      <c r="M137" s="1"/>
      <c r="N137"/>
      <c r="O137"/>
      <c r="P137"/>
      <c r="Q137"/>
      <c r="R137"/>
      <c r="S137"/>
      <c r="T137"/>
      <c r="U137"/>
      <c r="V137"/>
      <c r="W137"/>
      <c r="X137"/>
      <c r="Y137"/>
    </row>
    <row r="138" spans="1:25" s="2" customFormat="1" ht="25.5" x14ac:dyDescent="0.2">
      <c r="A138" s="5" t="s">
        <v>12029</v>
      </c>
      <c r="B138" s="5" t="s">
        <v>8584</v>
      </c>
      <c r="C138" s="5">
        <v>96</v>
      </c>
      <c r="D138" s="5"/>
      <c r="E138" s="5" t="s">
        <v>6367</v>
      </c>
      <c r="F138" s="5" t="s">
        <v>11204</v>
      </c>
      <c r="G138" s="5" t="s">
        <v>105</v>
      </c>
      <c r="H138" s="5" t="s">
        <v>3</v>
      </c>
      <c r="I138" s="5"/>
      <c r="J138" s="5" t="s">
        <v>12028</v>
      </c>
      <c r="M138" s="1"/>
      <c r="N138"/>
      <c r="O138"/>
      <c r="P138"/>
      <c r="Q138"/>
      <c r="R138"/>
      <c r="S138"/>
      <c r="T138"/>
      <c r="U138"/>
      <c r="V138"/>
      <c r="W138"/>
      <c r="X138"/>
      <c r="Y138"/>
    </row>
    <row r="139" spans="1:25" s="2" customFormat="1" ht="25.5" x14ac:dyDescent="0.2">
      <c r="A139" s="5" t="s">
        <v>12027</v>
      </c>
      <c r="B139" s="5" t="s">
        <v>8584</v>
      </c>
      <c r="C139" s="5">
        <v>96</v>
      </c>
      <c r="D139" s="5"/>
      <c r="E139" s="5"/>
      <c r="F139" s="5" t="s">
        <v>12026</v>
      </c>
      <c r="G139" s="5" t="s">
        <v>105</v>
      </c>
      <c r="H139" s="5" t="s">
        <v>3</v>
      </c>
      <c r="I139" s="5"/>
      <c r="J139" s="5" t="s">
        <v>12025</v>
      </c>
      <c r="M139" s="1"/>
      <c r="N139"/>
      <c r="O139"/>
      <c r="P139"/>
      <c r="Q139"/>
      <c r="R139"/>
      <c r="S139"/>
      <c r="T139"/>
      <c r="U139"/>
      <c r="V139"/>
      <c r="W139"/>
      <c r="X139"/>
      <c r="Y139"/>
    </row>
    <row r="140" spans="1:25" s="2" customFormat="1" x14ac:dyDescent="0.2">
      <c r="A140" s="5" t="s">
        <v>12024</v>
      </c>
      <c r="B140" s="5" t="s">
        <v>8584</v>
      </c>
      <c r="C140" s="5">
        <v>97</v>
      </c>
      <c r="D140" s="5"/>
      <c r="E140" s="5"/>
      <c r="F140" s="5" t="s">
        <v>12023</v>
      </c>
      <c r="G140" s="5" t="s">
        <v>122</v>
      </c>
      <c r="H140" s="5" t="s">
        <v>3</v>
      </c>
      <c r="I140" s="5"/>
      <c r="J140" s="5" t="s">
        <v>12022</v>
      </c>
      <c r="M140" s="1"/>
      <c r="N140"/>
      <c r="O140"/>
      <c r="P140"/>
      <c r="Q140"/>
      <c r="R140"/>
      <c r="S140"/>
      <c r="T140"/>
      <c r="U140"/>
      <c r="V140"/>
      <c r="W140"/>
      <c r="X140"/>
      <c r="Y140"/>
    </row>
    <row r="141" spans="1:25" s="2" customFormat="1" x14ac:dyDescent="0.2">
      <c r="A141" s="5" t="s">
        <v>12021</v>
      </c>
      <c r="B141" s="5" t="s">
        <v>8584</v>
      </c>
      <c r="C141" s="5">
        <v>98</v>
      </c>
      <c r="D141" s="5"/>
      <c r="E141" s="5" t="s">
        <v>150</v>
      </c>
      <c r="F141" s="5" t="s">
        <v>12019</v>
      </c>
      <c r="G141" s="5" t="s">
        <v>148</v>
      </c>
      <c r="H141" s="5" t="s">
        <v>3</v>
      </c>
      <c r="I141" s="5"/>
      <c r="J141" s="5" t="s">
        <v>12018</v>
      </c>
      <c r="M141" s="1"/>
      <c r="N141"/>
      <c r="O141"/>
      <c r="P141"/>
      <c r="Q141"/>
      <c r="R141"/>
      <c r="S141"/>
      <c r="T141"/>
      <c r="U141"/>
      <c r="V141"/>
      <c r="W141"/>
      <c r="X141"/>
      <c r="Y141"/>
    </row>
    <row r="142" spans="1:25" s="2" customFormat="1" ht="25.5" x14ac:dyDescent="0.2">
      <c r="A142" s="5" t="s">
        <v>12020</v>
      </c>
      <c r="B142" s="5" t="s">
        <v>8584</v>
      </c>
      <c r="C142" s="5">
        <v>98</v>
      </c>
      <c r="D142" s="5"/>
      <c r="E142" s="5" t="s">
        <v>213</v>
      </c>
      <c r="F142" s="5" t="s">
        <v>12019</v>
      </c>
      <c r="G142" s="5" t="s">
        <v>91</v>
      </c>
      <c r="H142" s="5" t="s">
        <v>3</v>
      </c>
      <c r="I142" s="5"/>
      <c r="J142" s="5" t="s">
        <v>12018</v>
      </c>
      <c r="M142" s="1"/>
      <c r="N142"/>
      <c r="O142"/>
      <c r="P142"/>
      <c r="Q142"/>
      <c r="R142"/>
      <c r="S142"/>
      <c r="T142"/>
      <c r="U142"/>
      <c r="V142"/>
      <c r="W142"/>
      <c r="X142"/>
      <c r="Y142"/>
    </row>
    <row r="143" spans="1:25" s="2" customFormat="1" x14ac:dyDescent="0.2">
      <c r="A143" s="5" t="s">
        <v>12017</v>
      </c>
      <c r="B143" s="5" t="s">
        <v>8584</v>
      </c>
      <c r="C143" s="5">
        <v>99</v>
      </c>
      <c r="D143" s="5"/>
      <c r="E143" s="5"/>
      <c r="F143" s="5" t="s">
        <v>11951</v>
      </c>
      <c r="G143" s="5" t="s">
        <v>122</v>
      </c>
      <c r="H143" s="5" t="s">
        <v>3</v>
      </c>
      <c r="I143" s="5"/>
      <c r="J143" s="5" t="s">
        <v>12016</v>
      </c>
      <c r="M143" s="1"/>
      <c r="N143"/>
      <c r="O143"/>
      <c r="P143"/>
      <c r="Q143"/>
      <c r="R143"/>
      <c r="S143"/>
      <c r="T143"/>
      <c r="U143"/>
      <c r="V143"/>
      <c r="W143"/>
      <c r="X143"/>
      <c r="Y143"/>
    </row>
    <row r="144" spans="1:25" ht="25.5" x14ac:dyDescent="0.2">
      <c r="A144" s="5" t="s">
        <v>10626</v>
      </c>
      <c r="B144" s="5" t="s">
        <v>8584</v>
      </c>
      <c r="C144" s="5">
        <v>99</v>
      </c>
      <c r="D144" s="5"/>
      <c r="E144" s="5" t="s">
        <v>10624</v>
      </c>
      <c r="F144" s="5" t="s">
        <v>10623</v>
      </c>
      <c r="G144" s="5" t="s">
        <v>207</v>
      </c>
      <c r="H144" s="5" t="s">
        <v>3</v>
      </c>
      <c r="I144" s="5"/>
      <c r="J144" s="5" t="s">
        <v>10622</v>
      </c>
    </row>
    <row r="145" spans="1:10" ht="25.5" x14ac:dyDescent="0.2">
      <c r="A145" s="5" t="s">
        <v>12015</v>
      </c>
      <c r="B145" s="5" t="s">
        <v>8584</v>
      </c>
      <c r="C145" s="5">
        <v>100</v>
      </c>
      <c r="D145" s="5"/>
      <c r="E145" s="5" t="s">
        <v>288</v>
      </c>
      <c r="F145" s="5" t="s">
        <v>12014</v>
      </c>
      <c r="G145" s="5" t="s">
        <v>91</v>
      </c>
      <c r="H145" s="5" t="s">
        <v>3</v>
      </c>
      <c r="I145" s="5"/>
      <c r="J145" s="5" t="s">
        <v>12013</v>
      </c>
    </row>
    <row r="146" spans="1:10" ht="25.5" x14ac:dyDescent="0.2">
      <c r="A146" s="5" t="s">
        <v>12012</v>
      </c>
      <c r="B146" s="5" t="s">
        <v>8584</v>
      </c>
      <c r="C146" s="5">
        <v>101</v>
      </c>
      <c r="D146" s="5"/>
      <c r="E146" s="5"/>
      <c r="F146" s="5" t="s">
        <v>12011</v>
      </c>
      <c r="G146" s="5" t="s">
        <v>105</v>
      </c>
      <c r="H146" s="5" t="s">
        <v>3</v>
      </c>
      <c r="I146" s="5"/>
      <c r="J146" s="5" t="s">
        <v>12010</v>
      </c>
    </row>
    <row r="147" spans="1:10" x14ac:dyDescent="0.2">
      <c r="A147" s="5" t="s">
        <v>10827</v>
      </c>
      <c r="B147" s="5" t="s">
        <v>8584</v>
      </c>
      <c r="C147" s="5">
        <v>102</v>
      </c>
      <c r="D147" s="5"/>
      <c r="E147" s="5"/>
      <c r="F147" s="5"/>
      <c r="G147" s="5" t="s">
        <v>195</v>
      </c>
      <c r="H147" s="5" t="s">
        <v>3</v>
      </c>
      <c r="I147" s="5"/>
      <c r="J147" s="5" t="s">
        <v>10825</v>
      </c>
    </row>
    <row r="148" spans="1:10" x14ac:dyDescent="0.2">
      <c r="A148" s="5" t="s">
        <v>12009</v>
      </c>
      <c r="B148" s="5" t="s">
        <v>8584</v>
      </c>
      <c r="C148" s="5">
        <v>103</v>
      </c>
      <c r="D148" s="5"/>
      <c r="E148" s="5"/>
      <c r="F148" s="5"/>
      <c r="G148" s="5" t="s">
        <v>229</v>
      </c>
      <c r="H148" s="5" t="s">
        <v>3</v>
      </c>
      <c r="I148" s="5"/>
      <c r="J148" s="5" t="s">
        <v>12008</v>
      </c>
    </row>
    <row r="149" spans="1:10" ht="25.5" x14ac:dyDescent="0.2">
      <c r="A149" s="5" t="s">
        <v>12007</v>
      </c>
      <c r="B149" s="5" t="s">
        <v>8584</v>
      </c>
      <c r="C149" s="5">
        <v>104</v>
      </c>
      <c r="D149" s="5"/>
      <c r="E149" s="5" t="s">
        <v>6367</v>
      </c>
      <c r="F149" s="5" t="s">
        <v>11951</v>
      </c>
      <c r="G149" s="5" t="s">
        <v>105</v>
      </c>
      <c r="H149" s="5" t="s">
        <v>3</v>
      </c>
      <c r="I149" s="5"/>
      <c r="J149" s="5" t="s">
        <v>12006</v>
      </c>
    </row>
    <row r="150" spans="1:10" ht="25.5" x14ac:dyDescent="0.2">
      <c r="A150" s="5" t="s">
        <v>12005</v>
      </c>
      <c r="B150" s="5" t="s">
        <v>8584</v>
      </c>
      <c r="C150" s="5">
        <v>105</v>
      </c>
      <c r="D150" s="5"/>
      <c r="E150" s="5" t="s">
        <v>11304</v>
      </c>
      <c r="F150" s="5" t="s">
        <v>11951</v>
      </c>
      <c r="G150" s="5" t="s">
        <v>224</v>
      </c>
      <c r="H150" s="5" t="s">
        <v>137</v>
      </c>
      <c r="I150" s="5"/>
      <c r="J150" s="5" t="s">
        <v>12004</v>
      </c>
    </row>
    <row r="151" spans="1:10" ht="25.5" x14ac:dyDescent="0.2">
      <c r="A151" s="5" t="s">
        <v>12003</v>
      </c>
      <c r="B151" s="5" t="s">
        <v>8584</v>
      </c>
      <c r="C151" s="5">
        <v>105</v>
      </c>
      <c r="D151" s="5"/>
      <c r="E151" s="5" t="s">
        <v>12002</v>
      </c>
      <c r="F151" s="5" t="s">
        <v>12001</v>
      </c>
      <c r="G151" s="5" t="s">
        <v>224</v>
      </c>
      <c r="H151" s="5"/>
      <c r="I151" s="5"/>
      <c r="J151" s="5" t="s">
        <v>12000</v>
      </c>
    </row>
    <row r="152" spans="1:10" x14ac:dyDescent="0.2">
      <c r="A152" s="5" t="s">
        <v>11999</v>
      </c>
      <c r="B152" s="5" t="s">
        <v>8584</v>
      </c>
      <c r="C152" s="5">
        <v>106</v>
      </c>
      <c r="D152" s="5"/>
      <c r="E152" s="5" t="s">
        <v>6367</v>
      </c>
      <c r="F152" s="5" t="s">
        <v>11998</v>
      </c>
      <c r="G152" s="5" t="s">
        <v>105</v>
      </c>
      <c r="H152" s="5" t="s">
        <v>3</v>
      </c>
      <c r="I152" s="5"/>
      <c r="J152" s="5" t="s">
        <v>11997</v>
      </c>
    </row>
    <row r="153" spans="1:10" x14ac:dyDescent="0.2">
      <c r="A153" s="5" t="s">
        <v>11996</v>
      </c>
      <c r="B153" s="5" t="s">
        <v>8584</v>
      </c>
      <c r="C153" s="5">
        <v>107</v>
      </c>
      <c r="D153" s="5"/>
      <c r="E153" s="5" t="s">
        <v>11304</v>
      </c>
      <c r="F153" s="5" t="s">
        <v>11995</v>
      </c>
      <c r="G153" s="5" t="s">
        <v>393</v>
      </c>
      <c r="H153" s="5" t="s">
        <v>3</v>
      </c>
      <c r="I153" s="5"/>
      <c r="J153" s="5" t="s">
        <v>11994</v>
      </c>
    </row>
    <row r="154" spans="1:10" ht="25.5" x14ac:dyDescent="0.2">
      <c r="A154" s="5" t="s">
        <v>11993</v>
      </c>
      <c r="B154" s="5" t="s">
        <v>8584</v>
      </c>
      <c r="C154" s="5">
        <v>108</v>
      </c>
      <c r="D154" s="5"/>
      <c r="E154" s="5" t="s">
        <v>11304</v>
      </c>
      <c r="F154" s="5" t="s">
        <v>11992</v>
      </c>
      <c r="G154" s="5" t="s">
        <v>11549</v>
      </c>
      <c r="H154" s="5" t="s">
        <v>3</v>
      </c>
      <c r="I154" s="5"/>
      <c r="J154" s="5" t="s">
        <v>11992</v>
      </c>
    </row>
    <row r="155" spans="1:10" ht="25.5" x14ac:dyDescent="0.2">
      <c r="A155" s="5" t="s">
        <v>11991</v>
      </c>
      <c r="B155" s="5" t="s">
        <v>8584</v>
      </c>
      <c r="C155" s="5">
        <v>109</v>
      </c>
      <c r="D155" s="5"/>
      <c r="E155" s="5" t="s">
        <v>11304</v>
      </c>
      <c r="F155" s="5" t="s">
        <v>11990</v>
      </c>
      <c r="G155" s="5" t="s">
        <v>11549</v>
      </c>
      <c r="H155" s="5" t="s">
        <v>3</v>
      </c>
      <c r="I155" s="5"/>
      <c r="J155" s="5" t="s">
        <v>11990</v>
      </c>
    </row>
    <row r="156" spans="1:10" ht="25.5" x14ac:dyDescent="0.2">
      <c r="A156" s="5" t="s">
        <v>11989</v>
      </c>
      <c r="B156" s="5" t="s">
        <v>8584</v>
      </c>
      <c r="C156" s="5">
        <v>110</v>
      </c>
      <c r="D156" s="5"/>
      <c r="E156" s="5" t="s">
        <v>11304</v>
      </c>
      <c r="F156" s="5" t="s">
        <v>11988</v>
      </c>
      <c r="G156" s="5" t="s">
        <v>122</v>
      </c>
      <c r="H156" s="5" t="s">
        <v>3</v>
      </c>
      <c r="I156" s="5"/>
      <c r="J156" s="5" t="s">
        <v>11988</v>
      </c>
    </row>
    <row r="157" spans="1:10" ht="25.5" x14ac:dyDescent="0.2">
      <c r="A157" s="5" t="s">
        <v>11987</v>
      </c>
      <c r="B157" s="5" t="s">
        <v>8584</v>
      </c>
      <c r="C157" s="5">
        <v>111</v>
      </c>
      <c r="D157" s="5"/>
      <c r="E157" s="5" t="s">
        <v>11304</v>
      </c>
      <c r="F157" s="5" t="s">
        <v>11986</v>
      </c>
      <c r="G157" s="5" t="s">
        <v>122</v>
      </c>
      <c r="H157" s="5" t="s">
        <v>3</v>
      </c>
      <c r="I157" s="5"/>
      <c r="J157" s="5" t="s">
        <v>11986</v>
      </c>
    </row>
    <row r="158" spans="1:10" ht="25.5" x14ac:dyDescent="0.2">
      <c r="A158" s="5" t="s">
        <v>11985</v>
      </c>
      <c r="B158" s="5" t="s">
        <v>8584</v>
      </c>
      <c r="C158" s="5">
        <v>112</v>
      </c>
      <c r="D158" s="5"/>
      <c r="E158" s="5" t="s">
        <v>11304</v>
      </c>
      <c r="F158" s="5" t="s">
        <v>11984</v>
      </c>
      <c r="G158" s="5" t="s">
        <v>234</v>
      </c>
      <c r="H158" s="5" t="s">
        <v>3</v>
      </c>
      <c r="I158" s="5"/>
      <c r="J158" s="5" t="s">
        <v>11984</v>
      </c>
    </row>
    <row r="159" spans="1:10" ht="25.5" x14ac:dyDescent="0.2">
      <c r="A159" s="5" t="s">
        <v>11983</v>
      </c>
      <c r="B159" s="5" t="s">
        <v>8584</v>
      </c>
      <c r="C159" s="5">
        <v>113</v>
      </c>
      <c r="D159" s="5"/>
      <c r="E159" s="5" t="s">
        <v>11304</v>
      </c>
      <c r="F159" s="5" t="s">
        <v>11982</v>
      </c>
      <c r="G159" s="5" t="s">
        <v>234</v>
      </c>
      <c r="H159" s="5" t="s">
        <v>3</v>
      </c>
      <c r="I159" s="5"/>
      <c r="J159" s="5" t="s">
        <v>11982</v>
      </c>
    </row>
    <row r="160" spans="1:10" ht="25.5" x14ac:dyDescent="0.2">
      <c r="A160" s="5" t="s">
        <v>11981</v>
      </c>
      <c r="B160" s="5" t="s">
        <v>8584</v>
      </c>
      <c r="C160" s="5">
        <v>114</v>
      </c>
      <c r="D160" s="5"/>
      <c r="E160" s="5"/>
      <c r="F160" s="5" t="s">
        <v>11980</v>
      </c>
      <c r="G160" s="5" t="s">
        <v>122</v>
      </c>
      <c r="H160" s="5" t="s">
        <v>3</v>
      </c>
      <c r="I160" s="5"/>
      <c r="J160" s="5" t="s">
        <v>11980</v>
      </c>
    </row>
    <row r="161" spans="1:10" ht="25.5" x14ac:dyDescent="0.2">
      <c r="A161" s="5" t="s">
        <v>11979</v>
      </c>
      <c r="B161" s="5" t="s">
        <v>8584</v>
      </c>
      <c r="C161" s="5">
        <v>115</v>
      </c>
      <c r="D161" s="5"/>
      <c r="E161" s="5"/>
      <c r="F161" s="5" t="s">
        <v>11978</v>
      </c>
      <c r="G161" s="5" t="s">
        <v>122</v>
      </c>
      <c r="H161" s="5" t="s">
        <v>3</v>
      </c>
      <c r="I161" s="5"/>
      <c r="J161" s="5" t="s">
        <v>11978</v>
      </c>
    </row>
    <row r="162" spans="1:10" x14ac:dyDescent="0.2">
      <c r="A162" s="5" t="s">
        <v>11977</v>
      </c>
      <c r="B162" s="5" t="s">
        <v>8584</v>
      </c>
      <c r="C162" s="5">
        <v>116</v>
      </c>
      <c r="D162" s="5"/>
      <c r="E162" s="5"/>
      <c r="F162" s="5" t="s">
        <v>11976</v>
      </c>
      <c r="G162" s="5" t="s">
        <v>122</v>
      </c>
      <c r="H162" s="5" t="s">
        <v>3</v>
      </c>
      <c r="I162" s="5"/>
      <c r="J162" s="5" t="s">
        <v>11976</v>
      </c>
    </row>
    <row r="163" spans="1:10" x14ac:dyDescent="0.2">
      <c r="A163" s="5" t="s">
        <v>11975</v>
      </c>
      <c r="B163" s="5" t="s">
        <v>8584</v>
      </c>
      <c r="C163" s="5">
        <v>117</v>
      </c>
      <c r="D163" s="5"/>
      <c r="E163" s="5" t="s">
        <v>11304</v>
      </c>
      <c r="F163" s="5" t="s">
        <v>11974</v>
      </c>
      <c r="G163" s="5" t="s">
        <v>11973</v>
      </c>
      <c r="H163" s="5" t="s">
        <v>3</v>
      </c>
      <c r="I163" s="5"/>
      <c r="J163" s="5" t="s">
        <v>11972</v>
      </c>
    </row>
    <row r="164" spans="1:10" x14ac:dyDescent="0.2">
      <c r="A164" s="5" t="s">
        <v>11971</v>
      </c>
      <c r="B164" s="5" t="s">
        <v>8584</v>
      </c>
      <c r="C164" s="5">
        <v>118</v>
      </c>
      <c r="D164" s="5"/>
      <c r="E164" s="5" t="s">
        <v>150</v>
      </c>
      <c r="F164" s="5" t="s">
        <v>11970</v>
      </c>
      <c r="G164" s="5" t="s">
        <v>148</v>
      </c>
      <c r="H164" s="5" t="s">
        <v>3</v>
      </c>
      <c r="I164" s="5"/>
      <c r="J164" s="5" t="s">
        <v>11969</v>
      </c>
    </row>
    <row r="165" spans="1:10" x14ac:dyDescent="0.2">
      <c r="A165" s="5" t="s">
        <v>11968</v>
      </c>
      <c r="B165" s="5" t="s">
        <v>8584</v>
      </c>
      <c r="C165" s="5">
        <v>119</v>
      </c>
      <c r="D165" s="5"/>
      <c r="E165" s="5"/>
      <c r="F165" s="5" t="s">
        <v>11956</v>
      </c>
      <c r="G165" s="5" t="s">
        <v>80</v>
      </c>
      <c r="H165" s="5" t="s">
        <v>3</v>
      </c>
      <c r="I165" s="5"/>
      <c r="J165" s="5" t="s">
        <v>11967</v>
      </c>
    </row>
    <row r="166" spans="1:10" x14ac:dyDescent="0.2">
      <c r="A166" s="5" t="s">
        <v>11966</v>
      </c>
      <c r="B166" s="5" t="s">
        <v>8584</v>
      </c>
      <c r="C166" s="5">
        <v>120</v>
      </c>
      <c r="D166" s="5"/>
      <c r="E166" s="5"/>
      <c r="F166" s="5" t="s">
        <v>11965</v>
      </c>
      <c r="G166" s="5" t="s">
        <v>114</v>
      </c>
      <c r="H166" s="5" t="s">
        <v>3</v>
      </c>
      <c r="I166" s="5"/>
      <c r="J166" s="5" t="s">
        <v>11964</v>
      </c>
    </row>
    <row r="167" spans="1:10" x14ac:dyDescent="0.2">
      <c r="A167" s="5" t="s">
        <v>11963</v>
      </c>
      <c r="B167" s="5" t="s">
        <v>8584</v>
      </c>
      <c r="C167" s="5">
        <v>121</v>
      </c>
      <c r="D167" s="5"/>
      <c r="E167" s="5"/>
      <c r="F167" s="5" t="s">
        <v>7974</v>
      </c>
      <c r="G167" s="5" t="s">
        <v>315</v>
      </c>
      <c r="H167" s="5"/>
      <c r="I167" s="5"/>
      <c r="J167" s="5" t="s">
        <v>11962</v>
      </c>
    </row>
    <row r="168" spans="1:10" ht="25.5" x14ac:dyDescent="0.2">
      <c r="A168" s="5" t="s">
        <v>11961</v>
      </c>
      <c r="B168" s="5" t="s">
        <v>8584</v>
      </c>
      <c r="C168" s="5">
        <v>122</v>
      </c>
      <c r="D168" s="5"/>
      <c r="E168" s="5" t="s">
        <v>150</v>
      </c>
      <c r="F168" s="5" t="s">
        <v>11959</v>
      </c>
      <c r="G168" s="5" t="s">
        <v>148</v>
      </c>
      <c r="H168" s="5" t="s">
        <v>3</v>
      </c>
      <c r="I168" s="5"/>
      <c r="J168" s="5" t="s">
        <v>11958</v>
      </c>
    </row>
    <row r="169" spans="1:10" ht="25.5" x14ac:dyDescent="0.2">
      <c r="A169" s="5" t="s">
        <v>11960</v>
      </c>
      <c r="B169" s="5" t="s">
        <v>8584</v>
      </c>
      <c r="C169" s="5">
        <v>122</v>
      </c>
      <c r="D169" s="5"/>
      <c r="E169" s="5" t="s">
        <v>213</v>
      </c>
      <c r="F169" s="5" t="s">
        <v>11959</v>
      </c>
      <c r="G169" s="5" t="s">
        <v>91</v>
      </c>
      <c r="H169" s="5" t="s">
        <v>3</v>
      </c>
      <c r="I169" s="5"/>
      <c r="J169" s="5" t="s">
        <v>11958</v>
      </c>
    </row>
    <row r="170" spans="1:10" ht="25.5" x14ac:dyDescent="0.2">
      <c r="A170" s="5" t="s">
        <v>11957</v>
      </c>
      <c r="B170" s="5" t="s">
        <v>8584</v>
      </c>
      <c r="C170" s="5">
        <v>123</v>
      </c>
      <c r="D170" s="5"/>
      <c r="E170" s="5"/>
      <c r="F170" s="5" t="s">
        <v>11956</v>
      </c>
      <c r="G170" s="5" t="s">
        <v>105</v>
      </c>
      <c r="H170" s="5" t="s">
        <v>3</v>
      </c>
      <c r="I170" s="5"/>
      <c r="J170" s="5" t="s">
        <v>11955</v>
      </c>
    </row>
    <row r="171" spans="1:10" x14ac:dyDescent="0.2">
      <c r="A171" s="5" t="s">
        <v>11954</v>
      </c>
      <c r="B171" s="5" t="s">
        <v>8584</v>
      </c>
      <c r="C171" s="5">
        <v>124</v>
      </c>
      <c r="D171" s="5"/>
      <c r="E171" s="5"/>
      <c r="F171" s="5" t="s">
        <v>11681</v>
      </c>
      <c r="G171" s="5" t="s">
        <v>118</v>
      </c>
      <c r="H171" s="5" t="s">
        <v>137</v>
      </c>
      <c r="I171" s="5" t="s">
        <v>11485</v>
      </c>
      <c r="J171" s="5" t="s">
        <v>11953</v>
      </c>
    </row>
    <row r="172" spans="1:10" ht="25.5" x14ac:dyDescent="0.2">
      <c r="A172" s="5" t="s">
        <v>11952</v>
      </c>
      <c r="B172" s="5" t="s">
        <v>8584</v>
      </c>
      <c r="C172" s="5">
        <v>125</v>
      </c>
      <c r="D172" s="5"/>
      <c r="E172" s="5"/>
      <c r="F172" s="5" t="s">
        <v>11951</v>
      </c>
      <c r="G172" s="5" t="s">
        <v>173</v>
      </c>
      <c r="H172" s="5" t="s">
        <v>3</v>
      </c>
      <c r="I172" s="5"/>
      <c r="J172" s="5" t="s">
        <v>11950</v>
      </c>
    </row>
    <row r="173" spans="1:10" ht="25.5" x14ac:dyDescent="0.2">
      <c r="A173" s="5" t="s">
        <v>11949</v>
      </c>
      <c r="B173" s="5" t="s">
        <v>8584</v>
      </c>
      <c r="C173" s="5">
        <v>126</v>
      </c>
      <c r="D173" s="5"/>
      <c r="E173" s="5" t="s">
        <v>213</v>
      </c>
      <c r="F173" s="5" t="s">
        <v>11947</v>
      </c>
      <c r="G173" s="5" t="s">
        <v>91</v>
      </c>
      <c r="H173" s="5" t="s">
        <v>3</v>
      </c>
      <c r="I173" s="5"/>
      <c r="J173" s="5" t="s">
        <v>11946</v>
      </c>
    </row>
    <row r="174" spans="1:10" ht="25.5" x14ac:dyDescent="0.2">
      <c r="A174" s="5" t="s">
        <v>11948</v>
      </c>
      <c r="B174" s="5" t="s">
        <v>8584</v>
      </c>
      <c r="C174" s="5">
        <v>126</v>
      </c>
      <c r="D174" s="5"/>
      <c r="E174" s="5" t="s">
        <v>213</v>
      </c>
      <c r="F174" s="5" t="s">
        <v>11947</v>
      </c>
      <c r="G174" s="5" t="s">
        <v>91</v>
      </c>
      <c r="H174" s="5" t="s">
        <v>3</v>
      </c>
      <c r="I174" s="5"/>
      <c r="J174" s="5" t="s">
        <v>11946</v>
      </c>
    </row>
    <row r="175" spans="1:10" ht="25.5" x14ac:dyDescent="0.2">
      <c r="A175" s="5" t="s">
        <v>11945</v>
      </c>
      <c r="B175" s="5" t="s">
        <v>8584</v>
      </c>
      <c r="C175" s="5">
        <v>127</v>
      </c>
      <c r="D175" s="5"/>
      <c r="E175" s="5" t="s">
        <v>11304</v>
      </c>
      <c r="F175" s="5" t="s">
        <v>11944</v>
      </c>
      <c r="G175" s="5" t="s">
        <v>122</v>
      </c>
      <c r="H175" s="5" t="s">
        <v>137</v>
      </c>
      <c r="I175" s="5" t="s">
        <v>11615</v>
      </c>
      <c r="J175" s="5" t="s">
        <v>11944</v>
      </c>
    </row>
    <row r="176" spans="1:10" ht="25.5" x14ac:dyDescent="0.2">
      <c r="A176" s="5" t="s">
        <v>11943</v>
      </c>
      <c r="B176" s="5" t="s">
        <v>8584</v>
      </c>
      <c r="C176" s="5">
        <v>128</v>
      </c>
      <c r="D176" s="5"/>
      <c r="E176" s="5"/>
      <c r="F176" s="5" t="s">
        <v>11942</v>
      </c>
      <c r="G176" s="5" t="s">
        <v>105</v>
      </c>
      <c r="H176" s="5" t="s">
        <v>137</v>
      </c>
      <c r="I176" s="5" t="s">
        <v>11615</v>
      </c>
      <c r="J176" s="5" t="s">
        <v>11941</v>
      </c>
    </row>
    <row r="177" spans="1:10" ht="25.5" x14ac:dyDescent="0.2">
      <c r="A177" s="5" t="s">
        <v>11940</v>
      </c>
      <c r="B177" s="5" t="s">
        <v>8584</v>
      </c>
      <c r="C177" s="5">
        <v>129</v>
      </c>
      <c r="D177" s="5"/>
      <c r="E177" s="5" t="s">
        <v>11304</v>
      </c>
      <c r="F177" s="5" t="s">
        <v>11939</v>
      </c>
      <c r="G177" s="5" t="s">
        <v>11549</v>
      </c>
      <c r="H177" s="5" t="s">
        <v>137</v>
      </c>
      <c r="I177" s="5" t="s">
        <v>11615</v>
      </c>
      <c r="J177" s="5" t="s">
        <v>11939</v>
      </c>
    </row>
    <row r="178" spans="1:10" ht="25.5" x14ac:dyDescent="0.2">
      <c r="A178" s="5" t="s">
        <v>11938</v>
      </c>
      <c r="B178" s="5" t="s">
        <v>8584</v>
      </c>
      <c r="C178" s="5">
        <v>130</v>
      </c>
      <c r="D178" s="5"/>
      <c r="E178" s="5"/>
      <c r="F178" s="5" t="s">
        <v>11937</v>
      </c>
      <c r="G178" s="5" t="s">
        <v>80</v>
      </c>
      <c r="H178" s="5" t="s">
        <v>3</v>
      </c>
      <c r="I178" s="5"/>
      <c r="J178" s="5" t="s">
        <v>11937</v>
      </c>
    </row>
    <row r="179" spans="1:10" x14ac:dyDescent="0.2">
      <c r="A179" s="5" t="s">
        <v>11936</v>
      </c>
      <c r="B179" s="5" t="s">
        <v>8584</v>
      </c>
      <c r="C179" s="5">
        <v>131</v>
      </c>
      <c r="D179" s="5"/>
      <c r="E179" s="5"/>
      <c r="F179" s="5" t="s">
        <v>11935</v>
      </c>
      <c r="G179" s="5" t="s">
        <v>114</v>
      </c>
      <c r="H179" s="5" t="s">
        <v>3</v>
      </c>
      <c r="I179" s="5"/>
      <c r="J179" s="5" t="s">
        <v>11934</v>
      </c>
    </row>
    <row r="180" spans="1:10" ht="25.5" x14ac:dyDescent="0.2">
      <c r="A180" s="5" t="s">
        <v>11933</v>
      </c>
      <c r="B180" s="5" t="s">
        <v>8584</v>
      </c>
      <c r="C180" s="5">
        <v>132</v>
      </c>
      <c r="D180" s="5"/>
      <c r="E180" s="5" t="s">
        <v>11304</v>
      </c>
      <c r="F180" s="5" t="s">
        <v>345</v>
      </c>
      <c r="G180" s="5" t="s">
        <v>4028</v>
      </c>
      <c r="H180" s="5" t="s">
        <v>137</v>
      </c>
      <c r="I180" s="5" t="s">
        <v>11615</v>
      </c>
      <c r="J180" s="5" t="s">
        <v>11932</v>
      </c>
    </row>
    <row r="181" spans="1:10" x14ac:dyDescent="0.2">
      <c r="A181" s="5" t="s">
        <v>11931</v>
      </c>
      <c r="B181" s="5" t="s">
        <v>8584</v>
      </c>
      <c r="C181" s="5">
        <v>133</v>
      </c>
      <c r="D181" s="5"/>
      <c r="E181" s="5" t="s">
        <v>11304</v>
      </c>
      <c r="F181" s="5" t="s">
        <v>11930</v>
      </c>
      <c r="G181" s="5" t="s">
        <v>11929</v>
      </c>
      <c r="H181" s="5" t="s">
        <v>3</v>
      </c>
      <c r="I181" s="5"/>
      <c r="J181" s="5" t="s">
        <v>11928</v>
      </c>
    </row>
    <row r="182" spans="1:10" x14ac:dyDescent="0.2">
      <c r="A182" s="5" t="s">
        <v>11927</v>
      </c>
      <c r="B182" s="5" t="s">
        <v>8584</v>
      </c>
      <c r="C182" s="5">
        <v>134</v>
      </c>
      <c r="D182" s="5"/>
      <c r="E182" s="5"/>
      <c r="F182" s="5" t="s">
        <v>11905</v>
      </c>
      <c r="G182" s="5" t="s">
        <v>122</v>
      </c>
      <c r="H182" s="5" t="s">
        <v>3</v>
      </c>
      <c r="I182" s="5"/>
      <c r="J182" s="5" t="s">
        <v>11926</v>
      </c>
    </row>
    <row r="183" spans="1:10" ht="25.5" x14ac:dyDescent="0.2">
      <c r="A183" s="5" t="s">
        <v>11925</v>
      </c>
      <c r="B183" s="5" t="s">
        <v>8584</v>
      </c>
      <c r="C183" s="5">
        <v>135</v>
      </c>
      <c r="D183" s="5"/>
      <c r="E183" s="5" t="s">
        <v>11304</v>
      </c>
      <c r="F183" s="5" t="s">
        <v>11924</v>
      </c>
      <c r="G183" s="5" t="s">
        <v>8604</v>
      </c>
      <c r="H183" s="5" t="s">
        <v>3</v>
      </c>
      <c r="I183" s="5"/>
      <c r="J183" s="5" t="s">
        <v>11923</v>
      </c>
    </row>
    <row r="184" spans="1:10" ht="25.5" x14ac:dyDescent="0.2">
      <c r="A184" s="5" t="s">
        <v>11922</v>
      </c>
      <c r="B184" s="5" t="s">
        <v>8584</v>
      </c>
      <c r="C184" s="5">
        <v>136</v>
      </c>
      <c r="D184" s="5"/>
      <c r="E184" s="5"/>
      <c r="F184" s="5" t="s">
        <v>11921</v>
      </c>
      <c r="G184" s="5" t="s">
        <v>229</v>
      </c>
      <c r="H184" s="5" t="s">
        <v>137</v>
      </c>
      <c r="I184" s="5" t="s">
        <v>11800</v>
      </c>
      <c r="J184" s="5" t="s">
        <v>11921</v>
      </c>
    </row>
    <row r="185" spans="1:10" x14ac:dyDescent="0.2">
      <c r="A185" s="5" t="s">
        <v>11920</v>
      </c>
      <c r="B185" s="5" t="s">
        <v>8584</v>
      </c>
      <c r="C185" s="5">
        <v>137</v>
      </c>
      <c r="D185" s="5"/>
      <c r="E185" s="5" t="s">
        <v>11304</v>
      </c>
      <c r="F185" s="5" t="s">
        <v>11919</v>
      </c>
      <c r="G185" s="5" t="s">
        <v>229</v>
      </c>
      <c r="H185" s="5" t="s">
        <v>3</v>
      </c>
      <c r="I185" s="5"/>
      <c r="J185" s="5" t="s">
        <v>11918</v>
      </c>
    </row>
    <row r="186" spans="1:10" x14ac:dyDescent="0.2">
      <c r="A186" s="5" t="s">
        <v>11917</v>
      </c>
      <c r="B186" s="5" t="s">
        <v>8584</v>
      </c>
      <c r="C186" s="5">
        <v>138</v>
      </c>
      <c r="D186" s="5"/>
      <c r="E186" s="5" t="s">
        <v>11304</v>
      </c>
      <c r="F186" s="5" t="s">
        <v>11916</v>
      </c>
      <c r="G186" s="5" t="s">
        <v>393</v>
      </c>
      <c r="H186" s="5" t="s">
        <v>3</v>
      </c>
      <c r="I186" s="5"/>
      <c r="J186" s="5" t="s">
        <v>11915</v>
      </c>
    </row>
    <row r="187" spans="1:10" x14ac:dyDescent="0.2">
      <c r="A187" s="5" t="s">
        <v>11914</v>
      </c>
      <c r="B187" s="5" t="s">
        <v>8584</v>
      </c>
      <c r="C187" s="5">
        <v>139</v>
      </c>
      <c r="D187" s="5"/>
      <c r="E187" s="5" t="s">
        <v>11304</v>
      </c>
      <c r="F187" s="5" t="s">
        <v>11914</v>
      </c>
      <c r="G187" s="5" t="s">
        <v>170</v>
      </c>
      <c r="H187" s="5" t="s">
        <v>3</v>
      </c>
      <c r="I187" s="5"/>
      <c r="J187" s="5" t="s">
        <v>11914</v>
      </c>
    </row>
    <row r="188" spans="1:10" x14ac:dyDescent="0.2">
      <c r="A188" s="5" t="s">
        <v>11913</v>
      </c>
      <c r="B188" s="5" t="s">
        <v>8584</v>
      </c>
      <c r="C188" s="5">
        <v>140</v>
      </c>
      <c r="D188" s="5"/>
      <c r="E188" s="5" t="s">
        <v>11304</v>
      </c>
      <c r="F188" s="5" t="s">
        <v>11225</v>
      </c>
      <c r="G188" s="5" t="s">
        <v>229</v>
      </c>
      <c r="H188" s="5" t="s">
        <v>3</v>
      </c>
      <c r="I188" s="5"/>
      <c r="J188" s="5" t="s">
        <v>11785</v>
      </c>
    </row>
    <row r="189" spans="1:10" ht="25.5" x14ac:dyDescent="0.2">
      <c r="A189" s="5" t="s">
        <v>11912</v>
      </c>
      <c r="B189" s="5" t="s">
        <v>8584</v>
      </c>
      <c r="C189" s="5">
        <v>141</v>
      </c>
      <c r="D189" s="5"/>
      <c r="E189" s="5" t="s">
        <v>150</v>
      </c>
      <c r="F189" s="5" t="s">
        <v>11910</v>
      </c>
      <c r="G189" s="5" t="s">
        <v>283</v>
      </c>
      <c r="H189" s="5"/>
      <c r="I189" s="5"/>
      <c r="J189" s="5" t="s">
        <v>11909</v>
      </c>
    </row>
    <row r="190" spans="1:10" ht="25.5" x14ac:dyDescent="0.2">
      <c r="A190" s="5" t="s">
        <v>11911</v>
      </c>
      <c r="B190" s="5" t="s">
        <v>8584</v>
      </c>
      <c r="C190" s="5">
        <v>141</v>
      </c>
      <c r="D190" s="5"/>
      <c r="E190" s="5" t="s">
        <v>213</v>
      </c>
      <c r="F190" s="5" t="s">
        <v>11910</v>
      </c>
      <c r="G190" s="5" t="s">
        <v>91</v>
      </c>
      <c r="H190" s="5"/>
      <c r="I190" s="5"/>
      <c r="J190" s="5" t="s">
        <v>11909</v>
      </c>
    </row>
    <row r="191" spans="1:10" x14ac:dyDescent="0.2">
      <c r="A191" s="5" t="s">
        <v>11908</v>
      </c>
      <c r="B191" s="5" t="s">
        <v>8584</v>
      </c>
      <c r="C191" s="5">
        <v>142</v>
      </c>
      <c r="D191" s="5"/>
      <c r="E191" s="5"/>
      <c r="F191" s="5" t="s">
        <v>11905</v>
      </c>
      <c r="G191" s="5" t="s">
        <v>122</v>
      </c>
      <c r="H191" s="5" t="s">
        <v>3</v>
      </c>
      <c r="I191" s="5"/>
      <c r="J191" s="5" t="s">
        <v>11907</v>
      </c>
    </row>
    <row r="192" spans="1:10" ht="25.5" x14ac:dyDescent="0.2">
      <c r="A192" s="5" t="s">
        <v>11906</v>
      </c>
      <c r="B192" s="5" t="s">
        <v>8584</v>
      </c>
      <c r="C192" s="5">
        <v>143</v>
      </c>
      <c r="D192" s="5"/>
      <c r="E192" s="5" t="s">
        <v>11304</v>
      </c>
      <c r="F192" s="5" t="s">
        <v>11905</v>
      </c>
      <c r="G192" s="5" t="s">
        <v>122</v>
      </c>
      <c r="H192" s="5" t="s">
        <v>3</v>
      </c>
      <c r="I192" s="5"/>
      <c r="J192" s="5" t="s">
        <v>11904</v>
      </c>
    </row>
    <row r="193" spans="1:10" ht="25.5" x14ac:dyDescent="0.2">
      <c r="A193" s="5" t="s">
        <v>11268</v>
      </c>
      <c r="B193" s="5" t="s">
        <v>8584</v>
      </c>
      <c r="C193" s="5">
        <v>144</v>
      </c>
      <c r="D193" s="5"/>
      <c r="E193" s="5"/>
      <c r="F193" s="5" t="s">
        <v>11267</v>
      </c>
      <c r="G193" s="5" t="s">
        <v>105</v>
      </c>
      <c r="H193" s="5" t="s">
        <v>3</v>
      </c>
      <c r="I193" s="5"/>
      <c r="J193" s="5" t="s">
        <v>11903</v>
      </c>
    </row>
    <row r="194" spans="1:10" ht="25.5" x14ac:dyDescent="0.2">
      <c r="A194" s="5" t="s">
        <v>11902</v>
      </c>
      <c r="B194" s="5" t="s">
        <v>8584</v>
      </c>
      <c r="C194" s="5">
        <v>145</v>
      </c>
      <c r="D194" s="5"/>
      <c r="E194" s="5"/>
      <c r="F194" s="5" t="s">
        <v>11890</v>
      </c>
      <c r="G194" s="5" t="s">
        <v>105</v>
      </c>
      <c r="H194" s="5" t="s">
        <v>3</v>
      </c>
      <c r="I194" s="5"/>
      <c r="J194" s="5" t="s">
        <v>11901</v>
      </c>
    </row>
    <row r="195" spans="1:10" ht="25.5" x14ac:dyDescent="0.2">
      <c r="A195" s="5" t="s">
        <v>10835</v>
      </c>
      <c r="B195" s="5" t="s">
        <v>8584</v>
      </c>
      <c r="C195" s="5">
        <v>146</v>
      </c>
      <c r="D195" s="5"/>
      <c r="E195" s="5"/>
      <c r="F195" s="5" t="s">
        <v>10833</v>
      </c>
      <c r="G195" s="5" t="s">
        <v>229</v>
      </c>
      <c r="H195" s="5" t="s">
        <v>3</v>
      </c>
      <c r="I195" s="5"/>
      <c r="J195" s="5" t="s">
        <v>10832</v>
      </c>
    </row>
    <row r="196" spans="1:10" x14ac:dyDescent="0.2">
      <c r="A196" s="5" t="s">
        <v>11900</v>
      </c>
      <c r="B196" s="5" t="s">
        <v>8584</v>
      </c>
      <c r="C196" s="5">
        <v>147</v>
      </c>
      <c r="D196" s="5"/>
      <c r="E196" s="5" t="s">
        <v>288</v>
      </c>
      <c r="F196" s="5" t="s">
        <v>11898</v>
      </c>
      <c r="G196" s="5" t="s">
        <v>91</v>
      </c>
      <c r="H196" s="5" t="s">
        <v>3</v>
      </c>
      <c r="I196" s="5"/>
      <c r="J196" s="5" t="s">
        <v>11897</v>
      </c>
    </row>
    <row r="197" spans="1:10" x14ac:dyDescent="0.2">
      <c r="A197" s="5" t="s">
        <v>11899</v>
      </c>
      <c r="B197" s="5" t="s">
        <v>8584</v>
      </c>
      <c r="C197" s="5">
        <v>147</v>
      </c>
      <c r="D197" s="5"/>
      <c r="E197" s="5" t="s">
        <v>213</v>
      </c>
      <c r="F197" s="5" t="s">
        <v>11898</v>
      </c>
      <c r="G197" s="5" t="s">
        <v>91</v>
      </c>
      <c r="H197" s="5" t="s">
        <v>3</v>
      </c>
      <c r="I197" s="5"/>
      <c r="J197" s="5" t="s">
        <v>11897</v>
      </c>
    </row>
    <row r="198" spans="1:10" x14ac:dyDescent="0.2">
      <c r="A198" s="5" t="s">
        <v>11896</v>
      </c>
      <c r="B198" s="5" t="s">
        <v>8584</v>
      </c>
      <c r="C198" s="5">
        <v>148</v>
      </c>
      <c r="D198" s="5"/>
      <c r="E198" s="5" t="s">
        <v>288</v>
      </c>
      <c r="F198" s="5" t="s">
        <v>1699</v>
      </c>
      <c r="G198" s="5" t="s">
        <v>91</v>
      </c>
      <c r="H198" s="5" t="s">
        <v>3</v>
      </c>
      <c r="I198" s="5"/>
      <c r="J198" s="5" t="s">
        <v>11894</v>
      </c>
    </row>
    <row r="199" spans="1:10" x14ac:dyDescent="0.2">
      <c r="A199" s="5" t="s">
        <v>11895</v>
      </c>
      <c r="B199" s="5" t="s">
        <v>8584</v>
      </c>
      <c r="C199" s="5">
        <v>148</v>
      </c>
      <c r="D199" s="5"/>
      <c r="E199" s="5" t="s">
        <v>213</v>
      </c>
      <c r="F199" s="5" t="s">
        <v>1699</v>
      </c>
      <c r="G199" s="5" t="s">
        <v>91</v>
      </c>
      <c r="H199" s="5" t="s">
        <v>3</v>
      </c>
      <c r="I199" s="5"/>
      <c r="J199" s="5" t="s">
        <v>11894</v>
      </c>
    </row>
    <row r="200" spans="1:10" ht="38.25" x14ac:dyDescent="0.2">
      <c r="A200" s="5" t="s">
        <v>11893</v>
      </c>
      <c r="B200" s="5" t="s">
        <v>8584</v>
      </c>
      <c r="C200" s="5">
        <v>149</v>
      </c>
      <c r="D200" s="5"/>
      <c r="E200" s="5"/>
      <c r="F200" s="5" t="s">
        <v>11267</v>
      </c>
      <c r="G200" s="5" t="s">
        <v>105</v>
      </c>
      <c r="H200" s="5" t="s">
        <v>3</v>
      </c>
      <c r="I200" s="5"/>
      <c r="J200" s="5" t="s">
        <v>11892</v>
      </c>
    </row>
    <row r="201" spans="1:10" ht="25.5" x14ac:dyDescent="0.2">
      <c r="A201" s="5" t="s">
        <v>11891</v>
      </c>
      <c r="B201" s="5" t="s">
        <v>8584</v>
      </c>
      <c r="C201" s="5">
        <v>150</v>
      </c>
      <c r="D201" s="5"/>
      <c r="E201" s="5"/>
      <c r="F201" s="5" t="s">
        <v>11890</v>
      </c>
      <c r="G201" s="5" t="s">
        <v>105</v>
      </c>
      <c r="H201" s="5" t="s">
        <v>3</v>
      </c>
      <c r="I201" s="5"/>
      <c r="J201" s="5" t="s">
        <v>11889</v>
      </c>
    </row>
    <row r="202" spans="1:10" x14ac:dyDescent="0.2">
      <c r="A202" s="5" t="s">
        <v>11888</v>
      </c>
      <c r="B202" s="5" t="s">
        <v>8584</v>
      </c>
      <c r="C202" s="5">
        <v>151</v>
      </c>
      <c r="D202" s="5"/>
      <c r="E202" s="5"/>
      <c r="F202" s="5" t="s">
        <v>7974</v>
      </c>
      <c r="G202" s="5" t="s">
        <v>3059</v>
      </c>
      <c r="H202" s="5" t="s">
        <v>3</v>
      </c>
      <c r="I202" s="5"/>
      <c r="J202" s="5" t="s">
        <v>11887</v>
      </c>
    </row>
    <row r="203" spans="1:10" x14ac:dyDescent="0.2">
      <c r="A203" s="5" t="s">
        <v>372</v>
      </c>
      <c r="B203" s="5" t="s">
        <v>8584</v>
      </c>
      <c r="C203" s="5">
        <v>152</v>
      </c>
      <c r="D203" s="5"/>
      <c r="E203" s="5"/>
      <c r="F203" s="5" t="s">
        <v>11886</v>
      </c>
      <c r="G203" s="5" t="s">
        <v>173</v>
      </c>
      <c r="H203" s="5" t="s">
        <v>3</v>
      </c>
      <c r="I203" s="5"/>
      <c r="J203" s="5" t="s">
        <v>9302</v>
      </c>
    </row>
    <row r="204" spans="1:10" x14ac:dyDescent="0.2">
      <c r="A204" s="5" t="s">
        <v>9227</v>
      </c>
      <c r="B204" s="5" t="s">
        <v>8584</v>
      </c>
      <c r="C204" s="5">
        <v>153</v>
      </c>
      <c r="D204" s="5"/>
      <c r="E204" s="5"/>
      <c r="F204" s="5" t="s">
        <v>9226</v>
      </c>
      <c r="G204" s="5" t="s">
        <v>229</v>
      </c>
      <c r="H204" s="5" t="s">
        <v>3</v>
      </c>
      <c r="I204" s="5"/>
      <c r="J204" s="5" t="s">
        <v>11885</v>
      </c>
    </row>
    <row r="205" spans="1:10" ht="25.5" x14ac:dyDescent="0.2">
      <c r="A205" s="5" t="s">
        <v>11884</v>
      </c>
      <c r="B205" s="5" t="s">
        <v>8584</v>
      </c>
      <c r="C205" s="5">
        <v>154</v>
      </c>
      <c r="D205" s="5"/>
      <c r="E205" s="5" t="s">
        <v>11304</v>
      </c>
      <c r="F205" s="5"/>
      <c r="G205" s="5" t="s">
        <v>11883</v>
      </c>
      <c r="H205" s="5" t="s">
        <v>3</v>
      </c>
      <c r="I205" s="5"/>
      <c r="J205" s="5" t="s">
        <v>11882</v>
      </c>
    </row>
    <row r="206" spans="1:10" x14ac:dyDescent="0.2">
      <c r="A206" s="5" t="s">
        <v>11880</v>
      </c>
      <c r="B206" s="5" t="s">
        <v>83</v>
      </c>
      <c r="C206" s="5"/>
      <c r="D206" s="5" t="s">
        <v>11881</v>
      </c>
      <c r="E206" s="5"/>
      <c r="F206" s="5" t="s">
        <v>11880</v>
      </c>
      <c r="G206" s="5" t="s">
        <v>6584</v>
      </c>
      <c r="H206" s="5" t="s">
        <v>3</v>
      </c>
      <c r="I206" s="5"/>
      <c r="J206" s="5" t="s">
        <v>11879</v>
      </c>
    </row>
    <row r="207" spans="1:10" x14ac:dyDescent="0.2">
      <c r="A207" s="5" t="s">
        <v>11877</v>
      </c>
      <c r="B207" s="5" t="s">
        <v>83</v>
      </c>
      <c r="C207" s="5"/>
      <c r="D207" s="5" t="s">
        <v>11878</v>
      </c>
      <c r="E207" s="5"/>
      <c r="F207" s="5" t="s">
        <v>11877</v>
      </c>
      <c r="G207" s="5" t="s">
        <v>6584</v>
      </c>
      <c r="H207" s="5" t="s">
        <v>3</v>
      </c>
      <c r="I207" s="5"/>
      <c r="J207" s="5" t="s">
        <v>11876</v>
      </c>
    </row>
    <row r="208" spans="1:10" ht="25.5" x14ac:dyDescent="0.2">
      <c r="A208" s="5" t="s">
        <v>11223</v>
      </c>
      <c r="B208" s="5" t="s">
        <v>83</v>
      </c>
      <c r="C208" s="5"/>
      <c r="D208" s="5" t="s">
        <v>11875</v>
      </c>
      <c r="E208" s="5"/>
      <c r="F208" s="5" t="s">
        <v>11874</v>
      </c>
      <c r="G208" s="5" t="s">
        <v>224</v>
      </c>
      <c r="H208" s="5" t="s">
        <v>3</v>
      </c>
      <c r="I208" s="5"/>
      <c r="J208" s="5" t="s">
        <v>11873</v>
      </c>
    </row>
    <row r="209" spans="1:10" x14ac:dyDescent="0.2">
      <c r="A209" s="5" t="s">
        <v>11872</v>
      </c>
      <c r="B209" s="5" t="s">
        <v>83</v>
      </c>
      <c r="C209" s="5"/>
      <c r="D209" s="5" t="s">
        <v>11871</v>
      </c>
      <c r="E209" s="5"/>
      <c r="F209" s="5" t="s">
        <v>11870</v>
      </c>
      <c r="G209" s="5" t="s">
        <v>224</v>
      </c>
      <c r="H209" s="5" t="s">
        <v>3</v>
      </c>
      <c r="I209" s="5"/>
      <c r="J209" s="5" t="s">
        <v>11869</v>
      </c>
    </row>
    <row r="210" spans="1:10" x14ac:dyDescent="0.2">
      <c r="A210" s="5" t="s">
        <v>11868</v>
      </c>
      <c r="B210" s="5" t="s">
        <v>83</v>
      </c>
      <c r="C210" s="5"/>
      <c r="D210" s="5" t="s">
        <v>11867</v>
      </c>
      <c r="E210" s="5"/>
      <c r="F210" s="5" t="s">
        <v>11866</v>
      </c>
      <c r="G210" s="5" t="s">
        <v>224</v>
      </c>
      <c r="H210" s="5" t="s">
        <v>3</v>
      </c>
      <c r="I210" s="5"/>
      <c r="J210" s="5" t="s">
        <v>11865</v>
      </c>
    </row>
    <row r="211" spans="1:10" x14ac:dyDescent="0.2">
      <c r="A211" s="5" t="s">
        <v>11864</v>
      </c>
      <c r="B211" s="5" t="s">
        <v>83</v>
      </c>
      <c r="C211" s="5"/>
      <c r="D211" s="5" t="s">
        <v>11863</v>
      </c>
      <c r="E211" s="5"/>
      <c r="F211" s="5" t="s">
        <v>11862</v>
      </c>
      <c r="G211" s="5" t="s">
        <v>224</v>
      </c>
      <c r="H211" s="5" t="s">
        <v>3</v>
      </c>
      <c r="I211" s="5"/>
      <c r="J211" s="5" t="s">
        <v>11861</v>
      </c>
    </row>
    <row r="212" spans="1:10" x14ac:dyDescent="0.2">
      <c r="A212" s="5" t="s">
        <v>11860</v>
      </c>
      <c r="B212" s="5" t="s">
        <v>83</v>
      </c>
      <c r="C212" s="5"/>
      <c r="D212" s="5" t="s">
        <v>11859</v>
      </c>
      <c r="E212" s="5"/>
      <c r="F212" s="5" t="s">
        <v>11210</v>
      </c>
      <c r="G212" s="5" t="s">
        <v>224</v>
      </c>
      <c r="H212" s="5" t="s">
        <v>3</v>
      </c>
      <c r="I212" s="5"/>
      <c r="J212" s="5" t="s">
        <v>11858</v>
      </c>
    </row>
    <row r="213" spans="1:10" x14ac:dyDescent="0.2">
      <c r="A213" s="5" t="s">
        <v>11857</v>
      </c>
      <c r="B213" s="5" t="s">
        <v>83</v>
      </c>
      <c r="C213" s="5"/>
      <c r="D213" s="5" t="s">
        <v>11856</v>
      </c>
      <c r="E213" s="5"/>
      <c r="F213" s="5" t="s">
        <v>11210</v>
      </c>
      <c r="G213" s="5" t="s">
        <v>224</v>
      </c>
      <c r="H213" s="5" t="s">
        <v>3</v>
      </c>
      <c r="I213" s="5"/>
      <c r="J213" s="5" t="s">
        <v>11855</v>
      </c>
    </row>
    <row r="214" spans="1:10" x14ac:dyDescent="0.2">
      <c r="A214" s="5" t="s">
        <v>11854</v>
      </c>
      <c r="B214" s="5" t="s">
        <v>83</v>
      </c>
      <c r="C214" s="5"/>
      <c r="D214" s="5" t="s">
        <v>11853</v>
      </c>
      <c r="E214" s="5"/>
      <c r="F214" s="5" t="s">
        <v>11210</v>
      </c>
      <c r="G214" s="5" t="s">
        <v>224</v>
      </c>
      <c r="H214" s="5" t="s">
        <v>3</v>
      </c>
      <c r="I214" s="5"/>
      <c r="J214" s="5" t="s">
        <v>11852</v>
      </c>
    </row>
    <row r="215" spans="1:10" x14ac:dyDescent="0.2">
      <c r="A215" s="5" t="s">
        <v>8534</v>
      </c>
      <c r="B215" s="5" t="s">
        <v>83</v>
      </c>
      <c r="C215" s="5"/>
      <c r="D215" s="5" t="s">
        <v>5503</v>
      </c>
      <c r="E215" s="5"/>
      <c r="F215" s="5"/>
      <c r="G215" s="5" t="s">
        <v>6584</v>
      </c>
      <c r="H215" s="5"/>
      <c r="I215" s="5"/>
      <c r="J215" s="5"/>
    </row>
    <row r="216" spans="1:10" x14ac:dyDescent="0.2">
      <c r="A216" s="5" t="s">
        <v>11206</v>
      </c>
      <c r="B216" s="5" t="s">
        <v>83</v>
      </c>
      <c r="C216" s="5"/>
      <c r="D216" s="5" t="s">
        <v>11205</v>
      </c>
      <c r="E216" s="5"/>
      <c r="F216" s="5" t="s">
        <v>11204</v>
      </c>
      <c r="G216" s="5" t="s">
        <v>224</v>
      </c>
      <c r="H216" s="5" t="s">
        <v>3</v>
      </c>
      <c r="I216" s="5"/>
      <c r="J216" s="5"/>
    </row>
    <row r="217" spans="1:10" x14ac:dyDescent="0.2">
      <c r="A217" s="5" t="s">
        <v>11187</v>
      </c>
      <c r="B217" s="5" t="s">
        <v>83</v>
      </c>
      <c r="C217" s="5"/>
      <c r="D217" s="5" t="s">
        <v>11188</v>
      </c>
      <c r="E217" s="5"/>
      <c r="F217" s="5" t="s">
        <v>11187</v>
      </c>
      <c r="G217" s="5" t="s">
        <v>105</v>
      </c>
      <c r="H217" s="5" t="s">
        <v>3</v>
      </c>
      <c r="I217" s="5"/>
      <c r="J217" s="5" t="s">
        <v>11186</v>
      </c>
    </row>
    <row r="218" spans="1:10" x14ac:dyDescent="0.2">
      <c r="A218" s="5" t="s">
        <v>11851</v>
      </c>
      <c r="B218" s="5" t="s">
        <v>83</v>
      </c>
      <c r="C218" s="5"/>
      <c r="D218" s="5" t="s">
        <v>11850</v>
      </c>
      <c r="E218" s="5"/>
      <c r="F218" s="5" t="s">
        <v>7980</v>
      </c>
      <c r="G218" s="5" t="s">
        <v>105</v>
      </c>
      <c r="H218" s="5" t="s">
        <v>137</v>
      </c>
      <c r="I218" s="5" t="s">
        <v>11839</v>
      </c>
      <c r="J218" s="5" t="s">
        <v>11849</v>
      </c>
    </row>
    <row r="219" spans="1:10" ht="25.5" x14ac:dyDescent="0.2">
      <c r="A219" s="5" t="s">
        <v>11162</v>
      </c>
      <c r="B219" s="5" t="s">
        <v>83</v>
      </c>
      <c r="C219" s="5"/>
      <c r="D219" s="5" t="s">
        <v>11161</v>
      </c>
      <c r="E219" s="5"/>
      <c r="F219" s="5" t="s">
        <v>11845</v>
      </c>
      <c r="G219" s="5" t="s">
        <v>224</v>
      </c>
      <c r="H219" s="5" t="s">
        <v>137</v>
      </c>
      <c r="I219" s="5" t="s">
        <v>11848</v>
      </c>
      <c r="J219" s="5" t="s">
        <v>11847</v>
      </c>
    </row>
    <row r="220" spans="1:10" ht="25.5" x14ac:dyDescent="0.2">
      <c r="A220" s="5" t="s">
        <v>11153</v>
      </c>
      <c r="B220" s="5" t="s">
        <v>83</v>
      </c>
      <c r="C220" s="5"/>
      <c r="D220" s="5" t="s">
        <v>11846</v>
      </c>
      <c r="E220" s="5"/>
      <c r="F220" s="5" t="s">
        <v>11845</v>
      </c>
      <c r="G220" s="5" t="s">
        <v>224</v>
      </c>
      <c r="H220" s="5" t="s">
        <v>137</v>
      </c>
      <c r="I220" s="5" t="s">
        <v>11839</v>
      </c>
      <c r="J220" s="5" t="s">
        <v>11150</v>
      </c>
    </row>
    <row r="221" spans="1:10" x14ac:dyDescent="0.2">
      <c r="A221" s="5" t="s">
        <v>11149</v>
      </c>
      <c r="B221" s="5" t="s">
        <v>83</v>
      </c>
      <c r="C221" s="5"/>
      <c r="D221" s="5" t="s">
        <v>11148</v>
      </c>
      <c r="E221" s="5"/>
      <c r="F221" s="5" t="s">
        <v>7980</v>
      </c>
      <c r="G221" s="5" t="s">
        <v>315</v>
      </c>
      <c r="H221" s="5" t="s">
        <v>137</v>
      </c>
      <c r="I221" s="5" t="s">
        <v>11839</v>
      </c>
      <c r="J221" s="5" t="s">
        <v>11844</v>
      </c>
    </row>
    <row r="222" spans="1:10" x14ac:dyDescent="0.2">
      <c r="A222" s="5" t="s">
        <v>11136</v>
      </c>
      <c r="B222" s="5" t="s">
        <v>83</v>
      </c>
      <c r="C222" s="5"/>
      <c r="D222" s="5" t="s">
        <v>11135</v>
      </c>
      <c r="E222" s="5"/>
      <c r="F222" s="5" t="s">
        <v>11843</v>
      </c>
      <c r="G222" s="5" t="s">
        <v>3059</v>
      </c>
      <c r="H222" s="5" t="s">
        <v>137</v>
      </c>
      <c r="I222" s="5" t="s">
        <v>11839</v>
      </c>
      <c r="J222" s="5" t="s">
        <v>11842</v>
      </c>
    </row>
    <row r="223" spans="1:10" x14ac:dyDescent="0.2">
      <c r="A223" s="5" t="s">
        <v>11841</v>
      </c>
      <c r="B223" s="5" t="s">
        <v>83</v>
      </c>
      <c r="C223" s="5"/>
      <c r="D223" s="5" t="s">
        <v>11840</v>
      </c>
      <c r="E223" s="5"/>
      <c r="F223" s="5" t="s">
        <v>7980</v>
      </c>
      <c r="G223" s="5" t="s">
        <v>118</v>
      </c>
      <c r="H223" s="5" t="s">
        <v>137</v>
      </c>
      <c r="I223" s="5" t="s">
        <v>11839</v>
      </c>
      <c r="J223" s="5" t="s">
        <v>11838</v>
      </c>
    </row>
    <row r="224" spans="1:10" x14ac:dyDescent="0.2">
      <c r="A224" s="5" t="s">
        <v>11837</v>
      </c>
      <c r="B224" s="5" t="s">
        <v>83</v>
      </c>
      <c r="C224" s="5"/>
      <c r="D224" s="5" t="s">
        <v>11836</v>
      </c>
      <c r="E224" s="5"/>
      <c r="F224" s="5" t="s">
        <v>11835</v>
      </c>
      <c r="G224" s="5" t="s">
        <v>229</v>
      </c>
      <c r="H224" s="5" t="s">
        <v>3</v>
      </c>
      <c r="I224" s="5"/>
      <c r="J224" s="5" t="s">
        <v>11834</v>
      </c>
    </row>
    <row r="225" spans="1:10" x14ac:dyDescent="0.2">
      <c r="A225" s="5" t="s">
        <v>11833</v>
      </c>
      <c r="B225" s="5" t="s">
        <v>83</v>
      </c>
      <c r="C225" s="5"/>
      <c r="D225" s="5" t="s">
        <v>11832</v>
      </c>
      <c r="E225" s="5"/>
      <c r="F225" s="5" t="s">
        <v>11502</v>
      </c>
      <c r="G225" s="5" t="s">
        <v>229</v>
      </c>
      <c r="H225" s="5" t="s">
        <v>3</v>
      </c>
      <c r="I225" s="5"/>
      <c r="J225" s="5" t="s">
        <v>11502</v>
      </c>
    </row>
    <row r="226" spans="1:10" ht="25.5" x14ac:dyDescent="0.2">
      <c r="A226" s="5" t="s">
        <v>11831</v>
      </c>
      <c r="B226" s="5" t="s">
        <v>83</v>
      </c>
      <c r="C226" s="5"/>
      <c r="D226" s="5" t="s">
        <v>11830</v>
      </c>
      <c r="E226" s="5" t="s">
        <v>11304</v>
      </c>
      <c r="F226" s="5" t="s">
        <v>11829</v>
      </c>
      <c r="G226" s="5" t="s">
        <v>122</v>
      </c>
      <c r="H226" s="5" t="s">
        <v>3</v>
      </c>
      <c r="I226" s="5"/>
      <c r="J226" s="5" t="s">
        <v>11828</v>
      </c>
    </row>
    <row r="227" spans="1:10" ht="25.5" x14ac:dyDescent="0.2">
      <c r="A227" s="5" t="s">
        <v>11827</v>
      </c>
      <c r="B227" s="5" t="s">
        <v>83</v>
      </c>
      <c r="C227" s="5"/>
      <c r="D227" s="5" t="s">
        <v>11826</v>
      </c>
      <c r="E227" s="5" t="s">
        <v>11304</v>
      </c>
      <c r="F227" s="5" t="s">
        <v>11824</v>
      </c>
      <c r="G227" s="5" t="s">
        <v>11825</v>
      </c>
      <c r="H227" s="5" t="s">
        <v>3</v>
      </c>
      <c r="I227" s="5"/>
      <c r="J227" s="5" t="s">
        <v>11824</v>
      </c>
    </row>
    <row r="228" spans="1:10" x14ac:dyDescent="0.2">
      <c r="A228" s="5" t="s">
        <v>11823</v>
      </c>
      <c r="B228" s="5" t="s">
        <v>83</v>
      </c>
      <c r="C228" s="5"/>
      <c r="D228" s="5" t="s">
        <v>11822</v>
      </c>
      <c r="E228" s="5" t="s">
        <v>11304</v>
      </c>
      <c r="F228" s="5" t="s">
        <v>11821</v>
      </c>
      <c r="G228" s="5" t="s">
        <v>8604</v>
      </c>
      <c r="H228" s="5" t="s">
        <v>3</v>
      </c>
      <c r="I228" s="5"/>
      <c r="J228" s="5" t="s">
        <v>11821</v>
      </c>
    </row>
    <row r="229" spans="1:10" x14ac:dyDescent="0.2">
      <c r="A229" s="5" t="s">
        <v>11820</v>
      </c>
      <c r="B229" s="5" t="s">
        <v>83</v>
      </c>
      <c r="C229" s="5"/>
      <c r="D229" s="5" t="s">
        <v>11819</v>
      </c>
      <c r="E229" s="5"/>
      <c r="F229" s="5" t="s">
        <v>11818</v>
      </c>
      <c r="G229" s="5" t="s">
        <v>122</v>
      </c>
      <c r="H229" s="5" t="s">
        <v>3</v>
      </c>
      <c r="I229" s="5"/>
      <c r="J229" s="5" t="s">
        <v>11818</v>
      </c>
    </row>
    <row r="230" spans="1:10" x14ac:dyDescent="0.2">
      <c r="A230" s="5" t="s">
        <v>11817</v>
      </c>
      <c r="B230" s="5" t="s">
        <v>83</v>
      </c>
      <c r="C230" s="5"/>
      <c r="D230" s="5" t="s">
        <v>11816</v>
      </c>
      <c r="E230" s="5"/>
      <c r="F230" s="5" t="s">
        <v>11815</v>
      </c>
      <c r="G230" s="5" t="s">
        <v>122</v>
      </c>
      <c r="H230" s="5" t="s">
        <v>3</v>
      </c>
      <c r="I230" s="5"/>
      <c r="J230" s="5" t="s">
        <v>11815</v>
      </c>
    </row>
    <row r="231" spans="1:10" ht="25.5" x14ac:dyDescent="0.2">
      <c r="A231" s="5" t="s">
        <v>11814</v>
      </c>
      <c r="B231" s="5" t="s">
        <v>83</v>
      </c>
      <c r="C231" s="5"/>
      <c r="D231" s="5" t="s">
        <v>11813</v>
      </c>
      <c r="E231" s="5"/>
      <c r="F231" s="5" t="s">
        <v>10568</v>
      </c>
      <c r="G231" s="5" t="s">
        <v>315</v>
      </c>
      <c r="H231" s="5" t="s">
        <v>3</v>
      </c>
      <c r="I231" s="5"/>
      <c r="J231" s="5" t="s">
        <v>11812</v>
      </c>
    </row>
    <row r="232" spans="1:10" ht="25.5" x14ac:dyDescent="0.2">
      <c r="A232" s="5" t="s">
        <v>11811</v>
      </c>
      <c r="B232" s="5" t="s">
        <v>83</v>
      </c>
      <c r="C232" s="5"/>
      <c r="D232" s="5" t="s">
        <v>11810</v>
      </c>
      <c r="E232" s="5"/>
      <c r="F232" s="5" t="s">
        <v>11809</v>
      </c>
      <c r="G232" s="5" t="s">
        <v>224</v>
      </c>
      <c r="H232" s="5" t="s">
        <v>3</v>
      </c>
      <c r="I232" s="5"/>
      <c r="J232" s="5" t="s">
        <v>11808</v>
      </c>
    </row>
    <row r="233" spans="1:10" ht="25.5" x14ac:dyDescent="0.2">
      <c r="A233" s="5" t="s">
        <v>11807</v>
      </c>
      <c r="B233" s="5" t="s">
        <v>83</v>
      </c>
      <c r="C233" s="5"/>
      <c r="D233" s="5" t="s">
        <v>11806</v>
      </c>
      <c r="E233" s="5"/>
      <c r="F233" s="5" t="s">
        <v>9415</v>
      </c>
      <c r="G233" s="5" t="s">
        <v>3059</v>
      </c>
      <c r="H233" s="5" t="s">
        <v>3</v>
      </c>
      <c r="I233" s="5"/>
      <c r="J233" s="5" t="s">
        <v>11805</v>
      </c>
    </row>
    <row r="234" spans="1:10" x14ac:dyDescent="0.2">
      <c r="A234" s="5" t="s">
        <v>11056</v>
      </c>
      <c r="B234" s="5" t="s">
        <v>83</v>
      </c>
      <c r="C234" s="5"/>
      <c r="D234" s="5" t="s">
        <v>11804</v>
      </c>
      <c r="E234" s="5"/>
      <c r="F234" s="5" t="s">
        <v>11055</v>
      </c>
      <c r="G234" s="5" t="s">
        <v>80</v>
      </c>
      <c r="H234" s="5" t="s">
        <v>3</v>
      </c>
      <c r="I234" s="5"/>
      <c r="J234" s="5"/>
    </row>
    <row r="235" spans="1:10" ht="25.5" x14ac:dyDescent="0.2">
      <c r="A235" s="5" t="s">
        <v>11803</v>
      </c>
      <c r="B235" s="5" t="s">
        <v>83</v>
      </c>
      <c r="C235" s="5"/>
      <c r="D235" s="5" t="s">
        <v>11802</v>
      </c>
      <c r="E235" s="5" t="s">
        <v>11304</v>
      </c>
      <c r="F235" s="5" t="s">
        <v>11801</v>
      </c>
      <c r="G235" s="5" t="s">
        <v>8604</v>
      </c>
      <c r="H235" s="5" t="s">
        <v>137</v>
      </c>
      <c r="I235" s="5" t="s">
        <v>11800</v>
      </c>
      <c r="J235" s="5" t="s">
        <v>11799</v>
      </c>
    </row>
    <row r="236" spans="1:10" x14ac:dyDescent="0.2">
      <c r="A236" s="5" t="s">
        <v>11798</v>
      </c>
      <c r="B236" s="5" t="s">
        <v>83</v>
      </c>
      <c r="C236" s="5"/>
      <c r="D236" s="5" t="s">
        <v>11797</v>
      </c>
      <c r="E236" s="5"/>
      <c r="F236" s="5" t="s">
        <v>11796</v>
      </c>
      <c r="G236" s="5" t="s">
        <v>393</v>
      </c>
      <c r="H236" s="5" t="s">
        <v>3</v>
      </c>
      <c r="I236" s="5"/>
      <c r="J236" s="5"/>
    </row>
    <row r="237" spans="1:10" x14ac:dyDescent="0.2">
      <c r="A237" s="5" t="s">
        <v>11061</v>
      </c>
      <c r="B237" s="5" t="s">
        <v>83</v>
      </c>
      <c r="C237" s="5"/>
      <c r="D237" s="5">
        <v>1</v>
      </c>
      <c r="E237" s="5"/>
      <c r="F237" s="5" t="s">
        <v>11795</v>
      </c>
      <c r="G237" s="5" t="s">
        <v>207</v>
      </c>
      <c r="H237" s="5" t="s">
        <v>3</v>
      </c>
      <c r="I237" s="5"/>
      <c r="J237" s="5"/>
    </row>
    <row r="238" spans="1:10" ht="25.5" x14ac:dyDescent="0.2">
      <c r="A238" s="5" t="s">
        <v>11794</v>
      </c>
      <c r="B238" s="5" t="s">
        <v>83</v>
      </c>
      <c r="C238" s="5"/>
      <c r="D238" s="5" t="s">
        <v>11793</v>
      </c>
      <c r="E238" s="5"/>
      <c r="F238" s="5" t="s">
        <v>10998</v>
      </c>
      <c r="G238" s="5" t="s">
        <v>80</v>
      </c>
      <c r="H238" s="5" t="s">
        <v>3</v>
      </c>
      <c r="I238" s="5"/>
      <c r="J238" s="5" t="s">
        <v>11792</v>
      </c>
    </row>
    <row r="239" spans="1:10" x14ac:dyDescent="0.2">
      <c r="A239" s="5" t="s">
        <v>10985</v>
      </c>
      <c r="B239" s="5" t="s">
        <v>83</v>
      </c>
      <c r="C239" s="5"/>
      <c r="D239" s="5" t="s">
        <v>10984</v>
      </c>
      <c r="E239" s="5" t="s">
        <v>150</v>
      </c>
      <c r="F239" s="5" t="s">
        <v>10983</v>
      </c>
      <c r="G239" s="5" t="s">
        <v>148</v>
      </c>
      <c r="H239" s="5" t="s">
        <v>137</v>
      </c>
      <c r="I239" s="5" t="s">
        <v>10762</v>
      </c>
      <c r="J239" s="5" t="s">
        <v>10982</v>
      </c>
    </row>
    <row r="240" spans="1:10" x14ac:dyDescent="0.2">
      <c r="A240" s="5" t="s">
        <v>11791</v>
      </c>
      <c r="B240" s="5" t="s">
        <v>83</v>
      </c>
      <c r="C240" s="5"/>
      <c r="D240" s="5" t="s">
        <v>11790</v>
      </c>
      <c r="E240" s="5"/>
      <c r="F240" s="5" t="s">
        <v>10957</v>
      </c>
      <c r="G240" s="5" t="s">
        <v>357</v>
      </c>
      <c r="H240" s="5" t="s">
        <v>137</v>
      </c>
      <c r="I240" s="5" t="s">
        <v>11789</v>
      </c>
      <c r="J240" s="5" t="s">
        <v>11788</v>
      </c>
    </row>
    <row r="241" spans="1:10" ht="25.5" x14ac:dyDescent="0.2">
      <c r="A241" s="5" t="s">
        <v>11787</v>
      </c>
      <c r="B241" s="5" t="s">
        <v>83</v>
      </c>
      <c r="C241" s="5"/>
      <c r="D241" s="5" t="s">
        <v>11786</v>
      </c>
      <c r="E241" s="5"/>
      <c r="F241" s="5" t="s">
        <v>11785</v>
      </c>
      <c r="G241" s="5" t="s">
        <v>91</v>
      </c>
      <c r="H241" s="5" t="s">
        <v>3</v>
      </c>
      <c r="I241" s="5"/>
      <c r="J241" s="5" t="s">
        <v>11784</v>
      </c>
    </row>
    <row r="242" spans="1:10" ht="25.5" x14ac:dyDescent="0.2">
      <c r="A242" s="5" t="s">
        <v>11783</v>
      </c>
      <c r="B242" s="5" t="s">
        <v>83</v>
      </c>
      <c r="C242" s="5"/>
      <c r="D242" s="5" t="s">
        <v>11782</v>
      </c>
      <c r="E242" s="5"/>
      <c r="F242" s="5" t="s">
        <v>11781</v>
      </c>
      <c r="G242" s="5" t="s">
        <v>224</v>
      </c>
      <c r="H242" s="5" t="s">
        <v>3</v>
      </c>
      <c r="I242" s="5"/>
      <c r="J242" s="5" t="s">
        <v>11780</v>
      </c>
    </row>
    <row r="243" spans="1:10" x14ac:dyDescent="0.2">
      <c r="A243" s="5" t="s">
        <v>11779</v>
      </c>
      <c r="B243" s="5" t="s">
        <v>83</v>
      </c>
      <c r="C243" s="5"/>
      <c r="D243" s="5" t="s">
        <v>11778</v>
      </c>
      <c r="E243" s="5" t="s">
        <v>150</v>
      </c>
      <c r="F243" s="5" t="s">
        <v>11777</v>
      </c>
      <c r="G243" s="5" t="s">
        <v>148</v>
      </c>
      <c r="H243" s="5" t="s">
        <v>137</v>
      </c>
      <c r="I243" s="5" t="s">
        <v>10762</v>
      </c>
      <c r="J243" s="5" t="s">
        <v>11776</v>
      </c>
    </row>
    <row r="244" spans="1:10" x14ac:dyDescent="0.2">
      <c r="A244" s="5" t="s">
        <v>11775</v>
      </c>
      <c r="B244" s="5" t="s">
        <v>83</v>
      </c>
      <c r="C244" s="5"/>
      <c r="D244" s="5" t="s">
        <v>11774</v>
      </c>
      <c r="E244" s="5"/>
      <c r="F244" s="5" t="s">
        <v>11773</v>
      </c>
      <c r="G244" s="5" t="s">
        <v>105</v>
      </c>
      <c r="H244" s="5" t="s">
        <v>3</v>
      </c>
      <c r="I244" s="5"/>
      <c r="J244" s="5" t="s">
        <v>11772</v>
      </c>
    </row>
    <row r="245" spans="1:10" x14ac:dyDescent="0.2">
      <c r="A245" s="5" t="s">
        <v>11771</v>
      </c>
      <c r="B245" s="5" t="s">
        <v>83</v>
      </c>
      <c r="C245" s="5"/>
      <c r="D245" s="5" t="s">
        <v>11770</v>
      </c>
      <c r="E245" s="5"/>
      <c r="F245" s="5" t="s">
        <v>11766</v>
      </c>
      <c r="G245" s="5" t="s">
        <v>148</v>
      </c>
      <c r="H245" s="5" t="s">
        <v>3</v>
      </c>
      <c r="I245" s="5"/>
      <c r="J245" s="5" t="s">
        <v>11769</v>
      </c>
    </row>
    <row r="246" spans="1:10" x14ac:dyDescent="0.2">
      <c r="A246" s="5" t="s">
        <v>11768</v>
      </c>
      <c r="B246" s="5" t="s">
        <v>83</v>
      </c>
      <c r="C246" s="5"/>
      <c r="D246" s="5" t="s">
        <v>11767</v>
      </c>
      <c r="E246" s="5"/>
      <c r="F246" s="5" t="s">
        <v>11766</v>
      </c>
      <c r="G246" s="5" t="s">
        <v>328</v>
      </c>
      <c r="H246" s="5" t="s">
        <v>3</v>
      </c>
      <c r="I246" s="5"/>
      <c r="J246" s="5" t="s">
        <v>11765</v>
      </c>
    </row>
    <row r="247" spans="1:10" x14ac:dyDescent="0.2">
      <c r="A247" s="5" t="s">
        <v>10274</v>
      </c>
      <c r="B247" s="5" t="s">
        <v>83</v>
      </c>
      <c r="C247" s="5"/>
      <c r="D247" s="5" t="s">
        <v>10894</v>
      </c>
      <c r="E247" s="5"/>
      <c r="F247" s="5" t="s">
        <v>10893</v>
      </c>
      <c r="G247" s="5" t="s">
        <v>118</v>
      </c>
      <c r="H247" s="5" t="s">
        <v>3</v>
      </c>
      <c r="I247" s="5"/>
      <c r="J247" s="5" t="s">
        <v>10892</v>
      </c>
    </row>
    <row r="248" spans="1:10" x14ac:dyDescent="0.2">
      <c r="A248" s="5" t="s">
        <v>10891</v>
      </c>
      <c r="B248" s="5" t="s">
        <v>83</v>
      </c>
      <c r="C248" s="5"/>
      <c r="D248" s="5" t="s">
        <v>11764</v>
      </c>
      <c r="E248" s="5"/>
      <c r="F248" s="5"/>
      <c r="G248" s="5" t="s">
        <v>3059</v>
      </c>
      <c r="H248" s="5" t="s">
        <v>3</v>
      </c>
      <c r="I248" s="5"/>
      <c r="J248" s="5" t="s">
        <v>11763</v>
      </c>
    </row>
    <row r="249" spans="1:10" ht="25.5" x14ac:dyDescent="0.2">
      <c r="A249" s="5" t="s">
        <v>11762</v>
      </c>
      <c r="B249" s="5" t="s">
        <v>83</v>
      </c>
      <c r="C249" s="5"/>
      <c r="D249" s="5" t="s">
        <v>11761</v>
      </c>
      <c r="E249" s="5"/>
      <c r="F249" s="5" t="s">
        <v>11760</v>
      </c>
      <c r="G249" s="5" t="s">
        <v>118</v>
      </c>
      <c r="H249" s="5" t="s">
        <v>3</v>
      </c>
      <c r="I249" s="5"/>
      <c r="J249" s="5" t="s">
        <v>11759</v>
      </c>
    </row>
    <row r="250" spans="1:10" ht="25.5" x14ac:dyDescent="0.2">
      <c r="A250" s="5" t="s">
        <v>11758</v>
      </c>
      <c r="B250" s="5" t="s">
        <v>83</v>
      </c>
      <c r="C250" s="5"/>
      <c r="D250" s="5" t="s">
        <v>11757</v>
      </c>
      <c r="E250" s="5"/>
      <c r="F250" s="5" t="s">
        <v>11753</v>
      </c>
      <c r="G250" s="5" t="s">
        <v>224</v>
      </c>
      <c r="H250" s="5" t="s">
        <v>3</v>
      </c>
      <c r="I250" s="5"/>
      <c r="J250" s="5" t="s">
        <v>11756</v>
      </c>
    </row>
    <row r="251" spans="1:10" ht="25.5" x14ac:dyDescent="0.2">
      <c r="A251" s="5" t="s">
        <v>11755</v>
      </c>
      <c r="B251" s="5" t="s">
        <v>83</v>
      </c>
      <c r="C251" s="5"/>
      <c r="D251" s="5" t="s">
        <v>11754</v>
      </c>
      <c r="E251" s="5"/>
      <c r="F251" s="5" t="s">
        <v>11753</v>
      </c>
      <c r="G251" s="5" t="s">
        <v>224</v>
      </c>
      <c r="H251" s="5" t="s">
        <v>3</v>
      </c>
      <c r="I251" s="5"/>
      <c r="J251" s="5" t="s">
        <v>11752</v>
      </c>
    </row>
    <row r="252" spans="1:10" x14ac:dyDescent="0.2">
      <c r="A252" s="5" t="s">
        <v>11751</v>
      </c>
      <c r="B252" s="5" t="s">
        <v>83</v>
      </c>
      <c r="C252" s="5"/>
      <c r="D252" s="5" t="s">
        <v>11750</v>
      </c>
      <c r="E252" s="5"/>
      <c r="F252" s="5" t="s">
        <v>11749</v>
      </c>
      <c r="G252" s="5" t="s">
        <v>173</v>
      </c>
      <c r="H252" s="5" t="s">
        <v>3</v>
      </c>
      <c r="I252" s="5"/>
      <c r="J252" s="5" t="s">
        <v>11748</v>
      </c>
    </row>
    <row r="253" spans="1:10" x14ac:dyDescent="0.2">
      <c r="A253" s="5" t="s">
        <v>11747</v>
      </c>
      <c r="B253" s="5" t="s">
        <v>83</v>
      </c>
      <c r="C253" s="5"/>
      <c r="D253" s="5" t="s">
        <v>11746</v>
      </c>
      <c r="E253" s="5"/>
      <c r="F253" s="5" t="s">
        <v>11745</v>
      </c>
      <c r="G253" s="5" t="s">
        <v>328</v>
      </c>
      <c r="H253" s="5" t="s">
        <v>3</v>
      </c>
      <c r="I253" s="5"/>
      <c r="J253" s="5" t="s">
        <v>11744</v>
      </c>
    </row>
    <row r="254" spans="1:10" x14ac:dyDescent="0.2">
      <c r="A254" s="5" t="s">
        <v>11743</v>
      </c>
      <c r="B254" s="5" t="s">
        <v>83</v>
      </c>
      <c r="C254" s="5"/>
      <c r="D254" s="5" t="s">
        <v>11742</v>
      </c>
      <c r="E254" s="5"/>
      <c r="F254" s="5" t="s">
        <v>7974</v>
      </c>
      <c r="G254" s="5" t="s">
        <v>315</v>
      </c>
      <c r="H254" s="5" t="s">
        <v>3</v>
      </c>
      <c r="I254" s="5"/>
      <c r="J254" s="5" t="s">
        <v>11741</v>
      </c>
    </row>
    <row r="255" spans="1:10" ht="25.5" x14ac:dyDescent="0.2">
      <c r="A255" s="5" t="s">
        <v>10831</v>
      </c>
      <c r="B255" s="5" t="s">
        <v>83</v>
      </c>
      <c r="C255" s="5"/>
      <c r="D255" s="5" t="s">
        <v>10830</v>
      </c>
      <c r="E255" s="5"/>
      <c r="F255" s="5" t="s">
        <v>10829</v>
      </c>
      <c r="G255" s="5" t="s">
        <v>224</v>
      </c>
      <c r="H255" s="5" t="s">
        <v>3</v>
      </c>
      <c r="I255" s="5"/>
      <c r="J255" s="5" t="s">
        <v>10828</v>
      </c>
    </row>
    <row r="256" spans="1:10" x14ac:dyDescent="0.2">
      <c r="A256" s="5" t="s">
        <v>11740</v>
      </c>
      <c r="B256" s="5" t="s">
        <v>83</v>
      </c>
      <c r="C256" s="5"/>
      <c r="D256" s="5" t="s">
        <v>11739</v>
      </c>
      <c r="E256" s="5"/>
      <c r="F256" s="5" t="s">
        <v>10871</v>
      </c>
      <c r="G256" s="5" t="s">
        <v>328</v>
      </c>
      <c r="H256" s="5" t="s">
        <v>3</v>
      </c>
      <c r="I256" s="5"/>
      <c r="J256" s="5" t="s">
        <v>11738</v>
      </c>
    </row>
    <row r="257" spans="1:10" x14ac:dyDescent="0.2">
      <c r="A257" s="5" t="s">
        <v>11736</v>
      </c>
      <c r="B257" s="5" t="s">
        <v>83</v>
      </c>
      <c r="C257" s="5"/>
      <c r="D257" s="5" t="s">
        <v>11737</v>
      </c>
      <c r="E257" s="5"/>
      <c r="F257" s="5" t="s">
        <v>11736</v>
      </c>
      <c r="G257" s="5" t="s">
        <v>283</v>
      </c>
      <c r="H257" s="5" t="s">
        <v>3</v>
      </c>
      <c r="I257" s="5"/>
      <c r="J257" s="5" t="s">
        <v>11735</v>
      </c>
    </row>
    <row r="258" spans="1:10" ht="25.5" x14ac:dyDescent="0.2">
      <c r="A258" s="5" t="s">
        <v>9150</v>
      </c>
      <c r="B258" s="5" t="s">
        <v>83</v>
      </c>
      <c r="C258" s="5"/>
      <c r="D258" s="5" t="s">
        <v>10804</v>
      </c>
      <c r="E258" s="5"/>
      <c r="F258" s="5" t="s">
        <v>354</v>
      </c>
      <c r="G258" s="5" t="s">
        <v>173</v>
      </c>
      <c r="H258" s="5" t="s">
        <v>3</v>
      </c>
      <c r="I258" s="5"/>
      <c r="J258" s="5" t="s">
        <v>10539</v>
      </c>
    </row>
    <row r="259" spans="1:10" x14ac:dyDescent="0.2">
      <c r="A259" s="5" t="s">
        <v>11734</v>
      </c>
      <c r="B259" s="5" t="s">
        <v>83</v>
      </c>
      <c r="C259" s="5"/>
      <c r="D259" s="5" t="s">
        <v>11733</v>
      </c>
      <c r="E259" s="5"/>
      <c r="F259" s="5" t="s">
        <v>10799</v>
      </c>
      <c r="G259" s="5" t="s">
        <v>328</v>
      </c>
      <c r="H259" s="5" t="s">
        <v>3</v>
      </c>
      <c r="I259" s="5"/>
      <c r="J259" s="5" t="s">
        <v>11732</v>
      </c>
    </row>
    <row r="260" spans="1:10" x14ac:dyDescent="0.2">
      <c r="A260" s="5" t="s">
        <v>11731</v>
      </c>
      <c r="B260" s="5" t="s">
        <v>83</v>
      </c>
      <c r="C260" s="5"/>
      <c r="D260" s="5" t="s">
        <v>11730</v>
      </c>
      <c r="E260" s="5"/>
      <c r="F260" s="5" t="s">
        <v>10799</v>
      </c>
      <c r="G260" s="5" t="s">
        <v>6584</v>
      </c>
      <c r="H260" s="5" t="s">
        <v>137</v>
      </c>
      <c r="I260" s="5"/>
      <c r="J260" s="5" t="s">
        <v>11729</v>
      </c>
    </row>
    <row r="261" spans="1:10" x14ac:dyDescent="0.2">
      <c r="A261" s="5" t="s">
        <v>11728</v>
      </c>
      <c r="B261" s="5" t="s">
        <v>83</v>
      </c>
      <c r="C261" s="5"/>
      <c r="D261" s="5" t="s">
        <v>11727</v>
      </c>
      <c r="E261" s="5"/>
      <c r="F261" s="5" t="s">
        <v>10799</v>
      </c>
      <c r="G261" s="5" t="s">
        <v>6584</v>
      </c>
      <c r="H261" s="5" t="s">
        <v>3</v>
      </c>
      <c r="I261" s="5"/>
      <c r="J261" s="5" t="s">
        <v>11726</v>
      </c>
    </row>
    <row r="262" spans="1:10" x14ac:dyDescent="0.2">
      <c r="A262" s="5" t="s">
        <v>7340</v>
      </c>
      <c r="B262" s="5" t="s">
        <v>83</v>
      </c>
      <c r="C262" s="5"/>
      <c r="D262" s="5" t="s">
        <v>10771</v>
      </c>
      <c r="E262" s="5"/>
      <c r="F262" s="5"/>
      <c r="G262" s="5" t="s">
        <v>118</v>
      </c>
      <c r="H262" s="5" t="s">
        <v>3</v>
      </c>
      <c r="I262" s="5"/>
      <c r="J262" s="5" t="s">
        <v>10222</v>
      </c>
    </row>
    <row r="263" spans="1:10" ht="25.5" x14ac:dyDescent="0.2">
      <c r="A263" s="5" t="s">
        <v>11725</v>
      </c>
      <c r="B263" s="5" t="s">
        <v>83</v>
      </c>
      <c r="C263" s="5"/>
      <c r="D263" s="5" t="s">
        <v>11724</v>
      </c>
      <c r="E263" s="5"/>
      <c r="F263" s="5" t="s">
        <v>11723</v>
      </c>
      <c r="G263" s="5" t="s">
        <v>105</v>
      </c>
      <c r="H263" s="5" t="s">
        <v>3</v>
      </c>
      <c r="I263" s="5"/>
      <c r="J263" s="5" t="s">
        <v>11722</v>
      </c>
    </row>
    <row r="264" spans="1:10" x14ac:dyDescent="0.2">
      <c r="A264" s="5" t="s">
        <v>11721</v>
      </c>
      <c r="B264" s="5" t="s">
        <v>83</v>
      </c>
      <c r="C264" s="5"/>
      <c r="D264" s="5" t="s">
        <v>11720</v>
      </c>
      <c r="E264" s="5"/>
      <c r="F264" s="5" t="s">
        <v>11719</v>
      </c>
      <c r="G264" s="5" t="s">
        <v>105</v>
      </c>
      <c r="H264" s="5" t="s">
        <v>3</v>
      </c>
      <c r="I264" s="5"/>
      <c r="J264" s="5" t="s">
        <v>11718</v>
      </c>
    </row>
    <row r="265" spans="1:10" x14ac:dyDescent="0.2">
      <c r="A265" s="5" t="s">
        <v>10765</v>
      </c>
      <c r="B265" s="5" t="s">
        <v>83</v>
      </c>
      <c r="C265" s="5"/>
      <c r="D265" s="5" t="s">
        <v>10764</v>
      </c>
      <c r="E265" s="5" t="s">
        <v>150</v>
      </c>
      <c r="F265" s="5" t="s">
        <v>11717</v>
      </c>
      <c r="G265" s="5" t="s">
        <v>148</v>
      </c>
      <c r="H265" s="5" t="s">
        <v>137</v>
      </c>
      <c r="I265" s="5" t="s">
        <v>10762</v>
      </c>
      <c r="J265" s="5" t="s">
        <v>11716</v>
      </c>
    </row>
    <row r="266" spans="1:10" x14ac:dyDescent="0.2">
      <c r="A266" s="5" t="s">
        <v>10194</v>
      </c>
      <c r="B266" s="5" t="s">
        <v>83</v>
      </c>
      <c r="C266" s="5"/>
      <c r="D266" s="5" t="s">
        <v>11715</v>
      </c>
      <c r="E266" s="5" t="s">
        <v>368</v>
      </c>
      <c r="F266" s="5" t="s">
        <v>11714</v>
      </c>
      <c r="G266" s="5" t="s">
        <v>382</v>
      </c>
      <c r="H266" s="5" t="s">
        <v>137</v>
      </c>
      <c r="I266" s="5" t="s">
        <v>10762</v>
      </c>
      <c r="J266" s="5" t="s">
        <v>11713</v>
      </c>
    </row>
    <row r="267" spans="1:10" x14ac:dyDescent="0.2">
      <c r="A267" s="5" t="s">
        <v>11712</v>
      </c>
      <c r="B267" s="5" t="s">
        <v>83</v>
      </c>
      <c r="C267" s="5"/>
      <c r="D267" s="5" t="s">
        <v>11711</v>
      </c>
      <c r="E267" s="5"/>
      <c r="F267" s="5" t="s">
        <v>11707</v>
      </c>
      <c r="G267" s="5" t="s">
        <v>148</v>
      </c>
      <c r="H267" s="5" t="s">
        <v>3</v>
      </c>
      <c r="I267" s="5"/>
      <c r="J267" s="5" t="s">
        <v>11710</v>
      </c>
    </row>
    <row r="268" spans="1:10" x14ac:dyDescent="0.2">
      <c r="A268" s="5" t="s">
        <v>11709</v>
      </c>
      <c r="B268" s="5" t="s">
        <v>83</v>
      </c>
      <c r="C268" s="5"/>
      <c r="D268" s="5" t="s">
        <v>11708</v>
      </c>
      <c r="E268" s="5"/>
      <c r="F268" s="5" t="s">
        <v>11707</v>
      </c>
      <c r="G268" s="5" t="s">
        <v>328</v>
      </c>
      <c r="H268" s="5" t="s">
        <v>3</v>
      </c>
      <c r="I268" s="5"/>
      <c r="J268" s="5" t="s">
        <v>11706</v>
      </c>
    </row>
    <row r="269" spans="1:10" x14ac:dyDescent="0.2">
      <c r="A269" s="5" t="s">
        <v>11705</v>
      </c>
      <c r="B269" s="5" t="s">
        <v>83</v>
      </c>
      <c r="C269" s="5"/>
      <c r="D269" s="5" t="s">
        <v>11704</v>
      </c>
      <c r="E269" s="5"/>
      <c r="F269" s="5" t="s">
        <v>11703</v>
      </c>
      <c r="G269" s="5" t="s">
        <v>105</v>
      </c>
      <c r="H269" s="5" t="s">
        <v>3</v>
      </c>
      <c r="I269" s="5"/>
      <c r="J269" s="5" t="s">
        <v>11702</v>
      </c>
    </row>
    <row r="270" spans="1:10" ht="25.5" x14ac:dyDescent="0.2">
      <c r="A270" s="5" t="s">
        <v>11701</v>
      </c>
      <c r="B270" s="5" t="s">
        <v>83</v>
      </c>
      <c r="C270" s="5"/>
      <c r="D270" s="5" t="s">
        <v>11700</v>
      </c>
      <c r="E270" s="5"/>
      <c r="F270" s="5" t="s">
        <v>11699</v>
      </c>
      <c r="G270" s="5" t="s">
        <v>382</v>
      </c>
      <c r="H270" s="5" t="s">
        <v>3</v>
      </c>
      <c r="I270" s="5"/>
      <c r="J270" s="5" t="s">
        <v>11698</v>
      </c>
    </row>
    <row r="271" spans="1:10" ht="25.5" x14ac:dyDescent="0.2">
      <c r="A271" s="5" t="s">
        <v>11697</v>
      </c>
      <c r="B271" s="5" t="s">
        <v>83</v>
      </c>
      <c r="C271" s="5"/>
      <c r="D271" s="5" t="s">
        <v>11696</v>
      </c>
      <c r="E271" s="5"/>
      <c r="F271" s="5" t="s">
        <v>11695</v>
      </c>
      <c r="G271" s="5" t="s">
        <v>105</v>
      </c>
      <c r="H271" s="5" t="s">
        <v>3</v>
      </c>
      <c r="I271" s="5"/>
      <c r="J271" s="5" t="s">
        <v>11694</v>
      </c>
    </row>
    <row r="272" spans="1:10" ht="25.5" x14ac:dyDescent="0.2">
      <c r="A272" s="5" t="s">
        <v>10677</v>
      </c>
      <c r="B272" s="5" t="s">
        <v>83</v>
      </c>
      <c r="C272" s="5"/>
      <c r="D272" s="5" t="s">
        <v>11693</v>
      </c>
      <c r="E272" s="5"/>
      <c r="F272" s="5" t="s">
        <v>6534</v>
      </c>
      <c r="G272" s="5" t="s">
        <v>105</v>
      </c>
      <c r="H272" s="5" t="s">
        <v>3</v>
      </c>
      <c r="I272" s="5"/>
      <c r="J272" s="5" t="s">
        <v>11692</v>
      </c>
    </row>
    <row r="273" spans="1:10" ht="38.25" x14ac:dyDescent="0.2">
      <c r="A273" s="5" t="s">
        <v>11691</v>
      </c>
      <c r="B273" s="5" t="s">
        <v>83</v>
      </c>
      <c r="C273" s="5"/>
      <c r="D273" s="5" t="s">
        <v>11690</v>
      </c>
      <c r="E273" s="5"/>
      <c r="F273" s="5" t="s">
        <v>11689</v>
      </c>
      <c r="G273" s="5" t="s">
        <v>105</v>
      </c>
      <c r="H273" s="5" t="s">
        <v>3</v>
      </c>
      <c r="I273" s="5"/>
      <c r="J273" s="5" t="s">
        <v>11688</v>
      </c>
    </row>
    <row r="274" spans="1:10" ht="25.5" x14ac:dyDescent="0.2">
      <c r="A274" s="5" t="s">
        <v>9749</v>
      </c>
      <c r="B274" s="5" t="s">
        <v>83</v>
      </c>
      <c r="C274" s="5"/>
      <c r="D274" s="5" t="s">
        <v>9748</v>
      </c>
      <c r="E274" s="5"/>
      <c r="F274" s="5" t="s">
        <v>7970</v>
      </c>
      <c r="G274" s="5" t="s">
        <v>3059</v>
      </c>
      <c r="H274" s="5" t="s">
        <v>3</v>
      </c>
      <c r="I274" s="5"/>
      <c r="J274" s="5" t="s">
        <v>11687</v>
      </c>
    </row>
    <row r="275" spans="1:10" x14ac:dyDescent="0.2">
      <c r="A275" s="5" t="s">
        <v>11686</v>
      </c>
      <c r="B275" s="5" t="s">
        <v>83</v>
      </c>
      <c r="C275" s="5"/>
      <c r="D275" s="5" t="s">
        <v>11685</v>
      </c>
      <c r="E275" s="5"/>
      <c r="F275" s="5" t="s">
        <v>2219</v>
      </c>
      <c r="G275" s="5" t="s">
        <v>4028</v>
      </c>
      <c r="H275" s="5" t="s">
        <v>3</v>
      </c>
      <c r="I275" s="5"/>
      <c r="J275" s="5" t="s">
        <v>11684</v>
      </c>
    </row>
    <row r="276" spans="1:10" ht="25.5" x14ac:dyDescent="0.2">
      <c r="A276" s="5" t="s">
        <v>11683</v>
      </c>
      <c r="B276" s="5" t="s">
        <v>83</v>
      </c>
      <c r="C276" s="5"/>
      <c r="D276" s="5" t="s">
        <v>11682</v>
      </c>
      <c r="E276" s="5" t="s">
        <v>11304</v>
      </c>
      <c r="F276" s="5" t="s">
        <v>11681</v>
      </c>
      <c r="G276" s="5" t="s">
        <v>11680</v>
      </c>
      <c r="H276" s="5" t="s">
        <v>137</v>
      </c>
      <c r="I276" s="5" t="s">
        <v>11485</v>
      </c>
      <c r="J276" s="5" t="s">
        <v>11679</v>
      </c>
    </row>
    <row r="277" spans="1:10" x14ac:dyDescent="0.2">
      <c r="A277" s="5" t="s">
        <v>11678</v>
      </c>
      <c r="B277" s="5" t="s">
        <v>83</v>
      </c>
      <c r="C277" s="5"/>
      <c r="D277" s="5" t="s">
        <v>11677</v>
      </c>
      <c r="E277" s="5" t="s">
        <v>150</v>
      </c>
      <c r="F277" s="5" t="s">
        <v>11676</v>
      </c>
      <c r="G277" s="5" t="s">
        <v>148</v>
      </c>
      <c r="H277" s="5" t="s">
        <v>137</v>
      </c>
      <c r="I277" s="5" t="s">
        <v>10762</v>
      </c>
      <c r="J277" s="5" t="s">
        <v>11675</v>
      </c>
    </row>
    <row r="278" spans="1:10" x14ac:dyDescent="0.2">
      <c r="A278" s="5" t="s">
        <v>9742</v>
      </c>
      <c r="B278" s="5" t="s">
        <v>83</v>
      </c>
      <c r="C278" s="5"/>
      <c r="D278" s="5" t="s">
        <v>9741</v>
      </c>
      <c r="E278" s="5"/>
      <c r="F278" s="5" t="s">
        <v>9740</v>
      </c>
      <c r="G278" s="5" t="s">
        <v>118</v>
      </c>
      <c r="H278" s="5" t="s">
        <v>3</v>
      </c>
      <c r="I278" s="5"/>
      <c r="J278" s="5" t="s">
        <v>9739</v>
      </c>
    </row>
    <row r="279" spans="1:10" x14ac:dyDescent="0.2">
      <c r="A279" s="5" t="s">
        <v>11674</v>
      </c>
      <c r="B279" s="5" t="s">
        <v>83</v>
      </c>
      <c r="C279" s="5"/>
      <c r="D279" s="5" t="s">
        <v>11673</v>
      </c>
      <c r="E279" s="5" t="s">
        <v>11304</v>
      </c>
      <c r="F279" s="5" t="s">
        <v>11672</v>
      </c>
      <c r="G279" s="5" t="s">
        <v>393</v>
      </c>
      <c r="H279" s="5" t="s">
        <v>3</v>
      </c>
      <c r="I279" s="5"/>
      <c r="J279" s="5" t="s">
        <v>11671</v>
      </c>
    </row>
    <row r="280" spans="1:10" ht="25.5" x14ac:dyDescent="0.2">
      <c r="A280" s="5" t="s">
        <v>11670</v>
      </c>
      <c r="B280" s="5" t="s">
        <v>83</v>
      </c>
      <c r="C280" s="5"/>
      <c r="D280" s="5" t="s">
        <v>11669</v>
      </c>
      <c r="E280" s="5"/>
      <c r="F280" s="5" t="s">
        <v>9247</v>
      </c>
      <c r="G280" s="5" t="s">
        <v>173</v>
      </c>
      <c r="H280" s="5" t="s">
        <v>137</v>
      </c>
      <c r="I280" s="5"/>
      <c r="J280" s="5" t="s">
        <v>11666</v>
      </c>
    </row>
    <row r="281" spans="1:10" ht="25.5" x14ac:dyDescent="0.2">
      <c r="A281" s="5" t="s">
        <v>11668</v>
      </c>
      <c r="B281" s="5" t="s">
        <v>83</v>
      </c>
      <c r="C281" s="5"/>
      <c r="D281" s="5" t="s">
        <v>11667</v>
      </c>
      <c r="E281" s="5"/>
      <c r="F281" s="5" t="s">
        <v>9101</v>
      </c>
      <c r="G281" s="5" t="s">
        <v>1527</v>
      </c>
      <c r="H281" s="5" t="s">
        <v>137</v>
      </c>
      <c r="I281" s="5"/>
      <c r="J281" s="5" t="s">
        <v>11666</v>
      </c>
    </row>
    <row r="282" spans="1:10" ht="25.5" x14ac:dyDescent="0.2">
      <c r="A282" s="5" t="s">
        <v>11665</v>
      </c>
      <c r="B282" s="5" t="s">
        <v>83</v>
      </c>
      <c r="C282" s="5"/>
      <c r="D282" s="5" t="s">
        <v>11664</v>
      </c>
      <c r="E282" s="5"/>
      <c r="F282" s="5" t="s">
        <v>11663</v>
      </c>
      <c r="G282" s="5" t="s">
        <v>11662</v>
      </c>
      <c r="H282" s="5" t="s">
        <v>3</v>
      </c>
      <c r="I282" s="5"/>
      <c r="J282" s="5" t="s">
        <v>11661</v>
      </c>
    </row>
    <row r="283" spans="1:10" ht="25.5" x14ac:dyDescent="0.2">
      <c r="A283" s="5" t="s">
        <v>11660</v>
      </c>
      <c r="B283" s="5" t="s">
        <v>83</v>
      </c>
      <c r="C283" s="5"/>
      <c r="D283" s="5" t="s">
        <v>11659</v>
      </c>
      <c r="E283" s="5"/>
      <c r="F283" s="5" t="s">
        <v>9247</v>
      </c>
      <c r="G283" s="5" t="s">
        <v>173</v>
      </c>
      <c r="H283" s="5" t="s">
        <v>137</v>
      </c>
      <c r="I283" s="5"/>
      <c r="J283" s="5" t="s">
        <v>11658</v>
      </c>
    </row>
    <row r="284" spans="1:10" ht="25.5" x14ac:dyDescent="0.2">
      <c r="A284" s="5" t="s">
        <v>11657</v>
      </c>
      <c r="B284" s="5" t="s">
        <v>83</v>
      </c>
      <c r="C284" s="5"/>
      <c r="D284" s="5" t="s">
        <v>11656</v>
      </c>
      <c r="E284" s="5"/>
      <c r="F284" s="5" t="s">
        <v>11655</v>
      </c>
      <c r="G284" s="5" t="s">
        <v>105</v>
      </c>
      <c r="H284" s="5" t="s">
        <v>3</v>
      </c>
      <c r="I284" s="5"/>
      <c r="J284" s="5" t="s">
        <v>11654</v>
      </c>
    </row>
    <row r="285" spans="1:10" ht="25.5" x14ac:dyDescent="0.2">
      <c r="A285" s="5" t="s">
        <v>11653</v>
      </c>
      <c r="B285" s="5" t="s">
        <v>83</v>
      </c>
      <c r="C285" s="5"/>
      <c r="D285" s="5" t="s">
        <v>11652</v>
      </c>
      <c r="E285" s="5"/>
      <c r="F285" s="5" t="s">
        <v>11651</v>
      </c>
      <c r="G285" s="5" t="s">
        <v>6584</v>
      </c>
      <c r="H285" s="5" t="s">
        <v>137</v>
      </c>
      <c r="I285" s="5" t="s">
        <v>11557</v>
      </c>
      <c r="J285" s="5" t="s">
        <v>11641</v>
      </c>
    </row>
    <row r="286" spans="1:10" ht="25.5" x14ac:dyDescent="0.2">
      <c r="A286" s="5" t="s">
        <v>11650</v>
      </c>
      <c r="B286" s="5" t="s">
        <v>83</v>
      </c>
      <c r="C286" s="5"/>
      <c r="D286" s="5" t="s">
        <v>11649</v>
      </c>
      <c r="E286" s="5"/>
      <c r="F286" s="5" t="s">
        <v>9247</v>
      </c>
      <c r="G286" s="5" t="s">
        <v>6584</v>
      </c>
      <c r="H286" s="5" t="s">
        <v>137</v>
      </c>
      <c r="I286" s="5" t="s">
        <v>11557</v>
      </c>
      <c r="J286" s="5" t="s">
        <v>11641</v>
      </c>
    </row>
    <row r="287" spans="1:10" ht="25.5" x14ac:dyDescent="0.2">
      <c r="A287" s="5" t="s">
        <v>11648</v>
      </c>
      <c r="B287" s="5" t="s">
        <v>83</v>
      </c>
      <c r="C287" s="5"/>
      <c r="D287" s="5" t="s">
        <v>11647</v>
      </c>
      <c r="E287" s="5"/>
      <c r="F287" s="5" t="s">
        <v>9247</v>
      </c>
      <c r="G287" s="5" t="s">
        <v>6584</v>
      </c>
      <c r="H287" s="5" t="s">
        <v>137</v>
      </c>
      <c r="I287" s="5" t="s">
        <v>11557</v>
      </c>
      <c r="J287" s="5" t="s">
        <v>11641</v>
      </c>
    </row>
    <row r="288" spans="1:10" ht="25.5" x14ac:dyDescent="0.2">
      <c r="A288" s="5" t="s">
        <v>11646</v>
      </c>
      <c r="B288" s="5" t="s">
        <v>83</v>
      </c>
      <c r="C288" s="5"/>
      <c r="D288" s="5" t="s">
        <v>11645</v>
      </c>
      <c r="E288" s="5"/>
      <c r="F288" s="5" t="s">
        <v>9101</v>
      </c>
      <c r="G288" s="5" t="s">
        <v>1527</v>
      </c>
      <c r="H288" s="5" t="s">
        <v>137</v>
      </c>
      <c r="I288" s="5"/>
      <c r="J288" s="5" t="s">
        <v>11644</v>
      </c>
    </row>
    <row r="289" spans="1:10" ht="25.5" x14ac:dyDescent="0.2">
      <c r="A289" s="5" t="s">
        <v>790</v>
      </c>
      <c r="B289" s="5" t="s">
        <v>83</v>
      </c>
      <c r="C289" s="5"/>
      <c r="D289" s="5" t="s">
        <v>11643</v>
      </c>
      <c r="E289" s="5"/>
      <c r="F289" s="5" t="s">
        <v>784</v>
      </c>
      <c r="G289" s="5" t="s">
        <v>357</v>
      </c>
      <c r="H289" s="5" t="s">
        <v>137</v>
      </c>
      <c r="I289" s="5" t="s">
        <v>11557</v>
      </c>
      <c r="J289" s="5" t="s">
        <v>11641</v>
      </c>
    </row>
    <row r="290" spans="1:10" ht="25.5" x14ac:dyDescent="0.2">
      <c r="A290" s="5" t="s">
        <v>759</v>
      </c>
      <c r="B290" s="5" t="s">
        <v>83</v>
      </c>
      <c r="C290" s="5"/>
      <c r="D290" s="5" t="s">
        <v>11642</v>
      </c>
      <c r="E290" s="5"/>
      <c r="F290" s="5" t="s">
        <v>349</v>
      </c>
      <c r="G290" s="5" t="s">
        <v>173</v>
      </c>
      <c r="H290" s="5" t="s">
        <v>137</v>
      </c>
      <c r="I290" s="5" t="s">
        <v>11557</v>
      </c>
      <c r="J290" s="5" t="s">
        <v>11641</v>
      </c>
    </row>
    <row r="291" spans="1:10" x14ac:dyDescent="0.2">
      <c r="A291" s="5" t="s">
        <v>10601</v>
      </c>
      <c r="B291" s="5" t="s">
        <v>83</v>
      </c>
      <c r="C291" s="5"/>
      <c r="D291" s="5" t="s">
        <v>10600</v>
      </c>
      <c r="E291" s="5"/>
      <c r="F291" s="5"/>
      <c r="G291" s="5" t="s">
        <v>4028</v>
      </c>
      <c r="H291" s="5" t="s">
        <v>3</v>
      </c>
      <c r="I291" s="5"/>
      <c r="J291" s="5"/>
    </row>
    <row r="292" spans="1:10" ht="25.5" x14ac:dyDescent="0.2">
      <c r="A292" s="5" t="s">
        <v>11640</v>
      </c>
      <c r="B292" s="5" t="s">
        <v>83</v>
      </c>
      <c r="C292" s="5"/>
      <c r="D292" s="5" t="s">
        <v>11639</v>
      </c>
      <c r="E292" s="5"/>
      <c r="F292" s="5" t="s">
        <v>11629</v>
      </c>
      <c r="G292" s="5" t="s">
        <v>148</v>
      </c>
      <c r="H292" s="5" t="s">
        <v>3</v>
      </c>
      <c r="I292" s="5"/>
      <c r="J292" s="5" t="s">
        <v>11638</v>
      </c>
    </row>
    <row r="293" spans="1:10" x14ac:dyDescent="0.2">
      <c r="A293" s="5" t="s">
        <v>11637</v>
      </c>
      <c r="B293" s="5" t="s">
        <v>83</v>
      </c>
      <c r="C293" s="5"/>
      <c r="D293" s="5" t="s">
        <v>11636</v>
      </c>
      <c r="E293" s="5"/>
      <c r="F293" s="5" t="s">
        <v>11629</v>
      </c>
      <c r="G293" s="5" t="s">
        <v>328</v>
      </c>
      <c r="H293" s="5" t="s">
        <v>3</v>
      </c>
      <c r="I293" s="5"/>
      <c r="J293" s="5" t="s">
        <v>11635</v>
      </c>
    </row>
    <row r="294" spans="1:10" ht="25.5" x14ac:dyDescent="0.2">
      <c r="A294" s="5" t="s">
        <v>11634</v>
      </c>
      <c r="B294" s="5" t="s">
        <v>83</v>
      </c>
      <c r="C294" s="5"/>
      <c r="D294" s="5" t="s">
        <v>11633</v>
      </c>
      <c r="E294" s="5"/>
      <c r="F294" s="5" t="s">
        <v>11629</v>
      </c>
      <c r="G294" s="5" t="s">
        <v>148</v>
      </c>
      <c r="H294" s="5" t="s">
        <v>3</v>
      </c>
      <c r="I294" s="5"/>
      <c r="J294" s="5" t="s">
        <v>11632</v>
      </c>
    </row>
    <row r="295" spans="1:10" ht="25.5" x14ac:dyDescent="0.2">
      <c r="A295" s="5" t="s">
        <v>11631</v>
      </c>
      <c r="B295" s="5" t="s">
        <v>83</v>
      </c>
      <c r="C295" s="5"/>
      <c r="D295" s="5" t="s">
        <v>11630</v>
      </c>
      <c r="E295" s="5"/>
      <c r="F295" s="5" t="s">
        <v>11629</v>
      </c>
      <c r="G295" s="5" t="s">
        <v>328</v>
      </c>
      <c r="H295" s="5" t="s">
        <v>3</v>
      </c>
      <c r="I295" s="5"/>
      <c r="J295" s="5" t="s">
        <v>11628</v>
      </c>
    </row>
    <row r="296" spans="1:10" x14ac:dyDescent="0.2">
      <c r="A296" s="5" t="s">
        <v>11627</v>
      </c>
      <c r="B296" s="5" t="s">
        <v>83</v>
      </c>
      <c r="C296" s="5"/>
      <c r="D296" s="5" t="s">
        <v>11626</v>
      </c>
      <c r="E296" s="5"/>
      <c r="F296" s="5" t="s">
        <v>11622</v>
      </c>
      <c r="G296" s="5" t="s">
        <v>105</v>
      </c>
      <c r="H296" s="5" t="s">
        <v>3</v>
      </c>
      <c r="I296" s="5"/>
      <c r="J296" s="5" t="s">
        <v>11625</v>
      </c>
    </row>
    <row r="297" spans="1:10" x14ac:dyDescent="0.2">
      <c r="A297" s="5" t="s">
        <v>11624</v>
      </c>
      <c r="B297" s="5" t="s">
        <v>83</v>
      </c>
      <c r="C297" s="5"/>
      <c r="D297" s="5" t="s">
        <v>11623</v>
      </c>
      <c r="E297" s="5"/>
      <c r="F297" s="5" t="s">
        <v>11622</v>
      </c>
      <c r="G297" s="5" t="s">
        <v>283</v>
      </c>
      <c r="H297" s="5" t="s">
        <v>3</v>
      </c>
      <c r="I297" s="5"/>
      <c r="J297" s="5"/>
    </row>
    <row r="298" spans="1:10" ht="25.5" x14ac:dyDescent="0.2">
      <c r="A298" s="5" t="s">
        <v>11621</v>
      </c>
      <c r="B298" s="5" t="s">
        <v>83</v>
      </c>
      <c r="C298" s="5"/>
      <c r="D298" s="5" t="s">
        <v>11620</v>
      </c>
      <c r="E298" s="5"/>
      <c r="F298" s="5" t="s">
        <v>259</v>
      </c>
      <c r="G298" s="5" t="s">
        <v>224</v>
      </c>
      <c r="H298" s="5" t="s">
        <v>137</v>
      </c>
      <c r="I298" s="5" t="s">
        <v>11619</v>
      </c>
      <c r="J298" s="5" t="s">
        <v>11618</v>
      </c>
    </row>
    <row r="299" spans="1:10" ht="25.5" x14ac:dyDescent="0.2">
      <c r="A299" s="5" t="s">
        <v>11617</v>
      </c>
      <c r="B299" s="5" t="s">
        <v>83</v>
      </c>
      <c r="C299" s="5"/>
      <c r="D299" s="5" t="s">
        <v>11616</v>
      </c>
      <c r="E299" s="5"/>
      <c r="F299" s="5" t="s">
        <v>11614</v>
      </c>
      <c r="G299" s="5" t="s">
        <v>8604</v>
      </c>
      <c r="H299" s="5" t="s">
        <v>137</v>
      </c>
      <c r="I299" s="5" t="s">
        <v>11615</v>
      </c>
      <c r="J299" s="5" t="s">
        <v>11614</v>
      </c>
    </row>
    <row r="300" spans="1:10" ht="25.5" x14ac:dyDescent="0.2">
      <c r="A300" s="5" t="s">
        <v>10538</v>
      </c>
      <c r="B300" s="5" t="s">
        <v>83</v>
      </c>
      <c r="C300" s="5"/>
      <c r="D300" s="5" t="s">
        <v>11613</v>
      </c>
      <c r="E300" s="5"/>
      <c r="F300" s="5" t="s">
        <v>10536</v>
      </c>
      <c r="G300" s="5" t="s">
        <v>224</v>
      </c>
      <c r="H300" s="5" t="s">
        <v>3</v>
      </c>
      <c r="I300" s="5"/>
      <c r="J300" s="5" t="s">
        <v>11610</v>
      </c>
    </row>
    <row r="301" spans="1:10" ht="25.5" x14ac:dyDescent="0.2">
      <c r="A301" s="5" t="s">
        <v>11612</v>
      </c>
      <c r="B301" s="5" t="s">
        <v>83</v>
      </c>
      <c r="C301" s="5"/>
      <c r="D301" s="5" t="s">
        <v>11611</v>
      </c>
      <c r="E301" s="5"/>
      <c r="F301" s="5" t="s">
        <v>10536</v>
      </c>
      <c r="G301" s="5" t="s">
        <v>3059</v>
      </c>
      <c r="H301" s="5" t="s">
        <v>3</v>
      </c>
      <c r="I301" s="5"/>
      <c r="J301" s="5" t="s">
        <v>11610</v>
      </c>
    </row>
    <row r="302" spans="1:10" x14ac:dyDescent="0.2">
      <c r="A302" s="5" t="s">
        <v>10534</v>
      </c>
      <c r="B302" s="5" t="s">
        <v>83</v>
      </c>
      <c r="C302" s="5"/>
      <c r="D302" s="5" t="s">
        <v>10533</v>
      </c>
      <c r="E302" s="5"/>
      <c r="F302" s="5" t="s">
        <v>10530</v>
      </c>
      <c r="G302" s="5" t="s">
        <v>105</v>
      </c>
      <c r="H302" s="5" t="s">
        <v>3</v>
      </c>
      <c r="I302" s="5"/>
      <c r="J302" s="5" t="s">
        <v>10529</v>
      </c>
    </row>
    <row r="303" spans="1:10" x14ac:dyDescent="0.2">
      <c r="A303" s="5" t="s">
        <v>10532</v>
      </c>
      <c r="B303" s="5" t="s">
        <v>83</v>
      </c>
      <c r="C303" s="5"/>
      <c r="D303" s="5" t="s">
        <v>10531</v>
      </c>
      <c r="E303" s="5"/>
      <c r="F303" s="5" t="s">
        <v>10530</v>
      </c>
      <c r="G303" s="5" t="s">
        <v>80</v>
      </c>
      <c r="H303" s="5" t="s">
        <v>3</v>
      </c>
      <c r="I303" s="5"/>
      <c r="J303" s="5" t="s">
        <v>10529</v>
      </c>
    </row>
    <row r="304" spans="1:10" x14ac:dyDescent="0.2">
      <c r="A304" s="5" t="s">
        <v>11609</v>
      </c>
      <c r="B304" s="5" t="s">
        <v>83</v>
      </c>
      <c r="C304" s="5"/>
      <c r="D304" s="5" t="s">
        <v>11608</v>
      </c>
      <c r="E304" s="5"/>
      <c r="F304" s="5"/>
      <c r="G304" s="5" t="s">
        <v>229</v>
      </c>
      <c r="H304" s="5" t="s">
        <v>137</v>
      </c>
      <c r="I304" s="5"/>
      <c r="J304" s="5"/>
    </row>
    <row r="305" spans="1:10" x14ac:dyDescent="0.2">
      <c r="A305" s="5" t="s">
        <v>11607</v>
      </c>
      <c r="B305" s="5" t="s">
        <v>83</v>
      </c>
      <c r="C305" s="5"/>
      <c r="D305" s="5" t="s">
        <v>10504</v>
      </c>
      <c r="E305" s="5"/>
      <c r="F305" s="5" t="s">
        <v>259</v>
      </c>
      <c r="G305" s="5" t="s">
        <v>114</v>
      </c>
      <c r="H305" s="5" t="s">
        <v>3</v>
      </c>
      <c r="I305" s="5"/>
      <c r="J305" s="5" t="s">
        <v>11606</v>
      </c>
    </row>
    <row r="306" spans="1:10" ht="25.5" x14ac:dyDescent="0.2">
      <c r="A306" s="5" t="s">
        <v>11605</v>
      </c>
      <c r="B306" s="5" t="s">
        <v>83</v>
      </c>
      <c r="C306" s="5"/>
      <c r="D306" s="5" t="s">
        <v>11604</v>
      </c>
      <c r="E306" s="5"/>
      <c r="F306" s="5" t="s">
        <v>11603</v>
      </c>
      <c r="G306" s="5" t="s">
        <v>224</v>
      </c>
      <c r="H306" s="5" t="s">
        <v>3</v>
      </c>
      <c r="I306" s="5"/>
      <c r="J306" s="5" t="s">
        <v>11602</v>
      </c>
    </row>
    <row r="307" spans="1:10" x14ac:dyDescent="0.2">
      <c r="A307" s="5" t="s">
        <v>11601</v>
      </c>
      <c r="B307" s="5" t="s">
        <v>83</v>
      </c>
      <c r="C307" s="5"/>
      <c r="D307" s="5" t="s">
        <v>11600</v>
      </c>
      <c r="E307" s="5"/>
      <c r="F307" s="5" t="s">
        <v>259</v>
      </c>
      <c r="G307" s="5" t="s">
        <v>283</v>
      </c>
      <c r="H307" s="5" t="s">
        <v>3</v>
      </c>
      <c r="I307" s="5"/>
      <c r="J307" s="5" t="s">
        <v>11599</v>
      </c>
    </row>
    <row r="308" spans="1:10" x14ac:dyDescent="0.2">
      <c r="A308" s="5" t="s">
        <v>11598</v>
      </c>
      <c r="B308" s="5" t="s">
        <v>83</v>
      </c>
      <c r="C308" s="5"/>
      <c r="D308" s="5" t="s">
        <v>11597</v>
      </c>
      <c r="E308" s="5"/>
      <c r="F308" s="5" t="s">
        <v>259</v>
      </c>
      <c r="G308" s="5" t="s">
        <v>105</v>
      </c>
      <c r="H308" s="5" t="s">
        <v>3</v>
      </c>
      <c r="I308" s="5"/>
      <c r="J308" s="5" t="s">
        <v>11596</v>
      </c>
    </row>
    <row r="309" spans="1:10" ht="25.5" x14ac:dyDescent="0.2">
      <c r="A309" s="5" t="s">
        <v>11595</v>
      </c>
      <c r="B309" s="5" t="s">
        <v>83</v>
      </c>
      <c r="C309" s="5"/>
      <c r="D309" s="5" t="s">
        <v>11594</v>
      </c>
      <c r="E309" s="5"/>
      <c r="F309" s="5" t="s">
        <v>259</v>
      </c>
      <c r="G309" s="5" t="s">
        <v>114</v>
      </c>
      <c r="H309" s="5" t="s">
        <v>3</v>
      </c>
      <c r="I309" s="5"/>
      <c r="J309" s="5" t="s">
        <v>11593</v>
      </c>
    </row>
    <row r="310" spans="1:10" ht="38.25" x14ac:dyDescent="0.2">
      <c r="A310" s="5" t="s">
        <v>11592</v>
      </c>
      <c r="B310" s="5" t="s">
        <v>83</v>
      </c>
      <c r="C310" s="5"/>
      <c r="D310" s="5" t="s">
        <v>11591</v>
      </c>
      <c r="E310" s="5"/>
      <c r="F310" s="5" t="s">
        <v>9429</v>
      </c>
      <c r="G310" s="5" t="s">
        <v>105</v>
      </c>
      <c r="H310" s="5" t="s">
        <v>3</v>
      </c>
      <c r="I310" s="5"/>
      <c r="J310" s="5" t="s">
        <v>11590</v>
      </c>
    </row>
    <row r="311" spans="1:10" x14ac:dyDescent="0.2">
      <c r="A311" s="5" t="s">
        <v>11589</v>
      </c>
      <c r="B311" s="5" t="s">
        <v>83</v>
      </c>
      <c r="C311" s="5"/>
      <c r="D311" s="5" t="s">
        <v>11588</v>
      </c>
      <c r="E311" s="5" t="s">
        <v>288</v>
      </c>
      <c r="F311" s="5" t="s">
        <v>259</v>
      </c>
      <c r="G311" s="5" t="s">
        <v>229</v>
      </c>
      <c r="H311" s="5" t="s">
        <v>3</v>
      </c>
      <c r="I311" s="5"/>
      <c r="J311" s="5" t="s">
        <v>11587</v>
      </c>
    </row>
    <row r="312" spans="1:10" x14ac:dyDescent="0.2">
      <c r="A312" s="5" t="s">
        <v>11586</v>
      </c>
      <c r="B312" s="5" t="s">
        <v>83</v>
      </c>
      <c r="C312" s="5"/>
      <c r="D312" s="5" t="s">
        <v>11585</v>
      </c>
      <c r="E312" s="5"/>
      <c r="F312" s="5" t="s">
        <v>11584</v>
      </c>
      <c r="G312" s="5" t="s">
        <v>170</v>
      </c>
      <c r="H312" s="5" t="s">
        <v>3</v>
      </c>
      <c r="I312" s="5"/>
      <c r="J312" s="5" t="s">
        <v>11583</v>
      </c>
    </row>
    <row r="313" spans="1:10" ht="25.5" x14ac:dyDescent="0.2">
      <c r="A313" s="5" t="s">
        <v>11582</v>
      </c>
      <c r="B313" s="5" t="s">
        <v>83</v>
      </c>
      <c r="C313" s="5"/>
      <c r="D313" s="5" t="s">
        <v>11581</v>
      </c>
      <c r="E313" s="5"/>
      <c r="F313" s="5" t="s">
        <v>259</v>
      </c>
      <c r="G313" s="5" t="s">
        <v>80</v>
      </c>
      <c r="H313" s="5" t="s">
        <v>3</v>
      </c>
      <c r="I313" s="5"/>
      <c r="J313" s="5" t="s">
        <v>11580</v>
      </c>
    </row>
    <row r="314" spans="1:10" ht="38.25" x14ac:dyDescent="0.2">
      <c r="A314" s="5" t="s">
        <v>11579</v>
      </c>
      <c r="B314" s="5" t="s">
        <v>83</v>
      </c>
      <c r="C314" s="5"/>
      <c r="D314" s="5" t="s">
        <v>11578</v>
      </c>
      <c r="E314" s="5"/>
      <c r="F314" s="5" t="s">
        <v>259</v>
      </c>
      <c r="G314" s="5" t="s">
        <v>382</v>
      </c>
      <c r="H314" s="5" t="s">
        <v>3</v>
      </c>
      <c r="I314" s="5"/>
      <c r="J314" s="5" t="s">
        <v>11577</v>
      </c>
    </row>
    <row r="315" spans="1:10" ht="25.5" x14ac:dyDescent="0.2">
      <c r="A315" s="5" t="s">
        <v>11576</v>
      </c>
      <c r="B315" s="5" t="s">
        <v>83</v>
      </c>
      <c r="C315" s="5"/>
      <c r="D315" s="5" t="s">
        <v>11575</v>
      </c>
      <c r="E315" s="5"/>
      <c r="F315" s="5" t="s">
        <v>11574</v>
      </c>
      <c r="G315" s="5" t="s">
        <v>283</v>
      </c>
      <c r="H315" s="5" t="s">
        <v>3</v>
      </c>
      <c r="I315" s="5"/>
      <c r="J315" s="5" t="s">
        <v>11573</v>
      </c>
    </row>
    <row r="316" spans="1:10" ht="25.5" x14ac:dyDescent="0.2">
      <c r="A316" s="5" t="s">
        <v>10501</v>
      </c>
      <c r="B316" s="5" t="s">
        <v>83</v>
      </c>
      <c r="C316" s="5"/>
      <c r="D316" s="5" t="s">
        <v>11572</v>
      </c>
      <c r="E316" s="5"/>
      <c r="F316" s="5" t="s">
        <v>237</v>
      </c>
      <c r="G316" s="5" t="s">
        <v>80</v>
      </c>
      <c r="H316" s="5" t="s">
        <v>3</v>
      </c>
      <c r="I316" s="5"/>
      <c r="J316" s="5" t="s">
        <v>10499</v>
      </c>
    </row>
    <row r="317" spans="1:10" ht="25.5" x14ac:dyDescent="0.2">
      <c r="A317" s="5" t="s">
        <v>10461</v>
      </c>
      <c r="B317" s="5" t="s">
        <v>8</v>
      </c>
      <c r="C317" s="5"/>
      <c r="D317" s="5" t="s">
        <v>11571</v>
      </c>
      <c r="E317" s="5"/>
      <c r="F317" s="5"/>
      <c r="G317" s="5"/>
      <c r="H317" s="5"/>
      <c r="I317" s="5"/>
      <c r="J317" s="5"/>
    </row>
    <row r="318" spans="1:10" x14ac:dyDescent="0.2">
      <c r="A318" s="5" t="s">
        <v>11570</v>
      </c>
      <c r="B318" s="5" t="s">
        <v>8</v>
      </c>
      <c r="C318" s="5"/>
      <c r="D318" s="5" t="s">
        <v>11569</v>
      </c>
      <c r="E318" s="5"/>
      <c r="F318" s="5"/>
      <c r="G318" s="5"/>
      <c r="H318" s="5"/>
      <c r="I318" s="5"/>
      <c r="J318" s="5"/>
    </row>
    <row r="319" spans="1:10" ht="38.25" x14ac:dyDescent="0.2">
      <c r="A319" s="5" t="s">
        <v>60</v>
      </c>
      <c r="B319" s="5" t="s">
        <v>8</v>
      </c>
      <c r="C319" s="5"/>
      <c r="D319" s="5" t="s">
        <v>11568</v>
      </c>
      <c r="E319" s="5"/>
      <c r="F319" s="5"/>
      <c r="G319" s="5"/>
      <c r="H319" s="5"/>
      <c r="I319" s="5"/>
      <c r="J319" s="5" t="s">
        <v>11567</v>
      </c>
    </row>
    <row r="320" spans="1:10" ht="25.5" x14ac:dyDescent="0.2">
      <c r="A320" s="5" t="s">
        <v>57</v>
      </c>
      <c r="B320" s="5" t="s">
        <v>8</v>
      </c>
      <c r="C320" s="5"/>
      <c r="D320" s="5" t="s">
        <v>11566</v>
      </c>
      <c r="E320" s="5"/>
      <c r="F320" s="5"/>
      <c r="G320" s="5"/>
      <c r="H320" s="5"/>
      <c r="I320" s="5"/>
      <c r="J320" s="5"/>
    </row>
    <row r="321" spans="1:10" x14ac:dyDescent="0.2">
      <c r="A321" s="5" t="s">
        <v>11565</v>
      </c>
      <c r="B321" s="5" t="s">
        <v>8</v>
      </c>
      <c r="C321" s="5"/>
      <c r="D321" s="5" t="s">
        <v>11564</v>
      </c>
      <c r="E321" s="5"/>
      <c r="F321" s="5"/>
      <c r="G321" s="5"/>
      <c r="H321" s="5"/>
      <c r="I321" s="5"/>
      <c r="J321" s="5"/>
    </row>
    <row r="322" spans="1:10" ht="25.5" x14ac:dyDescent="0.2">
      <c r="A322" s="5" t="s">
        <v>11563</v>
      </c>
      <c r="B322" s="5" t="s">
        <v>8</v>
      </c>
      <c r="C322" s="5"/>
      <c r="D322" s="5" t="s">
        <v>11562</v>
      </c>
      <c r="E322" s="5"/>
      <c r="F322" s="5"/>
      <c r="G322" s="5"/>
      <c r="H322" s="5"/>
      <c r="I322" s="5"/>
      <c r="J322" s="5" t="s">
        <v>11561</v>
      </c>
    </row>
    <row r="323" spans="1:10" ht="25.5" x14ac:dyDescent="0.2">
      <c r="A323" s="5" t="s">
        <v>11560</v>
      </c>
      <c r="B323" s="5" t="s">
        <v>8</v>
      </c>
      <c r="C323" s="5"/>
      <c r="D323" s="5" t="s">
        <v>11559</v>
      </c>
      <c r="E323" s="5"/>
      <c r="F323" s="5"/>
      <c r="G323" s="5"/>
      <c r="H323" s="5"/>
      <c r="I323" s="5"/>
      <c r="J323" s="5" t="s">
        <v>11558</v>
      </c>
    </row>
    <row r="324" spans="1:10" x14ac:dyDescent="0.2">
      <c r="A324" s="5" t="s">
        <v>11557</v>
      </c>
      <c r="B324" s="5" t="s">
        <v>8</v>
      </c>
      <c r="C324" s="5"/>
      <c r="D324" s="5" t="s">
        <v>11556</v>
      </c>
      <c r="E324" s="5"/>
      <c r="F324" s="5"/>
      <c r="G324" s="5"/>
      <c r="H324" s="5"/>
      <c r="I324" s="5"/>
      <c r="J324" s="5"/>
    </row>
    <row r="325" spans="1:10" x14ac:dyDescent="0.2">
      <c r="A325" s="5" t="s">
        <v>11555</v>
      </c>
      <c r="B325" s="5" t="s">
        <v>8</v>
      </c>
      <c r="C325" s="5"/>
      <c r="D325" s="5" t="s">
        <v>11554</v>
      </c>
      <c r="E325" s="5"/>
      <c r="F325" s="5"/>
      <c r="G325" s="5"/>
      <c r="H325" s="5"/>
      <c r="I325" s="5"/>
      <c r="J325" s="5"/>
    </row>
    <row r="326" spans="1:10" x14ac:dyDescent="0.2">
      <c r="A326" s="5" t="s">
        <v>1</v>
      </c>
      <c r="B326" s="5" t="s">
        <v>0</v>
      </c>
      <c r="C326" s="5"/>
      <c r="D326" s="5">
        <v>155</v>
      </c>
      <c r="E326" s="5"/>
      <c r="F326" s="5"/>
      <c r="G326" s="5"/>
      <c r="H326" s="5"/>
      <c r="I326" s="5"/>
      <c r="J326" s="5"/>
    </row>
  </sheetData>
  <autoFilter ref="A3:M3" xr:uid="{B2F118FD-E5B2-4E44-9BD3-D0682A1C8D44}"/>
  <mergeCells count="1">
    <mergeCell ref="G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4F8E-54D2-413C-B07E-115D4D33F3D5}">
  <sheetPr codeName="Sheet26"/>
  <dimension ref="A1:Y700"/>
  <sheetViews>
    <sheetView workbookViewId="0">
      <pane ySplit="8625" topLeftCell="A697"/>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13933</v>
      </c>
      <c r="C1" s="14"/>
      <c r="D1" s="14"/>
      <c r="E1" s="14"/>
      <c r="F1" s="13" t="s">
        <v>8892</v>
      </c>
      <c r="G1" s="16">
        <v>45538</v>
      </c>
      <c r="H1" s="16"/>
      <c r="I1" s="16"/>
      <c r="J1" s="11"/>
    </row>
    <row r="2" spans="1:25" ht="18" x14ac:dyDescent="0.2">
      <c r="A2" s="14">
        <f ca="1">COUNTA(OFFSET(A3,1,0,2222,1))</f>
        <v>697</v>
      </c>
      <c r="B2" s="15"/>
      <c r="C2" s="14">
        <f ca="1">MAX(OFFSET(C3,1,0,2222,1))</f>
        <v>112</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13933</v>
      </c>
      <c r="G4" s="5" t="s">
        <v>91</v>
      </c>
      <c r="H4" s="5" t="s">
        <v>3</v>
      </c>
      <c r="I4" s="5"/>
      <c r="J4" s="5" t="s">
        <v>8874</v>
      </c>
    </row>
    <row r="5" spans="1:25" x14ac:dyDescent="0.2">
      <c r="A5" s="5" t="s">
        <v>13934</v>
      </c>
      <c r="B5" s="5" t="s">
        <v>8584</v>
      </c>
      <c r="C5" s="5">
        <v>0</v>
      </c>
      <c r="D5" s="5"/>
      <c r="E5" s="5"/>
      <c r="F5" s="5" t="s">
        <v>13933</v>
      </c>
      <c r="G5" s="5" t="s">
        <v>13932</v>
      </c>
      <c r="H5" s="5" t="s">
        <v>3</v>
      </c>
      <c r="I5" s="5"/>
      <c r="J5" s="5" t="s">
        <v>13931</v>
      </c>
    </row>
    <row r="6" spans="1:25" ht="25.5" x14ac:dyDescent="0.2">
      <c r="A6" s="5" t="s">
        <v>9641</v>
      </c>
      <c r="B6" s="5" t="s">
        <v>8584</v>
      </c>
      <c r="C6" s="5">
        <v>0</v>
      </c>
      <c r="D6" s="5"/>
      <c r="E6" s="5"/>
      <c r="F6" s="5" t="s">
        <v>13930</v>
      </c>
      <c r="G6" s="5" t="s">
        <v>393</v>
      </c>
      <c r="H6" s="5" t="s">
        <v>3</v>
      </c>
      <c r="I6" s="5"/>
      <c r="J6" s="5" t="s">
        <v>13930</v>
      </c>
    </row>
    <row r="7" spans="1:25" x14ac:dyDescent="0.2">
      <c r="A7" s="5" t="s">
        <v>13929</v>
      </c>
      <c r="B7" s="5" t="s">
        <v>8584</v>
      </c>
      <c r="C7" s="5">
        <v>0</v>
      </c>
      <c r="D7" s="5"/>
      <c r="E7" s="5"/>
      <c r="F7" s="5" t="s">
        <v>13928</v>
      </c>
      <c r="G7" s="5" t="s">
        <v>207</v>
      </c>
      <c r="H7" s="5" t="s">
        <v>3</v>
      </c>
      <c r="I7" s="5"/>
      <c r="J7" s="5"/>
    </row>
    <row r="8" spans="1:25" ht="25.5" x14ac:dyDescent="0.2">
      <c r="A8" s="5" t="s">
        <v>8571</v>
      </c>
      <c r="B8" s="5" t="s">
        <v>8584</v>
      </c>
      <c r="C8" s="5">
        <v>1</v>
      </c>
      <c r="D8" s="5"/>
      <c r="E8" s="5"/>
      <c r="F8" s="5" t="s">
        <v>11225</v>
      </c>
      <c r="G8" s="5" t="s">
        <v>896</v>
      </c>
      <c r="H8" s="5" t="s">
        <v>3</v>
      </c>
      <c r="I8" s="5"/>
      <c r="J8" s="5" t="s">
        <v>12302</v>
      </c>
    </row>
    <row r="9" spans="1:25" x14ac:dyDescent="0.2">
      <c r="A9" s="5" t="s">
        <v>11540</v>
      </c>
      <c r="B9" s="5" t="s">
        <v>8584</v>
      </c>
      <c r="C9" s="5">
        <v>1</v>
      </c>
      <c r="D9" s="5"/>
      <c r="E9" s="5"/>
      <c r="F9" s="5" t="s">
        <v>7973</v>
      </c>
      <c r="G9" s="5" t="s">
        <v>502</v>
      </c>
      <c r="H9" s="5" t="s">
        <v>3</v>
      </c>
      <c r="I9" s="5"/>
      <c r="J9" s="5" t="s">
        <v>13927</v>
      </c>
    </row>
    <row r="10" spans="1:25" x14ac:dyDescent="0.2">
      <c r="A10" s="5" t="s">
        <v>354</v>
      </c>
      <c r="B10" s="5" t="s">
        <v>8584</v>
      </c>
      <c r="C10" s="5">
        <v>2</v>
      </c>
      <c r="D10" s="5"/>
      <c r="E10" s="5"/>
      <c r="F10" s="5" t="s">
        <v>9143</v>
      </c>
      <c r="G10" s="5" t="s">
        <v>173</v>
      </c>
      <c r="H10" s="5" t="s">
        <v>3</v>
      </c>
      <c r="I10" s="5"/>
      <c r="J10" s="5" t="s">
        <v>11533</v>
      </c>
    </row>
    <row r="11" spans="1:25" x14ac:dyDescent="0.2">
      <c r="A11" s="5" t="s">
        <v>784</v>
      </c>
      <c r="B11" s="5" t="s">
        <v>8584</v>
      </c>
      <c r="C11" s="5">
        <v>3</v>
      </c>
      <c r="D11" s="5"/>
      <c r="E11" s="5"/>
      <c r="F11" s="5" t="s">
        <v>13926</v>
      </c>
      <c r="G11" s="5" t="s">
        <v>1527</v>
      </c>
      <c r="H11" s="5" t="s">
        <v>3</v>
      </c>
      <c r="I11" s="5"/>
      <c r="J11" s="5" t="s">
        <v>13924</v>
      </c>
    </row>
    <row r="12" spans="1:25" x14ac:dyDescent="0.2">
      <c r="A12" s="5" t="s">
        <v>13925</v>
      </c>
      <c r="B12" s="5" t="s">
        <v>8584</v>
      </c>
      <c r="C12" s="5">
        <v>3</v>
      </c>
      <c r="D12" s="5"/>
      <c r="E12" s="5"/>
      <c r="F12" s="5" t="s">
        <v>9101</v>
      </c>
      <c r="G12" s="5" t="s">
        <v>1527</v>
      </c>
      <c r="H12" s="5" t="s">
        <v>3</v>
      </c>
      <c r="I12" s="5"/>
      <c r="J12" s="5" t="s">
        <v>13924</v>
      </c>
    </row>
    <row r="13" spans="1:25" s="2" customFormat="1" x14ac:dyDescent="0.2">
      <c r="A13" s="5" t="s">
        <v>12277</v>
      </c>
      <c r="B13" s="5" t="s">
        <v>8584</v>
      </c>
      <c r="C13" s="5">
        <v>4</v>
      </c>
      <c r="D13" s="5"/>
      <c r="E13" s="5"/>
      <c r="F13" s="5" t="s">
        <v>12277</v>
      </c>
      <c r="G13" s="5" t="s">
        <v>7296</v>
      </c>
      <c r="H13" s="5" t="s">
        <v>3</v>
      </c>
      <c r="I13" s="5"/>
      <c r="J13" s="5" t="s">
        <v>13923</v>
      </c>
      <c r="M13" s="1"/>
      <c r="N13"/>
      <c r="O13"/>
      <c r="P13"/>
      <c r="Q13"/>
      <c r="R13"/>
      <c r="S13"/>
      <c r="T13"/>
      <c r="U13"/>
      <c r="V13"/>
      <c r="W13"/>
      <c r="X13"/>
      <c r="Y13"/>
    </row>
    <row r="14" spans="1:25" s="2" customFormat="1" ht="25.5" x14ac:dyDescent="0.2">
      <c r="A14" s="5" t="s">
        <v>13922</v>
      </c>
      <c r="B14" s="5" t="s">
        <v>8584</v>
      </c>
      <c r="C14" s="5">
        <v>5</v>
      </c>
      <c r="D14" s="5"/>
      <c r="E14" s="5"/>
      <c r="F14" s="5" t="s">
        <v>13921</v>
      </c>
      <c r="G14" s="5" t="s">
        <v>207</v>
      </c>
      <c r="H14" s="5" t="s">
        <v>3</v>
      </c>
      <c r="I14" s="5"/>
      <c r="J14" s="5" t="s">
        <v>13920</v>
      </c>
      <c r="M14" s="1"/>
      <c r="N14"/>
      <c r="O14"/>
      <c r="P14"/>
      <c r="Q14"/>
      <c r="R14"/>
      <c r="S14"/>
      <c r="T14"/>
      <c r="U14"/>
      <c r="V14"/>
      <c r="W14"/>
      <c r="X14"/>
      <c r="Y14"/>
    </row>
    <row r="15" spans="1:25" s="2" customFormat="1" ht="25.5" x14ac:dyDescent="0.2">
      <c r="A15" s="5" t="s">
        <v>13919</v>
      </c>
      <c r="B15" s="5" t="s">
        <v>8584</v>
      </c>
      <c r="C15" s="5">
        <v>6</v>
      </c>
      <c r="D15" s="5"/>
      <c r="E15" s="5"/>
      <c r="F15" s="5" t="s">
        <v>13918</v>
      </c>
      <c r="G15" s="5" t="s">
        <v>207</v>
      </c>
      <c r="H15" s="5" t="s">
        <v>3</v>
      </c>
      <c r="I15" s="5"/>
      <c r="J15" s="5" t="s">
        <v>13917</v>
      </c>
      <c r="M15" s="1"/>
      <c r="N15"/>
      <c r="O15"/>
      <c r="P15"/>
      <c r="Q15"/>
      <c r="R15"/>
      <c r="S15"/>
      <c r="T15"/>
      <c r="U15"/>
      <c r="V15"/>
      <c r="W15"/>
      <c r="X15"/>
      <c r="Y15"/>
    </row>
    <row r="16" spans="1:25" s="2" customFormat="1" ht="25.5" x14ac:dyDescent="0.2">
      <c r="A16" s="5" t="s">
        <v>13916</v>
      </c>
      <c r="B16" s="5" t="s">
        <v>8584</v>
      </c>
      <c r="C16" s="5">
        <v>7</v>
      </c>
      <c r="D16" s="5"/>
      <c r="E16" s="5"/>
      <c r="F16" s="5" t="s">
        <v>13915</v>
      </c>
      <c r="G16" s="5" t="s">
        <v>207</v>
      </c>
      <c r="H16" s="5" t="s">
        <v>3</v>
      </c>
      <c r="I16" s="5"/>
      <c r="J16" s="5" t="s">
        <v>13914</v>
      </c>
      <c r="M16" s="1"/>
      <c r="N16"/>
      <c r="O16"/>
      <c r="P16"/>
      <c r="Q16"/>
      <c r="R16"/>
      <c r="S16"/>
      <c r="T16"/>
      <c r="U16"/>
      <c r="V16"/>
      <c r="W16"/>
      <c r="X16"/>
      <c r="Y16"/>
    </row>
    <row r="17" spans="1:25" s="2" customFormat="1" ht="25.5" x14ac:dyDescent="0.2">
      <c r="A17" s="5" t="s">
        <v>13913</v>
      </c>
      <c r="B17" s="5" t="s">
        <v>8584</v>
      </c>
      <c r="C17" s="5">
        <v>8</v>
      </c>
      <c r="D17" s="5"/>
      <c r="E17" s="5"/>
      <c r="F17" s="5" t="s">
        <v>13912</v>
      </c>
      <c r="G17" s="5" t="s">
        <v>207</v>
      </c>
      <c r="H17" s="5" t="s">
        <v>3</v>
      </c>
      <c r="I17" s="5"/>
      <c r="J17" s="5" t="s">
        <v>13911</v>
      </c>
      <c r="M17" s="1"/>
      <c r="N17"/>
      <c r="O17"/>
      <c r="P17"/>
      <c r="Q17"/>
      <c r="R17"/>
      <c r="S17"/>
      <c r="T17"/>
      <c r="U17"/>
      <c r="V17"/>
      <c r="W17"/>
      <c r="X17"/>
      <c r="Y17"/>
    </row>
    <row r="18" spans="1:25" s="2" customFormat="1" ht="25.5" x14ac:dyDescent="0.2">
      <c r="A18" s="5" t="s">
        <v>13910</v>
      </c>
      <c r="B18" s="5" t="s">
        <v>8584</v>
      </c>
      <c r="C18" s="5">
        <v>9</v>
      </c>
      <c r="D18" s="5"/>
      <c r="E18" s="5"/>
      <c r="F18" s="5" t="s">
        <v>13909</v>
      </c>
      <c r="G18" s="5" t="s">
        <v>207</v>
      </c>
      <c r="H18" s="5" t="s">
        <v>3</v>
      </c>
      <c r="I18" s="5"/>
      <c r="J18" s="5" t="s">
        <v>13908</v>
      </c>
      <c r="M18" s="1"/>
      <c r="N18"/>
      <c r="O18"/>
      <c r="P18"/>
      <c r="Q18"/>
      <c r="R18"/>
      <c r="S18"/>
      <c r="T18"/>
      <c r="U18"/>
      <c r="V18"/>
      <c r="W18"/>
      <c r="X18"/>
      <c r="Y18"/>
    </row>
    <row r="19" spans="1:25" s="2" customFormat="1" ht="38.25" x14ac:dyDescent="0.2">
      <c r="A19" s="5" t="s">
        <v>13907</v>
      </c>
      <c r="B19" s="5" t="s">
        <v>8584</v>
      </c>
      <c r="C19" s="5">
        <v>10</v>
      </c>
      <c r="D19" s="5"/>
      <c r="E19" s="5"/>
      <c r="F19" s="5" t="s">
        <v>13906</v>
      </c>
      <c r="G19" s="5" t="s">
        <v>4</v>
      </c>
      <c r="H19" s="5" t="s">
        <v>3</v>
      </c>
      <c r="I19" s="5"/>
      <c r="J19" s="5" t="s">
        <v>13905</v>
      </c>
      <c r="M19" s="1"/>
      <c r="N19"/>
      <c r="O19"/>
      <c r="P19"/>
      <c r="Q19"/>
      <c r="R19"/>
      <c r="S19"/>
      <c r="T19"/>
      <c r="U19"/>
      <c r="V19"/>
      <c r="W19"/>
      <c r="X19"/>
      <c r="Y19"/>
    </row>
    <row r="20" spans="1:25" s="2" customFormat="1" ht="25.5" x14ac:dyDescent="0.2">
      <c r="A20" s="5" t="s">
        <v>13904</v>
      </c>
      <c r="B20" s="5" t="s">
        <v>8584</v>
      </c>
      <c r="C20" s="5">
        <v>11</v>
      </c>
      <c r="D20" s="5"/>
      <c r="E20" s="5"/>
      <c r="F20" s="5" t="s">
        <v>13901</v>
      </c>
      <c r="G20" s="5" t="s">
        <v>173</v>
      </c>
      <c r="H20" s="5" t="s">
        <v>3</v>
      </c>
      <c r="I20" s="5"/>
      <c r="J20" s="5" t="s">
        <v>13903</v>
      </c>
      <c r="M20" s="1"/>
      <c r="N20"/>
      <c r="O20"/>
      <c r="P20"/>
      <c r="Q20"/>
      <c r="R20"/>
      <c r="S20"/>
      <c r="T20"/>
      <c r="U20"/>
      <c r="V20"/>
      <c r="W20"/>
      <c r="X20"/>
      <c r="Y20"/>
    </row>
    <row r="21" spans="1:25" s="2" customFormat="1" ht="25.5" x14ac:dyDescent="0.2">
      <c r="A21" s="5" t="s">
        <v>13902</v>
      </c>
      <c r="B21" s="5" t="s">
        <v>8584</v>
      </c>
      <c r="C21" s="5">
        <v>11</v>
      </c>
      <c r="D21" s="5"/>
      <c r="E21" s="5" t="s">
        <v>93</v>
      </c>
      <c r="F21" s="5" t="s">
        <v>13901</v>
      </c>
      <c r="G21" s="5" t="s">
        <v>382</v>
      </c>
      <c r="H21" s="5" t="s">
        <v>3</v>
      </c>
      <c r="I21" s="5"/>
      <c r="J21" s="5" t="s">
        <v>13900</v>
      </c>
      <c r="M21" s="1"/>
      <c r="N21"/>
      <c r="O21"/>
      <c r="P21"/>
      <c r="Q21"/>
      <c r="R21"/>
      <c r="S21"/>
      <c r="T21"/>
      <c r="U21"/>
      <c r="V21"/>
      <c r="W21"/>
      <c r="X21"/>
      <c r="Y21"/>
    </row>
    <row r="22" spans="1:25" s="2" customFormat="1" ht="38.25" x14ac:dyDescent="0.2">
      <c r="A22" s="5" t="s">
        <v>11651</v>
      </c>
      <c r="B22" s="5" t="s">
        <v>8584</v>
      </c>
      <c r="C22" s="5">
        <v>11</v>
      </c>
      <c r="D22" s="5"/>
      <c r="E22" s="5"/>
      <c r="F22" s="5" t="s">
        <v>13899</v>
      </c>
      <c r="G22" s="5" t="s">
        <v>6584</v>
      </c>
      <c r="H22" s="5" t="s">
        <v>3</v>
      </c>
      <c r="I22" s="5"/>
      <c r="J22" s="5" t="s">
        <v>13898</v>
      </c>
      <c r="M22" s="1"/>
      <c r="N22"/>
      <c r="O22"/>
      <c r="P22"/>
      <c r="Q22"/>
      <c r="R22"/>
      <c r="S22"/>
      <c r="T22"/>
      <c r="U22"/>
      <c r="V22"/>
      <c r="W22"/>
      <c r="X22"/>
      <c r="Y22"/>
    </row>
    <row r="23" spans="1:25" s="2" customFormat="1" ht="25.5" x14ac:dyDescent="0.2">
      <c r="A23" s="5" t="s">
        <v>13897</v>
      </c>
      <c r="B23" s="5" t="s">
        <v>8584</v>
      </c>
      <c r="C23" s="5">
        <v>12</v>
      </c>
      <c r="D23" s="5"/>
      <c r="E23" s="5"/>
      <c r="F23" s="5" t="s">
        <v>11500</v>
      </c>
      <c r="G23" s="5" t="s">
        <v>173</v>
      </c>
      <c r="H23" s="5" t="s">
        <v>3</v>
      </c>
      <c r="I23" s="5"/>
      <c r="J23" s="5" t="s">
        <v>13896</v>
      </c>
      <c r="M23" s="1"/>
      <c r="N23"/>
      <c r="O23"/>
      <c r="P23"/>
      <c r="Q23"/>
      <c r="R23"/>
      <c r="S23"/>
      <c r="T23"/>
      <c r="U23"/>
      <c r="V23"/>
      <c r="W23"/>
      <c r="X23"/>
      <c r="Y23"/>
    </row>
    <row r="24" spans="1:25" s="2" customFormat="1" x14ac:dyDescent="0.2">
      <c r="A24" s="5" t="s">
        <v>13895</v>
      </c>
      <c r="B24" s="5" t="s">
        <v>8584</v>
      </c>
      <c r="C24" s="5">
        <v>12</v>
      </c>
      <c r="D24" s="5"/>
      <c r="E24" s="5" t="s">
        <v>93</v>
      </c>
      <c r="F24" s="5" t="s">
        <v>13894</v>
      </c>
      <c r="G24" s="5" t="s">
        <v>382</v>
      </c>
      <c r="H24" s="5" t="s">
        <v>3</v>
      </c>
      <c r="I24" s="5"/>
      <c r="J24" s="5" t="s">
        <v>13893</v>
      </c>
      <c r="M24" s="1"/>
      <c r="N24"/>
      <c r="O24"/>
      <c r="P24"/>
      <c r="Q24"/>
      <c r="R24"/>
      <c r="S24"/>
      <c r="T24"/>
      <c r="U24"/>
      <c r="V24"/>
      <c r="W24"/>
      <c r="X24"/>
      <c r="Y24"/>
    </row>
    <row r="25" spans="1:25" s="2" customFormat="1" x14ac:dyDescent="0.2">
      <c r="A25" s="5" t="s">
        <v>13892</v>
      </c>
      <c r="B25" s="5" t="s">
        <v>8584</v>
      </c>
      <c r="C25" s="5">
        <v>12</v>
      </c>
      <c r="D25" s="5"/>
      <c r="E25" s="5"/>
      <c r="F25" s="5" t="s">
        <v>13891</v>
      </c>
      <c r="G25" s="5" t="s">
        <v>6584</v>
      </c>
      <c r="H25" s="5" t="s">
        <v>3</v>
      </c>
      <c r="I25" s="5"/>
      <c r="J25" s="5" t="s">
        <v>13890</v>
      </c>
      <c r="M25" s="1"/>
      <c r="N25"/>
      <c r="O25"/>
      <c r="P25"/>
      <c r="Q25"/>
      <c r="R25"/>
      <c r="S25"/>
      <c r="T25"/>
      <c r="U25"/>
      <c r="V25"/>
      <c r="W25"/>
      <c r="X25"/>
      <c r="Y25"/>
    </row>
    <row r="26" spans="1:25" s="2" customFormat="1" ht="25.5" x14ac:dyDescent="0.2">
      <c r="A26" s="5" t="s">
        <v>13889</v>
      </c>
      <c r="B26" s="5" t="s">
        <v>8584</v>
      </c>
      <c r="C26" s="5">
        <v>13</v>
      </c>
      <c r="D26" s="5"/>
      <c r="E26" s="5"/>
      <c r="F26" s="5" t="s">
        <v>11325</v>
      </c>
      <c r="G26" s="5" t="s">
        <v>173</v>
      </c>
      <c r="H26" s="5" t="s">
        <v>3</v>
      </c>
      <c r="I26" s="5"/>
      <c r="J26" s="5" t="s">
        <v>13888</v>
      </c>
      <c r="M26" s="1"/>
      <c r="N26"/>
      <c r="O26"/>
      <c r="P26"/>
      <c r="Q26"/>
      <c r="R26"/>
      <c r="S26"/>
      <c r="T26"/>
      <c r="U26"/>
      <c r="V26"/>
      <c r="W26"/>
      <c r="X26"/>
      <c r="Y26"/>
    </row>
    <row r="27" spans="1:25" s="2" customFormat="1" x14ac:dyDescent="0.2">
      <c r="A27" s="5" t="s">
        <v>13887</v>
      </c>
      <c r="B27" s="5" t="s">
        <v>8584</v>
      </c>
      <c r="C27" s="5">
        <v>13</v>
      </c>
      <c r="D27" s="5"/>
      <c r="E27" s="5" t="s">
        <v>93</v>
      </c>
      <c r="F27" s="5" t="s">
        <v>11325</v>
      </c>
      <c r="G27" s="5" t="s">
        <v>382</v>
      </c>
      <c r="H27" s="5" t="s">
        <v>3</v>
      </c>
      <c r="I27" s="5"/>
      <c r="J27" s="5" t="s">
        <v>13886</v>
      </c>
      <c r="M27" s="1"/>
      <c r="N27"/>
      <c r="O27"/>
      <c r="P27"/>
      <c r="Q27"/>
      <c r="R27"/>
      <c r="S27"/>
      <c r="T27"/>
      <c r="U27"/>
      <c r="V27"/>
      <c r="W27"/>
      <c r="X27"/>
      <c r="Y27"/>
    </row>
    <row r="28" spans="1:25" s="2" customFormat="1" x14ac:dyDescent="0.2">
      <c r="A28" s="5" t="s">
        <v>13885</v>
      </c>
      <c r="B28" s="5" t="s">
        <v>8584</v>
      </c>
      <c r="C28" s="5">
        <v>13</v>
      </c>
      <c r="D28" s="5"/>
      <c r="E28" s="5"/>
      <c r="F28" s="5" t="s">
        <v>13884</v>
      </c>
      <c r="G28" s="5" t="s">
        <v>6584</v>
      </c>
      <c r="H28" s="5" t="s">
        <v>3</v>
      </c>
      <c r="I28" s="5"/>
      <c r="J28" s="5" t="s">
        <v>13883</v>
      </c>
      <c r="M28" s="1"/>
      <c r="N28"/>
      <c r="O28"/>
      <c r="P28"/>
      <c r="Q28"/>
      <c r="R28"/>
      <c r="S28"/>
      <c r="T28"/>
      <c r="U28"/>
      <c r="V28"/>
      <c r="W28"/>
      <c r="X28"/>
      <c r="Y28"/>
    </row>
    <row r="29" spans="1:25" s="2" customFormat="1" ht="25.5" x14ac:dyDescent="0.2">
      <c r="A29" s="5" t="s">
        <v>13882</v>
      </c>
      <c r="B29" s="5" t="s">
        <v>8584</v>
      </c>
      <c r="C29" s="5">
        <v>14</v>
      </c>
      <c r="D29" s="5"/>
      <c r="E29" s="5"/>
      <c r="F29" s="5" t="s">
        <v>13881</v>
      </c>
      <c r="G29" s="5" t="s">
        <v>173</v>
      </c>
      <c r="H29" s="5" t="s">
        <v>3</v>
      </c>
      <c r="I29" s="5"/>
      <c r="J29" s="5" t="s">
        <v>13880</v>
      </c>
      <c r="M29" s="1"/>
      <c r="N29"/>
      <c r="O29"/>
      <c r="P29"/>
      <c r="Q29"/>
      <c r="R29"/>
      <c r="S29"/>
      <c r="T29"/>
      <c r="U29"/>
      <c r="V29"/>
      <c r="W29"/>
      <c r="X29"/>
      <c r="Y29"/>
    </row>
    <row r="30" spans="1:25" s="2" customFormat="1" ht="38.25" x14ac:dyDescent="0.2">
      <c r="A30" s="5" t="s">
        <v>13879</v>
      </c>
      <c r="B30" s="5" t="s">
        <v>8584</v>
      </c>
      <c r="C30" s="5">
        <v>14</v>
      </c>
      <c r="D30" s="5"/>
      <c r="E30" s="5"/>
      <c r="F30" s="5" t="s">
        <v>13878</v>
      </c>
      <c r="G30" s="5" t="s">
        <v>173</v>
      </c>
      <c r="H30" s="5" t="s">
        <v>3</v>
      </c>
      <c r="I30" s="5"/>
      <c r="J30" s="5" t="s">
        <v>13877</v>
      </c>
      <c r="M30" s="1"/>
      <c r="N30"/>
      <c r="O30"/>
      <c r="P30"/>
      <c r="Q30"/>
      <c r="R30"/>
      <c r="S30"/>
      <c r="T30"/>
      <c r="U30"/>
      <c r="V30"/>
      <c r="W30"/>
      <c r="X30"/>
      <c r="Y30"/>
    </row>
    <row r="31" spans="1:25" s="2" customFormat="1" ht="25.5" x14ac:dyDescent="0.2">
      <c r="A31" s="5" t="s">
        <v>13876</v>
      </c>
      <c r="B31" s="5" t="s">
        <v>8584</v>
      </c>
      <c r="C31" s="5">
        <v>14</v>
      </c>
      <c r="D31" s="5"/>
      <c r="E31" s="5"/>
      <c r="F31" s="5" t="s">
        <v>13875</v>
      </c>
      <c r="G31" s="5" t="s">
        <v>6584</v>
      </c>
      <c r="H31" s="5" t="s">
        <v>3</v>
      </c>
      <c r="I31" s="5"/>
      <c r="J31" s="5" t="s">
        <v>13873</v>
      </c>
      <c r="M31" s="1"/>
      <c r="N31"/>
      <c r="O31"/>
      <c r="P31"/>
      <c r="Q31"/>
      <c r="R31"/>
      <c r="S31"/>
      <c r="T31"/>
      <c r="U31"/>
      <c r="V31"/>
      <c r="W31"/>
      <c r="X31"/>
      <c r="Y31"/>
    </row>
    <row r="32" spans="1:25" s="2" customFormat="1" ht="25.5" x14ac:dyDescent="0.2">
      <c r="A32" s="5" t="s">
        <v>13874</v>
      </c>
      <c r="B32" s="5" t="s">
        <v>8584</v>
      </c>
      <c r="C32" s="5">
        <v>14</v>
      </c>
      <c r="D32" s="5"/>
      <c r="E32" s="5"/>
      <c r="F32" s="5" t="s">
        <v>9247</v>
      </c>
      <c r="G32" s="5" t="s">
        <v>207</v>
      </c>
      <c r="H32" s="5" t="s">
        <v>3</v>
      </c>
      <c r="I32" s="5"/>
      <c r="J32" s="5" t="s">
        <v>13873</v>
      </c>
      <c r="M32" s="1"/>
      <c r="N32"/>
      <c r="O32"/>
      <c r="P32"/>
      <c r="Q32"/>
      <c r="R32"/>
      <c r="S32"/>
      <c r="T32"/>
      <c r="U32"/>
      <c r="V32"/>
      <c r="W32"/>
      <c r="X32"/>
      <c r="Y32"/>
    </row>
    <row r="33" spans="1:25" s="2" customFormat="1" ht="25.5" x14ac:dyDescent="0.2">
      <c r="A33" s="5" t="s">
        <v>13872</v>
      </c>
      <c r="B33" s="5" t="s">
        <v>8584</v>
      </c>
      <c r="C33" s="5">
        <v>15</v>
      </c>
      <c r="D33" s="5"/>
      <c r="E33" s="5"/>
      <c r="F33" s="5" t="s">
        <v>13871</v>
      </c>
      <c r="G33" s="5" t="s">
        <v>6584</v>
      </c>
      <c r="H33" s="5" t="s">
        <v>3</v>
      </c>
      <c r="I33" s="5"/>
      <c r="J33" s="5" t="s">
        <v>13868</v>
      </c>
      <c r="M33" s="1"/>
      <c r="N33"/>
      <c r="O33"/>
      <c r="P33"/>
      <c r="Q33"/>
      <c r="R33"/>
      <c r="S33"/>
      <c r="T33"/>
      <c r="U33"/>
      <c r="V33"/>
      <c r="W33"/>
      <c r="X33"/>
      <c r="Y33"/>
    </row>
    <row r="34" spans="1:25" s="2" customFormat="1" ht="25.5" x14ac:dyDescent="0.2">
      <c r="A34" s="5" t="s">
        <v>13870</v>
      </c>
      <c r="B34" s="5" t="s">
        <v>8584</v>
      </c>
      <c r="C34" s="5">
        <v>16</v>
      </c>
      <c r="D34" s="5"/>
      <c r="E34" s="5"/>
      <c r="F34" s="5" t="s">
        <v>13869</v>
      </c>
      <c r="G34" s="5" t="s">
        <v>6584</v>
      </c>
      <c r="H34" s="5" t="s">
        <v>3</v>
      </c>
      <c r="I34" s="5"/>
      <c r="J34" s="5" t="s">
        <v>13868</v>
      </c>
      <c r="M34" s="1"/>
      <c r="N34"/>
      <c r="O34"/>
      <c r="P34"/>
      <c r="Q34"/>
      <c r="R34"/>
      <c r="S34"/>
      <c r="T34"/>
      <c r="U34"/>
      <c r="V34"/>
      <c r="W34"/>
      <c r="X34"/>
      <c r="Y34"/>
    </row>
    <row r="35" spans="1:25" s="2" customFormat="1" ht="25.5" x14ac:dyDescent="0.2">
      <c r="A35" s="5" t="s">
        <v>10973</v>
      </c>
      <c r="B35" s="5" t="s">
        <v>8584</v>
      </c>
      <c r="C35" s="5">
        <v>17</v>
      </c>
      <c r="D35" s="5"/>
      <c r="E35" s="5" t="s">
        <v>368</v>
      </c>
      <c r="F35" s="5" t="s">
        <v>13867</v>
      </c>
      <c r="G35" s="5" t="s">
        <v>148</v>
      </c>
      <c r="H35" s="5" t="s">
        <v>3</v>
      </c>
      <c r="I35" s="5"/>
      <c r="J35" s="5" t="s">
        <v>13866</v>
      </c>
      <c r="M35" s="1"/>
      <c r="N35"/>
      <c r="O35"/>
      <c r="P35"/>
      <c r="Q35"/>
      <c r="R35"/>
      <c r="S35"/>
      <c r="T35"/>
      <c r="U35"/>
      <c r="V35"/>
      <c r="W35"/>
      <c r="X35"/>
      <c r="Y35"/>
    </row>
    <row r="36" spans="1:25" s="2" customFormat="1" ht="25.5" x14ac:dyDescent="0.2">
      <c r="A36" s="5" t="s">
        <v>11660</v>
      </c>
      <c r="B36" s="5" t="s">
        <v>8584</v>
      </c>
      <c r="C36" s="5">
        <v>17</v>
      </c>
      <c r="D36" s="5"/>
      <c r="E36" s="5"/>
      <c r="F36" s="5" t="s">
        <v>13865</v>
      </c>
      <c r="G36" s="5" t="s">
        <v>148</v>
      </c>
      <c r="H36" s="5" t="s">
        <v>3</v>
      </c>
      <c r="I36" s="5"/>
      <c r="J36" s="5" t="s">
        <v>13863</v>
      </c>
      <c r="M36" s="1"/>
      <c r="N36"/>
      <c r="O36"/>
      <c r="P36"/>
      <c r="Q36"/>
      <c r="R36"/>
      <c r="S36"/>
      <c r="T36"/>
      <c r="U36"/>
      <c r="V36"/>
      <c r="W36"/>
      <c r="X36"/>
      <c r="Y36"/>
    </row>
    <row r="37" spans="1:25" s="2" customFormat="1" ht="25.5" x14ac:dyDescent="0.2">
      <c r="A37" s="5" t="s">
        <v>13864</v>
      </c>
      <c r="B37" s="5" t="s">
        <v>8584</v>
      </c>
      <c r="C37" s="5">
        <v>17</v>
      </c>
      <c r="D37" s="5"/>
      <c r="E37" s="5"/>
      <c r="F37" s="5" t="s">
        <v>9247</v>
      </c>
      <c r="G37" s="5" t="s">
        <v>148</v>
      </c>
      <c r="H37" s="5" t="s">
        <v>3</v>
      </c>
      <c r="I37" s="5"/>
      <c r="J37" s="5" t="s">
        <v>13863</v>
      </c>
      <c r="M37" s="1"/>
      <c r="N37"/>
      <c r="O37"/>
      <c r="P37"/>
      <c r="Q37"/>
      <c r="R37"/>
      <c r="S37"/>
      <c r="T37"/>
      <c r="U37"/>
      <c r="V37"/>
      <c r="W37"/>
      <c r="X37"/>
      <c r="Y37"/>
    </row>
    <row r="38" spans="1:25" s="2" customFormat="1" ht="25.5" x14ac:dyDescent="0.2">
      <c r="A38" s="5" t="s">
        <v>13862</v>
      </c>
      <c r="B38" s="5" t="s">
        <v>8584</v>
      </c>
      <c r="C38" s="5">
        <v>18</v>
      </c>
      <c r="D38" s="5"/>
      <c r="E38" s="5"/>
      <c r="F38" s="5" t="s">
        <v>13861</v>
      </c>
      <c r="G38" s="5" t="s">
        <v>148</v>
      </c>
      <c r="H38" s="5" t="s">
        <v>3</v>
      </c>
      <c r="I38" s="5"/>
      <c r="J38" s="5" t="s">
        <v>13859</v>
      </c>
      <c r="M38" s="1"/>
      <c r="N38"/>
      <c r="O38"/>
      <c r="P38"/>
      <c r="Q38"/>
      <c r="R38"/>
      <c r="S38"/>
      <c r="T38"/>
      <c r="U38"/>
      <c r="V38"/>
      <c r="W38"/>
      <c r="X38"/>
      <c r="Y38"/>
    </row>
    <row r="39" spans="1:25" s="2" customFormat="1" ht="25.5" x14ac:dyDescent="0.2">
      <c r="A39" s="5" t="s">
        <v>13860</v>
      </c>
      <c r="B39" s="5" t="s">
        <v>8584</v>
      </c>
      <c r="C39" s="5">
        <v>18</v>
      </c>
      <c r="D39" s="5"/>
      <c r="E39" s="5" t="s">
        <v>368</v>
      </c>
      <c r="F39" s="5" t="s">
        <v>9247</v>
      </c>
      <c r="G39" s="5" t="s">
        <v>148</v>
      </c>
      <c r="H39" s="5" t="s">
        <v>3</v>
      </c>
      <c r="I39" s="5"/>
      <c r="J39" s="5" t="s">
        <v>13859</v>
      </c>
      <c r="M39" s="1"/>
      <c r="N39"/>
      <c r="O39"/>
      <c r="P39"/>
      <c r="Q39"/>
      <c r="R39"/>
      <c r="S39"/>
      <c r="T39"/>
      <c r="U39"/>
      <c r="V39"/>
      <c r="W39"/>
      <c r="X39"/>
      <c r="Y39"/>
    </row>
    <row r="40" spans="1:25" s="2" customFormat="1" ht="25.5" x14ac:dyDescent="0.2">
      <c r="A40" s="5" t="s">
        <v>13858</v>
      </c>
      <c r="B40" s="5" t="s">
        <v>8584</v>
      </c>
      <c r="C40" s="5">
        <v>19</v>
      </c>
      <c r="D40" s="5"/>
      <c r="E40" s="5"/>
      <c r="F40" s="5" t="s">
        <v>13857</v>
      </c>
      <c r="G40" s="5" t="s">
        <v>6584</v>
      </c>
      <c r="H40" s="5" t="s">
        <v>3</v>
      </c>
      <c r="I40" s="5"/>
      <c r="J40" s="5" t="s">
        <v>13856</v>
      </c>
      <c r="M40" s="1"/>
      <c r="N40"/>
      <c r="O40"/>
      <c r="P40"/>
      <c r="Q40"/>
      <c r="R40"/>
      <c r="S40"/>
      <c r="T40"/>
      <c r="U40"/>
      <c r="V40"/>
      <c r="W40"/>
      <c r="X40"/>
      <c r="Y40"/>
    </row>
    <row r="41" spans="1:25" s="2" customFormat="1" ht="25.5" x14ac:dyDescent="0.2">
      <c r="A41" s="5" t="s">
        <v>13855</v>
      </c>
      <c r="B41" s="5" t="s">
        <v>8584</v>
      </c>
      <c r="C41" s="5">
        <v>20</v>
      </c>
      <c r="D41" s="5"/>
      <c r="E41" s="5"/>
      <c r="F41" s="5" t="s">
        <v>13854</v>
      </c>
      <c r="G41" s="5" t="s">
        <v>6584</v>
      </c>
      <c r="H41" s="5" t="s">
        <v>3</v>
      </c>
      <c r="I41" s="5"/>
      <c r="J41" s="5" t="s">
        <v>13853</v>
      </c>
      <c r="M41" s="1"/>
      <c r="N41"/>
      <c r="O41"/>
      <c r="P41"/>
      <c r="Q41"/>
      <c r="R41"/>
      <c r="S41"/>
      <c r="T41"/>
      <c r="U41"/>
      <c r="V41"/>
      <c r="W41"/>
      <c r="X41"/>
      <c r="Y41"/>
    </row>
    <row r="42" spans="1:25" s="2" customFormat="1" ht="38.25" x14ac:dyDescent="0.2">
      <c r="A42" s="5" t="s">
        <v>13852</v>
      </c>
      <c r="B42" s="5" t="s">
        <v>8584</v>
      </c>
      <c r="C42" s="5">
        <v>21</v>
      </c>
      <c r="D42" s="5"/>
      <c r="E42" s="5"/>
      <c r="F42" s="5" t="s">
        <v>13851</v>
      </c>
      <c r="G42" s="5" t="s">
        <v>6584</v>
      </c>
      <c r="H42" s="5" t="s">
        <v>3</v>
      </c>
      <c r="I42" s="5"/>
      <c r="J42" s="5" t="s">
        <v>13850</v>
      </c>
      <c r="M42" s="1"/>
      <c r="N42"/>
      <c r="O42"/>
      <c r="P42"/>
      <c r="Q42"/>
      <c r="R42"/>
      <c r="S42"/>
      <c r="T42"/>
      <c r="U42"/>
      <c r="V42"/>
      <c r="W42"/>
      <c r="X42"/>
      <c r="Y42"/>
    </row>
    <row r="43" spans="1:25" s="2" customFormat="1" ht="38.25" x14ac:dyDescent="0.2">
      <c r="A43" s="5" t="s">
        <v>13849</v>
      </c>
      <c r="B43" s="5" t="s">
        <v>8584</v>
      </c>
      <c r="C43" s="5">
        <v>22</v>
      </c>
      <c r="D43" s="5"/>
      <c r="E43" s="5"/>
      <c r="F43" s="5" t="s">
        <v>13842</v>
      </c>
      <c r="G43" s="5" t="s">
        <v>6584</v>
      </c>
      <c r="H43" s="5" t="s">
        <v>3</v>
      </c>
      <c r="I43" s="5"/>
      <c r="J43" s="5" t="s">
        <v>13847</v>
      </c>
      <c r="M43" s="1"/>
      <c r="N43"/>
      <c r="O43"/>
      <c r="P43"/>
      <c r="Q43"/>
      <c r="R43"/>
      <c r="S43"/>
      <c r="T43"/>
      <c r="U43"/>
      <c r="V43"/>
      <c r="W43"/>
      <c r="X43"/>
      <c r="Y43"/>
    </row>
    <row r="44" spans="1:25" s="2" customFormat="1" ht="38.25" x14ac:dyDescent="0.2">
      <c r="A44" s="5" t="s">
        <v>13848</v>
      </c>
      <c r="B44" s="5" t="s">
        <v>8584</v>
      </c>
      <c r="C44" s="5">
        <v>23</v>
      </c>
      <c r="D44" s="5"/>
      <c r="E44" s="5"/>
      <c r="F44" s="5" t="s">
        <v>13842</v>
      </c>
      <c r="G44" s="5" t="s">
        <v>6584</v>
      </c>
      <c r="H44" s="5" t="s">
        <v>3</v>
      </c>
      <c r="I44" s="5"/>
      <c r="J44" s="5" t="s">
        <v>13847</v>
      </c>
      <c r="M44" s="1"/>
      <c r="N44"/>
      <c r="O44"/>
      <c r="P44"/>
      <c r="Q44"/>
      <c r="R44"/>
      <c r="S44"/>
      <c r="T44"/>
      <c r="U44"/>
      <c r="V44"/>
      <c r="W44"/>
      <c r="X44"/>
      <c r="Y44"/>
    </row>
    <row r="45" spans="1:25" s="2" customFormat="1" ht="38.25" x14ac:dyDescent="0.2">
      <c r="A45" s="5" t="s">
        <v>13846</v>
      </c>
      <c r="B45" s="5" t="s">
        <v>8584</v>
      </c>
      <c r="C45" s="5">
        <v>24</v>
      </c>
      <c r="D45" s="5"/>
      <c r="E45" s="5"/>
      <c r="F45" s="5" t="s">
        <v>13845</v>
      </c>
      <c r="G45" s="5" t="s">
        <v>148</v>
      </c>
      <c r="H45" s="5" t="s">
        <v>3</v>
      </c>
      <c r="I45" s="5"/>
      <c r="J45" s="5" t="s">
        <v>13844</v>
      </c>
      <c r="M45" s="1"/>
      <c r="N45"/>
      <c r="O45"/>
      <c r="P45"/>
      <c r="Q45"/>
      <c r="R45"/>
      <c r="S45"/>
      <c r="T45"/>
      <c r="U45"/>
      <c r="V45"/>
      <c r="W45"/>
      <c r="X45"/>
      <c r="Y45"/>
    </row>
    <row r="46" spans="1:25" s="2" customFormat="1" ht="25.5" x14ac:dyDescent="0.2">
      <c r="A46" s="5" t="s">
        <v>13843</v>
      </c>
      <c r="B46" s="5" t="s">
        <v>8584</v>
      </c>
      <c r="C46" s="5">
        <v>25</v>
      </c>
      <c r="D46" s="5"/>
      <c r="E46" s="5"/>
      <c r="F46" s="5" t="s">
        <v>13842</v>
      </c>
      <c r="G46" s="5" t="s">
        <v>6584</v>
      </c>
      <c r="H46" s="5" t="s">
        <v>3</v>
      </c>
      <c r="I46" s="5"/>
      <c r="J46" s="5" t="s">
        <v>13841</v>
      </c>
      <c r="M46" s="1"/>
      <c r="N46"/>
      <c r="O46"/>
      <c r="P46"/>
      <c r="Q46"/>
      <c r="R46"/>
      <c r="S46"/>
      <c r="T46"/>
      <c r="U46"/>
      <c r="V46"/>
      <c r="W46"/>
      <c r="X46"/>
      <c r="Y46"/>
    </row>
    <row r="47" spans="1:25" s="2" customFormat="1" ht="25.5" x14ac:dyDescent="0.2">
      <c r="A47" s="5" t="s">
        <v>13840</v>
      </c>
      <c r="B47" s="5" t="s">
        <v>8584</v>
      </c>
      <c r="C47" s="5">
        <v>26</v>
      </c>
      <c r="D47" s="5"/>
      <c r="E47" s="5"/>
      <c r="F47" s="5" t="s">
        <v>13839</v>
      </c>
      <c r="G47" s="5" t="s">
        <v>148</v>
      </c>
      <c r="H47" s="5" t="s">
        <v>3</v>
      </c>
      <c r="I47" s="5"/>
      <c r="J47" s="5" t="s">
        <v>13838</v>
      </c>
      <c r="M47" s="1"/>
      <c r="N47"/>
      <c r="O47"/>
      <c r="P47"/>
      <c r="Q47"/>
      <c r="R47"/>
      <c r="S47"/>
      <c r="T47"/>
      <c r="U47"/>
      <c r="V47"/>
      <c r="W47"/>
      <c r="X47"/>
      <c r="Y47"/>
    </row>
    <row r="48" spans="1:25" s="2" customFormat="1" ht="25.5" x14ac:dyDescent="0.2">
      <c r="A48" s="5" t="s">
        <v>13837</v>
      </c>
      <c r="B48" s="5" t="s">
        <v>8584</v>
      </c>
      <c r="C48" s="5">
        <v>27</v>
      </c>
      <c r="D48" s="5"/>
      <c r="E48" s="5"/>
      <c r="F48" s="5" t="s">
        <v>13836</v>
      </c>
      <c r="G48" s="5" t="s">
        <v>148</v>
      </c>
      <c r="H48" s="5" t="s">
        <v>3</v>
      </c>
      <c r="I48" s="5"/>
      <c r="J48" s="5" t="s">
        <v>13835</v>
      </c>
      <c r="M48" s="1"/>
      <c r="N48"/>
      <c r="O48"/>
      <c r="P48"/>
      <c r="Q48"/>
      <c r="R48"/>
      <c r="S48"/>
      <c r="T48"/>
      <c r="U48"/>
      <c r="V48"/>
      <c r="W48"/>
      <c r="X48"/>
      <c r="Y48"/>
    </row>
    <row r="49" spans="1:25" s="2" customFormat="1" ht="25.5" x14ac:dyDescent="0.2">
      <c r="A49" s="5" t="s">
        <v>13834</v>
      </c>
      <c r="B49" s="5" t="s">
        <v>8584</v>
      </c>
      <c r="C49" s="5">
        <v>28</v>
      </c>
      <c r="D49" s="5"/>
      <c r="E49" s="5"/>
      <c r="F49" s="5" t="s">
        <v>5780</v>
      </c>
      <c r="G49" s="5" t="s">
        <v>4</v>
      </c>
      <c r="H49" s="5" t="s">
        <v>3</v>
      </c>
      <c r="I49" s="5"/>
      <c r="J49" s="5" t="s">
        <v>13833</v>
      </c>
      <c r="M49" s="1"/>
      <c r="N49"/>
      <c r="O49"/>
      <c r="P49"/>
      <c r="Q49"/>
      <c r="R49"/>
      <c r="S49"/>
      <c r="T49"/>
      <c r="U49"/>
      <c r="V49"/>
      <c r="W49"/>
      <c r="X49"/>
      <c r="Y49"/>
    </row>
    <row r="50" spans="1:25" s="2" customFormat="1" x14ac:dyDescent="0.2">
      <c r="A50" s="5" t="s">
        <v>10977</v>
      </c>
      <c r="B50" s="5" t="s">
        <v>8584</v>
      </c>
      <c r="C50" s="5">
        <v>29</v>
      </c>
      <c r="D50" s="5"/>
      <c r="E50" s="5" t="s">
        <v>6367</v>
      </c>
      <c r="F50" s="5" t="s">
        <v>8584</v>
      </c>
      <c r="G50" s="5" t="s">
        <v>105</v>
      </c>
      <c r="H50" s="5" t="s">
        <v>3</v>
      </c>
      <c r="I50" s="5"/>
      <c r="J50" s="5" t="s">
        <v>13832</v>
      </c>
      <c r="M50" s="1"/>
      <c r="N50"/>
      <c r="O50"/>
      <c r="P50"/>
      <c r="Q50"/>
      <c r="R50"/>
      <c r="S50"/>
      <c r="T50"/>
      <c r="U50"/>
      <c r="V50"/>
      <c r="W50"/>
      <c r="X50"/>
      <c r="Y50"/>
    </row>
    <row r="51" spans="1:25" s="2" customFormat="1" x14ac:dyDescent="0.2">
      <c r="A51" s="5" t="s">
        <v>11507</v>
      </c>
      <c r="B51" s="5" t="s">
        <v>8584</v>
      </c>
      <c r="C51" s="5">
        <v>29</v>
      </c>
      <c r="D51" s="5"/>
      <c r="E51" s="5"/>
      <c r="F51" s="5" t="s">
        <v>11505</v>
      </c>
      <c r="G51" s="5" t="s">
        <v>4</v>
      </c>
      <c r="H51" s="5" t="s">
        <v>3</v>
      </c>
      <c r="I51" s="5"/>
      <c r="J51" s="5" t="s">
        <v>13831</v>
      </c>
      <c r="M51" s="1"/>
      <c r="N51"/>
      <c r="O51"/>
      <c r="P51"/>
      <c r="Q51"/>
      <c r="R51"/>
      <c r="S51"/>
      <c r="T51"/>
      <c r="U51"/>
      <c r="V51"/>
      <c r="W51"/>
      <c r="X51"/>
      <c r="Y51"/>
    </row>
    <row r="52" spans="1:25" s="2" customFormat="1" x14ac:dyDescent="0.2">
      <c r="A52" s="5" t="s">
        <v>13830</v>
      </c>
      <c r="B52" s="5" t="s">
        <v>8584</v>
      </c>
      <c r="C52" s="5">
        <v>30</v>
      </c>
      <c r="D52" s="5"/>
      <c r="E52" s="5" t="s">
        <v>138</v>
      </c>
      <c r="F52" s="5" t="s">
        <v>13829</v>
      </c>
      <c r="G52" s="5" t="s">
        <v>173</v>
      </c>
      <c r="H52" s="5" t="s">
        <v>3</v>
      </c>
      <c r="I52" s="5"/>
      <c r="J52" s="5" t="s">
        <v>13828</v>
      </c>
      <c r="M52" s="1"/>
      <c r="N52"/>
      <c r="O52"/>
      <c r="P52"/>
      <c r="Q52"/>
      <c r="R52"/>
      <c r="S52"/>
      <c r="T52"/>
      <c r="U52"/>
      <c r="V52"/>
      <c r="W52"/>
      <c r="X52"/>
      <c r="Y52"/>
    </row>
    <row r="53" spans="1:25" s="2" customFormat="1" x14ac:dyDescent="0.2">
      <c r="A53" s="5" t="s">
        <v>13827</v>
      </c>
      <c r="B53" s="5" t="s">
        <v>8584</v>
      </c>
      <c r="C53" s="5">
        <v>30</v>
      </c>
      <c r="D53" s="5"/>
      <c r="E53" s="5"/>
      <c r="F53" s="5" t="s">
        <v>13826</v>
      </c>
      <c r="G53" s="5" t="s">
        <v>6584</v>
      </c>
      <c r="H53" s="5" t="s">
        <v>3</v>
      </c>
      <c r="I53" s="5"/>
      <c r="J53" s="5" t="s">
        <v>13825</v>
      </c>
      <c r="M53" s="1"/>
      <c r="N53"/>
      <c r="O53"/>
      <c r="P53"/>
      <c r="Q53"/>
      <c r="R53"/>
      <c r="S53"/>
      <c r="T53"/>
      <c r="U53"/>
      <c r="V53"/>
      <c r="W53"/>
      <c r="X53"/>
      <c r="Y53"/>
    </row>
    <row r="54" spans="1:25" s="2" customFormat="1" ht="25.5" x14ac:dyDescent="0.2">
      <c r="A54" s="5" t="s">
        <v>11441</v>
      </c>
      <c r="B54" s="5" t="s">
        <v>8584</v>
      </c>
      <c r="C54" s="5">
        <v>31</v>
      </c>
      <c r="D54" s="5"/>
      <c r="E54" s="5"/>
      <c r="F54" s="5" t="s">
        <v>13824</v>
      </c>
      <c r="G54" s="5" t="s">
        <v>105</v>
      </c>
      <c r="H54" s="5" t="s">
        <v>3</v>
      </c>
      <c r="I54" s="5"/>
      <c r="J54" s="5" t="s">
        <v>13823</v>
      </c>
      <c r="M54" s="1"/>
      <c r="N54"/>
      <c r="O54"/>
      <c r="P54"/>
      <c r="Q54"/>
      <c r="R54"/>
      <c r="S54"/>
      <c r="T54"/>
      <c r="U54"/>
      <c r="V54"/>
      <c r="W54"/>
      <c r="X54"/>
      <c r="Y54"/>
    </row>
    <row r="55" spans="1:25" s="2" customFormat="1" x14ac:dyDescent="0.2">
      <c r="A55" s="5" t="s">
        <v>257</v>
      </c>
      <c r="B55" s="5" t="s">
        <v>8584</v>
      </c>
      <c r="C55" s="5">
        <v>32</v>
      </c>
      <c r="D55" s="5"/>
      <c r="E55" s="5"/>
      <c r="F55" s="5" t="s">
        <v>11428</v>
      </c>
      <c r="G55" s="5" t="s">
        <v>896</v>
      </c>
      <c r="H55" s="5" t="s">
        <v>137</v>
      </c>
      <c r="I55" s="5" t="s">
        <v>12305</v>
      </c>
      <c r="J55" s="5" t="s">
        <v>11427</v>
      </c>
      <c r="M55" s="1"/>
      <c r="N55"/>
      <c r="O55"/>
      <c r="P55"/>
      <c r="Q55"/>
      <c r="R55"/>
      <c r="S55"/>
      <c r="T55"/>
      <c r="U55"/>
      <c r="V55"/>
      <c r="W55"/>
      <c r="X55"/>
      <c r="Y55"/>
    </row>
    <row r="56" spans="1:25" s="2" customFormat="1" x14ac:dyDescent="0.2">
      <c r="A56" s="5" t="s">
        <v>13822</v>
      </c>
      <c r="B56" s="5" t="s">
        <v>8584</v>
      </c>
      <c r="C56" s="5">
        <v>33</v>
      </c>
      <c r="D56" s="5"/>
      <c r="E56" s="5"/>
      <c r="F56" s="5" t="s">
        <v>55</v>
      </c>
      <c r="G56" s="5" t="s">
        <v>207</v>
      </c>
      <c r="H56" s="5" t="s">
        <v>137</v>
      </c>
      <c r="I56" s="5" t="s">
        <v>12305</v>
      </c>
      <c r="J56" s="5" t="s">
        <v>13821</v>
      </c>
      <c r="M56" s="1"/>
      <c r="N56"/>
      <c r="O56"/>
      <c r="P56"/>
      <c r="Q56"/>
      <c r="R56"/>
      <c r="S56"/>
      <c r="T56"/>
      <c r="U56"/>
      <c r="V56"/>
      <c r="W56"/>
      <c r="X56"/>
      <c r="Y56"/>
    </row>
    <row r="57" spans="1:25" s="2" customFormat="1" x14ac:dyDescent="0.2">
      <c r="A57" s="5" t="s">
        <v>13820</v>
      </c>
      <c r="B57" s="5" t="s">
        <v>8584</v>
      </c>
      <c r="C57" s="5">
        <v>33</v>
      </c>
      <c r="D57" s="5"/>
      <c r="E57" s="5"/>
      <c r="F57" s="5" t="s">
        <v>11428</v>
      </c>
      <c r="G57" s="5" t="s">
        <v>207</v>
      </c>
      <c r="H57" s="5" t="s">
        <v>137</v>
      </c>
      <c r="I57" s="5" t="s">
        <v>12305</v>
      </c>
      <c r="J57" s="5" t="s">
        <v>13819</v>
      </c>
      <c r="M57" s="1"/>
      <c r="N57"/>
      <c r="O57"/>
      <c r="P57"/>
      <c r="Q57"/>
      <c r="R57"/>
      <c r="S57"/>
      <c r="T57"/>
      <c r="U57"/>
      <c r="V57"/>
      <c r="W57"/>
      <c r="X57"/>
      <c r="Y57"/>
    </row>
    <row r="58" spans="1:25" s="2" customFormat="1" x14ac:dyDescent="0.2">
      <c r="A58" s="5" t="s">
        <v>13818</v>
      </c>
      <c r="B58" s="5" t="s">
        <v>8584</v>
      </c>
      <c r="C58" s="5">
        <v>34</v>
      </c>
      <c r="D58" s="5"/>
      <c r="E58" s="5"/>
      <c r="F58" s="5" t="s">
        <v>13817</v>
      </c>
      <c r="G58" s="5" t="s">
        <v>207</v>
      </c>
      <c r="H58" s="5" t="s">
        <v>137</v>
      </c>
      <c r="I58" s="5" t="s">
        <v>12305</v>
      </c>
      <c r="J58" s="5" t="s">
        <v>13816</v>
      </c>
      <c r="M58" s="1"/>
      <c r="N58"/>
      <c r="O58"/>
      <c r="P58"/>
      <c r="Q58"/>
      <c r="R58"/>
      <c r="S58"/>
      <c r="T58"/>
      <c r="U58"/>
      <c r="V58"/>
      <c r="W58"/>
      <c r="X58"/>
      <c r="Y58"/>
    </row>
    <row r="59" spans="1:25" s="2" customFormat="1" x14ac:dyDescent="0.2">
      <c r="A59" s="5" t="s">
        <v>13815</v>
      </c>
      <c r="B59" s="5" t="s">
        <v>8584</v>
      </c>
      <c r="C59" s="5">
        <v>35</v>
      </c>
      <c r="D59" s="5"/>
      <c r="E59" s="5"/>
      <c r="F59" s="5" t="s">
        <v>13814</v>
      </c>
      <c r="G59" s="5" t="s">
        <v>195</v>
      </c>
      <c r="H59" s="5" t="s">
        <v>137</v>
      </c>
      <c r="I59" s="5" t="s">
        <v>12305</v>
      </c>
      <c r="J59" s="5" t="s">
        <v>13813</v>
      </c>
      <c r="M59" s="1"/>
      <c r="N59"/>
      <c r="O59"/>
      <c r="P59"/>
      <c r="Q59"/>
      <c r="R59"/>
      <c r="S59"/>
      <c r="T59"/>
      <c r="U59"/>
      <c r="V59"/>
      <c r="W59"/>
      <c r="X59"/>
      <c r="Y59"/>
    </row>
    <row r="60" spans="1:25" s="2" customFormat="1" x14ac:dyDescent="0.2">
      <c r="A60" s="5" t="s">
        <v>13812</v>
      </c>
      <c r="B60" s="5" t="s">
        <v>8584</v>
      </c>
      <c r="C60" s="5">
        <v>36</v>
      </c>
      <c r="D60" s="5"/>
      <c r="E60" s="5"/>
      <c r="F60" s="5" t="s">
        <v>10421</v>
      </c>
      <c r="G60" s="5" t="s">
        <v>195</v>
      </c>
      <c r="H60" s="5" t="s">
        <v>137</v>
      </c>
      <c r="I60" s="5" t="s">
        <v>12305</v>
      </c>
      <c r="J60" s="5" t="s">
        <v>13811</v>
      </c>
      <c r="M60" s="1"/>
      <c r="N60"/>
      <c r="O60"/>
      <c r="P60"/>
      <c r="Q60"/>
      <c r="R60"/>
      <c r="S60"/>
      <c r="T60"/>
      <c r="U60"/>
      <c r="V60"/>
      <c r="W60"/>
      <c r="X60"/>
      <c r="Y60"/>
    </row>
    <row r="61" spans="1:25" s="2" customFormat="1" x14ac:dyDescent="0.2">
      <c r="A61" s="5" t="s">
        <v>13810</v>
      </c>
      <c r="B61" s="5" t="s">
        <v>8584</v>
      </c>
      <c r="C61" s="5">
        <v>37</v>
      </c>
      <c r="D61" s="5"/>
      <c r="E61" s="5"/>
      <c r="F61" s="5" t="s">
        <v>10572</v>
      </c>
      <c r="G61" s="5" t="s">
        <v>173</v>
      </c>
      <c r="H61" s="5" t="s">
        <v>3</v>
      </c>
      <c r="I61" s="5"/>
      <c r="J61" s="5" t="s">
        <v>10571</v>
      </c>
      <c r="M61" s="1"/>
      <c r="N61"/>
      <c r="O61"/>
      <c r="P61"/>
      <c r="Q61"/>
      <c r="R61"/>
      <c r="S61"/>
      <c r="T61"/>
      <c r="U61"/>
      <c r="V61"/>
      <c r="W61"/>
      <c r="X61"/>
      <c r="Y61"/>
    </row>
    <row r="62" spans="1:25" s="2" customFormat="1" x14ac:dyDescent="0.2">
      <c r="A62" s="5" t="s">
        <v>13809</v>
      </c>
      <c r="B62" s="5" t="s">
        <v>8584</v>
      </c>
      <c r="C62" s="5">
        <v>37</v>
      </c>
      <c r="D62" s="5"/>
      <c r="E62" s="5"/>
      <c r="F62" s="5" t="s">
        <v>13808</v>
      </c>
      <c r="G62" s="5" t="s">
        <v>173</v>
      </c>
      <c r="H62" s="5" t="s">
        <v>3</v>
      </c>
      <c r="I62" s="5"/>
      <c r="J62" s="5" t="s">
        <v>13807</v>
      </c>
      <c r="M62" s="1"/>
      <c r="N62"/>
      <c r="O62"/>
      <c r="P62"/>
      <c r="Q62"/>
      <c r="R62"/>
      <c r="S62"/>
      <c r="T62"/>
      <c r="U62"/>
      <c r="V62"/>
      <c r="W62"/>
      <c r="X62"/>
      <c r="Y62"/>
    </row>
    <row r="63" spans="1:25" s="2" customFormat="1" x14ac:dyDescent="0.2">
      <c r="A63" s="5" t="s">
        <v>9527</v>
      </c>
      <c r="B63" s="5" t="s">
        <v>8584</v>
      </c>
      <c r="C63" s="5">
        <v>38</v>
      </c>
      <c r="D63" s="5"/>
      <c r="E63" s="5"/>
      <c r="F63" s="5" t="s">
        <v>7949</v>
      </c>
      <c r="G63" s="5" t="s">
        <v>80</v>
      </c>
      <c r="H63" s="5" t="s">
        <v>3</v>
      </c>
      <c r="I63" s="5"/>
      <c r="J63" s="5" t="s">
        <v>13806</v>
      </c>
      <c r="M63" s="1"/>
      <c r="N63"/>
      <c r="O63"/>
      <c r="P63"/>
      <c r="Q63"/>
      <c r="R63"/>
      <c r="S63"/>
      <c r="T63"/>
      <c r="U63"/>
      <c r="V63"/>
      <c r="W63"/>
      <c r="X63"/>
      <c r="Y63"/>
    </row>
    <row r="64" spans="1:25" s="2" customFormat="1" x14ac:dyDescent="0.2">
      <c r="A64" s="5" t="s">
        <v>7573</v>
      </c>
      <c r="B64" s="5" t="s">
        <v>8584</v>
      </c>
      <c r="C64" s="5">
        <v>38</v>
      </c>
      <c r="D64" s="5"/>
      <c r="E64" s="5"/>
      <c r="F64" s="5" t="s">
        <v>10873</v>
      </c>
      <c r="G64" s="5" t="s">
        <v>80</v>
      </c>
      <c r="H64" s="5" t="s">
        <v>3</v>
      </c>
      <c r="I64" s="5"/>
      <c r="J64" s="5" t="s">
        <v>13805</v>
      </c>
      <c r="M64" s="1"/>
      <c r="N64"/>
      <c r="O64"/>
      <c r="P64"/>
      <c r="Q64"/>
      <c r="R64"/>
      <c r="S64"/>
      <c r="T64"/>
      <c r="U64"/>
      <c r="V64"/>
      <c r="W64"/>
      <c r="X64"/>
      <c r="Y64"/>
    </row>
    <row r="65" spans="1:25" s="2" customFormat="1" x14ac:dyDescent="0.2">
      <c r="A65" s="5" t="s">
        <v>11794</v>
      </c>
      <c r="B65" s="5" t="s">
        <v>8584</v>
      </c>
      <c r="C65" s="5">
        <v>39</v>
      </c>
      <c r="D65" s="5"/>
      <c r="E65" s="5"/>
      <c r="F65" s="5" t="s">
        <v>13804</v>
      </c>
      <c r="G65" s="5" t="s">
        <v>80</v>
      </c>
      <c r="H65" s="5" t="s">
        <v>3</v>
      </c>
      <c r="I65" s="5"/>
      <c r="J65" s="5" t="s">
        <v>13803</v>
      </c>
      <c r="M65" s="1"/>
      <c r="N65"/>
      <c r="O65"/>
      <c r="P65"/>
      <c r="Q65"/>
      <c r="R65"/>
      <c r="S65"/>
      <c r="T65"/>
      <c r="U65"/>
      <c r="V65"/>
      <c r="W65"/>
      <c r="X65"/>
      <c r="Y65"/>
    </row>
    <row r="66" spans="1:25" s="2" customFormat="1" x14ac:dyDescent="0.2">
      <c r="A66" s="5" t="s">
        <v>13802</v>
      </c>
      <c r="B66" s="5" t="s">
        <v>8584</v>
      </c>
      <c r="C66" s="5">
        <v>40</v>
      </c>
      <c r="D66" s="5"/>
      <c r="E66" s="5" t="s">
        <v>138</v>
      </c>
      <c r="F66" s="5" t="s">
        <v>13801</v>
      </c>
      <c r="G66" s="5" t="s">
        <v>173</v>
      </c>
      <c r="H66" s="5" t="s">
        <v>3</v>
      </c>
      <c r="I66" s="5"/>
      <c r="J66" s="5" t="s">
        <v>13798</v>
      </c>
      <c r="M66" s="1"/>
      <c r="N66"/>
      <c r="O66"/>
      <c r="P66"/>
      <c r="Q66"/>
      <c r="R66"/>
      <c r="S66"/>
      <c r="T66"/>
      <c r="U66"/>
      <c r="V66"/>
      <c r="W66"/>
      <c r="X66"/>
      <c r="Y66"/>
    </row>
    <row r="67" spans="1:25" s="2" customFormat="1" x14ac:dyDescent="0.2">
      <c r="A67" s="5" t="s">
        <v>13800</v>
      </c>
      <c r="B67" s="5" t="s">
        <v>8584</v>
      </c>
      <c r="C67" s="5">
        <v>40</v>
      </c>
      <c r="D67" s="5"/>
      <c r="E67" s="5" t="s">
        <v>138</v>
      </c>
      <c r="F67" s="5" t="s">
        <v>13799</v>
      </c>
      <c r="G67" s="5" t="s">
        <v>173</v>
      </c>
      <c r="H67" s="5" t="s">
        <v>3</v>
      </c>
      <c r="I67" s="5"/>
      <c r="J67" s="5" t="s">
        <v>13798</v>
      </c>
      <c r="M67" s="1"/>
      <c r="N67"/>
      <c r="O67"/>
      <c r="P67"/>
      <c r="Q67"/>
      <c r="R67"/>
      <c r="S67"/>
      <c r="T67"/>
      <c r="U67"/>
      <c r="V67"/>
      <c r="W67"/>
      <c r="X67"/>
      <c r="Y67"/>
    </row>
    <row r="68" spans="1:25" s="2" customFormat="1" x14ac:dyDescent="0.2">
      <c r="A68" s="5" t="s">
        <v>8039</v>
      </c>
      <c r="B68" s="5" t="s">
        <v>8584</v>
      </c>
      <c r="C68" s="5">
        <v>41</v>
      </c>
      <c r="D68" s="5"/>
      <c r="E68" s="5"/>
      <c r="F68" s="5" t="s">
        <v>13210</v>
      </c>
      <c r="G68" s="5" t="s">
        <v>118</v>
      </c>
      <c r="H68" s="5" t="s">
        <v>3</v>
      </c>
      <c r="I68" s="5"/>
      <c r="J68" s="5" t="s">
        <v>13797</v>
      </c>
      <c r="M68" s="1"/>
      <c r="N68"/>
      <c r="O68"/>
      <c r="P68"/>
      <c r="Q68"/>
      <c r="R68"/>
      <c r="S68"/>
      <c r="T68"/>
      <c r="U68"/>
      <c r="V68"/>
      <c r="W68"/>
      <c r="X68"/>
      <c r="Y68"/>
    </row>
    <row r="69" spans="1:25" s="2" customFormat="1" x14ac:dyDescent="0.2">
      <c r="A69" s="5" t="s">
        <v>13796</v>
      </c>
      <c r="B69" s="5" t="s">
        <v>8584</v>
      </c>
      <c r="C69" s="5">
        <v>42</v>
      </c>
      <c r="D69" s="5"/>
      <c r="E69" s="5" t="s">
        <v>368</v>
      </c>
      <c r="F69" s="5" t="s">
        <v>10568</v>
      </c>
      <c r="G69" s="5" t="s">
        <v>195</v>
      </c>
      <c r="H69" s="5" t="s">
        <v>3</v>
      </c>
      <c r="I69" s="5"/>
      <c r="J69" s="5" t="s">
        <v>13795</v>
      </c>
      <c r="M69" s="1"/>
      <c r="N69"/>
      <c r="O69"/>
      <c r="P69"/>
      <c r="Q69"/>
      <c r="R69"/>
      <c r="S69"/>
      <c r="T69"/>
      <c r="U69"/>
      <c r="V69"/>
      <c r="W69"/>
      <c r="X69"/>
      <c r="Y69"/>
    </row>
    <row r="70" spans="1:25" s="2" customFormat="1" x14ac:dyDescent="0.2">
      <c r="A70" s="5" t="s">
        <v>11498</v>
      </c>
      <c r="B70" s="5" t="s">
        <v>8584</v>
      </c>
      <c r="C70" s="5">
        <v>43</v>
      </c>
      <c r="D70" s="5"/>
      <c r="E70" s="5"/>
      <c r="F70" s="5" t="s">
        <v>11497</v>
      </c>
      <c r="G70" s="5" t="s">
        <v>105</v>
      </c>
      <c r="H70" s="5" t="s">
        <v>3</v>
      </c>
      <c r="I70" s="5"/>
      <c r="J70" s="5" t="s">
        <v>13794</v>
      </c>
      <c r="M70" s="1"/>
      <c r="N70"/>
      <c r="O70"/>
      <c r="P70"/>
      <c r="Q70"/>
      <c r="R70"/>
      <c r="S70"/>
      <c r="T70"/>
      <c r="U70"/>
      <c r="V70"/>
      <c r="W70"/>
      <c r="X70"/>
      <c r="Y70"/>
    </row>
    <row r="71" spans="1:25" s="2" customFormat="1" x14ac:dyDescent="0.2">
      <c r="A71" s="5" t="s">
        <v>13793</v>
      </c>
      <c r="B71" s="5" t="s">
        <v>8584</v>
      </c>
      <c r="C71" s="5">
        <v>44</v>
      </c>
      <c r="D71" s="5"/>
      <c r="E71" s="5"/>
      <c r="F71" s="5" t="s">
        <v>13792</v>
      </c>
      <c r="G71" s="5" t="s">
        <v>173</v>
      </c>
      <c r="H71" s="5" t="s">
        <v>3</v>
      </c>
      <c r="I71" s="5"/>
      <c r="J71" s="5" t="s">
        <v>13791</v>
      </c>
      <c r="M71" s="1"/>
      <c r="N71"/>
      <c r="O71"/>
      <c r="P71"/>
      <c r="Q71"/>
      <c r="R71"/>
      <c r="S71"/>
      <c r="T71"/>
      <c r="U71"/>
      <c r="V71"/>
      <c r="W71"/>
      <c r="X71"/>
      <c r="Y71"/>
    </row>
    <row r="72" spans="1:25" s="2" customFormat="1" x14ac:dyDescent="0.2">
      <c r="A72" s="5" t="s">
        <v>13790</v>
      </c>
      <c r="B72" s="5" t="s">
        <v>8584</v>
      </c>
      <c r="C72" s="5">
        <v>45</v>
      </c>
      <c r="D72" s="5"/>
      <c r="E72" s="5"/>
      <c r="F72" s="5" t="s">
        <v>13789</v>
      </c>
      <c r="G72" s="5" t="s">
        <v>80</v>
      </c>
      <c r="H72" s="5" t="s">
        <v>3</v>
      </c>
      <c r="I72" s="5"/>
      <c r="J72" s="5" t="s">
        <v>13788</v>
      </c>
      <c r="M72" s="1"/>
      <c r="N72"/>
      <c r="O72"/>
      <c r="P72"/>
      <c r="Q72"/>
      <c r="R72"/>
      <c r="S72"/>
      <c r="T72"/>
      <c r="U72"/>
      <c r="V72"/>
      <c r="W72"/>
      <c r="X72"/>
      <c r="Y72"/>
    </row>
    <row r="73" spans="1:25" s="2" customFormat="1" x14ac:dyDescent="0.2">
      <c r="A73" s="5" t="s">
        <v>13787</v>
      </c>
      <c r="B73" s="5" t="s">
        <v>8584</v>
      </c>
      <c r="C73" s="5">
        <v>46</v>
      </c>
      <c r="D73" s="5"/>
      <c r="E73" s="5"/>
      <c r="F73" s="5" t="s">
        <v>13786</v>
      </c>
      <c r="G73" s="5" t="s">
        <v>105</v>
      </c>
      <c r="H73" s="5" t="s">
        <v>3</v>
      </c>
      <c r="I73" s="5"/>
      <c r="J73" s="5" t="s">
        <v>13785</v>
      </c>
      <c r="M73" s="1"/>
      <c r="N73"/>
      <c r="O73"/>
      <c r="P73"/>
      <c r="Q73"/>
      <c r="R73"/>
      <c r="S73"/>
      <c r="T73"/>
      <c r="U73"/>
      <c r="V73"/>
      <c r="W73"/>
      <c r="X73"/>
      <c r="Y73"/>
    </row>
    <row r="74" spans="1:25" s="2" customFormat="1" x14ac:dyDescent="0.2">
      <c r="A74" s="5" t="s">
        <v>11416</v>
      </c>
      <c r="B74" s="5" t="s">
        <v>8584</v>
      </c>
      <c r="C74" s="5">
        <v>47</v>
      </c>
      <c r="D74" s="5"/>
      <c r="E74" s="5"/>
      <c r="F74" s="5" t="s">
        <v>11415</v>
      </c>
      <c r="G74" s="5" t="s">
        <v>105</v>
      </c>
      <c r="H74" s="5" t="s">
        <v>3</v>
      </c>
      <c r="I74" s="5"/>
      <c r="J74" s="5" t="s">
        <v>11415</v>
      </c>
      <c r="M74" s="1"/>
      <c r="N74"/>
      <c r="O74"/>
      <c r="P74"/>
      <c r="Q74"/>
      <c r="R74"/>
      <c r="S74"/>
      <c r="T74"/>
      <c r="U74"/>
      <c r="V74"/>
      <c r="W74"/>
      <c r="X74"/>
      <c r="Y74"/>
    </row>
    <row r="75" spans="1:25" s="2" customFormat="1" x14ac:dyDescent="0.2">
      <c r="A75" s="5" t="s">
        <v>372</v>
      </c>
      <c r="B75" s="5" t="s">
        <v>8584</v>
      </c>
      <c r="C75" s="5">
        <v>48</v>
      </c>
      <c r="D75" s="5"/>
      <c r="E75" s="5"/>
      <c r="F75" s="5" t="s">
        <v>372</v>
      </c>
      <c r="G75" s="5" t="s">
        <v>207</v>
      </c>
      <c r="H75" s="5" t="s">
        <v>3</v>
      </c>
      <c r="I75" s="5"/>
      <c r="J75" s="5" t="s">
        <v>9228</v>
      </c>
      <c r="M75" s="1"/>
      <c r="N75"/>
      <c r="O75"/>
      <c r="P75"/>
      <c r="Q75"/>
      <c r="R75"/>
      <c r="S75"/>
      <c r="T75"/>
      <c r="U75"/>
      <c r="V75"/>
      <c r="W75"/>
      <c r="X75"/>
      <c r="Y75"/>
    </row>
    <row r="76" spans="1:25" s="2" customFormat="1" ht="25.5" x14ac:dyDescent="0.2">
      <c r="A76" s="5" t="s">
        <v>9227</v>
      </c>
      <c r="B76" s="5" t="s">
        <v>8584</v>
      </c>
      <c r="C76" s="5">
        <v>49</v>
      </c>
      <c r="D76" s="5"/>
      <c r="E76" s="5"/>
      <c r="F76" s="5" t="s">
        <v>9227</v>
      </c>
      <c r="G76" s="5" t="s">
        <v>229</v>
      </c>
      <c r="H76" s="5" t="s">
        <v>3</v>
      </c>
      <c r="I76" s="5"/>
      <c r="J76" s="5" t="s">
        <v>13784</v>
      </c>
      <c r="M76" s="1"/>
      <c r="N76"/>
      <c r="O76"/>
      <c r="P76"/>
      <c r="Q76"/>
      <c r="R76"/>
      <c r="S76"/>
      <c r="T76"/>
      <c r="U76"/>
      <c r="V76"/>
      <c r="W76"/>
      <c r="X76"/>
      <c r="Y76"/>
    </row>
    <row r="77" spans="1:25" s="2" customFormat="1" ht="25.5" x14ac:dyDescent="0.2">
      <c r="A77" s="5" t="s">
        <v>13783</v>
      </c>
      <c r="B77" s="5" t="s">
        <v>8584</v>
      </c>
      <c r="C77" s="5">
        <v>50</v>
      </c>
      <c r="D77" s="5"/>
      <c r="E77" s="5"/>
      <c r="F77" s="5" t="s">
        <v>13783</v>
      </c>
      <c r="G77" s="5" t="s">
        <v>315</v>
      </c>
      <c r="H77" s="5" t="s">
        <v>137</v>
      </c>
      <c r="I77" s="5" t="s">
        <v>13783</v>
      </c>
      <c r="J77" s="5" t="s">
        <v>13783</v>
      </c>
      <c r="M77" s="1"/>
      <c r="N77"/>
      <c r="O77"/>
      <c r="P77"/>
      <c r="Q77"/>
      <c r="R77"/>
      <c r="S77"/>
      <c r="T77"/>
      <c r="U77"/>
      <c r="V77"/>
      <c r="W77"/>
      <c r="X77"/>
      <c r="Y77"/>
    </row>
    <row r="78" spans="1:25" s="2" customFormat="1" x14ac:dyDescent="0.2">
      <c r="A78" s="5" t="s">
        <v>9481</v>
      </c>
      <c r="B78" s="5" t="s">
        <v>8584</v>
      </c>
      <c r="C78" s="5">
        <v>51</v>
      </c>
      <c r="D78" s="5"/>
      <c r="E78" s="5"/>
      <c r="F78" s="5" t="s">
        <v>9472</v>
      </c>
      <c r="G78" s="5" t="s">
        <v>105</v>
      </c>
      <c r="H78" s="5" t="s">
        <v>3</v>
      </c>
      <c r="I78" s="5"/>
      <c r="J78" s="5" t="s">
        <v>13782</v>
      </c>
      <c r="M78" s="1"/>
      <c r="N78"/>
      <c r="O78"/>
      <c r="P78"/>
      <c r="Q78"/>
      <c r="R78"/>
      <c r="S78"/>
      <c r="T78"/>
      <c r="U78"/>
      <c r="V78"/>
      <c r="W78"/>
      <c r="X78"/>
      <c r="Y78"/>
    </row>
    <row r="79" spans="1:25" s="2" customFormat="1" x14ac:dyDescent="0.2">
      <c r="A79" s="5" t="s">
        <v>13781</v>
      </c>
      <c r="B79" s="5" t="s">
        <v>8584</v>
      </c>
      <c r="C79" s="5">
        <v>52</v>
      </c>
      <c r="D79" s="5"/>
      <c r="E79" s="5"/>
      <c r="F79" s="5" t="s">
        <v>13101</v>
      </c>
      <c r="G79" s="5" t="s">
        <v>173</v>
      </c>
      <c r="H79" s="5" t="s">
        <v>3</v>
      </c>
      <c r="I79" s="5"/>
      <c r="J79" s="5" t="s">
        <v>13780</v>
      </c>
      <c r="M79" s="1"/>
      <c r="N79"/>
      <c r="O79"/>
      <c r="P79"/>
      <c r="Q79"/>
      <c r="R79"/>
      <c r="S79"/>
      <c r="T79"/>
      <c r="U79"/>
      <c r="V79"/>
      <c r="W79"/>
      <c r="X79"/>
      <c r="Y79"/>
    </row>
    <row r="80" spans="1:25" s="2" customFormat="1" x14ac:dyDescent="0.2">
      <c r="A80" s="5" t="s">
        <v>13779</v>
      </c>
      <c r="B80" s="5" t="s">
        <v>8584</v>
      </c>
      <c r="C80" s="5">
        <v>53</v>
      </c>
      <c r="D80" s="5"/>
      <c r="E80" s="5"/>
      <c r="F80" s="5" t="s">
        <v>13778</v>
      </c>
      <c r="G80" s="5" t="s">
        <v>105</v>
      </c>
      <c r="H80" s="5" t="s">
        <v>3</v>
      </c>
      <c r="I80" s="5"/>
      <c r="J80" s="5" t="s">
        <v>13777</v>
      </c>
      <c r="M80" s="1"/>
      <c r="N80"/>
      <c r="O80"/>
      <c r="P80"/>
      <c r="Q80"/>
      <c r="R80"/>
      <c r="S80"/>
      <c r="T80"/>
      <c r="U80"/>
      <c r="V80"/>
      <c r="W80"/>
      <c r="X80"/>
      <c r="Y80"/>
    </row>
    <row r="81" spans="1:25" s="2" customFormat="1" ht="25.5" x14ac:dyDescent="0.2">
      <c r="A81" s="5" t="s">
        <v>13776</v>
      </c>
      <c r="B81" s="5" t="s">
        <v>8584</v>
      </c>
      <c r="C81" s="5">
        <v>54</v>
      </c>
      <c r="D81" s="5"/>
      <c r="E81" s="5"/>
      <c r="F81" s="5" t="s">
        <v>13775</v>
      </c>
      <c r="G81" s="5" t="s">
        <v>229</v>
      </c>
      <c r="H81" s="5" t="s">
        <v>3</v>
      </c>
      <c r="I81" s="5"/>
      <c r="J81" s="5" t="s">
        <v>13774</v>
      </c>
      <c r="M81" s="1"/>
      <c r="N81"/>
      <c r="O81"/>
      <c r="P81"/>
      <c r="Q81"/>
      <c r="R81"/>
      <c r="S81"/>
      <c r="T81"/>
      <c r="U81"/>
      <c r="V81"/>
      <c r="W81"/>
      <c r="X81"/>
      <c r="Y81"/>
    </row>
    <row r="82" spans="1:25" s="2" customFormat="1" x14ac:dyDescent="0.2">
      <c r="A82" s="5" t="s">
        <v>11331</v>
      </c>
      <c r="B82" s="5" t="s">
        <v>8584</v>
      </c>
      <c r="C82" s="5">
        <v>55</v>
      </c>
      <c r="D82" s="5"/>
      <c r="E82" s="5"/>
      <c r="F82" s="5" t="s">
        <v>7980</v>
      </c>
      <c r="G82" s="5" t="s">
        <v>207</v>
      </c>
      <c r="H82" s="5" t="s">
        <v>3</v>
      </c>
      <c r="I82" s="5"/>
      <c r="J82" s="5" t="s">
        <v>13773</v>
      </c>
      <c r="M82" s="1"/>
      <c r="N82"/>
      <c r="O82"/>
      <c r="P82"/>
      <c r="Q82"/>
      <c r="R82"/>
      <c r="S82"/>
      <c r="T82"/>
      <c r="U82"/>
      <c r="V82"/>
      <c r="W82"/>
      <c r="X82"/>
      <c r="Y82"/>
    </row>
    <row r="83" spans="1:25" s="2" customFormat="1" ht="38.25" x14ac:dyDescent="0.2">
      <c r="A83" s="5" t="s">
        <v>13772</v>
      </c>
      <c r="B83" s="5" t="s">
        <v>8584</v>
      </c>
      <c r="C83" s="5">
        <v>55</v>
      </c>
      <c r="D83" s="5"/>
      <c r="E83" s="5"/>
      <c r="F83" s="5" t="s">
        <v>13771</v>
      </c>
      <c r="G83" s="5" t="s">
        <v>207</v>
      </c>
      <c r="H83" s="5" t="s">
        <v>3</v>
      </c>
      <c r="I83" s="5"/>
      <c r="J83" s="5" t="s">
        <v>13770</v>
      </c>
      <c r="M83" s="1"/>
      <c r="N83"/>
      <c r="O83"/>
      <c r="P83"/>
      <c r="Q83"/>
      <c r="R83"/>
      <c r="S83"/>
      <c r="T83"/>
      <c r="U83"/>
      <c r="V83"/>
      <c r="W83"/>
      <c r="X83"/>
      <c r="Y83"/>
    </row>
    <row r="84" spans="1:25" s="2" customFormat="1" x14ac:dyDescent="0.2">
      <c r="A84" s="5" t="s">
        <v>11089</v>
      </c>
      <c r="B84" s="5" t="s">
        <v>8584</v>
      </c>
      <c r="C84" s="5">
        <v>56</v>
      </c>
      <c r="D84" s="5"/>
      <c r="E84" s="5" t="s">
        <v>138</v>
      </c>
      <c r="F84" s="5" t="s">
        <v>11087</v>
      </c>
      <c r="G84" s="5" t="s">
        <v>173</v>
      </c>
      <c r="H84" s="5" t="s">
        <v>3</v>
      </c>
      <c r="I84" s="5"/>
      <c r="J84" s="5" t="s">
        <v>11087</v>
      </c>
      <c r="M84" s="1"/>
      <c r="N84"/>
      <c r="O84"/>
      <c r="P84"/>
      <c r="Q84"/>
      <c r="R84"/>
      <c r="S84"/>
      <c r="T84"/>
      <c r="U84"/>
      <c r="V84"/>
      <c r="W84"/>
      <c r="X84"/>
      <c r="Y84"/>
    </row>
    <row r="85" spans="1:25" s="2" customFormat="1" x14ac:dyDescent="0.2">
      <c r="A85" s="5" t="s">
        <v>13769</v>
      </c>
      <c r="B85" s="5" t="s">
        <v>8584</v>
      </c>
      <c r="C85" s="5">
        <v>57</v>
      </c>
      <c r="D85" s="5"/>
      <c r="E85" s="5"/>
      <c r="F85" s="5" t="s">
        <v>13768</v>
      </c>
      <c r="G85" s="5" t="s">
        <v>315</v>
      </c>
      <c r="H85" s="5" t="s">
        <v>3</v>
      </c>
      <c r="I85" s="5"/>
      <c r="J85" s="5" t="s">
        <v>13767</v>
      </c>
      <c r="M85" s="1"/>
      <c r="N85"/>
      <c r="O85"/>
      <c r="P85"/>
      <c r="Q85"/>
      <c r="R85"/>
      <c r="S85"/>
      <c r="T85"/>
      <c r="U85"/>
      <c r="V85"/>
      <c r="W85"/>
      <c r="X85"/>
      <c r="Y85"/>
    </row>
    <row r="86" spans="1:25" s="2" customFormat="1" x14ac:dyDescent="0.2">
      <c r="A86" s="5" t="s">
        <v>13766</v>
      </c>
      <c r="B86" s="5" t="s">
        <v>8584</v>
      </c>
      <c r="C86" s="5">
        <v>58</v>
      </c>
      <c r="D86" s="5"/>
      <c r="E86" s="5" t="s">
        <v>93</v>
      </c>
      <c r="F86" s="5" t="s">
        <v>13765</v>
      </c>
      <c r="G86" s="5" t="s">
        <v>195</v>
      </c>
      <c r="H86" s="5" t="s">
        <v>3</v>
      </c>
      <c r="I86" s="5"/>
      <c r="J86" s="5" t="s">
        <v>13764</v>
      </c>
      <c r="M86" s="1"/>
      <c r="N86"/>
      <c r="O86"/>
      <c r="P86"/>
      <c r="Q86"/>
      <c r="R86"/>
      <c r="S86"/>
      <c r="T86"/>
      <c r="U86"/>
      <c r="V86"/>
      <c r="W86"/>
      <c r="X86"/>
      <c r="Y86"/>
    </row>
    <row r="87" spans="1:25" s="2" customFormat="1" x14ac:dyDescent="0.2">
      <c r="A87" s="5" t="s">
        <v>13763</v>
      </c>
      <c r="B87" s="5" t="s">
        <v>8584</v>
      </c>
      <c r="C87" s="5">
        <v>59</v>
      </c>
      <c r="D87" s="5"/>
      <c r="E87" s="5"/>
      <c r="F87" s="5" t="s">
        <v>12652</v>
      </c>
      <c r="G87" s="5" t="s">
        <v>173</v>
      </c>
      <c r="H87" s="5" t="s">
        <v>3</v>
      </c>
      <c r="I87" s="5"/>
      <c r="J87" s="5" t="s">
        <v>12652</v>
      </c>
      <c r="M87" s="1"/>
      <c r="N87"/>
      <c r="O87"/>
      <c r="P87"/>
      <c r="Q87"/>
      <c r="R87"/>
      <c r="S87"/>
      <c r="T87"/>
      <c r="U87"/>
      <c r="V87"/>
      <c r="W87"/>
      <c r="X87"/>
      <c r="Y87"/>
    </row>
    <row r="88" spans="1:25" s="2" customFormat="1" x14ac:dyDescent="0.2">
      <c r="A88" s="5" t="s">
        <v>13762</v>
      </c>
      <c r="B88" s="5" t="s">
        <v>8584</v>
      </c>
      <c r="C88" s="5">
        <v>59</v>
      </c>
      <c r="D88" s="5"/>
      <c r="E88" s="5" t="s">
        <v>138</v>
      </c>
      <c r="F88" s="5" t="s">
        <v>12652</v>
      </c>
      <c r="G88" s="5" t="s">
        <v>173</v>
      </c>
      <c r="H88" s="5" t="s">
        <v>3</v>
      </c>
      <c r="I88" s="5"/>
      <c r="J88" s="5" t="s">
        <v>12652</v>
      </c>
      <c r="M88" s="1"/>
      <c r="N88"/>
      <c r="O88"/>
      <c r="P88"/>
      <c r="Q88"/>
      <c r="R88"/>
      <c r="S88"/>
      <c r="T88"/>
      <c r="U88"/>
      <c r="V88"/>
      <c r="W88"/>
      <c r="X88"/>
      <c r="Y88"/>
    </row>
    <row r="89" spans="1:25" s="2" customFormat="1" x14ac:dyDescent="0.2">
      <c r="A89" s="5" t="s">
        <v>13761</v>
      </c>
      <c r="B89" s="5" t="s">
        <v>8584</v>
      </c>
      <c r="C89" s="5">
        <v>60</v>
      </c>
      <c r="D89" s="5"/>
      <c r="E89" s="5"/>
      <c r="F89" s="5" t="s">
        <v>13482</v>
      </c>
      <c r="G89" s="5" t="s">
        <v>105</v>
      </c>
      <c r="H89" s="5" t="s">
        <v>3</v>
      </c>
      <c r="I89" s="5"/>
      <c r="J89" s="5" t="s">
        <v>13760</v>
      </c>
      <c r="M89" s="1"/>
      <c r="N89"/>
      <c r="O89"/>
      <c r="P89"/>
      <c r="Q89"/>
      <c r="R89"/>
      <c r="S89"/>
      <c r="T89"/>
      <c r="U89"/>
      <c r="V89"/>
      <c r="W89"/>
      <c r="X89"/>
      <c r="Y89"/>
    </row>
    <row r="90" spans="1:25" s="2" customFormat="1" x14ac:dyDescent="0.2">
      <c r="A90" s="5" t="s">
        <v>13759</v>
      </c>
      <c r="B90" s="5" t="s">
        <v>8584</v>
      </c>
      <c r="C90" s="5">
        <v>61</v>
      </c>
      <c r="D90" s="5"/>
      <c r="E90" s="5"/>
      <c r="F90" s="5" t="s">
        <v>10899</v>
      </c>
      <c r="G90" s="5" t="s">
        <v>173</v>
      </c>
      <c r="H90" s="5" t="s">
        <v>3</v>
      </c>
      <c r="I90" s="5"/>
      <c r="J90" s="5" t="s">
        <v>13758</v>
      </c>
      <c r="M90" s="1"/>
      <c r="N90"/>
      <c r="O90"/>
      <c r="P90"/>
      <c r="Q90"/>
      <c r="R90"/>
      <c r="S90"/>
      <c r="T90"/>
      <c r="U90"/>
      <c r="V90"/>
      <c r="W90"/>
      <c r="X90"/>
      <c r="Y90"/>
    </row>
    <row r="91" spans="1:25" s="2" customFormat="1" x14ac:dyDescent="0.2">
      <c r="A91" s="5" t="s">
        <v>13757</v>
      </c>
      <c r="B91" s="5" t="s">
        <v>8584</v>
      </c>
      <c r="C91" s="5">
        <v>61</v>
      </c>
      <c r="D91" s="5"/>
      <c r="E91" s="5"/>
      <c r="F91" s="5" t="s">
        <v>10899</v>
      </c>
      <c r="G91" s="5" t="s">
        <v>105</v>
      </c>
      <c r="H91" s="5" t="s">
        <v>3</v>
      </c>
      <c r="I91" s="5"/>
      <c r="J91" s="5" t="s">
        <v>10898</v>
      </c>
      <c r="M91" s="1"/>
      <c r="N91"/>
      <c r="O91"/>
      <c r="P91"/>
      <c r="Q91"/>
      <c r="R91"/>
      <c r="S91"/>
      <c r="T91"/>
      <c r="U91"/>
      <c r="V91"/>
      <c r="W91"/>
      <c r="X91"/>
      <c r="Y91"/>
    </row>
    <row r="92" spans="1:25" s="2" customFormat="1" x14ac:dyDescent="0.2">
      <c r="A92" s="5" t="s">
        <v>13756</v>
      </c>
      <c r="B92" s="5" t="s">
        <v>8584</v>
      </c>
      <c r="C92" s="5">
        <v>61</v>
      </c>
      <c r="D92" s="5"/>
      <c r="E92" s="5" t="s">
        <v>138</v>
      </c>
      <c r="F92" s="5" t="s">
        <v>12652</v>
      </c>
      <c r="G92" s="5" t="s">
        <v>173</v>
      </c>
      <c r="H92" s="5" t="s">
        <v>3</v>
      </c>
      <c r="I92" s="5"/>
      <c r="J92" s="5" t="s">
        <v>12652</v>
      </c>
      <c r="M92" s="1"/>
      <c r="N92"/>
      <c r="O92"/>
      <c r="P92"/>
      <c r="Q92"/>
      <c r="R92"/>
      <c r="S92"/>
      <c r="T92"/>
      <c r="U92"/>
      <c r="V92"/>
      <c r="W92"/>
      <c r="X92"/>
      <c r="Y92"/>
    </row>
    <row r="93" spans="1:25" s="2" customFormat="1" x14ac:dyDescent="0.2">
      <c r="A93" s="5" t="s">
        <v>13755</v>
      </c>
      <c r="B93" s="5" t="s">
        <v>8584</v>
      </c>
      <c r="C93" s="5">
        <v>62</v>
      </c>
      <c r="D93" s="5"/>
      <c r="E93" s="5"/>
      <c r="F93" s="5" t="s">
        <v>12652</v>
      </c>
      <c r="G93" s="5" t="s">
        <v>173</v>
      </c>
      <c r="H93" s="5" t="s">
        <v>3</v>
      </c>
      <c r="I93" s="5"/>
      <c r="J93" s="5" t="s">
        <v>12652</v>
      </c>
      <c r="M93" s="1"/>
      <c r="N93"/>
      <c r="O93"/>
      <c r="P93"/>
      <c r="Q93"/>
      <c r="R93"/>
      <c r="S93"/>
      <c r="T93"/>
      <c r="U93"/>
      <c r="V93"/>
      <c r="W93"/>
      <c r="X93"/>
      <c r="Y93"/>
    </row>
    <row r="94" spans="1:25" s="2" customFormat="1" ht="25.5" x14ac:dyDescent="0.2">
      <c r="A94" s="5" t="s">
        <v>13754</v>
      </c>
      <c r="B94" s="5" t="s">
        <v>8584</v>
      </c>
      <c r="C94" s="5">
        <v>62</v>
      </c>
      <c r="D94" s="5"/>
      <c r="E94" s="5"/>
      <c r="F94" s="5" t="s">
        <v>13753</v>
      </c>
      <c r="G94" s="5" t="s">
        <v>173</v>
      </c>
      <c r="H94" s="5" t="s">
        <v>3</v>
      </c>
      <c r="I94" s="5"/>
      <c r="J94" s="5" t="s">
        <v>13752</v>
      </c>
      <c r="M94" s="1"/>
      <c r="N94"/>
      <c r="O94"/>
      <c r="P94"/>
      <c r="Q94"/>
      <c r="R94"/>
      <c r="S94"/>
      <c r="T94"/>
      <c r="U94"/>
      <c r="V94"/>
      <c r="W94"/>
      <c r="X94"/>
      <c r="Y94"/>
    </row>
    <row r="95" spans="1:25" s="2" customFormat="1" x14ac:dyDescent="0.2">
      <c r="A95" s="5" t="s">
        <v>13751</v>
      </c>
      <c r="B95" s="5" t="s">
        <v>8584</v>
      </c>
      <c r="C95" s="5">
        <v>62</v>
      </c>
      <c r="D95" s="5"/>
      <c r="E95" s="5"/>
      <c r="F95" s="5" t="s">
        <v>12652</v>
      </c>
      <c r="G95" s="5" t="s">
        <v>173</v>
      </c>
      <c r="H95" s="5" t="s">
        <v>3</v>
      </c>
      <c r="I95" s="5"/>
      <c r="J95" s="5" t="s">
        <v>12652</v>
      </c>
      <c r="M95" s="1"/>
      <c r="N95"/>
      <c r="O95"/>
      <c r="P95"/>
      <c r="Q95"/>
      <c r="R95"/>
      <c r="S95"/>
      <c r="T95"/>
      <c r="U95"/>
      <c r="V95"/>
      <c r="W95"/>
      <c r="X95"/>
      <c r="Y95"/>
    </row>
    <row r="96" spans="1:25" s="2" customFormat="1" x14ac:dyDescent="0.2">
      <c r="A96" s="5" t="s">
        <v>13750</v>
      </c>
      <c r="B96" s="5" t="s">
        <v>8584</v>
      </c>
      <c r="C96" s="5">
        <v>62</v>
      </c>
      <c r="D96" s="5"/>
      <c r="E96" s="5" t="s">
        <v>138</v>
      </c>
      <c r="F96" s="5" t="s">
        <v>12652</v>
      </c>
      <c r="G96" s="5" t="s">
        <v>173</v>
      </c>
      <c r="H96" s="5" t="s">
        <v>3</v>
      </c>
      <c r="I96" s="5"/>
      <c r="J96" s="5" t="s">
        <v>12652</v>
      </c>
      <c r="M96" s="1"/>
      <c r="N96"/>
      <c r="O96"/>
      <c r="P96"/>
      <c r="Q96"/>
      <c r="R96"/>
      <c r="S96"/>
      <c r="T96"/>
      <c r="U96"/>
      <c r="V96"/>
      <c r="W96"/>
      <c r="X96"/>
      <c r="Y96"/>
    </row>
    <row r="97" spans="1:25" s="2" customFormat="1" x14ac:dyDescent="0.2">
      <c r="A97" s="5" t="s">
        <v>13749</v>
      </c>
      <c r="B97" s="5" t="s">
        <v>8584</v>
      </c>
      <c r="C97" s="5">
        <v>63</v>
      </c>
      <c r="D97" s="5"/>
      <c r="E97" s="5"/>
      <c r="F97" s="5" t="s">
        <v>12652</v>
      </c>
      <c r="G97" s="5" t="s">
        <v>173</v>
      </c>
      <c r="H97" s="5" t="s">
        <v>3</v>
      </c>
      <c r="I97" s="5"/>
      <c r="J97" s="5" t="s">
        <v>12652</v>
      </c>
      <c r="M97" s="1"/>
      <c r="N97"/>
      <c r="O97"/>
      <c r="P97"/>
      <c r="Q97"/>
      <c r="R97"/>
      <c r="S97"/>
      <c r="T97"/>
      <c r="U97"/>
      <c r="V97"/>
      <c r="W97"/>
      <c r="X97"/>
      <c r="Y97"/>
    </row>
    <row r="98" spans="1:25" s="2" customFormat="1" ht="25.5" x14ac:dyDescent="0.2">
      <c r="A98" s="5" t="s">
        <v>13748</v>
      </c>
      <c r="B98" s="5" t="s">
        <v>8584</v>
      </c>
      <c r="C98" s="5">
        <v>63</v>
      </c>
      <c r="D98" s="5"/>
      <c r="E98" s="5"/>
      <c r="F98" s="5" t="s">
        <v>13747</v>
      </c>
      <c r="G98" s="5" t="s">
        <v>173</v>
      </c>
      <c r="H98" s="5" t="s">
        <v>3</v>
      </c>
      <c r="I98" s="5"/>
      <c r="J98" s="5" t="s">
        <v>13746</v>
      </c>
      <c r="M98" s="1"/>
      <c r="N98"/>
      <c r="O98"/>
      <c r="P98"/>
      <c r="Q98"/>
      <c r="R98"/>
      <c r="S98"/>
      <c r="T98"/>
      <c r="U98"/>
      <c r="V98"/>
      <c r="W98"/>
      <c r="X98"/>
      <c r="Y98"/>
    </row>
    <row r="99" spans="1:25" s="2" customFormat="1" x14ac:dyDescent="0.2">
      <c r="A99" s="5" t="s">
        <v>13745</v>
      </c>
      <c r="B99" s="5" t="s">
        <v>8584</v>
      </c>
      <c r="C99" s="5">
        <v>63</v>
      </c>
      <c r="D99" s="5"/>
      <c r="E99" s="5" t="s">
        <v>138</v>
      </c>
      <c r="F99" s="5" t="s">
        <v>12652</v>
      </c>
      <c r="G99" s="5" t="s">
        <v>173</v>
      </c>
      <c r="H99" s="5" t="s">
        <v>3</v>
      </c>
      <c r="I99" s="5"/>
      <c r="J99" s="5" t="s">
        <v>12652</v>
      </c>
      <c r="M99" s="1"/>
      <c r="N99"/>
      <c r="O99"/>
      <c r="P99"/>
      <c r="Q99"/>
      <c r="R99"/>
      <c r="S99"/>
      <c r="T99"/>
      <c r="U99"/>
      <c r="V99"/>
      <c r="W99"/>
      <c r="X99"/>
      <c r="Y99"/>
    </row>
    <row r="100" spans="1:25" s="2" customFormat="1" x14ac:dyDescent="0.2">
      <c r="A100" s="5" t="s">
        <v>13744</v>
      </c>
      <c r="B100" s="5" t="s">
        <v>8584</v>
      </c>
      <c r="C100" s="5">
        <v>63</v>
      </c>
      <c r="D100" s="5"/>
      <c r="E100" s="5" t="s">
        <v>138</v>
      </c>
      <c r="F100" s="5" t="s">
        <v>12652</v>
      </c>
      <c r="G100" s="5" t="s">
        <v>173</v>
      </c>
      <c r="H100" s="5" t="s">
        <v>3</v>
      </c>
      <c r="I100" s="5"/>
      <c r="J100" s="5" t="s">
        <v>12652</v>
      </c>
      <c r="M100" s="1"/>
      <c r="N100"/>
      <c r="O100"/>
      <c r="P100"/>
      <c r="Q100"/>
      <c r="R100"/>
      <c r="S100"/>
      <c r="T100"/>
      <c r="U100"/>
      <c r="V100"/>
      <c r="W100"/>
      <c r="X100"/>
      <c r="Y100"/>
    </row>
    <row r="101" spans="1:25" s="2" customFormat="1" ht="25.5" x14ac:dyDescent="0.2">
      <c r="A101" s="5" t="s">
        <v>13743</v>
      </c>
      <c r="B101" s="5" t="s">
        <v>8584</v>
      </c>
      <c r="C101" s="5">
        <v>64</v>
      </c>
      <c r="D101" s="5"/>
      <c r="E101" s="5"/>
      <c r="F101" s="5" t="s">
        <v>8863</v>
      </c>
      <c r="G101" s="5" t="s">
        <v>173</v>
      </c>
      <c r="H101" s="5" t="s">
        <v>3</v>
      </c>
      <c r="I101" s="5"/>
      <c r="J101" s="5" t="s">
        <v>13742</v>
      </c>
      <c r="M101" s="1"/>
      <c r="N101"/>
      <c r="O101"/>
      <c r="P101"/>
      <c r="Q101"/>
      <c r="R101"/>
      <c r="S101"/>
      <c r="T101"/>
      <c r="U101"/>
      <c r="V101"/>
      <c r="W101"/>
      <c r="X101"/>
      <c r="Y101"/>
    </row>
    <row r="102" spans="1:25" s="2" customFormat="1" x14ac:dyDescent="0.2">
      <c r="A102" s="5" t="s">
        <v>13741</v>
      </c>
      <c r="B102" s="5" t="s">
        <v>8584</v>
      </c>
      <c r="C102" s="5">
        <v>64</v>
      </c>
      <c r="D102" s="5"/>
      <c r="E102" s="5" t="s">
        <v>138</v>
      </c>
      <c r="F102" s="5" t="s">
        <v>12652</v>
      </c>
      <c r="G102" s="5" t="s">
        <v>173</v>
      </c>
      <c r="H102" s="5" t="s">
        <v>3</v>
      </c>
      <c r="I102" s="5"/>
      <c r="J102" s="5" t="s">
        <v>12652</v>
      </c>
      <c r="M102" s="1"/>
      <c r="N102"/>
      <c r="O102"/>
      <c r="P102"/>
      <c r="Q102"/>
      <c r="R102"/>
      <c r="S102"/>
      <c r="T102"/>
      <c r="U102"/>
      <c r="V102"/>
      <c r="W102"/>
      <c r="X102"/>
      <c r="Y102"/>
    </row>
    <row r="103" spans="1:25" s="2" customFormat="1" x14ac:dyDescent="0.2">
      <c r="A103" s="5" t="s">
        <v>13740</v>
      </c>
      <c r="B103" s="5" t="s">
        <v>8584</v>
      </c>
      <c r="C103" s="5">
        <v>65</v>
      </c>
      <c r="D103" s="5"/>
      <c r="E103" s="5"/>
      <c r="F103" s="5" t="s">
        <v>8863</v>
      </c>
      <c r="G103" s="5" t="s">
        <v>105</v>
      </c>
      <c r="H103" s="5" t="s">
        <v>3</v>
      </c>
      <c r="I103" s="5"/>
      <c r="J103" s="5" t="s">
        <v>13739</v>
      </c>
      <c r="M103" s="1"/>
      <c r="N103"/>
      <c r="O103"/>
      <c r="P103"/>
      <c r="Q103"/>
      <c r="R103"/>
      <c r="S103"/>
      <c r="T103"/>
      <c r="U103"/>
      <c r="V103"/>
      <c r="W103"/>
      <c r="X103"/>
      <c r="Y103"/>
    </row>
    <row r="104" spans="1:25" s="2" customFormat="1" x14ac:dyDescent="0.2">
      <c r="A104" s="5" t="s">
        <v>13738</v>
      </c>
      <c r="B104" s="5" t="s">
        <v>8584</v>
      </c>
      <c r="C104" s="5">
        <v>66</v>
      </c>
      <c r="D104" s="5"/>
      <c r="E104" s="5"/>
      <c r="F104" s="5" t="s">
        <v>13737</v>
      </c>
      <c r="G104" s="5" t="s">
        <v>13736</v>
      </c>
      <c r="H104" s="5" t="s">
        <v>3</v>
      </c>
      <c r="I104" s="5"/>
      <c r="J104" s="5" t="s">
        <v>13735</v>
      </c>
      <c r="M104" s="1"/>
      <c r="N104"/>
      <c r="O104"/>
      <c r="P104"/>
      <c r="Q104"/>
      <c r="R104"/>
      <c r="S104"/>
      <c r="T104"/>
      <c r="U104"/>
      <c r="V104"/>
      <c r="W104"/>
      <c r="X104"/>
      <c r="Y104"/>
    </row>
    <row r="105" spans="1:25" s="2" customFormat="1" x14ac:dyDescent="0.2">
      <c r="A105" s="5" t="s">
        <v>13734</v>
      </c>
      <c r="B105" s="5" t="s">
        <v>8584</v>
      </c>
      <c r="C105" s="5">
        <v>66</v>
      </c>
      <c r="D105" s="5"/>
      <c r="E105" s="5"/>
      <c r="F105" s="5" t="s">
        <v>12652</v>
      </c>
      <c r="G105" s="5" t="s">
        <v>224</v>
      </c>
      <c r="H105" s="5" t="s">
        <v>3</v>
      </c>
      <c r="I105" s="5"/>
      <c r="J105" s="5" t="s">
        <v>12652</v>
      </c>
      <c r="M105" s="1"/>
      <c r="N105"/>
      <c r="O105"/>
      <c r="P105"/>
      <c r="Q105"/>
      <c r="R105"/>
      <c r="S105"/>
      <c r="T105"/>
      <c r="U105"/>
      <c r="V105"/>
      <c r="W105"/>
      <c r="X105"/>
      <c r="Y105"/>
    </row>
    <row r="106" spans="1:25" s="2" customFormat="1" x14ac:dyDescent="0.2">
      <c r="A106" s="5" t="s">
        <v>13733</v>
      </c>
      <c r="B106" s="5" t="s">
        <v>8584</v>
      </c>
      <c r="C106" s="5">
        <v>67</v>
      </c>
      <c r="D106" s="5"/>
      <c r="E106" s="5"/>
      <c r="F106" s="5" t="s">
        <v>13732</v>
      </c>
      <c r="G106" s="5" t="s">
        <v>173</v>
      </c>
      <c r="H106" s="5" t="s">
        <v>3</v>
      </c>
      <c r="I106" s="5"/>
      <c r="J106" s="5" t="s">
        <v>13731</v>
      </c>
      <c r="M106" s="1"/>
      <c r="N106"/>
      <c r="O106"/>
      <c r="P106"/>
      <c r="Q106"/>
      <c r="R106"/>
      <c r="S106"/>
      <c r="T106"/>
      <c r="U106"/>
      <c r="V106"/>
      <c r="W106"/>
      <c r="X106"/>
      <c r="Y106"/>
    </row>
    <row r="107" spans="1:25" s="2" customFormat="1" x14ac:dyDescent="0.2">
      <c r="A107" s="5" t="s">
        <v>13730</v>
      </c>
      <c r="B107" s="5" t="s">
        <v>8584</v>
      </c>
      <c r="C107" s="5">
        <v>68</v>
      </c>
      <c r="D107" s="5"/>
      <c r="E107" s="5"/>
      <c r="F107" s="5" t="s">
        <v>13482</v>
      </c>
      <c r="G107" s="5" t="s">
        <v>105</v>
      </c>
      <c r="H107" s="5" t="s">
        <v>3</v>
      </c>
      <c r="I107" s="5"/>
      <c r="J107" s="5"/>
      <c r="M107" s="1"/>
      <c r="N107"/>
      <c r="O107"/>
      <c r="P107"/>
      <c r="Q107"/>
      <c r="R107"/>
      <c r="S107"/>
      <c r="T107"/>
      <c r="U107"/>
      <c r="V107"/>
      <c r="W107"/>
      <c r="X107"/>
      <c r="Y107"/>
    </row>
    <row r="108" spans="1:25" s="2" customFormat="1" x14ac:dyDescent="0.2">
      <c r="A108" s="5" t="s">
        <v>13729</v>
      </c>
      <c r="B108" s="5" t="s">
        <v>8584</v>
      </c>
      <c r="C108" s="5">
        <v>69</v>
      </c>
      <c r="D108" s="5"/>
      <c r="E108" s="5"/>
      <c r="F108" s="5" t="s">
        <v>6534</v>
      </c>
      <c r="G108" s="5" t="s">
        <v>195</v>
      </c>
      <c r="H108" s="5" t="s">
        <v>3</v>
      </c>
      <c r="I108" s="5"/>
      <c r="J108" s="5" t="s">
        <v>13728</v>
      </c>
      <c r="M108" s="1"/>
      <c r="N108"/>
      <c r="O108"/>
      <c r="P108"/>
      <c r="Q108"/>
      <c r="R108"/>
      <c r="S108"/>
      <c r="T108"/>
      <c r="U108"/>
      <c r="V108"/>
      <c r="W108"/>
      <c r="X108"/>
      <c r="Y108"/>
    </row>
    <row r="109" spans="1:25" s="2" customFormat="1" x14ac:dyDescent="0.2">
      <c r="A109" s="5" t="s">
        <v>13727</v>
      </c>
      <c r="B109" s="5" t="s">
        <v>8584</v>
      </c>
      <c r="C109" s="5">
        <v>69</v>
      </c>
      <c r="D109" s="5"/>
      <c r="E109" s="5"/>
      <c r="F109" s="5" t="s">
        <v>11302</v>
      </c>
      <c r="G109" s="5" t="s">
        <v>195</v>
      </c>
      <c r="H109" s="5" t="s">
        <v>3</v>
      </c>
      <c r="I109" s="5"/>
      <c r="J109" s="5" t="s">
        <v>13726</v>
      </c>
      <c r="M109" s="1"/>
      <c r="N109"/>
      <c r="O109"/>
      <c r="P109"/>
      <c r="Q109"/>
      <c r="R109"/>
      <c r="S109"/>
      <c r="T109"/>
      <c r="U109"/>
      <c r="V109"/>
      <c r="W109"/>
      <c r="X109"/>
      <c r="Y109"/>
    </row>
    <row r="110" spans="1:25" s="2" customFormat="1" ht="38.25" x14ac:dyDescent="0.2">
      <c r="A110" s="5" t="s">
        <v>13725</v>
      </c>
      <c r="B110" s="5" t="s">
        <v>8584</v>
      </c>
      <c r="C110" s="5">
        <v>70</v>
      </c>
      <c r="D110" s="5"/>
      <c r="E110" s="5"/>
      <c r="F110" s="5" t="s">
        <v>13724</v>
      </c>
      <c r="G110" s="5" t="s">
        <v>80</v>
      </c>
      <c r="H110" s="5" t="s">
        <v>3</v>
      </c>
      <c r="I110" s="5"/>
      <c r="J110" s="5" t="s">
        <v>13723</v>
      </c>
      <c r="M110" s="1"/>
      <c r="N110"/>
      <c r="O110"/>
      <c r="P110"/>
      <c r="Q110"/>
      <c r="R110"/>
      <c r="S110"/>
      <c r="T110"/>
      <c r="U110"/>
      <c r="V110"/>
      <c r="W110"/>
      <c r="X110"/>
      <c r="Y110"/>
    </row>
    <row r="111" spans="1:25" s="2" customFormat="1" ht="25.5" x14ac:dyDescent="0.2">
      <c r="A111" s="5" t="s">
        <v>13722</v>
      </c>
      <c r="B111" s="5" t="s">
        <v>8584</v>
      </c>
      <c r="C111" s="5">
        <v>71</v>
      </c>
      <c r="D111" s="5"/>
      <c r="E111" s="5"/>
      <c r="F111" s="5" t="s">
        <v>13721</v>
      </c>
      <c r="G111" s="5" t="s">
        <v>173</v>
      </c>
      <c r="H111" s="5" t="s">
        <v>3</v>
      </c>
      <c r="I111" s="5"/>
      <c r="J111" s="5" t="s">
        <v>13720</v>
      </c>
      <c r="M111" s="1"/>
      <c r="N111"/>
      <c r="O111"/>
      <c r="P111"/>
      <c r="Q111"/>
      <c r="R111"/>
      <c r="S111"/>
      <c r="T111"/>
      <c r="U111"/>
      <c r="V111"/>
      <c r="W111"/>
      <c r="X111"/>
      <c r="Y111"/>
    </row>
    <row r="112" spans="1:25" s="2" customFormat="1" ht="25.5" x14ac:dyDescent="0.2">
      <c r="A112" s="5" t="s">
        <v>13719</v>
      </c>
      <c r="B112" s="5" t="s">
        <v>8584</v>
      </c>
      <c r="C112" s="5">
        <v>72</v>
      </c>
      <c r="D112" s="5"/>
      <c r="E112" s="5"/>
      <c r="F112" s="5" t="s">
        <v>13718</v>
      </c>
      <c r="G112" s="5" t="s">
        <v>173</v>
      </c>
      <c r="H112" s="5" t="s">
        <v>3</v>
      </c>
      <c r="I112" s="5"/>
      <c r="J112" s="5" t="s">
        <v>13717</v>
      </c>
      <c r="M112" s="1"/>
      <c r="N112"/>
      <c r="O112"/>
      <c r="P112"/>
      <c r="Q112"/>
      <c r="R112"/>
      <c r="S112"/>
      <c r="T112"/>
      <c r="U112"/>
      <c r="V112"/>
      <c r="W112"/>
      <c r="X112"/>
      <c r="Y112"/>
    </row>
    <row r="113" spans="1:25" s="2" customFormat="1" ht="38.25" x14ac:dyDescent="0.2">
      <c r="A113" s="5" t="s">
        <v>13716</v>
      </c>
      <c r="B113" s="5" t="s">
        <v>8584</v>
      </c>
      <c r="C113" s="5">
        <v>73</v>
      </c>
      <c r="D113" s="5"/>
      <c r="E113" s="5" t="s">
        <v>368</v>
      </c>
      <c r="F113" s="5" t="s">
        <v>13715</v>
      </c>
      <c r="G113" s="5" t="s">
        <v>382</v>
      </c>
      <c r="H113" s="5" t="s">
        <v>3</v>
      </c>
      <c r="I113" s="5"/>
      <c r="J113" s="5" t="s">
        <v>13714</v>
      </c>
      <c r="M113" s="1"/>
      <c r="N113"/>
      <c r="O113"/>
      <c r="P113"/>
      <c r="Q113"/>
      <c r="R113"/>
      <c r="S113"/>
      <c r="T113"/>
      <c r="U113"/>
      <c r="V113"/>
      <c r="W113"/>
      <c r="X113"/>
      <c r="Y113"/>
    </row>
    <row r="114" spans="1:25" s="2" customFormat="1" ht="25.5" x14ac:dyDescent="0.2">
      <c r="A114" s="5" t="s">
        <v>13713</v>
      </c>
      <c r="B114" s="5" t="s">
        <v>8584</v>
      </c>
      <c r="C114" s="5">
        <v>74</v>
      </c>
      <c r="D114" s="5"/>
      <c r="E114" s="5" t="s">
        <v>368</v>
      </c>
      <c r="F114" s="5" t="s">
        <v>13712</v>
      </c>
      <c r="G114" s="5" t="s">
        <v>382</v>
      </c>
      <c r="H114" s="5" t="s">
        <v>3</v>
      </c>
      <c r="I114" s="5"/>
      <c r="J114" s="5" t="s">
        <v>13711</v>
      </c>
      <c r="M114" s="1"/>
      <c r="N114"/>
      <c r="O114"/>
      <c r="P114"/>
      <c r="Q114"/>
      <c r="R114"/>
      <c r="S114"/>
      <c r="T114"/>
      <c r="U114"/>
      <c r="V114"/>
      <c r="W114"/>
      <c r="X114"/>
      <c r="Y114"/>
    </row>
    <row r="115" spans="1:25" s="2" customFormat="1" x14ac:dyDescent="0.2">
      <c r="A115" s="5" t="s">
        <v>13710</v>
      </c>
      <c r="B115" s="5" t="s">
        <v>8584</v>
      </c>
      <c r="C115" s="5">
        <v>75</v>
      </c>
      <c r="D115" s="5"/>
      <c r="E115" s="5"/>
      <c r="F115" s="5" t="s">
        <v>13691</v>
      </c>
      <c r="G115" s="5" t="s">
        <v>173</v>
      </c>
      <c r="H115" s="5" t="s">
        <v>3</v>
      </c>
      <c r="I115" s="5"/>
      <c r="J115" s="5" t="s">
        <v>13709</v>
      </c>
      <c r="M115" s="1"/>
      <c r="N115"/>
      <c r="O115"/>
      <c r="P115"/>
      <c r="Q115"/>
      <c r="R115"/>
      <c r="S115"/>
      <c r="T115"/>
      <c r="U115"/>
      <c r="V115"/>
      <c r="W115"/>
      <c r="X115"/>
      <c r="Y115"/>
    </row>
    <row r="116" spans="1:25" s="2" customFormat="1" x14ac:dyDescent="0.2">
      <c r="A116" s="5" t="s">
        <v>13708</v>
      </c>
      <c r="B116" s="5" t="s">
        <v>8584</v>
      </c>
      <c r="C116" s="5">
        <v>75</v>
      </c>
      <c r="D116" s="5"/>
      <c r="E116" s="5"/>
      <c r="F116" s="5" t="s">
        <v>13691</v>
      </c>
      <c r="G116" s="5" t="s">
        <v>105</v>
      </c>
      <c r="H116" s="5" t="s">
        <v>3</v>
      </c>
      <c r="I116" s="5"/>
      <c r="J116" s="5" t="s">
        <v>13707</v>
      </c>
      <c r="M116" s="1"/>
      <c r="N116"/>
      <c r="O116"/>
      <c r="P116"/>
      <c r="Q116"/>
      <c r="R116"/>
      <c r="S116"/>
      <c r="T116"/>
      <c r="U116"/>
      <c r="V116"/>
      <c r="W116"/>
      <c r="X116"/>
      <c r="Y116"/>
    </row>
    <row r="117" spans="1:25" s="2" customFormat="1" ht="25.5" x14ac:dyDescent="0.2">
      <c r="A117" s="5" t="s">
        <v>13706</v>
      </c>
      <c r="B117" s="5" t="s">
        <v>8584</v>
      </c>
      <c r="C117" s="5">
        <v>76</v>
      </c>
      <c r="D117" s="5"/>
      <c r="E117" s="5"/>
      <c r="F117" s="5" t="s">
        <v>13691</v>
      </c>
      <c r="G117" s="5" t="s">
        <v>173</v>
      </c>
      <c r="H117" s="5" t="s">
        <v>3</v>
      </c>
      <c r="I117" s="5"/>
      <c r="J117" s="5" t="s">
        <v>13705</v>
      </c>
      <c r="M117" s="1"/>
      <c r="N117"/>
      <c r="O117"/>
      <c r="P117"/>
      <c r="Q117"/>
      <c r="R117"/>
      <c r="S117"/>
      <c r="T117"/>
      <c r="U117"/>
      <c r="V117"/>
      <c r="W117"/>
      <c r="X117"/>
      <c r="Y117"/>
    </row>
    <row r="118" spans="1:25" s="2" customFormat="1" ht="25.5" x14ac:dyDescent="0.2">
      <c r="A118" s="5" t="s">
        <v>13704</v>
      </c>
      <c r="B118" s="5" t="s">
        <v>8584</v>
      </c>
      <c r="C118" s="5">
        <v>77</v>
      </c>
      <c r="D118" s="5"/>
      <c r="E118" s="5" t="s">
        <v>368</v>
      </c>
      <c r="F118" s="5" t="s">
        <v>13691</v>
      </c>
      <c r="G118" s="5" t="s">
        <v>382</v>
      </c>
      <c r="H118" s="5" t="s">
        <v>3</v>
      </c>
      <c r="I118" s="5"/>
      <c r="J118" s="5" t="s">
        <v>13703</v>
      </c>
      <c r="M118" s="1"/>
      <c r="N118"/>
      <c r="O118"/>
      <c r="P118"/>
      <c r="Q118"/>
      <c r="R118"/>
      <c r="S118"/>
      <c r="T118"/>
      <c r="U118"/>
      <c r="V118"/>
      <c r="W118"/>
      <c r="X118"/>
      <c r="Y118"/>
    </row>
    <row r="119" spans="1:25" s="2" customFormat="1" ht="25.5" x14ac:dyDescent="0.2">
      <c r="A119" s="5" t="s">
        <v>13702</v>
      </c>
      <c r="B119" s="5" t="s">
        <v>8584</v>
      </c>
      <c r="C119" s="5">
        <v>78</v>
      </c>
      <c r="D119" s="5"/>
      <c r="E119" s="5"/>
      <c r="F119" s="5" t="s">
        <v>13691</v>
      </c>
      <c r="G119" s="5" t="s">
        <v>173</v>
      </c>
      <c r="H119" s="5" t="s">
        <v>3</v>
      </c>
      <c r="I119" s="5"/>
      <c r="J119" s="5" t="s">
        <v>13701</v>
      </c>
      <c r="M119" s="1"/>
      <c r="N119"/>
      <c r="O119"/>
      <c r="P119"/>
      <c r="Q119"/>
      <c r="R119"/>
      <c r="S119"/>
      <c r="T119"/>
      <c r="U119"/>
      <c r="V119"/>
      <c r="W119"/>
      <c r="X119"/>
      <c r="Y119"/>
    </row>
    <row r="120" spans="1:25" s="2" customFormat="1" ht="38.25" x14ac:dyDescent="0.2">
      <c r="A120" s="5" t="s">
        <v>13700</v>
      </c>
      <c r="B120" s="5" t="s">
        <v>8584</v>
      </c>
      <c r="C120" s="5">
        <v>79</v>
      </c>
      <c r="D120" s="5"/>
      <c r="E120" s="5" t="s">
        <v>368</v>
      </c>
      <c r="F120" s="5" t="s">
        <v>13699</v>
      </c>
      <c r="G120" s="5" t="s">
        <v>382</v>
      </c>
      <c r="H120" s="5" t="s">
        <v>3</v>
      </c>
      <c r="I120" s="5"/>
      <c r="J120" s="5" t="s">
        <v>13698</v>
      </c>
      <c r="M120" s="1"/>
      <c r="N120"/>
      <c r="O120"/>
      <c r="P120"/>
      <c r="Q120"/>
      <c r="R120"/>
      <c r="S120"/>
      <c r="T120"/>
      <c r="U120"/>
      <c r="V120"/>
      <c r="W120"/>
      <c r="X120"/>
      <c r="Y120"/>
    </row>
    <row r="121" spans="1:25" s="2" customFormat="1" ht="25.5" x14ac:dyDescent="0.2">
      <c r="A121" s="5" t="s">
        <v>13697</v>
      </c>
      <c r="B121" s="5" t="s">
        <v>8584</v>
      </c>
      <c r="C121" s="5">
        <v>80</v>
      </c>
      <c r="D121" s="5"/>
      <c r="E121" s="5"/>
      <c r="F121" s="5" t="s">
        <v>13691</v>
      </c>
      <c r="G121" s="5" t="s">
        <v>173</v>
      </c>
      <c r="H121" s="5" t="s">
        <v>3</v>
      </c>
      <c r="I121" s="5"/>
      <c r="J121" s="5" t="s">
        <v>13696</v>
      </c>
      <c r="M121" s="1"/>
      <c r="N121"/>
      <c r="O121"/>
      <c r="P121"/>
      <c r="Q121"/>
      <c r="R121"/>
      <c r="S121"/>
      <c r="T121"/>
      <c r="U121"/>
      <c r="V121"/>
      <c r="W121"/>
      <c r="X121"/>
      <c r="Y121"/>
    </row>
    <row r="122" spans="1:25" s="2" customFormat="1" ht="25.5" x14ac:dyDescent="0.2">
      <c r="A122" s="5" t="s">
        <v>13695</v>
      </c>
      <c r="B122" s="5" t="s">
        <v>8584</v>
      </c>
      <c r="C122" s="5">
        <v>81</v>
      </c>
      <c r="D122" s="5"/>
      <c r="E122" s="5" t="s">
        <v>368</v>
      </c>
      <c r="F122" s="5" t="s">
        <v>13694</v>
      </c>
      <c r="G122" s="5" t="s">
        <v>382</v>
      </c>
      <c r="H122" s="5" t="s">
        <v>3</v>
      </c>
      <c r="I122" s="5"/>
      <c r="J122" s="5" t="s">
        <v>13693</v>
      </c>
      <c r="M122" s="1"/>
      <c r="N122"/>
      <c r="O122"/>
      <c r="P122"/>
      <c r="Q122"/>
      <c r="R122"/>
      <c r="S122"/>
      <c r="T122"/>
      <c r="U122"/>
      <c r="V122"/>
      <c r="W122"/>
      <c r="X122"/>
      <c r="Y122"/>
    </row>
    <row r="123" spans="1:25" s="2" customFormat="1" ht="25.5" x14ac:dyDescent="0.2">
      <c r="A123" s="5" t="s">
        <v>13692</v>
      </c>
      <c r="B123" s="5" t="s">
        <v>8584</v>
      </c>
      <c r="C123" s="5">
        <v>82</v>
      </c>
      <c r="D123" s="5"/>
      <c r="E123" s="5"/>
      <c r="F123" s="5" t="s">
        <v>13691</v>
      </c>
      <c r="G123" s="5" t="s">
        <v>173</v>
      </c>
      <c r="H123" s="5" t="s">
        <v>3</v>
      </c>
      <c r="I123" s="5"/>
      <c r="J123" s="5" t="s">
        <v>13690</v>
      </c>
      <c r="M123" s="1"/>
      <c r="N123"/>
      <c r="O123"/>
      <c r="P123"/>
      <c r="Q123"/>
      <c r="R123"/>
      <c r="S123"/>
      <c r="T123"/>
      <c r="U123"/>
      <c r="V123"/>
      <c r="W123"/>
      <c r="X123"/>
      <c r="Y123"/>
    </row>
    <row r="124" spans="1:25" s="2" customFormat="1" ht="25.5" x14ac:dyDescent="0.2">
      <c r="A124" s="5" t="s">
        <v>13689</v>
      </c>
      <c r="B124" s="5" t="s">
        <v>8584</v>
      </c>
      <c r="C124" s="5">
        <v>83</v>
      </c>
      <c r="D124" s="5"/>
      <c r="E124" s="5" t="s">
        <v>288</v>
      </c>
      <c r="F124" s="5" t="s">
        <v>212</v>
      </c>
      <c r="G124" s="5" t="s">
        <v>91</v>
      </c>
      <c r="H124" s="5" t="s">
        <v>3</v>
      </c>
      <c r="I124" s="5"/>
      <c r="J124" s="5" t="s">
        <v>13687</v>
      </c>
      <c r="M124" s="1"/>
      <c r="N124"/>
      <c r="O124"/>
      <c r="P124"/>
      <c r="Q124"/>
      <c r="R124"/>
      <c r="S124"/>
      <c r="T124"/>
      <c r="U124"/>
      <c r="V124"/>
      <c r="W124"/>
      <c r="X124"/>
      <c r="Y124"/>
    </row>
    <row r="125" spans="1:25" s="2" customFormat="1" ht="25.5" x14ac:dyDescent="0.2">
      <c r="A125" s="5" t="s">
        <v>13688</v>
      </c>
      <c r="B125" s="5" t="s">
        <v>8584</v>
      </c>
      <c r="C125" s="5">
        <v>83</v>
      </c>
      <c r="D125" s="5"/>
      <c r="E125" s="5" t="s">
        <v>213</v>
      </c>
      <c r="F125" s="5" t="s">
        <v>212</v>
      </c>
      <c r="G125" s="5" t="s">
        <v>91</v>
      </c>
      <c r="H125" s="5" t="s">
        <v>3</v>
      </c>
      <c r="I125" s="5"/>
      <c r="J125" s="5" t="s">
        <v>13687</v>
      </c>
      <c r="M125" s="1"/>
      <c r="N125"/>
      <c r="O125"/>
      <c r="P125"/>
      <c r="Q125"/>
      <c r="R125"/>
      <c r="S125"/>
      <c r="T125"/>
      <c r="U125"/>
      <c r="V125"/>
      <c r="W125"/>
      <c r="X125"/>
      <c r="Y125"/>
    </row>
    <row r="126" spans="1:25" s="2" customFormat="1" ht="25.5" x14ac:dyDescent="0.2">
      <c r="A126" s="5" t="s">
        <v>13686</v>
      </c>
      <c r="B126" s="5" t="s">
        <v>8584</v>
      </c>
      <c r="C126" s="5">
        <v>84</v>
      </c>
      <c r="D126" s="5"/>
      <c r="E126" s="5" t="s">
        <v>665</v>
      </c>
      <c r="F126" s="5" t="s">
        <v>13685</v>
      </c>
      <c r="G126" s="5" t="s">
        <v>148</v>
      </c>
      <c r="H126" s="5" t="s">
        <v>3</v>
      </c>
      <c r="I126" s="5"/>
      <c r="J126" s="5" t="s">
        <v>13684</v>
      </c>
      <c r="M126" s="1"/>
      <c r="N126"/>
      <c r="O126"/>
      <c r="P126"/>
      <c r="Q126"/>
      <c r="R126"/>
      <c r="S126"/>
      <c r="T126"/>
      <c r="U126"/>
      <c r="V126"/>
      <c r="W126"/>
      <c r="X126"/>
      <c r="Y126"/>
    </row>
    <row r="127" spans="1:25" s="2" customFormat="1" ht="25.5" x14ac:dyDescent="0.2">
      <c r="A127" s="5" t="s">
        <v>13683</v>
      </c>
      <c r="B127" s="5" t="s">
        <v>8584</v>
      </c>
      <c r="C127" s="5">
        <v>85</v>
      </c>
      <c r="D127" s="5"/>
      <c r="E127" s="5"/>
      <c r="F127" s="5" t="s">
        <v>13682</v>
      </c>
      <c r="G127" s="5" t="s">
        <v>283</v>
      </c>
      <c r="H127" s="5" t="s">
        <v>3</v>
      </c>
      <c r="I127" s="5"/>
      <c r="J127" s="5" t="s">
        <v>13681</v>
      </c>
      <c r="M127" s="1"/>
      <c r="N127"/>
      <c r="O127"/>
      <c r="P127"/>
      <c r="Q127"/>
      <c r="R127"/>
      <c r="S127"/>
      <c r="T127"/>
      <c r="U127"/>
      <c r="V127"/>
      <c r="W127"/>
      <c r="X127"/>
      <c r="Y127"/>
    </row>
    <row r="128" spans="1:25" s="2" customFormat="1" x14ac:dyDescent="0.2">
      <c r="A128" s="5" t="s">
        <v>13680</v>
      </c>
      <c r="B128" s="5" t="s">
        <v>8584</v>
      </c>
      <c r="C128" s="5">
        <v>86</v>
      </c>
      <c r="D128" s="5"/>
      <c r="E128" s="5"/>
      <c r="F128" s="5" t="s">
        <v>9416</v>
      </c>
      <c r="G128" s="5" t="s">
        <v>118</v>
      </c>
      <c r="H128" s="5" t="s">
        <v>3</v>
      </c>
      <c r="I128" s="5"/>
      <c r="J128" s="5" t="s">
        <v>13679</v>
      </c>
      <c r="M128" s="1"/>
      <c r="N128"/>
      <c r="O128"/>
      <c r="P128"/>
      <c r="Q128"/>
      <c r="R128"/>
      <c r="S128"/>
      <c r="T128"/>
      <c r="U128"/>
      <c r="V128"/>
      <c r="W128"/>
      <c r="X128"/>
      <c r="Y128"/>
    </row>
    <row r="129" spans="1:25" s="2" customFormat="1" ht="25.5" x14ac:dyDescent="0.2">
      <c r="A129" s="5" t="s">
        <v>13678</v>
      </c>
      <c r="B129" s="5" t="s">
        <v>8584</v>
      </c>
      <c r="C129" s="5">
        <v>86</v>
      </c>
      <c r="D129" s="5"/>
      <c r="E129" s="5"/>
      <c r="F129" s="5" t="s">
        <v>13677</v>
      </c>
      <c r="G129" s="5" t="s">
        <v>118</v>
      </c>
      <c r="H129" s="5" t="s">
        <v>3</v>
      </c>
      <c r="I129" s="5"/>
      <c r="J129" s="5"/>
      <c r="M129" s="1"/>
      <c r="N129"/>
      <c r="O129"/>
      <c r="P129"/>
      <c r="Q129"/>
      <c r="R129"/>
      <c r="S129"/>
      <c r="T129"/>
      <c r="U129"/>
      <c r="V129"/>
      <c r="W129"/>
      <c r="X129"/>
      <c r="Y129"/>
    </row>
    <row r="130" spans="1:25" s="2" customFormat="1" x14ac:dyDescent="0.2">
      <c r="A130" s="5" t="s">
        <v>13676</v>
      </c>
      <c r="B130" s="5" t="s">
        <v>8584</v>
      </c>
      <c r="C130" s="5">
        <v>87</v>
      </c>
      <c r="D130" s="5"/>
      <c r="E130" s="5"/>
      <c r="F130" s="5" t="s">
        <v>13675</v>
      </c>
      <c r="G130" s="5" t="s">
        <v>118</v>
      </c>
      <c r="H130" s="5" t="s">
        <v>3</v>
      </c>
      <c r="I130" s="5"/>
      <c r="J130" s="5"/>
      <c r="M130" s="1"/>
      <c r="N130"/>
      <c r="O130"/>
      <c r="P130"/>
      <c r="Q130"/>
      <c r="R130"/>
      <c r="S130"/>
      <c r="T130"/>
      <c r="U130"/>
      <c r="V130"/>
      <c r="W130"/>
      <c r="X130"/>
      <c r="Y130"/>
    </row>
    <row r="131" spans="1:25" s="2" customFormat="1" x14ac:dyDescent="0.2">
      <c r="A131" s="5" t="s">
        <v>7909</v>
      </c>
      <c r="B131" s="5" t="s">
        <v>8584</v>
      </c>
      <c r="C131" s="5">
        <v>87</v>
      </c>
      <c r="D131" s="5"/>
      <c r="E131" s="5"/>
      <c r="F131" s="5" t="s">
        <v>7577</v>
      </c>
      <c r="G131" s="5" t="s">
        <v>118</v>
      </c>
      <c r="H131" s="5" t="s">
        <v>3</v>
      </c>
      <c r="I131" s="5"/>
      <c r="J131" s="5" t="s">
        <v>13674</v>
      </c>
      <c r="M131" s="1"/>
      <c r="N131"/>
      <c r="O131"/>
      <c r="P131"/>
      <c r="Q131"/>
      <c r="R131"/>
      <c r="S131"/>
      <c r="T131"/>
      <c r="U131"/>
      <c r="V131"/>
      <c r="W131"/>
      <c r="X131"/>
      <c r="Y131"/>
    </row>
    <row r="132" spans="1:25" s="2" customFormat="1" x14ac:dyDescent="0.2">
      <c r="A132" s="5" t="s">
        <v>10904</v>
      </c>
      <c r="B132" s="5" t="s">
        <v>8584</v>
      </c>
      <c r="C132" s="5">
        <v>88</v>
      </c>
      <c r="D132" s="5"/>
      <c r="E132" s="5"/>
      <c r="F132" s="5" t="s">
        <v>10902</v>
      </c>
      <c r="G132" s="5" t="s">
        <v>118</v>
      </c>
      <c r="H132" s="5" t="s">
        <v>3</v>
      </c>
      <c r="I132" s="5"/>
      <c r="J132" s="5"/>
      <c r="M132" s="1"/>
      <c r="N132"/>
      <c r="O132"/>
      <c r="P132"/>
      <c r="Q132"/>
      <c r="R132"/>
      <c r="S132"/>
      <c r="T132"/>
      <c r="U132"/>
      <c r="V132"/>
      <c r="W132"/>
      <c r="X132"/>
      <c r="Y132"/>
    </row>
    <row r="133" spans="1:25" s="2" customFormat="1" ht="38.25" x14ac:dyDescent="0.2">
      <c r="A133" s="5" t="s">
        <v>13673</v>
      </c>
      <c r="B133" s="5" t="s">
        <v>8584</v>
      </c>
      <c r="C133" s="5">
        <v>89</v>
      </c>
      <c r="D133" s="5"/>
      <c r="E133" s="5" t="s">
        <v>288</v>
      </c>
      <c r="F133" s="5" t="s">
        <v>10916</v>
      </c>
      <c r="G133" s="5" t="s">
        <v>91</v>
      </c>
      <c r="H133" s="5" t="s">
        <v>3</v>
      </c>
      <c r="I133" s="5"/>
      <c r="J133" s="5" t="s">
        <v>13671</v>
      </c>
      <c r="M133" s="1"/>
      <c r="N133"/>
      <c r="O133"/>
      <c r="P133"/>
      <c r="Q133"/>
      <c r="R133"/>
      <c r="S133"/>
      <c r="T133"/>
      <c r="U133"/>
      <c r="V133"/>
      <c r="W133"/>
      <c r="X133"/>
      <c r="Y133"/>
    </row>
    <row r="134" spans="1:25" s="2" customFormat="1" ht="38.25" x14ac:dyDescent="0.2">
      <c r="A134" s="5" t="s">
        <v>13672</v>
      </c>
      <c r="B134" s="5" t="s">
        <v>8584</v>
      </c>
      <c r="C134" s="5">
        <v>89</v>
      </c>
      <c r="D134" s="5"/>
      <c r="E134" s="5" t="s">
        <v>213</v>
      </c>
      <c r="F134" s="5" t="s">
        <v>10916</v>
      </c>
      <c r="G134" s="5" t="s">
        <v>91</v>
      </c>
      <c r="H134" s="5" t="s">
        <v>3</v>
      </c>
      <c r="I134" s="5"/>
      <c r="J134" s="5" t="s">
        <v>13671</v>
      </c>
      <c r="M134" s="1"/>
      <c r="N134"/>
      <c r="O134"/>
      <c r="P134"/>
      <c r="Q134"/>
      <c r="R134"/>
      <c r="S134"/>
      <c r="T134"/>
      <c r="U134"/>
      <c r="V134"/>
      <c r="W134"/>
      <c r="X134"/>
      <c r="Y134"/>
    </row>
    <row r="135" spans="1:25" s="2" customFormat="1" ht="25.5" x14ac:dyDescent="0.2">
      <c r="A135" s="5" t="s">
        <v>13670</v>
      </c>
      <c r="B135" s="5" t="s">
        <v>8584</v>
      </c>
      <c r="C135" s="5">
        <v>90</v>
      </c>
      <c r="D135" s="5"/>
      <c r="E135" s="5"/>
      <c r="F135" s="5" t="s">
        <v>10957</v>
      </c>
      <c r="G135" s="5" t="s">
        <v>105</v>
      </c>
      <c r="H135" s="5" t="s">
        <v>3</v>
      </c>
      <c r="I135" s="5"/>
      <c r="J135" s="5" t="s">
        <v>13668</v>
      </c>
      <c r="M135" s="1"/>
      <c r="N135"/>
      <c r="O135"/>
      <c r="P135"/>
      <c r="Q135"/>
      <c r="R135"/>
      <c r="S135"/>
      <c r="T135"/>
      <c r="U135"/>
      <c r="V135"/>
      <c r="W135"/>
      <c r="X135"/>
      <c r="Y135"/>
    </row>
    <row r="136" spans="1:25" s="2" customFormat="1" ht="25.5" x14ac:dyDescent="0.2">
      <c r="A136" s="5" t="s">
        <v>13669</v>
      </c>
      <c r="B136" s="5" t="s">
        <v>8584</v>
      </c>
      <c r="C136" s="5">
        <v>90</v>
      </c>
      <c r="D136" s="5"/>
      <c r="E136" s="5"/>
      <c r="F136" s="5" t="s">
        <v>10957</v>
      </c>
      <c r="G136" s="5" t="s">
        <v>105</v>
      </c>
      <c r="H136" s="5" t="s">
        <v>3</v>
      </c>
      <c r="I136" s="5"/>
      <c r="J136" s="5" t="s">
        <v>13668</v>
      </c>
      <c r="M136" s="1"/>
      <c r="N136"/>
      <c r="O136"/>
      <c r="P136"/>
      <c r="Q136"/>
      <c r="R136"/>
      <c r="S136"/>
      <c r="T136"/>
      <c r="U136"/>
      <c r="V136"/>
      <c r="W136"/>
      <c r="X136"/>
      <c r="Y136"/>
    </row>
    <row r="137" spans="1:25" s="2" customFormat="1" ht="25.5" x14ac:dyDescent="0.2">
      <c r="A137" s="5" t="s">
        <v>13667</v>
      </c>
      <c r="B137" s="5" t="s">
        <v>8584</v>
      </c>
      <c r="C137" s="5">
        <v>91</v>
      </c>
      <c r="D137" s="5"/>
      <c r="E137" s="5" t="s">
        <v>6367</v>
      </c>
      <c r="F137" s="5" t="s">
        <v>13666</v>
      </c>
      <c r="G137" s="5" t="s">
        <v>105</v>
      </c>
      <c r="H137" s="5" t="s">
        <v>3</v>
      </c>
      <c r="I137" s="5"/>
      <c r="J137" s="5" t="s">
        <v>13665</v>
      </c>
      <c r="M137" s="1"/>
      <c r="N137"/>
      <c r="O137"/>
      <c r="P137"/>
      <c r="Q137"/>
      <c r="R137"/>
      <c r="S137"/>
      <c r="T137"/>
      <c r="U137"/>
      <c r="V137"/>
      <c r="W137"/>
      <c r="X137"/>
      <c r="Y137"/>
    </row>
    <row r="138" spans="1:25" s="2" customFormat="1" x14ac:dyDescent="0.2">
      <c r="A138" s="5" t="s">
        <v>13664</v>
      </c>
      <c r="B138" s="5" t="s">
        <v>8584</v>
      </c>
      <c r="C138" s="5">
        <v>92</v>
      </c>
      <c r="D138" s="5"/>
      <c r="E138" s="5"/>
      <c r="F138" s="5" t="s">
        <v>13663</v>
      </c>
      <c r="G138" s="5" t="s">
        <v>13213</v>
      </c>
      <c r="H138" s="5" t="s">
        <v>137</v>
      </c>
      <c r="I138" s="5" t="s">
        <v>13657</v>
      </c>
      <c r="J138" s="5" t="s">
        <v>13663</v>
      </c>
      <c r="M138" s="1"/>
      <c r="N138"/>
      <c r="O138"/>
      <c r="P138"/>
      <c r="Q138"/>
      <c r="R138"/>
      <c r="S138"/>
      <c r="T138"/>
      <c r="U138"/>
      <c r="V138"/>
      <c r="W138"/>
      <c r="X138"/>
      <c r="Y138"/>
    </row>
    <row r="139" spans="1:25" s="2" customFormat="1" x14ac:dyDescent="0.2">
      <c r="A139" s="5" t="s">
        <v>13662</v>
      </c>
      <c r="B139" s="5" t="s">
        <v>8584</v>
      </c>
      <c r="C139" s="5">
        <v>93</v>
      </c>
      <c r="D139" s="5"/>
      <c r="E139" s="5" t="s">
        <v>150</v>
      </c>
      <c r="F139" s="5" t="s">
        <v>13661</v>
      </c>
      <c r="G139" s="5" t="s">
        <v>148</v>
      </c>
      <c r="H139" s="5" t="s">
        <v>137</v>
      </c>
      <c r="I139" s="5" t="s">
        <v>13657</v>
      </c>
      <c r="J139" s="5" t="s">
        <v>13660</v>
      </c>
      <c r="M139" s="1"/>
      <c r="N139"/>
      <c r="O139"/>
      <c r="P139"/>
      <c r="Q139"/>
      <c r="R139"/>
      <c r="S139"/>
      <c r="T139"/>
      <c r="U139"/>
      <c r="V139"/>
      <c r="W139"/>
      <c r="X139"/>
      <c r="Y139"/>
    </row>
    <row r="140" spans="1:25" s="2" customFormat="1" x14ac:dyDescent="0.2">
      <c r="A140" s="5" t="s">
        <v>13659</v>
      </c>
      <c r="B140" s="5" t="s">
        <v>8584</v>
      </c>
      <c r="C140" s="5">
        <v>94</v>
      </c>
      <c r="D140" s="5"/>
      <c r="E140" s="5" t="s">
        <v>5520</v>
      </c>
      <c r="F140" s="5" t="s">
        <v>13658</v>
      </c>
      <c r="G140" s="5" t="s">
        <v>207</v>
      </c>
      <c r="H140" s="5" t="s">
        <v>137</v>
      </c>
      <c r="I140" s="5" t="s">
        <v>13657</v>
      </c>
      <c r="J140" s="5" t="s">
        <v>13656</v>
      </c>
      <c r="M140" s="1"/>
      <c r="N140"/>
      <c r="O140"/>
      <c r="P140"/>
      <c r="Q140"/>
      <c r="R140"/>
      <c r="S140"/>
      <c r="T140"/>
      <c r="U140"/>
      <c r="V140"/>
      <c r="W140"/>
      <c r="X140"/>
      <c r="Y140"/>
    </row>
    <row r="141" spans="1:25" s="2" customFormat="1" x14ac:dyDescent="0.2">
      <c r="A141" s="5" t="s">
        <v>13655</v>
      </c>
      <c r="B141" s="5" t="s">
        <v>8584</v>
      </c>
      <c r="C141" s="5">
        <v>95</v>
      </c>
      <c r="D141" s="5"/>
      <c r="E141" s="5" t="s">
        <v>150</v>
      </c>
      <c r="F141" s="5" t="s">
        <v>10938</v>
      </c>
      <c r="G141" s="5" t="s">
        <v>148</v>
      </c>
      <c r="H141" s="5" t="s">
        <v>3</v>
      </c>
      <c r="I141" s="5"/>
      <c r="J141" s="5" t="s">
        <v>13653</v>
      </c>
      <c r="M141" s="1"/>
      <c r="N141"/>
      <c r="O141"/>
      <c r="P141"/>
      <c r="Q141"/>
      <c r="R141"/>
      <c r="S141"/>
      <c r="T141"/>
      <c r="U141"/>
      <c r="V141"/>
      <c r="W141"/>
      <c r="X141"/>
      <c r="Y141"/>
    </row>
    <row r="142" spans="1:25" x14ac:dyDescent="0.2">
      <c r="A142" s="5" t="s">
        <v>13654</v>
      </c>
      <c r="B142" s="5" t="s">
        <v>8584</v>
      </c>
      <c r="C142" s="5">
        <v>95</v>
      </c>
      <c r="D142" s="5"/>
      <c r="E142" s="5" t="s">
        <v>213</v>
      </c>
      <c r="F142" s="5" t="s">
        <v>10938</v>
      </c>
      <c r="G142" s="5" t="s">
        <v>91</v>
      </c>
      <c r="H142" s="5" t="s">
        <v>3</v>
      </c>
      <c r="I142" s="5"/>
      <c r="J142" s="5" t="s">
        <v>13653</v>
      </c>
    </row>
    <row r="143" spans="1:25" ht="25.5" x14ac:dyDescent="0.2">
      <c r="A143" s="5" t="s">
        <v>13652</v>
      </c>
      <c r="B143" s="5" t="s">
        <v>8584</v>
      </c>
      <c r="C143" s="5">
        <v>96</v>
      </c>
      <c r="D143" s="5"/>
      <c r="E143" s="5"/>
      <c r="F143" s="5"/>
      <c r="G143" s="5" t="s">
        <v>105</v>
      </c>
      <c r="H143" s="5" t="s">
        <v>3</v>
      </c>
      <c r="I143" s="5"/>
      <c r="J143" s="5" t="s">
        <v>13651</v>
      </c>
    </row>
    <row r="144" spans="1:25" ht="25.5" x14ac:dyDescent="0.2">
      <c r="A144" s="5" t="s">
        <v>13650</v>
      </c>
      <c r="B144" s="5" t="s">
        <v>8584</v>
      </c>
      <c r="C144" s="5">
        <v>96</v>
      </c>
      <c r="D144" s="5"/>
      <c r="E144" s="5"/>
      <c r="F144" s="5" t="s">
        <v>13649</v>
      </c>
      <c r="G144" s="5" t="s">
        <v>80</v>
      </c>
      <c r="H144" s="5" t="s">
        <v>3</v>
      </c>
      <c r="I144" s="5"/>
      <c r="J144" s="5" t="s">
        <v>13648</v>
      </c>
    </row>
    <row r="145" spans="1:10" ht="25.5" x14ac:dyDescent="0.2">
      <c r="A145" s="5" t="s">
        <v>13647</v>
      </c>
      <c r="B145" s="5" t="s">
        <v>8584</v>
      </c>
      <c r="C145" s="5">
        <v>97</v>
      </c>
      <c r="D145" s="5"/>
      <c r="E145" s="5" t="s">
        <v>6367</v>
      </c>
      <c r="F145" s="5" t="s">
        <v>11574</v>
      </c>
      <c r="G145" s="5" t="s">
        <v>105</v>
      </c>
      <c r="H145" s="5" t="s">
        <v>3</v>
      </c>
      <c r="I145" s="5"/>
      <c r="J145" s="5" t="s">
        <v>13646</v>
      </c>
    </row>
    <row r="146" spans="1:10" ht="38.25" x14ac:dyDescent="0.2">
      <c r="A146" s="5" t="s">
        <v>11268</v>
      </c>
      <c r="B146" s="5" t="s">
        <v>8584</v>
      </c>
      <c r="C146" s="5">
        <v>98</v>
      </c>
      <c r="D146" s="5"/>
      <c r="E146" s="5"/>
      <c r="F146" s="5" t="s">
        <v>11267</v>
      </c>
      <c r="G146" s="5" t="s">
        <v>105</v>
      </c>
      <c r="H146" s="5" t="s">
        <v>3</v>
      </c>
      <c r="I146" s="5"/>
      <c r="J146" s="5" t="s">
        <v>13645</v>
      </c>
    </row>
    <row r="147" spans="1:10" ht="25.5" x14ac:dyDescent="0.2">
      <c r="A147" s="5" t="s">
        <v>13644</v>
      </c>
      <c r="B147" s="5" t="s">
        <v>8584</v>
      </c>
      <c r="C147" s="5">
        <v>99</v>
      </c>
      <c r="D147" s="5"/>
      <c r="E147" s="5"/>
      <c r="F147" s="5" t="s">
        <v>11267</v>
      </c>
      <c r="G147" s="5" t="s">
        <v>105</v>
      </c>
      <c r="H147" s="5" t="s">
        <v>3</v>
      </c>
      <c r="I147" s="5"/>
      <c r="J147" s="5" t="s">
        <v>13643</v>
      </c>
    </row>
    <row r="148" spans="1:10" ht="25.5" x14ac:dyDescent="0.2">
      <c r="A148" s="5" t="s">
        <v>13642</v>
      </c>
      <c r="B148" s="5" t="s">
        <v>8584</v>
      </c>
      <c r="C148" s="5">
        <v>100</v>
      </c>
      <c r="D148" s="5"/>
      <c r="E148" s="5"/>
      <c r="F148" s="5" t="s">
        <v>13637</v>
      </c>
      <c r="G148" s="5" t="s">
        <v>80</v>
      </c>
      <c r="H148" s="5" t="s">
        <v>3</v>
      </c>
      <c r="I148" s="5"/>
      <c r="J148" s="5" t="s">
        <v>13641</v>
      </c>
    </row>
    <row r="149" spans="1:10" ht="25.5" x14ac:dyDescent="0.2">
      <c r="A149" s="5" t="s">
        <v>13640</v>
      </c>
      <c r="B149" s="5" t="s">
        <v>8584</v>
      </c>
      <c r="C149" s="5">
        <v>101</v>
      </c>
      <c r="D149" s="5"/>
      <c r="E149" s="5"/>
      <c r="F149" s="5" t="s">
        <v>13637</v>
      </c>
      <c r="G149" s="5" t="s">
        <v>80</v>
      </c>
      <c r="H149" s="5" t="s">
        <v>3</v>
      </c>
      <c r="I149" s="5"/>
      <c r="J149" s="5" t="s">
        <v>13639</v>
      </c>
    </row>
    <row r="150" spans="1:10" ht="25.5" x14ac:dyDescent="0.2">
      <c r="A150" s="5" t="s">
        <v>13638</v>
      </c>
      <c r="B150" s="5" t="s">
        <v>8584</v>
      </c>
      <c r="C150" s="5">
        <v>102</v>
      </c>
      <c r="D150" s="5"/>
      <c r="E150" s="5"/>
      <c r="F150" s="5" t="s">
        <v>13637</v>
      </c>
      <c r="G150" s="5" t="s">
        <v>80</v>
      </c>
      <c r="H150" s="5" t="s">
        <v>3</v>
      </c>
      <c r="I150" s="5"/>
      <c r="J150" s="5" t="s">
        <v>13636</v>
      </c>
    </row>
    <row r="151" spans="1:10" x14ac:dyDescent="0.2">
      <c r="A151" s="5" t="s">
        <v>13635</v>
      </c>
      <c r="B151" s="5" t="s">
        <v>8584</v>
      </c>
      <c r="C151" s="5">
        <v>103</v>
      </c>
      <c r="D151" s="5"/>
      <c r="E151" s="5"/>
      <c r="F151" s="5" t="s">
        <v>13634</v>
      </c>
      <c r="G151" s="5" t="s">
        <v>80</v>
      </c>
      <c r="H151" s="5" t="s">
        <v>3</v>
      </c>
      <c r="I151" s="5"/>
      <c r="J151" s="5" t="s">
        <v>13633</v>
      </c>
    </row>
    <row r="152" spans="1:10" x14ac:dyDescent="0.2">
      <c r="A152" s="5" t="s">
        <v>13632</v>
      </c>
      <c r="B152" s="5" t="s">
        <v>8584</v>
      </c>
      <c r="C152" s="5">
        <v>104</v>
      </c>
      <c r="D152" s="5"/>
      <c r="E152" s="5"/>
      <c r="F152" s="5" t="s">
        <v>6462</v>
      </c>
      <c r="G152" s="5" t="s">
        <v>80</v>
      </c>
      <c r="H152" s="5" t="s">
        <v>3</v>
      </c>
      <c r="I152" s="5"/>
      <c r="J152" s="5" t="s">
        <v>13631</v>
      </c>
    </row>
    <row r="153" spans="1:10" ht="25.5" x14ac:dyDescent="0.2">
      <c r="A153" s="5" t="s">
        <v>13630</v>
      </c>
      <c r="B153" s="5" t="s">
        <v>8584</v>
      </c>
      <c r="C153" s="5">
        <v>105</v>
      </c>
      <c r="D153" s="5"/>
      <c r="E153" s="5" t="s">
        <v>6367</v>
      </c>
      <c r="F153" s="5" t="s">
        <v>13629</v>
      </c>
      <c r="G153" s="5" t="s">
        <v>105</v>
      </c>
      <c r="H153" s="5" t="s">
        <v>3</v>
      </c>
      <c r="I153" s="5"/>
      <c r="J153" s="5" t="s">
        <v>13628</v>
      </c>
    </row>
    <row r="154" spans="1:10" ht="25.5" x14ac:dyDescent="0.2">
      <c r="A154" s="5" t="s">
        <v>13627</v>
      </c>
      <c r="B154" s="5" t="s">
        <v>8584</v>
      </c>
      <c r="C154" s="5">
        <v>106</v>
      </c>
      <c r="D154" s="5"/>
      <c r="E154" s="5"/>
      <c r="F154" s="5" t="s">
        <v>13626</v>
      </c>
      <c r="G154" s="5" t="s">
        <v>207</v>
      </c>
      <c r="H154" s="5" t="s">
        <v>3</v>
      </c>
      <c r="I154" s="5"/>
      <c r="J154" s="5" t="s">
        <v>13625</v>
      </c>
    </row>
    <row r="155" spans="1:10" ht="38.25" x14ac:dyDescent="0.2">
      <c r="A155" s="5" t="s">
        <v>11893</v>
      </c>
      <c r="B155" s="5" t="s">
        <v>8584</v>
      </c>
      <c r="C155" s="5">
        <v>107</v>
      </c>
      <c r="D155" s="5"/>
      <c r="E155" s="5"/>
      <c r="F155" s="5" t="s">
        <v>11267</v>
      </c>
      <c r="G155" s="5" t="s">
        <v>105</v>
      </c>
      <c r="H155" s="5" t="s">
        <v>3</v>
      </c>
      <c r="I155" s="5"/>
      <c r="J155" s="5" t="s">
        <v>13624</v>
      </c>
    </row>
    <row r="156" spans="1:10" ht="38.25" x14ac:dyDescent="0.2">
      <c r="A156" s="5" t="s">
        <v>13623</v>
      </c>
      <c r="B156" s="5" t="s">
        <v>8584</v>
      </c>
      <c r="C156" s="5">
        <v>108</v>
      </c>
      <c r="D156" s="5"/>
      <c r="E156" s="5" t="s">
        <v>6367</v>
      </c>
      <c r="F156" s="5"/>
      <c r="G156" s="5" t="s">
        <v>105</v>
      </c>
      <c r="H156" s="5" t="s">
        <v>3</v>
      </c>
      <c r="I156" s="5"/>
      <c r="J156" s="5" t="s">
        <v>13622</v>
      </c>
    </row>
    <row r="157" spans="1:10" ht="25.5" x14ac:dyDescent="0.2">
      <c r="A157" s="5" t="s">
        <v>10629</v>
      </c>
      <c r="B157" s="5" t="s">
        <v>8584</v>
      </c>
      <c r="C157" s="5">
        <v>109</v>
      </c>
      <c r="D157" s="5"/>
      <c r="E157" s="5"/>
      <c r="F157" s="5"/>
      <c r="G157" s="5" t="s">
        <v>105</v>
      </c>
      <c r="H157" s="5" t="s">
        <v>3</v>
      </c>
      <c r="I157" s="5"/>
      <c r="J157" s="5" t="s">
        <v>10627</v>
      </c>
    </row>
    <row r="158" spans="1:10" x14ac:dyDescent="0.2">
      <c r="A158" s="5" t="s">
        <v>13621</v>
      </c>
      <c r="B158" s="5" t="s">
        <v>8584</v>
      </c>
      <c r="C158" s="5">
        <v>110</v>
      </c>
      <c r="D158" s="5"/>
      <c r="E158" s="5"/>
      <c r="F158" s="5" t="s">
        <v>10998</v>
      </c>
      <c r="G158" s="5" t="s">
        <v>118</v>
      </c>
      <c r="H158" s="5" t="s">
        <v>3</v>
      </c>
      <c r="I158" s="5"/>
      <c r="J158" s="5" t="s">
        <v>13620</v>
      </c>
    </row>
    <row r="159" spans="1:10" x14ac:dyDescent="0.2">
      <c r="A159" s="5" t="s">
        <v>13619</v>
      </c>
      <c r="B159" s="5" t="s">
        <v>8584</v>
      </c>
      <c r="C159" s="5">
        <v>111</v>
      </c>
      <c r="D159" s="5"/>
      <c r="E159" s="5" t="s">
        <v>93</v>
      </c>
      <c r="F159" s="5" t="s">
        <v>13618</v>
      </c>
      <c r="G159" s="5" t="s">
        <v>382</v>
      </c>
      <c r="H159" s="5" t="s">
        <v>3</v>
      </c>
      <c r="I159" s="5"/>
      <c r="J159" s="5" t="s">
        <v>13617</v>
      </c>
    </row>
    <row r="160" spans="1:10" x14ac:dyDescent="0.2">
      <c r="A160" s="5" t="s">
        <v>13616</v>
      </c>
      <c r="B160" s="5" t="s">
        <v>8584</v>
      </c>
      <c r="C160" s="5">
        <v>112</v>
      </c>
      <c r="D160" s="5"/>
      <c r="E160" s="5" t="s">
        <v>150</v>
      </c>
      <c r="F160" s="5" t="s">
        <v>13614</v>
      </c>
      <c r="G160" s="5" t="s">
        <v>148</v>
      </c>
      <c r="H160" s="5" t="s">
        <v>3</v>
      </c>
      <c r="I160" s="5"/>
      <c r="J160" s="5" t="s">
        <v>13613</v>
      </c>
    </row>
    <row r="161" spans="1:10" x14ac:dyDescent="0.2">
      <c r="A161" s="5" t="s">
        <v>13615</v>
      </c>
      <c r="B161" s="5" t="s">
        <v>8584</v>
      </c>
      <c r="C161" s="5">
        <v>112</v>
      </c>
      <c r="D161" s="5"/>
      <c r="E161" s="5" t="s">
        <v>213</v>
      </c>
      <c r="F161" s="5" t="s">
        <v>13614</v>
      </c>
      <c r="G161" s="5" t="s">
        <v>91</v>
      </c>
      <c r="H161" s="5" t="s">
        <v>3</v>
      </c>
      <c r="I161" s="5"/>
      <c r="J161" s="5" t="s">
        <v>13613</v>
      </c>
    </row>
    <row r="162" spans="1:10" ht="25.5" x14ac:dyDescent="0.2">
      <c r="A162" s="5" t="s">
        <v>13612</v>
      </c>
      <c r="B162" s="5" t="s">
        <v>83</v>
      </c>
      <c r="C162" s="5"/>
      <c r="D162" s="5" t="s">
        <v>12417</v>
      </c>
      <c r="E162" s="5" t="s">
        <v>138</v>
      </c>
      <c r="F162" s="5">
        <v>2001</v>
      </c>
      <c r="G162" s="5" t="s">
        <v>207</v>
      </c>
      <c r="H162" s="5" t="s">
        <v>3</v>
      </c>
      <c r="I162" s="5"/>
      <c r="J162" s="5" t="s">
        <v>13611</v>
      </c>
    </row>
    <row r="163" spans="1:10" ht="25.5" x14ac:dyDescent="0.2">
      <c r="A163" s="5" t="s">
        <v>13610</v>
      </c>
      <c r="B163" s="5" t="s">
        <v>83</v>
      </c>
      <c r="C163" s="5"/>
      <c r="D163" s="5" t="s">
        <v>12417</v>
      </c>
      <c r="E163" s="5" t="s">
        <v>138</v>
      </c>
      <c r="F163" s="5">
        <v>2002</v>
      </c>
      <c r="G163" s="5" t="s">
        <v>207</v>
      </c>
      <c r="H163" s="5" t="s">
        <v>3</v>
      </c>
      <c r="I163" s="5"/>
      <c r="J163" s="5" t="s">
        <v>13609</v>
      </c>
    </row>
    <row r="164" spans="1:10" ht="25.5" x14ac:dyDescent="0.2">
      <c r="A164" s="5" t="s">
        <v>13608</v>
      </c>
      <c r="B164" s="5" t="s">
        <v>83</v>
      </c>
      <c r="C164" s="5"/>
      <c r="D164" s="5" t="s">
        <v>12417</v>
      </c>
      <c r="E164" s="5" t="s">
        <v>138</v>
      </c>
      <c r="F164" s="5">
        <v>2003</v>
      </c>
      <c r="G164" s="5" t="s">
        <v>207</v>
      </c>
      <c r="H164" s="5" t="s">
        <v>3</v>
      </c>
      <c r="I164" s="5"/>
      <c r="J164" s="5" t="s">
        <v>13607</v>
      </c>
    </row>
    <row r="165" spans="1:10" ht="25.5" x14ac:dyDescent="0.2">
      <c r="A165" s="5" t="s">
        <v>13606</v>
      </c>
      <c r="B165" s="5" t="s">
        <v>83</v>
      </c>
      <c r="C165" s="5"/>
      <c r="D165" s="5" t="s">
        <v>12417</v>
      </c>
      <c r="E165" s="5" t="s">
        <v>138</v>
      </c>
      <c r="F165" s="5">
        <v>2004</v>
      </c>
      <c r="G165" s="5" t="s">
        <v>207</v>
      </c>
      <c r="H165" s="5" t="s">
        <v>3</v>
      </c>
      <c r="I165" s="5"/>
      <c r="J165" s="5" t="s">
        <v>13605</v>
      </c>
    </row>
    <row r="166" spans="1:10" ht="25.5" x14ac:dyDescent="0.2">
      <c r="A166" s="5" t="s">
        <v>13604</v>
      </c>
      <c r="B166" s="5" t="s">
        <v>83</v>
      </c>
      <c r="C166" s="5"/>
      <c r="D166" s="5" t="s">
        <v>12417</v>
      </c>
      <c r="E166" s="5" t="s">
        <v>138</v>
      </c>
      <c r="F166" s="5">
        <v>2005</v>
      </c>
      <c r="G166" s="5" t="s">
        <v>207</v>
      </c>
      <c r="H166" s="5" t="s">
        <v>3</v>
      </c>
      <c r="I166" s="5"/>
      <c r="J166" s="5" t="s">
        <v>13603</v>
      </c>
    </row>
    <row r="167" spans="1:10" ht="25.5" x14ac:dyDescent="0.2">
      <c r="A167" s="5" t="s">
        <v>13602</v>
      </c>
      <c r="B167" s="5" t="s">
        <v>83</v>
      </c>
      <c r="C167" s="5"/>
      <c r="D167" s="5" t="s">
        <v>12417</v>
      </c>
      <c r="E167" s="5" t="s">
        <v>138</v>
      </c>
      <c r="F167" s="5">
        <v>2006</v>
      </c>
      <c r="G167" s="5" t="s">
        <v>207</v>
      </c>
      <c r="H167" s="5" t="s">
        <v>3</v>
      </c>
      <c r="I167" s="5"/>
      <c r="J167" s="5" t="s">
        <v>13601</v>
      </c>
    </row>
    <row r="168" spans="1:10" ht="25.5" x14ac:dyDescent="0.2">
      <c r="A168" s="5" t="s">
        <v>13600</v>
      </c>
      <c r="B168" s="5" t="s">
        <v>83</v>
      </c>
      <c r="C168" s="5"/>
      <c r="D168" s="5" t="s">
        <v>12417</v>
      </c>
      <c r="E168" s="5" t="s">
        <v>138</v>
      </c>
      <c r="F168" s="5">
        <v>2007</v>
      </c>
      <c r="G168" s="5" t="s">
        <v>207</v>
      </c>
      <c r="H168" s="5" t="s">
        <v>3</v>
      </c>
      <c r="I168" s="5"/>
      <c r="J168" s="5" t="s">
        <v>13599</v>
      </c>
    </row>
    <row r="169" spans="1:10" ht="25.5" x14ac:dyDescent="0.2">
      <c r="A169" s="5" t="s">
        <v>13598</v>
      </c>
      <c r="B169" s="5" t="s">
        <v>83</v>
      </c>
      <c r="C169" s="5"/>
      <c r="D169" s="5" t="s">
        <v>12417</v>
      </c>
      <c r="E169" s="5" t="s">
        <v>138</v>
      </c>
      <c r="F169" s="5">
        <v>2008</v>
      </c>
      <c r="G169" s="5" t="s">
        <v>207</v>
      </c>
      <c r="H169" s="5" t="s">
        <v>3</v>
      </c>
      <c r="I169" s="5"/>
      <c r="J169" s="5" t="s">
        <v>13597</v>
      </c>
    </row>
    <row r="170" spans="1:10" ht="25.5" x14ac:dyDescent="0.2">
      <c r="A170" s="5" t="s">
        <v>13596</v>
      </c>
      <c r="B170" s="5" t="s">
        <v>83</v>
      </c>
      <c r="C170" s="5"/>
      <c r="D170" s="5" t="s">
        <v>12417</v>
      </c>
      <c r="E170" s="5" t="s">
        <v>138</v>
      </c>
      <c r="F170" s="5">
        <v>2009</v>
      </c>
      <c r="G170" s="5" t="s">
        <v>207</v>
      </c>
      <c r="H170" s="5" t="s">
        <v>3</v>
      </c>
      <c r="I170" s="5"/>
      <c r="J170" s="5" t="s">
        <v>13595</v>
      </c>
    </row>
    <row r="171" spans="1:10" ht="25.5" x14ac:dyDescent="0.2">
      <c r="A171" s="5" t="s">
        <v>13594</v>
      </c>
      <c r="B171" s="5" t="s">
        <v>83</v>
      </c>
      <c r="C171" s="5"/>
      <c r="D171" s="5" t="s">
        <v>12417</v>
      </c>
      <c r="E171" s="5" t="s">
        <v>138</v>
      </c>
      <c r="F171" s="5">
        <v>2010</v>
      </c>
      <c r="G171" s="5" t="s">
        <v>207</v>
      </c>
      <c r="H171" s="5" t="s">
        <v>3</v>
      </c>
      <c r="I171" s="5"/>
      <c r="J171" s="5" t="s">
        <v>13593</v>
      </c>
    </row>
    <row r="172" spans="1:10" ht="25.5" x14ac:dyDescent="0.2">
      <c r="A172" s="5" t="s">
        <v>13592</v>
      </c>
      <c r="B172" s="5" t="s">
        <v>83</v>
      </c>
      <c r="C172" s="5"/>
      <c r="D172" s="5" t="s">
        <v>12417</v>
      </c>
      <c r="E172" s="5" t="s">
        <v>138</v>
      </c>
      <c r="F172" s="5">
        <v>2011</v>
      </c>
      <c r="G172" s="5" t="s">
        <v>207</v>
      </c>
      <c r="H172" s="5" t="s">
        <v>3</v>
      </c>
      <c r="I172" s="5"/>
      <c r="J172" s="5" t="s">
        <v>13591</v>
      </c>
    </row>
    <row r="173" spans="1:10" ht="25.5" x14ac:dyDescent="0.2">
      <c r="A173" s="5" t="s">
        <v>13590</v>
      </c>
      <c r="B173" s="5" t="s">
        <v>83</v>
      </c>
      <c r="C173" s="5"/>
      <c r="D173" s="5" t="s">
        <v>12417</v>
      </c>
      <c r="E173" s="5" t="s">
        <v>138</v>
      </c>
      <c r="F173" s="5">
        <v>2012</v>
      </c>
      <c r="G173" s="5" t="s">
        <v>207</v>
      </c>
      <c r="H173" s="5" t="s">
        <v>3</v>
      </c>
      <c r="I173" s="5"/>
      <c r="J173" s="5" t="s">
        <v>13589</v>
      </c>
    </row>
    <row r="174" spans="1:10" ht="25.5" x14ac:dyDescent="0.2">
      <c r="A174" s="5" t="s">
        <v>13588</v>
      </c>
      <c r="B174" s="5" t="s">
        <v>83</v>
      </c>
      <c r="C174" s="5"/>
      <c r="D174" s="5" t="s">
        <v>12417</v>
      </c>
      <c r="E174" s="5" t="s">
        <v>138</v>
      </c>
      <c r="F174" s="5">
        <v>2013</v>
      </c>
      <c r="G174" s="5" t="s">
        <v>207</v>
      </c>
      <c r="H174" s="5" t="s">
        <v>3</v>
      </c>
      <c r="I174" s="5"/>
      <c r="J174" s="5" t="s">
        <v>13587</v>
      </c>
    </row>
    <row r="175" spans="1:10" ht="25.5" x14ac:dyDescent="0.2">
      <c r="A175" s="5" t="s">
        <v>13586</v>
      </c>
      <c r="B175" s="5" t="s">
        <v>83</v>
      </c>
      <c r="C175" s="5"/>
      <c r="D175" s="5" t="s">
        <v>12417</v>
      </c>
      <c r="E175" s="5" t="s">
        <v>138</v>
      </c>
      <c r="F175" s="5">
        <v>2014</v>
      </c>
      <c r="G175" s="5" t="s">
        <v>207</v>
      </c>
      <c r="H175" s="5" t="s">
        <v>3</v>
      </c>
      <c r="I175" s="5"/>
      <c r="J175" s="5" t="s">
        <v>13585</v>
      </c>
    </row>
    <row r="176" spans="1:10" x14ac:dyDescent="0.2">
      <c r="A176" s="5" t="s">
        <v>11227</v>
      </c>
      <c r="B176" s="5" t="s">
        <v>83</v>
      </c>
      <c r="C176" s="5"/>
      <c r="D176" s="5" t="s">
        <v>11226</v>
      </c>
      <c r="E176" s="5"/>
      <c r="F176" s="5" t="s">
        <v>11225</v>
      </c>
      <c r="G176" s="5" t="s">
        <v>170</v>
      </c>
      <c r="H176" s="5" t="s">
        <v>3</v>
      </c>
      <c r="I176" s="5"/>
      <c r="J176" s="5" t="s">
        <v>11224</v>
      </c>
    </row>
    <row r="177" spans="1:10" ht="25.5" x14ac:dyDescent="0.2">
      <c r="A177" s="5" t="s">
        <v>11223</v>
      </c>
      <c r="B177" s="5" t="s">
        <v>83</v>
      </c>
      <c r="C177" s="5"/>
      <c r="D177" s="5" t="s">
        <v>11222</v>
      </c>
      <c r="E177" s="5"/>
      <c r="F177" s="5" t="s">
        <v>11221</v>
      </c>
      <c r="G177" s="5" t="s">
        <v>224</v>
      </c>
      <c r="H177" s="5" t="s">
        <v>3</v>
      </c>
      <c r="I177" s="5"/>
      <c r="J177" s="5" t="s">
        <v>11220</v>
      </c>
    </row>
    <row r="178" spans="1:10" x14ac:dyDescent="0.2">
      <c r="A178" s="5" t="s">
        <v>13584</v>
      </c>
      <c r="B178" s="5" t="s">
        <v>83</v>
      </c>
      <c r="C178" s="5"/>
      <c r="D178" s="5" t="s">
        <v>13583</v>
      </c>
      <c r="E178" s="5"/>
      <c r="F178" s="5" t="s">
        <v>8863</v>
      </c>
      <c r="G178" s="5" t="s">
        <v>105</v>
      </c>
      <c r="H178" s="5" t="s">
        <v>3</v>
      </c>
      <c r="I178" s="5"/>
      <c r="J178" s="5"/>
    </row>
    <row r="179" spans="1:10" ht="25.5" x14ac:dyDescent="0.2">
      <c r="A179" s="5" t="s">
        <v>13582</v>
      </c>
      <c r="B179" s="5" t="s">
        <v>83</v>
      </c>
      <c r="C179" s="5"/>
      <c r="D179" s="5" t="s">
        <v>13581</v>
      </c>
      <c r="E179" s="5"/>
      <c r="F179" s="5" t="s">
        <v>10313</v>
      </c>
      <c r="G179" s="5" t="s">
        <v>105</v>
      </c>
      <c r="H179" s="5" t="s">
        <v>3</v>
      </c>
      <c r="I179" s="5"/>
      <c r="J179" s="5" t="s">
        <v>13580</v>
      </c>
    </row>
    <row r="180" spans="1:10" ht="25.5" x14ac:dyDescent="0.2">
      <c r="A180" s="5" t="s">
        <v>13579</v>
      </c>
      <c r="B180" s="5" t="s">
        <v>83</v>
      </c>
      <c r="C180" s="5"/>
      <c r="D180" s="5" t="s">
        <v>13578</v>
      </c>
      <c r="E180" s="5"/>
      <c r="F180" s="5" t="s">
        <v>8863</v>
      </c>
      <c r="G180" s="5" t="s">
        <v>80</v>
      </c>
      <c r="H180" s="5" t="s">
        <v>3</v>
      </c>
      <c r="I180" s="5"/>
      <c r="J180" s="5" t="s">
        <v>13577</v>
      </c>
    </row>
    <row r="181" spans="1:10" x14ac:dyDescent="0.2">
      <c r="A181" s="5" t="s">
        <v>13576</v>
      </c>
      <c r="B181" s="5" t="s">
        <v>83</v>
      </c>
      <c r="C181" s="5"/>
      <c r="D181" s="5" t="s">
        <v>13575</v>
      </c>
      <c r="E181" s="5" t="s">
        <v>93</v>
      </c>
      <c r="F181" s="5" t="s">
        <v>8863</v>
      </c>
      <c r="G181" s="5" t="s">
        <v>6584</v>
      </c>
      <c r="H181" s="5" t="s">
        <v>3</v>
      </c>
      <c r="I181" s="5"/>
      <c r="J181" s="5" t="s">
        <v>13574</v>
      </c>
    </row>
    <row r="182" spans="1:10" x14ac:dyDescent="0.2">
      <c r="A182" s="5" t="s">
        <v>13573</v>
      </c>
      <c r="B182" s="5" t="s">
        <v>83</v>
      </c>
      <c r="C182" s="5"/>
      <c r="D182" s="5" t="s">
        <v>13572</v>
      </c>
      <c r="E182" s="5"/>
      <c r="F182" s="5" t="s">
        <v>8863</v>
      </c>
      <c r="G182" s="5" t="s">
        <v>173</v>
      </c>
      <c r="H182" s="5" t="s">
        <v>3</v>
      </c>
      <c r="I182" s="5"/>
      <c r="J182" s="5"/>
    </row>
    <row r="183" spans="1:10" ht="25.5" x14ac:dyDescent="0.2">
      <c r="A183" s="5" t="s">
        <v>13571</v>
      </c>
      <c r="B183" s="5" t="s">
        <v>83</v>
      </c>
      <c r="C183" s="5"/>
      <c r="D183" s="5" t="s">
        <v>13570</v>
      </c>
      <c r="E183" s="5"/>
      <c r="F183" s="5" t="s">
        <v>8863</v>
      </c>
      <c r="G183" s="5" t="s">
        <v>105</v>
      </c>
      <c r="H183" s="5" t="s">
        <v>3</v>
      </c>
      <c r="I183" s="5"/>
      <c r="J183" s="5" t="s">
        <v>13569</v>
      </c>
    </row>
    <row r="184" spans="1:10" x14ac:dyDescent="0.2">
      <c r="A184" s="5" t="s">
        <v>13568</v>
      </c>
      <c r="B184" s="5" t="s">
        <v>83</v>
      </c>
      <c r="C184" s="5"/>
      <c r="D184" s="5" t="s">
        <v>13567</v>
      </c>
      <c r="E184" s="5" t="s">
        <v>93</v>
      </c>
      <c r="F184" s="5" t="s">
        <v>8863</v>
      </c>
      <c r="G184" s="5" t="s">
        <v>6584</v>
      </c>
      <c r="H184" s="5" t="s">
        <v>3</v>
      </c>
      <c r="I184" s="5"/>
      <c r="J184" s="5" t="s">
        <v>13566</v>
      </c>
    </row>
    <row r="185" spans="1:10" ht="25.5" x14ac:dyDescent="0.2">
      <c r="A185" s="5" t="s">
        <v>13565</v>
      </c>
      <c r="B185" s="5" t="s">
        <v>83</v>
      </c>
      <c r="C185" s="5"/>
      <c r="D185" s="5" t="s">
        <v>13564</v>
      </c>
      <c r="E185" s="5" t="s">
        <v>93</v>
      </c>
      <c r="F185" s="5" t="s">
        <v>13563</v>
      </c>
      <c r="G185" s="5" t="s">
        <v>195</v>
      </c>
      <c r="H185" s="5" t="s">
        <v>3</v>
      </c>
      <c r="I185" s="5"/>
      <c r="J185" s="5" t="s">
        <v>13562</v>
      </c>
    </row>
    <row r="186" spans="1:10" x14ac:dyDescent="0.2">
      <c r="A186" s="5" t="s">
        <v>8534</v>
      </c>
      <c r="B186" s="5" t="s">
        <v>83</v>
      </c>
      <c r="C186" s="5"/>
      <c r="D186" s="5" t="s">
        <v>13561</v>
      </c>
      <c r="E186" s="5"/>
      <c r="F186" s="5"/>
      <c r="G186" s="5" t="s">
        <v>148</v>
      </c>
      <c r="H186" s="5" t="s">
        <v>3</v>
      </c>
      <c r="I186" s="5"/>
      <c r="J186" s="5"/>
    </row>
    <row r="187" spans="1:10" ht="25.5" x14ac:dyDescent="0.2">
      <c r="A187" s="5" t="s">
        <v>12029</v>
      </c>
      <c r="B187" s="5" t="s">
        <v>83</v>
      </c>
      <c r="C187" s="5"/>
      <c r="D187" s="5" t="s">
        <v>13560</v>
      </c>
      <c r="E187" s="5"/>
      <c r="F187" s="5" t="s">
        <v>11204</v>
      </c>
      <c r="G187" s="5" t="s">
        <v>105</v>
      </c>
      <c r="H187" s="5" t="s">
        <v>3</v>
      </c>
      <c r="I187" s="5"/>
      <c r="J187" s="5" t="s">
        <v>12028</v>
      </c>
    </row>
    <row r="188" spans="1:10" ht="25.5" x14ac:dyDescent="0.2">
      <c r="A188" s="5" t="s">
        <v>11209</v>
      </c>
      <c r="B188" s="5" t="s">
        <v>83</v>
      </c>
      <c r="C188" s="5"/>
      <c r="D188" s="5" t="s">
        <v>11208</v>
      </c>
      <c r="E188" s="5"/>
      <c r="F188" s="5" t="s">
        <v>11204</v>
      </c>
      <c r="G188" s="5" t="s">
        <v>105</v>
      </c>
      <c r="H188" s="5" t="s">
        <v>3</v>
      </c>
      <c r="I188" s="5"/>
      <c r="J188" s="5" t="s">
        <v>11207</v>
      </c>
    </row>
    <row r="189" spans="1:10" x14ac:dyDescent="0.2">
      <c r="A189" s="5" t="s">
        <v>11206</v>
      </c>
      <c r="B189" s="5" t="s">
        <v>83</v>
      </c>
      <c r="C189" s="5"/>
      <c r="D189" s="5" t="s">
        <v>11205</v>
      </c>
      <c r="E189" s="5"/>
      <c r="F189" s="5" t="s">
        <v>11204</v>
      </c>
      <c r="G189" s="5" t="s">
        <v>224</v>
      </c>
      <c r="H189" s="5" t="s">
        <v>3</v>
      </c>
      <c r="I189" s="5"/>
      <c r="J189" s="5"/>
    </row>
    <row r="190" spans="1:10" ht="25.5" x14ac:dyDescent="0.2">
      <c r="A190" s="5" t="s">
        <v>13559</v>
      </c>
      <c r="B190" s="5" t="s">
        <v>83</v>
      </c>
      <c r="C190" s="5"/>
      <c r="D190" s="5" t="s">
        <v>13558</v>
      </c>
      <c r="E190" s="5"/>
      <c r="F190" s="5" t="s">
        <v>11204</v>
      </c>
      <c r="G190" s="5" t="s">
        <v>173</v>
      </c>
      <c r="H190" s="5" t="s">
        <v>3</v>
      </c>
      <c r="I190" s="5"/>
      <c r="J190" s="5" t="s">
        <v>13557</v>
      </c>
    </row>
    <row r="191" spans="1:10" ht="25.5" x14ac:dyDescent="0.2">
      <c r="A191" s="5" t="s">
        <v>13556</v>
      </c>
      <c r="B191" s="5" t="s">
        <v>83</v>
      </c>
      <c r="C191" s="5"/>
      <c r="D191" s="5" t="s">
        <v>13555</v>
      </c>
      <c r="E191" s="5"/>
      <c r="F191" s="5" t="s">
        <v>11204</v>
      </c>
      <c r="G191" s="5" t="s">
        <v>173</v>
      </c>
      <c r="H191" s="5" t="s">
        <v>3</v>
      </c>
      <c r="I191" s="5"/>
      <c r="J191" s="5"/>
    </row>
    <row r="192" spans="1:10" x14ac:dyDescent="0.2">
      <c r="A192" s="5" t="s">
        <v>11195</v>
      </c>
      <c r="B192" s="5" t="s">
        <v>83</v>
      </c>
      <c r="C192" s="5"/>
      <c r="D192" s="5" t="s">
        <v>11194</v>
      </c>
      <c r="E192" s="5"/>
      <c r="F192" s="5" t="s">
        <v>13554</v>
      </c>
      <c r="G192" s="5" t="s">
        <v>6385</v>
      </c>
      <c r="H192" s="5" t="s">
        <v>3</v>
      </c>
      <c r="I192" s="5"/>
      <c r="J192" s="5"/>
    </row>
    <row r="193" spans="1:10" ht="38.25" x14ac:dyDescent="0.2">
      <c r="A193" s="5" t="s">
        <v>13553</v>
      </c>
      <c r="B193" s="5" t="s">
        <v>83</v>
      </c>
      <c r="C193" s="5"/>
      <c r="D193" s="5" t="s">
        <v>10546</v>
      </c>
      <c r="E193" s="5"/>
      <c r="F193" s="5" t="s">
        <v>13552</v>
      </c>
      <c r="G193" s="5" t="s">
        <v>3059</v>
      </c>
      <c r="H193" s="5" t="s">
        <v>3</v>
      </c>
      <c r="I193" s="5"/>
      <c r="J193" s="5" t="s">
        <v>13551</v>
      </c>
    </row>
    <row r="194" spans="1:10" x14ac:dyDescent="0.2">
      <c r="A194" s="5" t="s">
        <v>13550</v>
      </c>
      <c r="B194" s="5" t="s">
        <v>83</v>
      </c>
      <c r="C194" s="5"/>
      <c r="D194" s="5" t="s">
        <v>13549</v>
      </c>
      <c r="E194" s="5"/>
      <c r="F194" s="5" t="s">
        <v>13548</v>
      </c>
      <c r="G194" s="5" t="s">
        <v>105</v>
      </c>
      <c r="H194" s="5" t="s">
        <v>3</v>
      </c>
      <c r="I194" s="5"/>
      <c r="J194" s="5"/>
    </row>
    <row r="195" spans="1:10" ht="25.5" x14ac:dyDescent="0.2">
      <c r="A195" s="5" t="s">
        <v>8404</v>
      </c>
      <c r="B195" s="5" t="s">
        <v>83</v>
      </c>
      <c r="C195" s="5"/>
      <c r="D195" s="5" t="s">
        <v>8403</v>
      </c>
      <c r="E195" s="5"/>
      <c r="F195" s="5"/>
      <c r="G195" s="5" t="s">
        <v>105</v>
      </c>
      <c r="H195" s="5" t="s">
        <v>3</v>
      </c>
      <c r="I195" s="5"/>
      <c r="J195" s="5" t="s">
        <v>8402</v>
      </c>
    </row>
    <row r="196" spans="1:10" x14ac:dyDescent="0.2">
      <c r="A196" s="5" t="s">
        <v>8401</v>
      </c>
      <c r="B196" s="5" t="s">
        <v>83</v>
      </c>
      <c r="C196" s="5"/>
      <c r="D196" s="5" t="s">
        <v>8382</v>
      </c>
      <c r="E196" s="5"/>
      <c r="F196" s="5" t="s">
        <v>8385</v>
      </c>
      <c r="G196" s="5" t="s">
        <v>105</v>
      </c>
      <c r="H196" s="5" t="s">
        <v>3</v>
      </c>
      <c r="I196" s="5"/>
      <c r="J196" s="5" t="s">
        <v>8400</v>
      </c>
    </row>
    <row r="197" spans="1:10" x14ac:dyDescent="0.2">
      <c r="A197" s="5" t="s">
        <v>8399</v>
      </c>
      <c r="B197" s="5" t="s">
        <v>83</v>
      </c>
      <c r="C197" s="5"/>
      <c r="D197" s="5" t="s">
        <v>6390</v>
      </c>
      <c r="E197" s="5" t="s">
        <v>150</v>
      </c>
      <c r="F197" s="5" t="s">
        <v>8385</v>
      </c>
      <c r="G197" s="5" t="s">
        <v>148</v>
      </c>
      <c r="H197" s="5" t="s">
        <v>3</v>
      </c>
      <c r="I197" s="5"/>
      <c r="J197" s="5" t="s">
        <v>8398</v>
      </c>
    </row>
    <row r="198" spans="1:10" x14ac:dyDescent="0.2">
      <c r="A198" s="5" t="s">
        <v>8397</v>
      </c>
      <c r="B198" s="5" t="s">
        <v>83</v>
      </c>
      <c r="C198" s="5"/>
      <c r="D198" s="5" t="s">
        <v>8396</v>
      </c>
      <c r="E198" s="5"/>
      <c r="F198" s="5" t="s">
        <v>8385</v>
      </c>
      <c r="G198" s="5" t="s">
        <v>283</v>
      </c>
      <c r="H198" s="5" t="s">
        <v>3</v>
      </c>
      <c r="I198" s="5"/>
      <c r="J198" s="5" t="s">
        <v>8394</v>
      </c>
    </row>
    <row r="199" spans="1:10" x14ac:dyDescent="0.2">
      <c r="A199" s="5" t="s">
        <v>8393</v>
      </c>
      <c r="B199" s="5" t="s">
        <v>83</v>
      </c>
      <c r="C199" s="5"/>
      <c r="D199" s="5" t="s">
        <v>8392</v>
      </c>
      <c r="E199" s="5"/>
      <c r="F199" s="5" t="s">
        <v>8385</v>
      </c>
      <c r="G199" s="5" t="s">
        <v>3059</v>
      </c>
      <c r="H199" s="5" t="s">
        <v>3</v>
      </c>
      <c r="I199" s="5"/>
      <c r="J199" s="5" t="s">
        <v>8390</v>
      </c>
    </row>
    <row r="200" spans="1:10" x14ac:dyDescent="0.2">
      <c r="A200" s="5" t="s">
        <v>8988</v>
      </c>
      <c r="B200" s="5" t="s">
        <v>83</v>
      </c>
      <c r="C200" s="5"/>
      <c r="D200" s="5" t="s">
        <v>8987</v>
      </c>
      <c r="E200" s="5"/>
      <c r="F200" s="5" t="s">
        <v>8986</v>
      </c>
      <c r="G200" s="5" t="s">
        <v>118</v>
      </c>
      <c r="H200" s="5" t="s">
        <v>3</v>
      </c>
      <c r="I200" s="5"/>
      <c r="J200" s="5" t="s">
        <v>8985</v>
      </c>
    </row>
    <row r="201" spans="1:10" x14ac:dyDescent="0.2">
      <c r="A201" s="5" t="s">
        <v>8389</v>
      </c>
      <c r="B201" s="5" t="s">
        <v>83</v>
      </c>
      <c r="C201" s="5"/>
      <c r="D201" s="5" t="s">
        <v>5533</v>
      </c>
      <c r="E201" s="5"/>
      <c r="F201" s="5" t="s">
        <v>8385</v>
      </c>
      <c r="G201" s="5" t="s">
        <v>382</v>
      </c>
      <c r="H201" s="5" t="s">
        <v>3</v>
      </c>
      <c r="I201" s="5"/>
      <c r="J201" s="5" t="s">
        <v>8388</v>
      </c>
    </row>
    <row r="202" spans="1:10" x14ac:dyDescent="0.2">
      <c r="A202" s="5" t="s">
        <v>8387</v>
      </c>
      <c r="B202" s="5" t="s">
        <v>83</v>
      </c>
      <c r="C202" s="5"/>
      <c r="D202" s="5" t="s">
        <v>8386</v>
      </c>
      <c r="E202" s="5" t="s">
        <v>5520</v>
      </c>
      <c r="F202" s="5" t="s">
        <v>8385</v>
      </c>
      <c r="G202" s="5" t="s">
        <v>148</v>
      </c>
      <c r="H202" s="5" t="s">
        <v>3</v>
      </c>
      <c r="I202" s="5"/>
      <c r="J202" s="5" t="s">
        <v>8384</v>
      </c>
    </row>
    <row r="203" spans="1:10" x14ac:dyDescent="0.2">
      <c r="A203" s="5" t="s">
        <v>8380</v>
      </c>
      <c r="B203" s="5" t="s">
        <v>83</v>
      </c>
      <c r="C203" s="5"/>
      <c r="D203" s="5" t="s">
        <v>13547</v>
      </c>
      <c r="E203" s="5"/>
      <c r="F203" s="5" t="s">
        <v>8378</v>
      </c>
      <c r="G203" s="5" t="s">
        <v>3059</v>
      </c>
      <c r="H203" s="5" t="s">
        <v>3</v>
      </c>
      <c r="I203" s="5"/>
      <c r="J203" s="5" t="s">
        <v>7462</v>
      </c>
    </row>
    <row r="204" spans="1:10" x14ac:dyDescent="0.2">
      <c r="A204" s="5" t="s">
        <v>13546</v>
      </c>
      <c r="B204" s="5" t="s">
        <v>83</v>
      </c>
      <c r="C204" s="5"/>
      <c r="D204" s="5" t="s">
        <v>13545</v>
      </c>
      <c r="E204" s="5"/>
      <c r="F204" s="5" t="s">
        <v>13426</v>
      </c>
      <c r="G204" s="5" t="s">
        <v>13425</v>
      </c>
      <c r="H204" s="5" t="s">
        <v>3</v>
      </c>
      <c r="I204" s="5"/>
      <c r="J204" s="5"/>
    </row>
    <row r="205" spans="1:10" x14ac:dyDescent="0.2">
      <c r="A205" s="5" t="s">
        <v>13544</v>
      </c>
      <c r="B205" s="5" t="s">
        <v>83</v>
      </c>
      <c r="C205" s="5"/>
      <c r="D205" s="5" t="s">
        <v>13543</v>
      </c>
      <c r="E205" s="5"/>
      <c r="F205" s="5" t="s">
        <v>13426</v>
      </c>
      <c r="G205" s="5" t="s">
        <v>13425</v>
      </c>
      <c r="H205" s="5" t="s">
        <v>3</v>
      </c>
      <c r="I205" s="5"/>
      <c r="J205" s="5"/>
    </row>
    <row r="206" spans="1:10" x14ac:dyDescent="0.2">
      <c r="A206" s="5" t="s">
        <v>13542</v>
      </c>
      <c r="B206" s="5" t="s">
        <v>83</v>
      </c>
      <c r="C206" s="5"/>
      <c r="D206" s="5" t="s">
        <v>13541</v>
      </c>
      <c r="E206" s="5"/>
      <c r="F206" s="5" t="s">
        <v>13426</v>
      </c>
      <c r="G206" s="5" t="s">
        <v>13425</v>
      </c>
      <c r="H206" s="5" t="s">
        <v>3</v>
      </c>
      <c r="I206" s="5"/>
      <c r="J206" s="5"/>
    </row>
    <row r="207" spans="1:10" x14ac:dyDescent="0.2">
      <c r="A207" s="5" t="s">
        <v>13540</v>
      </c>
      <c r="B207" s="5" t="s">
        <v>83</v>
      </c>
      <c r="C207" s="5"/>
      <c r="D207" s="5" t="s">
        <v>13539</v>
      </c>
      <c r="E207" s="5"/>
      <c r="F207" s="5" t="s">
        <v>13426</v>
      </c>
      <c r="G207" s="5" t="s">
        <v>13425</v>
      </c>
      <c r="H207" s="5" t="s">
        <v>3</v>
      </c>
      <c r="I207" s="5"/>
      <c r="J207" s="5"/>
    </row>
    <row r="208" spans="1:10" x14ac:dyDescent="0.2">
      <c r="A208" s="5" t="s">
        <v>13538</v>
      </c>
      <c r="B208" s="5" t="s">
        <v>83</v>
      </c>
      <c r="C208" s="5"/>
      <c r="D208" s="5" t="s">
        <v>13537</v>
      </c>
      <c r="E208" s="5"/>
      <c r="F208" s="5" t="s">
        <v>13426</v>
      </c>
      <c r="G208" s="5" t="s">
        <v>13425</v>
      </c>
      <c r="H208" s="5" t="s">
        <v>3</v>
      </c>
      <c r="I208" s="5"/>
      <c r="J208" s="5"/>
    </row>
    <row r="209" spans="1:10" x14ac:dyDescent="0.2">
      <c r="A209" s="5" t="s">
        <v>13536</v>
      </c>
      <c r="B209" s="5" t="s">
        <v>83</v>
      </c>
      <c r="C209" s="5"/>
      <c r="D209" s="5" t="s">
        <v>13535</v>
      </c>
      <c r="E209" s="5"/>
      <c r="F209" s="5" t="s">
        <v>13426</v>
      </c>
      <c r="G209" s="5" t="s">
        <v>13425</v>
      </c>
      <c r="H209" s="5" t="s">
        <v>3</v>
      </c>
      <c r="I209" s="5"/>
      <c r="J209" s="5"/>
    </row>
    <row r="210" spans="1:10" x14ac:dyDescent="0.2">
      <c r="A210" s="5" t="s">
        <v>13534</v>
      </c>
      <c r="B210" s="5" t="s">
        <v>83</v>
      </c>
      <c r="C210" s="5"/>
      <c r="D210" s="5" t="s">
        <v>13533</v>
      </c>
      <c r="E210" s="5"/>
      <c r="F210" s="5" t="s">
        <v>13426</v>
      </c>
      <c r="G210" s="5" t="s">
        <v>13425</v>
      </c>
      <c r="H210" s="5" t="s">
        <v>3</v>
      </c>
      <c r="I210" s="5"/>
      <c r="J210" s="5"/>
    </row>
    <row r="211" spans="1:10" x14ac:dyDescent="0.2">
      <c r="A211" s="5" t="s">
        <v>13532</v>
      </c>
      <c r="B211" s="5" t="s">
        <v>83</v>
      </c>
      <c r="C211" s="5"/>
      <c r="D211" s="5" t="s">
        <v>13531</v>
      </c>
      <c r="E211" s="5"/>
      <c r="F211" s="5" t="s">
        <v>13426</v>
      </c>
      <c r="G211" s="5" t="s">
        <v>13425</v>
      </c>
      <c r="H211" s="5" t="s">
        <v>3</v>
      </c>
      <c r="I211" s="5"/>
      <c r="J211" s="5"/>
    </row>
    <row r="212" spans="1:10" x14ac:dyDescent="0.2">
      <c r="A212" s="5" t="s">
        <v>13530</v>
      </c>
      <c r="B212" s="5" t="s">
        <v>83</v>
      </c>
      <c r="C212" s="5"/>
      <c r="D212" s="5" t="s">
        <v>13529</v>
      </c>
      <c r="E212" s="5"/>
      <c r="F212" s="5" t="s">
        <v>13426</v>
      </c>
      <c r="G212" s="5" t="s">
        <v>13425</v>
      </c>
      <c r="H212" s="5" t="s">
        <v>3</v>
      </c>
      <c r="I212" s="5"/>
      <c r="J212" s="5"/>
    </row>
    <row r="213" spans="1:10" x14ac:dyDescent="0.2">
      <c r="A213" s="5" t="s">
        <v>13528</v>
      </c>
      <c r="B213" s="5" t="s">
        <v>83</v>
      </c>
      <c r="C213" s="5"/>
      <c r="D213" s="5" t="s">
        <v>13527</v>
      </c>
      <c r="E213" s="5"/>
      <c r="F213" s="5" t="s">
        <v>13426</v>
      </c>
      <c r="G213" s="5" t="s">
        <v>13425</v>
      </c>
      <c r="H213" s="5" t="s">
        <v>3</v>
      </c>
      <c r="I213" s="5"/>
      <c r="J213" s="5"/>
    </row>
    <row r="214" spans="1:10" x14ac:dyDescent="0.2">
      <c r="A214" s="5" t="s">
        <v>13526</v>
      </c>
      <c r="B214" s="5" t="s">
        <v>83</v>
      </c>
      <c r="C214" s="5"/>
      <c r="D214" s="5" t="s">
        <v>13525</v>
      </c>
      <c r="E214" s="5"/>
      <c r="F214" s="5" t="s">
        <v>13426</v>
      </c>
      <c r="G214" s="5" t="s">
        <v>13425</v>
      </c>
      <c r="H214" s="5" t="s">
        <v>3</v>
      </c>
      <c r="I214" s="5"/>
      <c r="J214" s="5"/>
    </row>
    <row r="215" spans="1:10" x14ac:dyDescent="0.2">
      <c r="A215" s="5" t="s">
        <v>13524</v>
      </c>
      <c r="B215" s="5" t="s">
        <v>83</v>
      </c>
      <c r="C215" s="5"/>
      <c r="D215" s="5" t="s">
        <v>13523</v>
      </c>
      <c r="E215" s="5"/>
      <c r="F215" s="5" t="s">
        <v>13426</v>
      </c>
      <c r="G215" s="5" t="s">
        <v>13425</v>
      </c>
      <c r="H215" s="5" t="s">
        <v>3</v>
      </c>
      <c r="I215" s="5"/>
      <c r="J215" s="5"/>
    </row>
    <row r="216" spans="1:10" ht="25.5" x14ac:dyDescent="0.2">
      <c r="A216" s="5" t="s">
        <v>13522</v>
      </c>
      <c r="B216" s="5" t="s">
        <v>83</v>
      </c>
      <c r="C216" s="5"/>
      <c r="D216" s="5" t="s">
        <v>13521</v>
      </c>
      <c r="E216" s="5" t="s">
        <v>93</v>
      </c>
      <c r="F216" s="5" t="s">
        <v>13520</v>
      </c>
      <c r="G216" s="5" t="s">
        <v>195</v>
      </c>
      <c r="H216" s="5" t="s">
        <v>3</v>
      </c>
      <c r="I216" s="5"/>
      <c r="J216" s="5" t="s">
        <v>13519</v>
      </c>
    </row>
    <row r="217" spans="1:10" ht="25.5" x14ac:dyDescent="0.2">
      <c r="A217" s="5" t="s">
        <v>11851</v>
      </c>
      <c r="B217" s="5" t="s">
        <v>83</v>
      </c>
      <c r="C217" s="5"/>
      <c r="D217" s="5" t="s">
        <v>11850</v>
      </c>
      <c r="E217" s="5"/>
      <c r="F217" s="5" t="s">
        <v>7980</v>
      </c>
      <c r="G217" s="5" t="s">
        <v>105</v>
      </c>
      <c r="H217" s="5" t="s">
        <v>3</v>
      </c>
      <c r="I217" s="5"/>
      <c r="J217" s="5" t="s">
        <v>13518</v>
      </c>
    </row>
    <row r="218" spans="1:10" x14ac:dyDescent="0.2">
      <c r="A218" s="5" t="s">
        <v>13517</v>
      </c>
      <c r="B218" s="5" t="s">
        <v>83</v>
      </c>
      <c r="C218" s="5"/>
      <c r="D218" s="5" t="s">
        <v>13516</v>
      </c>
      <c r="E218" s="5" t="s">
        <v>3057</v>
      </c>
      <c r="F218" s="5" t="s">
        <v>13041</v>
      </c>
      <c r="G218" s="5" t="s">
        <v>382</v>
      </c>
      <c r="H218" s="5" t="s">
        <v>3</v>
      </c>
      <c r="I218" s="5"/>
      <c r="J218" s="5" t="s">
        <v>13515</v>
      </c>
    </row>
    <row r="219" spans="1:10" ht="25.5" x14ac:dyDescent="0.2">
      <c r="A219" s="5" t="s">
        <v>11162</v>
      </c>
      <c r="B219" s="5" t="s">
        <v>83</v>
      </c>
      <c r="C219" s="5"/>
      <c r="D219" s="5" t="s">
        <v>11161</v>
      </c>
      <c r="E219" s="5"/>
      <c r="F219" s="5" t="s">
        <v>11151</v>
      </c>
      <c r="G219" s="5" t="s">
        <v>224</v>
      </c>
      <c r="H219" s="5" t="s">
        <v>3</v>
      </c>
      <c r="I219" s="5"/>
      <c r="J219" s="5" t="s">
        <v>11160</v>
      </c>
    </row>
    <row r="220" spans="1:10" ht="25.5" x14ac:dyDescent="0.2">
      <c r="A220" s="5" t="s">
        <v>11153</v>
      </c>
      <c r="B220" s="5" t="s">
        <v>83</v>
      </c>
      <c r="C220" s="5"/>
      <c r="D220" s="5" t="s">
        <v>11846</v>
      </c>
      <c r="E220" s="5"/>
      <c r="F220" s="5" t="s">
        <v>11151</v>
      </c>
      <c r="G220" s="5" t="s">
        <v>224</v>
      </c>
      <c r="H220" s="5" t="s">
        <v>3</v>
      </c>
      <c r="I220" s="5"/>
      <c r="J220" s="5" t="s">
        <v>11150</v>
      </c>
    </row>
    <row r="221" spans="1:10" ht="25.5" x14ac:dyDescent="0.2">
      <c r="A221" s="5" t="s">
        <v>13514</v>
      </c>
      <c r="B221" s="5" t="s">
        <v>83</v>
      </c>
      <c r="C221" s="5"/>
      <c r="D221" s="5" t="s">
        <v>13513</v>
      </c>
      <c r="E221" s="5"/>
      <c r="F221" s="5" t="s">
        <v>11151</v>
      </c>
      <c r="G221" s="5" t="s">
        <v>224</v>
      </c>
      <c r="H221" s="5" t="s">
        <v>3</v>
      </c>
      <c r="I221" s="5"/>
      <c r="J221" s="5" t="s">
        <v>11150</v>
      </c>
    </row>
    <row r="222" spans="1:10" ht="25.5" x14ac:dyDescent="0.2">
      <c r="A222" s="5" t="s">
        <v>13512</v>
      </c>
      <c r="B222" s="5" t="s">
        <v>83</v>
      </c>
      <c r="C222" s="5"/>
      <c r="D222" s="5" t="s">
        <v>13511</v>
      </c>
      <c r="E222" s="5"/>
      <c r="F222" s="5" t="s">
        <v>7980</v>
      </c>
      <c r="G222" s="5" t="s">
        <v>207</v>
      </c>
      <c r="H222" s="5" t="s">
        <v>3</v>
      </c>
      <c r="I222" s="5"/>
      <c r="J222" s="5" t="s">
        <v>13510</v>
      </c>
    </row>
    <row r="223" spans="1:10" x14ac:dyDescent="0.2">
      <c r="A223" s="5" t="s">
        <v>11149</v>
      </c>
      <c r="B223" s="5" t="s">
        <v>83</v>
      </c>
      <c r="C223" s="5"/>
      <c r="D223" s="5" t="s">
        <v>11148</v>
      </c>
      <c r="E223" s="5"/>
      <c r="F223" s="5" t="s">
        <v>7980</v>
      </c>
      <c r="G223" s="5" t="s">
        <v>315</v>
      </c>
      <c r="H223" s="5" t="s">
        <v>3</v>
      </c>
      <c r="I223" s="5"/>
      <c r="J223" s="5" t="s">
        <v>13506</v>
      </c>
    </row>
    <row r="224" spans="1:10" x14ac:dyDescent="0.2">
      <c r="A224" s="5" t="s">
        <v>13509</v>
      </c>
      <c r="B224" s="5" t="s">
        <v>83</v>
      </c>
      <c r="C224" s="5"/>
      <c r="D224" s="5" t="s">
        <v>13508</v>
      </c>
      <c r="E224" s="5"/>
      <c r="F224" s="5" t="s">
        <v>13507</v>
      </c>
      <c r="G224" s="5" t="s">
        <v>114</v>
      </c>
      <c r="H224" s="5" t="s">
        <v>3</v>
      </c>
      <c r="I224" s="5"/>
      <c r="J224" s="5" t="s">
        <v>13506</v>
      </c>
    </row>
    <row r="225" spans="1:10" x14ac:dyDescent="0.2">
      <c r="A225" s="5" t="s">
        <v>11142</v>
      </c>
      <c r="B225" s="5" t="s">
        <v>83</v>
      </c>
      <c r="C225" s="5"/>
      <c r="D225" s="5" t="s">
        <v>13505</v>
      </c>
      <c r="E225" s="5"/>
      <c r="F225" s="5" t="s">
        <v>7980</v>
      </c>
      <c r="G225" s="5" t="s">
        <v>105</v>
      </c>
      <c r="H225" s="5" t="s">
        <v>3</v>
      </c>
      <c r="I225" s="5"/>
      <c r="J225" s="5" t="s">
        <v>11140</v>
      </c>
    </row>
    <row r="226" spans="1:10" ht="25.5" x14ac:dyDescent="0.2">
      <c r="A226" s="5" t="s">
        <v>13504</v>
      </c>
      <c r="B226" s="5" t="s">
        <v>83</v>
      </c>
      <c r="C226" s="5"/>
      <c r="D226" s="5" t="s">
        <v>13503</v>
      </c>
      <c r="E226" s="5"/>
      <c r="F226" s="5" t="s">
        <v>12155</v>
      </c>
      <c r="G226" s="5" t="s">
        <v>229</v>
      </c>
      <c r="H226" s="5" t="s">
        <v>3</v>
      </c>
      <c r="I226" s="5"/>
      <c r="J226" s="5" t="s">
        <v>13502</v>
      </c>
    </row>
    <row r="227" spans="1:10" x14ac:dyDescent="0.2">
      <c r="A227" s="5" t="s">
        <v>11136</v>
      </c>
      <c r="B227" s="5" t="s">
        <v>83</v>
      </c>
      <c r="C227" s="5"/>
      <c r="D227" s="5" t="s">
        <v>11135</v>
      </c>
      <c r="E227" s="5"/>
      <c r="F227" s="5" t="s">
        <v>11134</v>
      </c>
      <c r="G227" s="5" t="s">
        <v>3059</v>
      </c>
      <c r="H227" s="5" t="s">
        <v>3</v>
      </c>
      <c r="I227" s="5"/>
      <c r="J227" s="5" t="s">
        <v>11133</v>
      </c>
    </row>
    <row r="228" spans="1:10" x14ac:dyDescent="0.2">
      <c r="A228" s="5" t="s">
        <v>13501</v>
      </c>
      <c r="B228" s="5" t="s">
        <v>83</v>
      </c>
      <c r="C228" s="5"/>
      <c r="D228" s="5" t="s">
        <v>11840</v>
      </c>
      <c r="E228" s="5" t="s">
        <v>0</v>
      </c>
      <c r="F228" s="5" t="s">
        <v>11331</v>
      </c>
      <c r="G228" s="5" t="s">
        <v>118</v>
      </c>
      <c r="H228" s="5" t="s">
        <v>3</v>
      </c>
      <c r="I228" s="5"/>
      <c r="J228" s="5" t="s">
        <v>13500</v>
      </c>
    </row>
    <row r="229" spans="1:10" ht="25.5" x14ac:dyDescent="0.2">
      <c r="A229" s="5" t="s">
        <v>13499</v>
      </c>
      <c r="B229" s="5" t="s">
        <v>83</v>
      </c>
      <c r="C229" s="5"/>
      <c r="D229" s="5" t="s">
        <v>13498</v>
      </c>
      <c r="E229" s="5"/>
      <c r="F229" s="5" t="s">
        <v>13497</v>
      </c>
      <c r="G229" s="5" t="s">
        <v>229</v>
      </c>
      <c r="H229" s="5" t="s">
        <v>3</v>
      </c>
      <c r="I229" s="5"/>
      <c r="J229" s="5" t="s">
        <v>13496</v>
      </c>
    </row>
    <row r="230" spans="1:10" x14ac:dyDescent="0.2">
      <c r="A230" s="5" t="s">
        <v>13495</v>
      </c>
      <c r="B230" s="5" t="s">
        <v>83</v>
      </c>
      <c r="C230" s="5"/>
      <c r="D230" s="5" t="s">
        <v>13494</v>
      </c>
      <c r="E230" s="5"/>
      <c r="F230" s="5" t="s">
        <v>13493</v>
      </c>
      <c r="G230" s="5" t="s">
        <v>13492</v>
      </c>
      <c r="H230" s="5" t="s">
        <v>3</v>
      </c>
      <c r="I230" s="5"/>
      <c r="J230" s="5" t="s">
        <v>13491</v>
      </c>
    </row>
    <row r="231" spans="1:10" ht="25.5" x14ac:dyDescent="0.2">
      <c r="A231" s="5" t="s">
        <v>13490</v>
      </c>
      <c r="B231" s="5" t="s">
        <v>83</v>
      </c>
      <c r="C231" s="5"/>
      <c r="D231" s="5" t="s">
        <v>13489</v>
      </c>
      <c r="E231" s="5" t="s">
        <v>12444</v>
      </c>
      <c r="F231" s="5" t="s">
        <v>10572</v>
      </c>
      <c r="G231" s="5" t="s">
        <v>91</v>
      </c>
      <c r="H231" s="5" t="s">
        <v>3</v>
      </c>
      <c r="I231" s="5"/>
      <c r="J231" s="5" t="s">
        <v>13488</v>
      </c>
    </row>
    <row r="232" spans="1:10" ht="25.5" x14ac:dyDescent="0.2">
      <c r="A232" s="5" t="s">
        <v>13487</v>
      </c>
      <c r="B232" s="5" t="s">
        <v>83</v>
      </c>
      <c r="C232" s="5"/>
      <c r="D232" s="5" t="s">
        <v>13486</v>
      </c>
      <c r="E232" s="5" t="s">
        <v>12444</v>
      </c>
      <c r="F232" s="5" t="s">
        <v>10572</v>
      </c>
      <c r="G232" s="5" t="s">
        <v>91</v>
      </c>
      <c r="H232" s="5" t="s">
        <v>3</v>
      </c>
      <c r="I232" s="5"/>
      <c r="J232" s="5" t="s">
        <v>13485</v>
      </c>
    </row>
    <row r="233" spans="1:10" ht="25.5" x14ac:dyDescent="0.2">
      <c r="A233" s="5" t="s">
        <v>13484</v>
      </c>
      <c r="B233" s="5" t="s">
        <v>83</v>
      </c>
      <c r="C233" s="5"/>
      <c r="D233" s="5" t="s">
        <v>13483</v>
      </c>
      <c r="E233" s="5"/>
      <c r="F233" s="5" t="s">
        <v>13482</v>
      </c>
      <c r="G233" s="5" t="s">
        <v>105</v>
      </c>
      <c r="H233" s="5" t="s">
        <v>3</v>
      </c>
      <c r="I233" s="5"/>
      <c r="J233" s="5" t="s">
        <v>13481</v>
      </c>
    </row>
    <row r="234" spans="1:10" ht="25.5" x14ac:dyDescent="0.2">
      <c r="A234" s="5" t="s">
        <v>13480</v>
      </c>
      <c r="B234" s="5" t="s">
        <v>83</v>
      </c>
      <c r="C234" s="5"/>
      <c r="D234" s="5" t="s">
        <v>13479</v>
      </c>
      <c r="E234" s="5"/>
      <c r="F234" s="5" t="s">
        <v>13478</v>
      </c>
      <c r="G234" s="5" t="s">
        <v>80</v>
      </c>
      <c r="H234" s="5" t="s">
        <v>3</v>
      </c>
      <c r="I234" s="5"/>
      <c r="J234" s="5" t="s">
        <v>13477</v>
      </c>
    </row>
    <row r="235" spans="1:10" x14ac:dyDescent="0.2">
      <c r="A235" s="5" t="s">
        <v>13476</v>
      </c>
      <c r="B235" s="5" t="s">
        <v>83</v>
      </c>
      <c r="C235" s="5"/>
      <c r="D235" s="5" t="s">
        <v>13475</v>
      </c>
      <c r="E235" s="5" t="s">
        <v>138</v>
      </c>
      <c r="F235" s="5" t="s">
        <v>12652</v>
      </c>
      <c r="G235" s="5" t="s">
        <v>173</v>
      </c>
      <c r="H235" s="5" t="s">
        <v>3</v>
      </c>
      <c r="I235" s="5"/>
      <c r="J235" s="5" t="s">
        <v>12652</v>
      </c>
    </row>
    <row r="236" spans="1:10" ht="25.5" x14ac:dyDescent="0.2">
      <c r="A236" s="5" t="s">
        <v>13474</v>
      </c>
      <c r="B236" s="5" t="s">
        <v>83</v>
      </c>
      <c r="C236" s="5"/>
      <c r="D236" s="5" t="s">
        <v>13473</v>
      </c>
      <c r="E236" s="5"/>
      <c r="F236" s="5" t="s">
        <v>13462</v>
      </c>
      <c r="G236" s="5" t="s">
        <v>118</v>
      </c>
      <c r="H236" s="5" t="s">
        <v>3</v>
      </c>
      <c r="I236" s="5"/>
      <c r="J236" s="5" t="s">
        <v>13472</v>
      </c>
    </row>
    <row r="237" spans="1:10" x14ac:dyDescent="0.2">
      <c r="A237" s="5" t="s">
        <v>13471</v>
      </c>
      <c r="B237" s="5" t="s">
        <v>83</v>
      </c>
      <c r="C237" s="5"/>
      <c r="D237" s="5" t="s">
        <v>13470</v>
      </c>
      <c r="E237" s="5"/>
      <c r="F237" s="5" t="s">
        <v>13462</v>
      </c>
      <c r="G237" s="5" t="s">
        <v>114</v>
      </c>
      <c r="H237" s="5" t="s">
        <v>3</v>
      </c>
      <c r="I237" s="5"/>
      <c r="J237" s="5" t="s">
        <v>13469</v>
      </c>
    </row>
    <row r="238" spans="1:10" x14ac:dyDescent="0.2">
      <c r="A238" s="5" t="s">
        <v>13468</v>
      </c>
      <c r="B238" s="5" t="s">
        <v>83</v>
      </c>
      <c r="C238" s="5"/>
      <c r="D238" s="5" t="s">
        <v>13467</v>
      </c>
      <c r="E238" s="5"/>
      <c r="F238" s="5" t="s">
        <v>13466</v>
      </c>
      <c r="G238" s="5" t="s">
        <v>896</v>
      </c>
      <c r="H238" s="5" t="s">
        <v>3</v>
      </c>
      <c r="I238" s="5"/>
      <c r="J238" s="5" t="s">
        <v>13465</v>
      </c>
    </row>
    <row r="239" spans="1:10" x14ac:dyDescent="0.2">
      <c r="A239" s="5" t="s">
        <v>13464</v>
      </c>
      <c r="B239" s="5" t="s">
        <v>83</v>
      </c>
      <c r="C239" s="5"/>
      <c r="D239" s="5" t="s">
        <v>13463</v>
      </c>
      <c r="E239" s="5"/>
      <c r="F239" s="5" t="s">
        <v>13462</v>
      </c>
      <c r="G239" s="5" t="s">
        <v>114</v>
      </c>
      <c r="H239" s="5" t="s">
        <v>3</v>
      </c>
      <c r="I239" s="5"/>
      <c r="J239" s="5" t="s">
        <v>13461</v>
      </c>
    </row>
    <row r="240" spans="1:10" ht="25.5" x14ac:dyDescent="0.2">
      <c r="A240" s="5" t="s">
        <v>11121</v>
      </c>
      <c r="B240" s="5" t="s">
        <v>83</v>
      </c>
      <c r="C240" s="5"/>
      <c r="D240" s="5" t="s">
        <v>13460</v>
      </c>
      <c r="E240" s="5"/>
      <c r="F240" s="5" t="s">
        <v>11671</v>
      </c>
      <c r="G240" s="5" t="s">
        <v>224</v>
      </c>
      <c r="H240" s="5" t="s">
        <v>3</v>
      </c>
      <c r="I240" s="5"/>
      <c r="J240" s="5" t="s">
        <v>12091</v>
      </c>
    </row>
    <row r="241" spans="1:10" ht="38.25" x14ac:dyDescent="0.2">
      <c r="A241" s="5" t="s">
        <v>12087</v>
      </c>
      <c r="B241" s="5" t="s">
        <v>83</v>
      </c>
      <c r="C241" s="5"/>
      <c r="D241" s="5" t="s">
        <v>13459</v>
      </c>
      <c r="E241" s="5"/>
      <c r="F241" s="5" t="s">
        <v>12086</v>
      </c>
      <c r="G241" s="5" t="s">
        <v>122</v>
      </c>
      <c r="H241" s="5" t="s">
        <v>3</v>
      </c>
      <c r="I241" s="5"/>
      <c r="J241" s="5" t="s">
        <v>12085</v>
      </c>
    </row>
    <row r="242" spans="1:10" ht="25.5" x14ac:dyDescent="0.2">
      <c r="A242" s="5" t="s">
        <v>13458</v>
      </c>
      <c r="B242" s="5" t="s">
        <v>83</v>
      </c>
      <c r="C242" s="5"/>
      <c r="D242" s="5" t="s">
        <v>13457</v>
      </c>
      <c r="E242" s="5"/>
      <c r="F242" s="5" t="s">
        <v>13456</v>
      </c>
      <c r="G242" s="5" t="s">
        <v>105</v>
      </c>
      <c r="H242" s="5" t="s">
        <v>3</v>
      </c>
      <c r="I242" s="5"/>
      <c r="J242" s="5" t="s">
        <v>13455</v>
      </c>
    </row>
    <row r="243" spans="1:10" ht="25.5" x14ac:dyDescent="0.2">
      <c r="A243" s="5" t="s">
        <v>11069</v>
      </c>
      <c r="B243" s="5" t="s">
        <v>83</v>
      </c>
      <c r="C243" s="5"/>
      <c r="D243" s="5" t="s">
        <v>13454</v>
      </c>
      <c r="E243" s="5"/>
      <c r="F243" s="5" t="s">
        <v>11067</v>
      </c>
      <c r="G243" s="5" t="s">
        <v>315</v>
      </c>
      <c r="H243" s="5" t="s">
        <v>3</v>
      </c>
      <c r="I243" s="5"/>
      <c r="J243" s="5" t="s">
        <v>13453</v>
      </c>
    </row>
    <row r="244" spans="1:10" ht="25.5" x14ac:dyDescent="0.2">
      <c r="A244" s="5" t="s">
        <v>11065</v>
      </c>
      <c r="B244" s="5" t="s">
        <v>83</v>
      </c>
      <c r="C244" s="5"/>
      <c r="D244" s="5" t="s">
        <v>13452</v>
      </c>
      <c r="E244" s="5"/>
      <c r="F244" s="5" t="s">
        <v>11067</v>
      </c>
      <c r="G244" s="5" t="s">
        <v>315</v>
      </c>
      <c r="H244" s="5" t="s">
        <v>3</v>
      </c>
      <c r="I244" s="5"/>
      <c r="J244" s="5" t="s">
        <v>11063</v>
      </c>
    </row>
    <row r="245" spans="1:10" x14ac:dyDescent="0.2">
      <c r="A245" s="5" t="s">
        <v>10337</v>
      </c>
      <c r="B245" s="5" t="s">
        <v>83</v>
      </c>
      <c r="C245" s="5"/>
      <c r="D245" s="5" t="s">
        <v>10336</v>
      </c>
      <c r="E245" s="5"/>
      <c r="F245" s="5"/>
      <c r="G245" s="5" t="s">
        <v>118</v>
      </c>
      <c r="H245" s="5" t="s">
        <v>3</v>
      </c>
      <c r="I245" s="5"/>
      <c r="J245" s="5" t="s">
        <v>10333</v>
      </c>
    </row>
    <row r="246" spans="1:10" x14ac:dyDescent="0.2">
      <c r="A246" s="5" t="s">
        <v>13451</v>
      </c>
      <c r="B246" s="5" t="s">
        <v>83</v>
      </c>
      <c r="C246" s="5"/>
      <c r="D246" s="5" t="s">
        <v>13450</v>
      </c>
      <c r="E246" s="5"/>
      <c r="F246" s="5" t="s">
        <v>10333</v>
      </c>
      <c r="G246" s="5" t="s">
        <v>3059</v>
      </c>
      <c r="H246" s="5" t="s">
        <v>3</v>
      </c>
      <c r="I246" s="5"/>
      <c r="J246" s="5"/>
    </row>
    <row r="247" spans="1:10" x14ac:dyDescent="0.2">
      <c r="A247" s="5" t="s">
        <v>10335</v>
      </c>
      <c r="B247" s="5" t="s">
        <v>83</v>
      </c>
      <c r="C247" s="5"/>
      <c r="D247" s="5" t="s">
        <v>10334</v>
      </c>
      <c r="E247" s="5"/>
      <c r="F247" s="5" t="s">
        <v>10333</v>
      </c>
      <c r="G247" s="5" t="s">
        <v>224</v>
      </c>
      <c r="H247" s="5" t="s">
        <v>3</v>
      </c>
      <c r="I247" s="5"/>
      <c r="J247" s="5"/>
    </row>
    <row r="248" spans="1:10" x14ac:dyDescent="0.2">
      <c r="A248" s="5" t="s">
        <v>13449</v>
      </c>
      <c r="B248" s="5" t="s">
        <v>83</v>
      </c>
      <c r="C248" s="5"/>
      <c r="D248" s="5" t="s">
        <v>13448</v>
      </c>
      <c r="E248" s="5"/>
      <c r="F248" s="5" t="s">
        <v>13447</v>
      </c>
      <c r="G248" s="5" t="s">
        <v>283</v>
      </c>
      <c r="H248" s="5" t="s">
        <v>3</v>
      </c>
      <c r="I248" s="5"/>
      <c r="J248" s="5" t="s">
        <v>13446</v>
      </c>
    </row>
    <row r="249" spans="1:10" x14ac:dyDescent="0.2">
      <c r="A249" s="5" t="s">
        <v>11814</v>
      </c>
      <c r="B249" s="5" t="s">
        <v>83</v>
      </c>
      <c r="C249" s="5"/>
      <c r="D249" s="5" t="s">
        <v>11806</v>
      </c>
      <c r="E249" s="5"/>
      <c r="F249" s="5" t="s">
        <v>11088</v>
      </c>
      <c r="G249" s="5" t="s">
        <v>315</v>
      </c>
      <c r="H249" s="5" t="s">
        <v>3</v>
      </c>
      <c r="I249" s="5"/>
      <c r="J249" s="5" t="s">
        <v>11805</v>
      </c>
    </row>
    <row r="250" spans="1:10" x14ac:dyDescent="0.2">
      <c r="A250" s="5" t="s">
        <v>12237</v>
      </c>
      <c r="B250" s="5" t="s">
        <v>83</v>
      </c>
      <c r="C250" s="5"/>
      <c r="D250" s="5" t="s">
        <v>13445</v>
      </c>
      <c r="E250" s="5" t="s">
        <v>150</v>
      </c>
      <c r="F250" s="5" t="s">
        <v>10568</v>
      </c>
      <c r="G250" s="5" t="s">
        <v>148</v>
      </c>
      <c r="H250" s="5" t="s">
        <v>3</v>
      </c>
      <c r="I250" s="5"/>
      <c r="J250" s="5" t="s">
        <v>12235</v>
      </c>
    </row>
    <row r="251" spans="1:10" x14ac:dyDescent="0.2">
      <c r="A251" s="5" t="s">
        <v>12230</v>
      </c>
      <c r="B251" s="5" t="s">
        <v>83</v>
      </c>
      <c r="C251" s="5"/>
      <c r="D251" s="5" t="s">
        <v>13444</v>
      </c>
      <c r="E251" s="5"/>
      <c r="F251" s="5" t="s">
        <v>10568</v>
      </c>
      <c r="G251" s="5" t="s">
        <v>173</v>
      </c>
      <c r="H251" s="5" t="s">
        <v>3</v>
      </c>
      <c r="I251" s="5"/>
      <c r="J251" s="5" t="s">
        <v>12228</v>
      </c>
    </row>
    <row r="252" spans="1:10" x14ac:dyDescent="0.2">
      <c r="A252" s="5" t="s">
        <v>12240</v>
      </c>
      <c r="B252" s="5" t="s">
        <v>83</v>
      </c>
      <c r="C252" s="5"/>
      <c r="D252" s="5" t="s">
        <v>13443</v>
      </c>
      <c r="E252" s="5" t="s">
        <v>150</v>
      </c>
      <c r="F252" s="5" t="s">
        <v>10568</v>
      </c>
      <c r="G252" s="5" t="s">
        <v>148</v>
      </c>
      <c r="H252" s="5" t="s">
        <v>3</v>
      </c>
      <c r="I252" s="5"/>
      <c r="J252" s="5" t="s">
        <v>12238</v>
      </c>
    </row>
    <row r="253" spans="1:10" ht="25.5" x14ac:dyDescent="0.2">
      <c r="A253" s="5" t="s">
        <v>12232</v>
      </c>
      <c r="B253" s="5" t="s">
        <v>83</v>
      </c>
      <c r="C253" s="5"/>
      <c r="D253" s="5" t="s">
        <v>13442</v>
      </c>
      <c r="E253" s="5"/>
      <c r="F253" s="5" t="s">
        <v>10568</v>
      </c>
      <c r="G253" s="5" t="s">
        <v>173</v>
      </c>
      <c r="H253" s="5" t="s">
        <v>3</v>
      </c>
      <c r="I253" s="5"/>
      <c r="J253" s="5" t="s">
        <v>13441</v>
      </c>
    </row>
    <row r="254" spans="1:10" ht="25.5" x14ac:dyDescent="0.2">
      <c r="A254" s="5" t="s">
        <v>11058</v>
      </c>
      <c r="B254" s="5" t="s">
        <v>83</v>
      </c>
      <c r="C254" s="5"/>
      <c r="D254" s="5" t="s">
        <v>11057</v>
      </c>
      <c r="E254" s="5"/>
      <c r="F254" s="5" t="s">
        <v>4389</v>
      </c>
      <c r="G254" s="5" t="s">
        <v>170</v>
      </c>
      <c r="H254" s="5" t="s">
        <v>3</v>
      </c>
      <c r="I254" s="5"/>
      <c r="J254" s="5" t="s">
        <v>13440</v>
      </c>
    </row>
    <row r="255" spans="1:10" ht="25.5" x14ac:dyDescent="0.2">
      <c r="A255" s="5" t="s">
        <v>13439</v>
      </c>
      <c r="B255" s="5" t="s">
        <v>83</v>
      </c>
      <c r="C255" s="5"/>
      <c r="D255" s="5" t="s">
        <v>13427</v>
      </c>
      <c r="E255" s="5"/>
      <c r="F255" s="5" t="s">
        <v>13426</v>
      </c>
      <c r="G255" s="5" t="s">
        <v>13425</v>
      </c>
      <c r="H255" s="5" t="s">
        <v>3</v>
      </c>
      <c r="I255" s="5"/>
      <c r="J255" s="5"/>
    </row>
    <row r="256" spans="1:10" ht="25.5" x14ac:dyDescent="0.2">
      <c r="A256" s="5" t="s">
        <v>13438</v>
      </c>
      <c r="B256" s="5" t="s">
        <v>83</v>
      </c>
      <c r="C256" s="5"/>
      <c r="D256" s="5" t="s">
        <v>13427</v>
      </c>
      <c r="E256" s="5"/>
      <c r="F256" s="5" t="s">
        <v>13426</v>
      </c>
      <c r="G256" s="5" t="s">
        <v>13425</v>
      </c>
      <c r="H256" s="5" t="s">
        <v>3</v>
      </c>
      <c r="I256" s="5"/>
      <c r="J256" s="5"/>
    </row>
    <row r="257" spans="1:10" ht="25.5" x14ac:dyDescent="0.2">
      <c r="A257" s="5" t="s">
        <v>13437</v>
      </c>
      <c r="B257" s="5" t="s">
        <v>83</v>
      </c>
      <c r="C257" s="5"/>
      <c r="D257" s="5" t="s">
        <v>13427</v>
      </c>
      <c r="E257" s="5"/>
      <c r="F257" s="5" t="s">
        <v>13426</v>
      </c>
      <c r="G257" s="5" t="s">
        <v>13425</v>
      </c>
      <c r="H257" s="5" t="s">
        <v>3</v>
      </c>
      <c r="I257" s="5"/>
      <c r="J257" s="5"/>
    </row>
    <row r="258" spans="1:10" ht="25.5" x14ac:dyDescent="0.2">
      <c r="A258" s="5" t="s">
        <v>13436</v>
      </c>
      <c r="B258" s="5" t="s">
        <v>83</v>
      </c>
      <c r="C258" s="5"/>
      <c r="D258" s="5" t="s">
        <v>13427</v>
      </c>
      <c r="E258" s="5"/>
      <c r="F258" s="5" t="s">
        <v>13426</v>
      </c>
      <c r="G258" s="5" t="s">
        <v>13425</v>
      </c>
      <c r="H258" s="5" t="s">
        <v>3</v>
      </c>
      <c r="I258" s="5"/>
      <c r="J258" s="5"/>
    </row>
    <row r="259" spans="1:10" ht="25.5" x14ac:dyDescent="0.2">
      <c r="A259" s="5" t="s">
        <v>13435</v>
      </c>
      <c r="B259" s="5" t="s">
        <v>83</v>
      </c>
      <c r="C259" s="5"/>
      <c r="D259" s="5" t="s">
        <v>13427</v>
      </c>
      <c r="E259" s="5"/>
      <c r="F259" s="5" t="s">
        <v>13426</v>
      </c>
      <c r="G259" s="5" t="s">
        <v>13425</v>
      </c>
      <c r="H259" s="5" t="s">
        <v>3</v>
      </c>
      <c r="I259" s="5"/>
      <c r="J259" s="5"/>
    </row>
    <row r="260" spans="1:10" ht="25.5" x14ac:dyDescent="0.2">
      <c r="A260" s="5" t="s">
        <v>13434</v>
      </c>
      <c r="B260" s="5" t="s">
        <v>83</v>
      </c>
      <c r="C260" s="5"/>
      <c r="D260" s="5" t="s">
        <v>13427</v>
      </c>
      <c r="E260" s="5"/>
      <c r="F260" s="5" t="s">
        <v>13426</v>
      </c>
      <c r="G260" s="5" t="s">
        <v>13425</v>
      </c>
      <c r="H260" s="5" t="s">
        <v>3</v>
      </c>
      <c r="I260" s="5"/>
      <c r="J260" s="5"/>
    </row>
    <row r="261" spans="1:10" ht="25.5" x14ac:dyDescent="0.2">
      <c r="A261" s="5" t="s">
        <v>13433</v>
      </c>
      <c r="B261" s="5" t="s">
        <v>83</v>
      </c>
      <c r="C261" s="5"/>
      <c r="D261" s="5" t="s">
        <v>13427</v>
      </c>
      <c r="E261" s="5"/>
      <c r="F261" s="5" t="s">
        <v>13426</v>
      </c>
      <c r="G261" s="5" t="s">
        <v>13425</v>
      </c>
      <c r="H261" s="5" t="s">
        <v>3</v>
      </c>
      <c r="I261" s="5"/>
      <c r="J261" s="5"/>
    </row>
    <row r="262" spans="1:10" ht="25.5" x14ac:dyDescent="0.2">
      <c r="A262" s="5" t="s">
        <v>13432</v>
      </c>
      <c r="B262" s="5" t="s">
        <v>83</v>
      </c>
      <c r="C262" s="5"/>
      <c r="D262" s="5" t="s">
        <v>13427</v>
      </c>
      <c r="E262" s="5"/>
      <c r="F262" s="5" t="s">
        <v>13426</v>
      </c>
      <c r="G262" s="5" t="s">
        <v>13425</v>
      </c>
      <c r="H262" s="5" t="s">
        <v>3</v>
      </c>
      <c r="I262" s="5"/>
      <c r="J262" s="5"/>
    </row>
    <row r="263" spans="1:10" ht="25.5" x14ac:dyDescent="0.2">
      <c r="A263" s="5" t="s">
        <v>13431</v>
      </c>
      <c r="B263" s="5" t="s">
        <v>83</v>
      </c>
      <c r="C263" s="5"/>
      <c r="D263" s="5" t="s">
        <v>13427</v>
      </c>
      <c r="E263" s="5"/>
      <c r="F263" s="5" t="s">
        <v>13426</v>
      </c>
      <c r="G263" s="5" t="s">
        <v>13425</v>
      </c>
      <c r="H263" s="5" t="s">
        <v>3</v>
      </c>
      <c r="I263" s="5"/>
      <c r="J263" s="5"/>
    </row>
    <row r="264" spans="1:10" ht="25.5" x14ac:dyDescent="0.2">
      <c r="A264" s="5" t="s">
        <v>13430</v>
      </c>
      <c r="B264" s="5" t="s">
        <v>83</v>
      </c>
      <c r="C264" s="5"/>
      <c r="D264" s="5" t="s">
        <v>13427</v>
      </c>
      <c r="E264" s="5"/>
      <c r="F264" s="5" t="s">
        <v>13426</v>
      </c>
      <c r="G264" s="5" t="s">
        <v>13425</v>
      </c>
      <c r="H264" s="5" t="s">
        <v>3</v>
      </c>
      <c r="I264" s="5"/>
      <c r="J264" s="5"/>
    </row>
    <row r="265" spans="1:10" ht="25.5" x14ac:dyDescent="0.2">
      <c r="A265" s="5" t="s">
        <v>13429</v>
      </c>
      <c r="B265" s="5" t="s">
        <v>83</v>
      </c>
      <c r="C265" s="5"/>
      <c r="D265" s="5" t="s">
        <v>13427</v>
      </c>
      <c r="E265" s="5"/>
      <c r="F265" s="5" t="s">
        <v>13426</v>
      </c>
      <c r="G265" s="5" t="s">
        <v>13425</v>
      </c>
      <c r="H265" s="5" t="s">
        <v>3</v>
      </c>
      <c r="I265" s="5"/>
      <c r="J265" s="5"/>
    </row>
    <row r="266" spans="1:10" ht="25.5" x14ac:dyDescent="0.2">
      <c r="A266" s="5" t="s">
        <v>13428</v>
      </c>
      <c r="B266" s="5" t="s">
        <v>83</v>
      </c>
      <c r="C266" s="5"/>
      <c r="D266" s="5" t="s">
        <v>13427</v>
      </c>
      <c r="E266" s="5"/>
      <c r="F266" s="5" t="s">
        <v>13426</v>
      </c>
      <c r="G266" s="5" t="s">
        <v>13425</v>
      </c>
      <c r="H266" s="5" t="s">
        <v>3</v>
      </c>
      <c r="I266" s="5"/>
      <c r="J266" s="5"/>
    </row>
    <row r="267" spans="1:10" x14ac:dyDescent="0.2">
      <c r="A267" s="5" t="s">
        <v>13424</v>
      </c>
      <c r="B267" s="5" t="s">
        <v>83</v>
      </c>
      <c r="C267" s="5"/>
      <c r="D267" s="5" t="s">
        <v>13423</v>
      </c>
      <c r="E267" s="5"/>
      <c r="F267" s="5" t="s">
        <v>13422</v>
      </c>
      <c r="G267" s="5" t="s">
        <v>105</v>
      </c>
      <c r="H267" s="5" t="s">
        <v>3</v>
      </c>
      <c r="I267" s="5"/>
      <c r="J267" s="5"/>
    </row>
    <row r="268" spans="1:10" ht="25.5" x14ac:dyDescent="0.2">
      <c r="A268" s="5" t="s">
        <v>13421</v>
      </c>
      <c r="B268" s="5" t="s">
        <v>83</v>
      </c>
      <c r="C268" s="5"/>
      <c r="D268" s="5" t="s">
        <v>12711</v>
      </c>
      <c r="E268" s="5" t="s">
        <v>93</v>
      </c>
      <c r="F268" s="5" t="s">
        <v>13420</v>
      </c>
      <c r="G268" s="5" t="s">
        <v>195</v>
      </c>
      <c r="H268" s="5" t="s">
        <v>3</v>
      </c>
      <c r="I268" s="5"/>
      <c r="J268" s="5" t="s">
        <v>13419</v>
      </c>
    </row>
    <row r="269" spans="1:10" x14ac:dyDescent="0.2">
      <c r="A269" s="5" t="s">
        <v>11056</v>
      </c>
      <c r="B269" s="5" t="s">
        <v>83</v>
      </c>
      <c r="C269" s="5"/>
      <c r="D269" s="5" t="s">
        <v>11804</v>
      </c>
      <c r="E269" s="5"/>
      <c r="F269" s="5" t="s">
        <v>8033</v>
      </c>
      <c r="G269" s="5" t="s">
        <v>6385</v>
      </c>
      <c r="H269" s="5" t="s">
        <v>3</v>
      </c>
      <c r="I269" s="5"/>
      <c r="J269" s="5" t="s">
        <v>11054</v>
      </c>
    </row>
    <row r="270" spans="1:10" ht="25.5" x14ac:dyDescent="0.2">
      <c r="A270" s="5" t="s">
        <v>13418</v>
      </c>
      <c r="B270" s="5" t="s">
        <v>83</v>
      </c>
      <c r="C270" s="5"/>
      <c r="D270" s="5" t="s">
        <v>13417</v>
      </c>
      <c r="E270" s="5" t="s">
        <v>93</v>
      </c>
      <c r="F270" s="5" t="s">
        <v>11088</v>
      </c>
      <c r="G270" s="5" t="s">
        <v>382</v>
      </c>
      <c r="H270" s="5" t="s">
        <v>3</v>
      </c>
      <c r="I270" s="5"/>
      <c r="J270" s="5" t="s">
        <v>13084</v>
      </c>
    </row>
    <row r="271" spans="1:10" x14ac:dyDescent="0.2">
      <c r="A271" s="5" t="s">
        <v>13416</v>
      </c>
      <c r="B271" s="5" t="s">
        <v>83</v>
      </c>
      <c r="C271" s="5"/>
      <c r="D271" s="5" t="s">
        <v>13415</v>
      </c>
      <c r="E271" s="5"/>
      <c r="F271" s="5" t="s">
        <v>11088</v>
      </c>
      <c r="G271" s="5" t="s">
        <v>173</v>
      </c>
      <c r="H271" s="5" t="s">
        <v>3</v>
      </c>
      <c r="I271" s="5"/>
      <c r="J271" s="5" t="s">
        <v>13414</v>
      </c>
    </row>
    <row r="272" spans="1:10" x14ac:dyDescent="0.2">
      <c r="A272" s="5" t="s">
        <v>13413</v>
      </c>
      <c r="B272" s="5" t="s">
        <v>83</v>
      </c>
      <c r="C272" s="5"/>
      <c r="D272" s="5" t="s">
        <v>13412</v>
      </c>
      <c r="E272" s="5"/>
      <c r="F272" s="5" t="s">
        <v>11088</v>
      </c>
      <c r="G272" s="5" t="s">
        <v>173</v>
      </c>
      <c r="H272" s="5" t="s">
        <v>3</v>
      </c>
      <c r="I272" s="5"/>
      <c r="J272" s="5" t="s">
        <v>13411</v>
      </c>
    </row>
    <row r="273" spans="1:10" x14ac:dyDescent="0.2">
      <c r="A273" s="5" t="s">
        <v>13410</v>
      </c>
      <c r="B273" s="5" t="s">
        <v>83</v>
      </c>
      <c r="C273" s="5"/>
      <c r="D273" s="5" t="s">
        <v>13409</v>
      </c>
      <c r="E273" s="5"/>
      <c r="F273" s="5" t="s">
        <v>11088</v>
      </c>
      <c r="G273" s="5" t="s">
        <v>173</v>
      </c>
      <c r="H273" s="5" t="s">
        <v>3</v>
      </c>
      <c r="I273" s="5"/>
      <c r="J273" s="5" t="s">
        <v>13408</v>
      </c>
    </row>
    <row r="274" spans="1:10" x14ac:dyDescent="0.2">
      <c r="A274" s="5" t="s">
        <v>13407</v>
      </c>
      <c r="B274" s="5" t="s">
        <v>83</v>
      </c>
      <c r="C274" s="5"/>
      <c r="D274" s="5" t="s">
        <v>13406</v>
      </c>
      <c r="E274" s="5"/>
      <c r="F274" s="5" t="s">
        <v>11088</v>
      </c>
      <c r="G274" s="5" t="s">
        <v>173</v>
      </c>
      <c r="H274" s="5" t="s">
        <v>3</v>
      </c>
      <c r="I274" s="5"/>
      <c r="J274" s="5" t="s">
        <v>13405</v>
      </c>
    </row>
    <row r="275" spans="1:10" x14ac:dyDescent="0.2">
      <c r="A275" s="5" t="s">
        <v>13404</v>
      </c>
      <c r="B275" s="5" t="s">
        <v>83</v>
      </c>
      <c r="C275" s="5"/>
      <c r="D275" s="5" t="s">
        <v>13403</v>
      </c>
      <c r="E275" s="5"/>
      <c r="F275" s="5" t="s">
        <v>11088</v>
      </c>
      <c r="G275" s="5" t="s">
        <v>173</v>
      </c>
      <c r="H275" s="5" t="s">
        <v>3</v>
      </c>
      <c r="I275" s="5"/>
      <c r="J275" s="5" t="s">
        <v>13402</v>
      </c>
    </row>
    <row r="276" spans="1:10" x14ac:dyDescent="0.2">
      <c r="A276" s="5" t="s">
        <v>13401</v>
      </c>
      <c r="B276" s="5" t="s">
        <v>83</v>
      </c>
      <c r="C276" s="5"/>
      <c r="D276" s="5" t="s">
        <v>13400</v>
      </c>
      <c r="E276" s="5"/>
      <c r="F276" s="5" t="s">
        <v>11088</v>
      </c>
      <c r="G276" s="5" t="s">
        <v>173</v>
      </c>
      <c r="H276" s="5" t="s">
        <v>3</v>
      </c>
      <c r="I276" s="5"/>
      <c r="J276" s="5" t="s">
        <v>13399</v>
      </c>
    </row>
    <row r="277" spans="1:10" x14ac:dyDescent="0.2">
      <c r="A277" s="5" t="s">
        <v>13398</v>
      </c>
      <c r="B277" s="5" t="s">
        <v>83</v>
      </c>
      <c r="C277" s="5"/>
      <c r="D277" s="5" t="s">
        <v>13397</v>
      </c>
      <c r="E277" s="5"/>
      <c r="F277" s="5" t="s">
        <v>11088</v>
      </c>
      <c r="G277" s="5" t="s">
        <v>173</v>
      </c>
      <c r="H277" s="5" t="s">
        <v>3</v>
      </c>
      <c r="I277" s="5"/>
      <c r="J277" s="5" t="s">
        <v>13396</v>
      </c>
    </row>
    <row r="278" spans="1:10" x14ac:dyDescent="0.2">
      <c r="A278" s="5" t="s">
        <v>13395</v>
      </c>
      <c r="B278" s="5" t="s">
        <v>83</v>
      </c>
      <c r="C278" s="5"/>
      <c r="D278" s="5" t="s">
        <v>13394</v>
      </c>
      <c r="E278" s="5"/>
      <c r="F278" s="5" t="s">
        <v>11088</v>
      </c>
      <c r="G278" s="5" t="s">
        <v>173</v>
      </c>
      <c r="H278" s="5" t="s">
        <v>3</v>
      </c>
      <c r="I278" s="5"/>
      <c r="J278" s="5" t="s">
        <v>13393</v>
      </c>
    </row>
    <row r="279" spans="1:10" x14ac:dyDescent="0.2">
      <c r="A279" s="5" t="s">
        <v>13392</v>
      </c>
      <c r="B279" s="5" t="s">
        <v>83</v>
      </c>
      <c r="C279" s="5"/>
      <c r="D279" s="5" t="s">
        <v>13391</v>
      </c>
      <c r="E279" s="5"/>
      <c r="F279" s="5" t="s">
        <v>11088</v>
      </c>
      <c r="G279" s="5" t="s">
        <v>173</v>
      </c>
      <c r="H279" s="5" t="s">
        <v>3</v>
      </c>
      <c r="I279" s="5"/>
      <c r="J279" s="5" t="s">
        <v>13390</v>
      </c>
    </row>
    <row r="280" spans="1:10" x14ac:dyDescent="0.2">
      <c r="A280" s="5" t="s">
        <v>13389</v>
      </c>
      <c r="B280" s="5" t="s">
        <v>83</v>
      </c>
      <c r="C280" s="5"/>
      <c r="D280" s="5" t="s">
        <v>13388</v>
      </c>
      <c r="E280" s="5"/>
      <c r="F280" s="5" t="s">
        <v>11088</v>
      </c>
      <c r="G280" s="5" t="s">
        <v>173</v>
      </c>
      <c r="H280" s="5" t="s">
        <v>3</v>
      </c>
      <c r="I280" s="5"/>
      <c r="J280" s="5" t="s">
        <v>13387</v>
      </c>
    </row>
    <row r="281" spans="1:10" x14ac:dyDescent="0.2">
      <c r="A281" s="5" t="s">
        <v>13386</v>
      </c>
      <c r="B281" s="5" t="s">
        <v>83</v>
      </c>
      <c r="C281" s="5"/>
      <c r="D281" s="5" t="s">
        <v>13385</v>
      </c>
      <c r="E281" s="5"/>
      <c r="F281" s="5" t="s">
        <v>11088</v>
      </c>
      <c r="G281" s="5" t="s">
        <v>173</v>
      </c>
      <c r="H281" s="5" t="s">
        <v>3</v>
      </c>
      <c r="I281" s="5"/>
      <c r="J281" s="5" t="s">
        <v>13384</v>
      </c>
    </row>
    <row r="282" spans="1:10" x14ac:dyDescent="0.2">
      <c r="A282" s="5" t="s">
        <v>13383</v>
      </c>
      <c r="B282" s="5" t="s">
        <v>83</v>
      </c>
      <c r="C282" s="5"/>
      <c r="D282" s="5" t="s">
        <v>13382</v>
      </c>
      <c r="E282" s="5"/>
      <c r="F282" s="5" t="s">
        <v>11088</v>
      </c>
      <c r="G282" s="5" t="s">
        <v>173</v>
      </c>
      <c r="H282" s="5" t="s">
        <v>3</v>
      </c>
      <c r="I282" s="5"/>
      <c r="J282" s="5" t="s">
        <v>13381</v>
      </c>
    </row>
    <row r="283" spans="1:10" x14ac:dyDescent="0.2">
      <c r="A283" s="5" t="s">
        <v>13380</v>
      </c>
      <c r="B283" s="5" t="s">
        <v>83</v>
      </c>
      <c r="C283" s="5"/>
      <c r="D283" s="5" t="s">
        <v>13379</v>
      </c>
      <c r="E283" s="5"/>
      <c r="F283" s="5" t="s">
        <v>11088</v>
      </c>
      <c r="G283" s="5" t="s">
        <v>173</v>
      </c>
      <c r="H283" s="5" t="s">
        <v>3</v>
      </c>
      <c r="I283" s="5"/>
      <c r="J283" s="5" t="s">
        <v>13378</v>
      </c>
    </row>
    <row r="284" spans="1:10" x14ac:dyDescent="0.2">
      <c r="A284" s="5" t="s">
        <v>13377</v>
      </c>
      <c r="B284" s="5" t="s">
        <v>83</v>
      </c>
      <c r="C284" s="5"/>
      <c r="D284" s="5" t="s">
        <v>13376</v>
      </c>
      <c r="E284" s="5"/>
      <c r="F284" s="5" t="s">
        <v>11088</v>
      </c>
      <c r="G284" s="5" t="s">
        <v>173</v>
      </c>
      <c r="H284" s="5" t="s">
        <v>3</v>
      </c>
      <c r="I284" s="5"/>
      <c r="J284" s="5" t="s">
        <v>13375</v>
      </c>
    </row>
    <row r="285" spans="1:10" x14ac:dyDescent="0.2">
      <c r="A285" s="5" t="s">
        <v>13374</v>
      </c>
      <c r="B285" s="5" t="s">
        <v>83</v>
      </c>
      <c r="C285" s="5"/>
      <c r="D285" s="5" t="s">
        <v>13373</v>
      </c>
      <c r="E285" s="5"/>
      <c r="F285" s="5" t="s">
        <v>11088</v>
      </c>
      <c r="G285" s="5" t="s">
        <v>173</v>
      </c>
      <c r="H285" s="5" t="s">
        <v>3</v>
      </c>
      <c r="I285" s="5"/>
      <c r="J285" s="5" t="s">
        <v>13372</v>
      </c>
    </row>
    <row r="286" spans="1:10" x14ac:dyDescent="0.2">
      <c r="A286" s="5" t="s">
        <v>13371</v>
      </c>
      <c r="B286" s="5" t="s">
        <v>83</v>
      </c>
      <c r="C286" s="5"/>
      <c r="D286" s="5" t="s">
        <v>13370</v>
      </c>
      <c r="E286" s="5" t="s">
        <v>93</v>
      </c>
      <c r="F286" s="5" t="s">
        <v>13369</v>
      </c>
      <c r="G286" s="5" t="s">
        <v>382</v>
      </c>
      <c r="H286" s="5" t="s">
        <v>3</v>
      </c>
      <c r="I286" s="5"/>
      <c r="J286" s="5" t="s">
        <v>13368</v>
      </c>
    </row>
    <row r="287" spans="1:10" x14ac:dyDescent="0.2">
      <c r="A287" s="5" t="s">
        <v>13367</v>
      </c>
      <c r="B287" s="5" t="s">
        <v>83</v>
      </c>
      <c r="C287" s="5"/>
      <c r="D287" s="5" t="s">
        <v>13366</v>
      </c>
      <c r="E287" s="5" t="s">
        <v>93</v>
      </c>
      <c r="F287" s="5" t="s">
        <v>13365</v>
      </c>
      <c r="G287" s="5" t="s">
        <v>382</v>
      </c>
      <c r="H287" s="5" t="s">
        <v>3</v>
      </c>
      <c r="I287" s="5"/>
      <c r="J287" s="5" t="s">
        <v>13364</v>
      </c>
    </row>
    <row r="288" spans="1:10" x14ac:dyDescent="0.2">
      <c r="A288" s="5" t="s">
        <v>13363</v>
      </c>
      <c r="B288" s="5" t="s">
        <v>83</v>
      </c>
      <c r="C288" s="5"/>
      <c r="D288" s="5" t="s">
        <v>13362</v>
      </c>
      <c r="E288" s="5"/>
      <c r="F288" s="5" t="s">
        <v>11088</v>
      </c>
      <c r="G288" s="5" t="s">
        <v>173</v>
      </c>
      <c r="H288" s="5" t="s">
        <v>3</v>
      </c>
      <c r="I288" s="5"/>
      <c r="J288" s="5" t="s">
        <v>13361</v>
      </c>
    </row>
    <row r="289" spans="1:10" x14ac:dyDescent="0.2">
      <c r="A289" s="5" t="s">
        <v>13360</v>
      </c>
      <c r="B289" s="5" t="s">
        <v>83</v>
      </c>
      <c r="C289" s="5"/>
      <c r="D289" s="5" t="s">
        <v>13359</v>
      </c>
      <c r="E289" s="5"/>
      <c r="F289" s="5" t="s">
        <v>11088</v>
      </c>
      <c r="G289" s="5" t="s">
        <v>173</v>
      </c>
      <c r="H289" s="5" t="s">
        <v>3</v>
      </c>
      <c r="I289" s="5"/>
      <c r="J289" s="5" t="s">
        <v>13358</v>
      </c>
    </row>
    <row r="290" spans="1:10" ht="25.5" x14ac:dyDescent="0.2">
      <c r="A290" s="5" t="s">
        <v>13357</v>
      </c>
      <c r="B290" s="5" t="s">
        <v>83</v>
      </c>
      <c r="C290" s="5"/>
      <c r="D290" s="5" t="s">
        <v>13356</v>
      </c>
      <c r="E290" s="5"/>
      <c r="F290" s="5" t="s">
        <v>10568</v>
      </c>
      <c r="G290" s="5" t="s">
        <v>207</v>
      </c>
      <c r="H290" s="5"/>
      <c r="I290" s="5"/>
      <c r="J290" s="5" t="s">
        <v>13355</v>
      </c>
    </row>
    <row r="291" spans="1:10" ht="25.5" x14ac:dyDescent="0.2">
      <c r="A291" s="5" t="s">
        <v>13354</v>
      </c>
      <c r="B291" s="5" t="s">
        <v>83</v>
      </c>
      <c r="C291" s="5"/>
      <c r="D291" s="5" t="s">
        <v>13349</v>
      </c>
      <c r="E291" s="5"/>
      <c r="F291" s="5" t="s">
        <v>11088</v>
      </c>
      <c r="G291" s="5" t="s">
        <v>105</v>
      </c>
      <c r="H291" s="5" t="s">
        <v>3</v>
      </c>
      <c r="I291" s="5"/>
      <c r="J291" s="5" t="s">
        <v>13348</v>
      </c>
    </row>
    <row r="292" spans="1:10" ht="25.5" x14ac:dyDescent="0.2">
      <c r="A292" s="5" t="s">
        <v>11047</v>
      </c>
      <c r="B292" s="5" t="s">
        <v>83</v>
      </c>
      <c r="C292" s="5"/>
      <c r="D292" s="5" t="s">
        <v>11046</v>
      </c>
      <c r="E292" s="5"/>
      <c r="F292" s="5" t="s">
        <v>12241</v>
      </c>
      <c r="G292" s="5" t="s">
        <v>80</v>
      </c>
      <c r="H292" s="5" t="s">
        <v>3</v>
      </c>
      <c r="I292" s="5"/>
      <c r="J292" s="5" t="s">
        <v>13346</v>
      </c>
    </row>
    <row r="293" spans="1:10" ht="25.5" x14ac:dyDescent="0.2">
      <c r="A293" s="5" t="s">
        <v>13353</v>
      </c>
      <c r="B293" s="5" t="s">
        <v>83</v>
      </c>
      <c r="C293" s="5"/>
      <c r="D293" s="5" t="s">
        <v>13352</v>
      </c>
      <c r="E293" s="5"/>
      <c r="F293" s="5" t="s">
        <v>12241</v>
      </c>
      <c r="G293" s="5" t="s">
        <v>224</v>
      </c>
      <c r="H293" s="5" t="s">
        <v>3</v>
      </c>
      <c r="I293" s="5"/>
      <c r="J293" s="5" t="s">
        <v>13351</v>
      </c>
    </row>
    <row r="294" spans="1:10" ht="25.5" x14ac:dyDescent="0.2">
      <c r="A294" s="5" t="s">
        <v>13350</v>
      </c>
      <c r="B294" s="5" t="s">
        <v>83</v>
      </c>
      <c r="C294" s="5"/>
      <c r="D294" s="5" t="s">
        <v>13349</v>
      </c>
      <c r="E294" s="5"/>
      <c r="F294" s="5" t="s">
        <v>11088</v>
      </c>
      <c r="G294" s="5" t="s">
        <v>105</v>
      </c>
      <c r="H294" s="5" t="s">
        <v>3</v>
      </c>
      <c r="I294" s="5"/>
      <c r="J294" s="5" t="s">
        <v>13348</v>
      </c>
    </row>
    <row r="295" spans="1:10" ht="25.5" x14ac:dyDescent="0.2">
      <c r="A295" s="5" t="s">
        <v>13347</v>
      </c>
      <c r="B295" s="5" t="s">
        <v>83</v>
      </c>
      <c r="C295" s="5"/>
      <c r="D295" s="5" t="s">
        <v>11046</v>
      </c>
      <c r="E295" s="5"/>
      <c r="F295" s="5" t="s">
        <v>11088</v>
      </c>
      <c r="G295" s="5" t="s">
        <v>80</v>
      </c>
      <c r="H295" s="5" t="s">
        <v>3</v>
      </c>
      <c r="I295" s="5"/>
      <c r="J295" s="5" t="s">
        <v>13346</v>
      </c>
    </row>
    <row r="296" spans="1:10" ht="25.5" x14ac:dyDescent="0.2">
      <c r="A296" s="5" t="s">
        <v>13345</v>
      </c>
      <c r="B296" s="5" t="s">
        <v>83</v>
      </c>
      <c r="C296" s="5"/>
      <c r="D296" s="5" t="s">
        <v>13344</v>
      </c>
      <c r="E296" s="5" t="s">
        <v>93</v>
      </c>
      <c r="F296" s="5" t="s">
        <v>8174</v>
      </c>
      <c r="G296" s="5" t="s">
        <v>207</v>
      </c>
      <c r="H296" s="5" t="s">
        <v>3</v>
      </c>
      <c r="I296" s="5"/>
      <c r="J296" s="5" t="s">
        <v>13343</v>
      </c>
    </row>
    <row r="297" spans="1:10" x14ac:dyDescent="0.2">
      <c r="A297" s="5" t="s">
        <v>13342</v>
      </c>
      <c r="B297" s="5" t="s">
        <v>83</v>
      </c>
      <c r="C297" s="5"/>
      <c r="D297" s="5" t="s">
        <v>13341</v>
      </c>
      <c r="E297" s="5"/>
      <c r="F297" s="5" t="s">
        <v>2219</v>
      </c>
      <c r="G297" s="5" t="s">
        <v>118</v>
      </c>
      <c r="H297" s="5" t="s">
        <v>3</v>
      </c>
      <c r="I297" s="5"/>
      <c r="J297" s="5" t="s">
        <v>13340</v>
      </c>
    </row>
    <row r="298" spans="1:10" x14ac:dyDescent="0.2">
      <c r="A298" s="5" t="s">
        <v>11061</v>
      </c>
      <c r="B298" s="5" t="s">
        <v>83</v>
      </c>
      <c r="C298" s="5"/>
      <c r="D298" s="5">
        <v>1</v>
      </c>
      <c r="E298" s="5"/>
      <c r="F298" s="5" t="s">
        <v>11795</v>
      </c>
      <c r="G298" s="5" t="s">
        <v>207</v>
      </c>
      <c r="H298" s="5" t="s">
        <v>3</v>
      </c>
      <c r="I298" s="5"/>
      <c r="J298" s="5"/>
    </row>
    <row r="299" spans="1:10" x14ac:dyDescent="0.2">
      <c r="A299" s="5" t="s">
        <v>13339</v>
      </c>
      <c r="B299" s="5" t="s">
        <v>83</v>
      </c>
      <c r="C299" s="5"/>
      <c r="D299" s="5" t="s">
        <v>13338</v>
      </c>
      <c r="E299" s="5"/>
      <c r="F299" s="5" t="s">
        <v>13337</v>
      </c>
      <c r="G299" s="5" t="s">
        <v>118</v>
      </c>
      <c r="H299" s="5" t="s">
        <v>3</v>
      </c>
      <c r="I299" s="5"/>
      <c r="J299" s="5" t="s">
        <v>13336</v>
      </c>
    </row>
    <row r="300" spans="1:10" x14ac:dyDescent="0.2">
      <c r="A300" s="5" t="s">
        <v>13335</v>
      </c>
      <c r="B300" s="5" t="s">
        <v>83</v>
      </c>
      <c r="C300" s="5"/>
      <c r="D300" s="5" t="s">
        <v>13333</v>
      </c>
      <c r="E300" s="5"/>
      <c r="F300" s="5" t="s">
        <v>13332</v>
      </c>
      <c r="G300" s="5" t="s">
        <v>86</v>
      </c>
      <c r="H300" s="5" t="s">
        <v>3</v>
      </c>
      <c r="I300" s="5"/>
      <c r="J300" s="5"/>
    </row>
    <row r="301" spans="1:10" ht="25.5" x14ac:dyDescent="0.2">
      <c r="A301" s="5" t="s">
        <v>11044</v>
      </c>
      <c r="B301" s="5" t="s">
        <v>83</v>
      </c>
      <c r="C301" s="5"/>
      <c r="D301" s="5" t="s">
        <v>13334</v>
      </c>
      <c r="E301" s="5"/>
      <c r="F301" s="5" t="s">
        <v>11040</v>
      </c>
      <c r="G301" s="5" t="s">
        <v>86</v>
      </c>
      <c r="H301" s="5" t="s">
        <v>3</v>
      </c>
      <c r="I301" s="5"/>
      <c r="J301" s="5"/>
    </row>
    <row r="302" spans="1:10" x14ac:dyDescent="0.2">
      <c r="A302" s="5" t="s">
        <v>11042</v>
      </c>
      <c r="B302" s="5" t="s">
        <v>83</v>
      </c>
      <c r="C302" s="5"/>
      <c r="D302" s="5" t="s">
        <v>13333</v>
      </c>
      <c r="E302" s="5"/>
      <c r="F302" s="5" t="s">
        <v>13332</v>
      </c>
      <c r="G302" s="5" t="s">
        <v>86</v>
      </c>
      <c r="H302" s="5" t="s">
        <v>3</v>
      </c>
      <c r="I302" s="5"/>
      <c r="J302" s="5"/>
    </row>
    <row r="303" spans="1:10" x14ac:dyDescent="0.2">
      <c r="A303" s="5" t="s">
        <v>13331</v>
      </c>
      <c r="B303" s="5" t="s">
        <v>83</v>
      </c>
      <c r="C303" s="5"/>
      <c r="D303" s="5" t="s">
        <v>13330</v>
      </c>
      <c r="E303" s="5"/>
      <c r="F303" s="5" t="s">
        <v>13329</v>
      </c>
      <c r="G303" s="5" t="s">
        <v>86</v>
      </c>
      <c r="H303" s="5" t="s">
        <v>3</v>
      </c>
      <c r="I303" s="5"/>
      <c r="J303" s="5"/>
    </row>
    <row r="304" spans="1:10" ht="25.5" x14ac:dyDescent="0.2">
      <c r="A304" s="5" t="s">
        <v>13328</v>
      </c>
      <c r="B304" s="5" t="s">
        <v>83</v>
      </c>
      <c r="C304" s="5"/>
      <c r="D304" s="5" t="s">
        <v>13327</v>
      </c>
      <c r="E304" s="5" t="s">
        <v>93</v>
      </c>
      <c r="F304" s="5" t="s">
        <v>13326</v>
      </c>
      <c r="G304" s="5" t="s">
        <v>6584</v>
      </c>
      <c r="H304" s="5" t="s">
        <v>3</v>
      </c>
      <c r="I304" s="5"/>
      <c r="J304" s="5" t="s">
        <v>13325</v>
      </c>
    </row>
    <row r="305" spans="1:10" x14ac:dyDescent="0.2">
      <c r="A305" s="5" t="s">
        <v>13324</v>
      </c>
      <c r="B305" s="5" t="s">
        <v>83</v>
      </c>
      <c r="C305" s="5"/>
      <c r="D305" s="5" t="s">
        <v>13323</v>
      </c>
      <c r="E305" s="5"/>
      <c r="F305" s="5" t="s">
        <v>8844</v>
      </c>
      <c r="G305" s="5" t="s">
        <v>224</v>
      </c>
      <c r="H305" s="5" t="s">
        <v>3</v>
      </c>
      <c r="I305" s="5"/>
      <c r="J305" s="5" t="s">
        <v>8844</v>
      </c>
    </row>
    <row r="306" spans="1:10" ht="25.5" x14ac:dyDescent="0.2">
      <c r="A306" s="5" t="s">
        <v>13322</v>
      </c>
      <c r="B306" s="5" t="s">
        <v>83</v>
      </c>
      <c r="C306" s="5"/>
      <c r="D306" s="5" t="s">
        <v>11572</v>
      </c>
      <c r="E306" s="5"/>
      <c r="F306" s="5" t="s">
        <v>10998</v>
      </c>
      <c r="G306" s="5" t="s">
        <v>80</v>
      </c>
      <c r="H306" s="5" t="s">
        <v>3</v>
      </c>
      <c r="I306" s="5"/>
      <c r="J306" s="5" t="s">
        <v>10499</v>
      </c>
    </row>
    <row r="307" spans="1:10" x14ac:dyDescent="0.2">
      <c r="A307" s="5" t="s">
        <v>13321</v>
      </c>
      <c r="B307" s="5" t="s">
        <v>83</v>
      </c>
      <c r="C307" s="5"/>
      <c r="D307" s="5" t="s">
        <v>13320</v>
      </c>
      <c r="E307" s="5"/>
      <c r="F307" s="5" t="s">
        <v>13319</v>
      </c>
      <c r="G307" s="5" t="s">
        <v>224</v>
      </c>
      <c r="H307" s="5" t="s">
        <v>3</v>
      </c>
      <c r="I307" s="5"/>
      <c r="J307" s="5" t="s">
        <v>13318</v>
      </c>
    </row>
    <row r="308" spans="1:10" ht="25.5" x14ac:dyDescent="0.2">
      <c r="A308" s="5" t="s">
        <v>13317</v>
      </c>
      <c r="B308" s="5" t="s">
        <v>83</v>
      </c>
      <c r="C308" s="5"/>
      <c r="D308" s="5" t="s">
        <v>10804</v>
      </c>
      <c r="E308" s="5"/>
      <c r="F308" s="5" t="s">
        <v>354</v>
      </c>
      <c r="G308" s="5" t="s">
        <v>173</v>
      </c>
      <c r="H308" s="5" t="s">
        <v>3</v>
      </c>
      <c r="I308" s="5"/>
      <c r="J308" s="5" t="s">
        <v>10539</v>
      </c>
    </row>
    <row r="309" spans="1:10" x14ac:dyDescent="0.2">
      <c r="A309" s="5" t="s">
        <v>13316</v>
      </c>
      <c r="B309" s="5" t="s">
        <v>83</v>
      </c>
      <c r="C309" s="5"/>
      <c r="D309" s="5" t="s">
        <v>13316</v>
      </c>
      <c r="E309" s="5"/>
      <c r="F309" s="5" t="s">
        <v>13315</v>
      </c>
      <c r="G309" s="5" t="s">
        <v>173</v>
      </c>
      <c r="H309" s="5" t="s">
        <v>3</v>
      </c>
      <c r="I309" s="5"/>
      <c r="J309" s="5" t="s">
        <v>13314</v>
      </c>
    </row>
    <row r="310" spans="1:10" ht="38.25" x14ac:dyDescent="0.2">
      <c r="A310" s="5" t="s">
        <v>13313</v>
      </c>
      <c r="B310" s="5" t="s">
        <v>83</v>
      </c>
      <c r="C310" s="5"/>
      <c r="D310" s="5" t="s">
        <v>13312</v>
      </c>
      <c r="E310" s="5" t="s">
        <v>93</v>
      </c>
      <c r="F310" s="5" t="s">
        <v>8135</v>
      </c>
      <c r="G310" s="5" t="s">
        <v>173</v>
      </c>
      <c r="H310" s="5" t="s">
        <v>3</v>
      </c>
      <c r="I310" s="5"/>
      <c r="J310" s="5" t="s">
        <v>13311</v>
      </c>
    </row>
    <row r="311" spans="1:10" x14ac:dyDescent="0.2">
      <c r="A311" s="5" t="s">
        <v>10994</v>
      </c>
      <c r="B311" s="5" t="s">
        <v>83</v>
      </c>
      <c r="C311" s="5"/>
      <c r="D311" s="5" t="s">
        <v>13310</v>
      </c>
      <c r="E311" s="5" t="s">
        <v>93</v>
      </c>
      <c r="F311" s="5" t="s">
        <v>9680</v>
      </c>
      <c r="G311" s="5" t="s">
        <v>382</v>
      </c>
      <c r="H311" s="5" t="s">
        <v>3</v>
      </c>
      <c r="I311" s="5"/>
      <c r="J311" s="5" t="s">
        <v>10992</v>
      </c>
    </row>
    <row r="312" spans="1:10" ht="25.5" x14ac:dyDescent="0.2">
      <c r="A312" s="5" t="s">
        <v>13309</v>
      </c>
      <c r="B312" s="5" t="s">
        <v>83</v>
      </c>
      <c r="C312" s="5"/>
      <c r="D312" s="5" t="s">
        <v>13308</v>
      </c>
      <c r="E312" s="5"/>
      <c r="F312" s="5" t="s">
        <v>8135</v>
      </c>
      <c r="G312" s="5" t="s">
        <v>8275</v>
      </c>
      <c r="H312" s="5" t="s">
        <v>3</v>
      </c>
      <c r="I312" s="5"/>
      <c r="J312" s="5" t="s">
        <v>13307</v>
      </c>
    </row>
    <row r="313" spans="1:10" ht="25.5" x14ac:dyDescent="0.2">
      <c r="A313" s="5" t="s">
        <v>13306</v>
      </c>
      <c r="B313" s="5" t="s">
        <v>83</v>
      </c>
      <c r="C313" s="5"/>
      <c r="D313" s="5" t="s">
        <v>13305</v>
      </c>
      <c r="E313" s="5"/>
      <c r="F313" s="5" t="s">
        <v>10957</v>
      </c>
      <c r="G313" s="5" t="s">
        <v>328</v>
      </c>
      <c r="H313" s="5" t="s">
        <v>3</v>
      </c>
      <c r="I313" s="5"/>
      <c r="J313" s="5" t="s">
        <v>13304</v>
      </c>
    </row>
    <row r="314" spans="1:10" x14ac:dyDescent="0.2">
      <c r="A314" s="5" t="s">
        <v>13303</v>
      </c>
      <c r="B314" s="5" t="s">
        <v>83</v>
      </c>
      <c r="C314" s="5"/>
      <c r="D314" s="5" t="s">
        <v>13302</v>
      </c>
      <c r="E314" s="5"/>
      <c r="F314" s="5" t="s">
        <v>10957</v>
      </c>
      <c r="G314" s="5" t="s">
        <v>173</v>
      </c>
      <c r="H314" s="5" t="s">
        <v>3</v>
      </c>
      <c r="I314" s="5"/>
      <c r="J314" s="5" t="s">
        <v>13301</v>
      </c>
    </row>
    <row r="315" spans="1:10" ht="25.5" x14ac:dyDescent="0.2">
      <c r="A315" s="5" t="s">
        <v>13300</v>
      </c>
      <c r="B315" s="5" t="s">
        <v>83</v>
      </c>
      <c r="C315" s="5"/>
      <c r="D315" s="5" t="s">
        <v>13299</v>
      </c>
      <c r="E315" s="5"/>
      <c r="F315" s="5" t="s">
        <v>10957</v>
      </c>
      <c r="G315" s="5" t="s">
        <v>173</v>
      </c>
      <c r="H315" s="5" t="s">
        <v>3</v>
      </c>
      <c r="I315" s="5"/>
      <c r="J315" s="5" t="s">
        <v>13298</v>
      </c>
    </row>
    <row r="316" spans="1:10" x14ac:dyDescent="0.2">
      <c r="A316" s="5" t="s">
        <v>8107</v>
      </c>
      <c r="B316" s="5" t="s">
        <v>83</v>
      </c>
      <c r="C316" s="5"/>
      <c r="D316" s="5" t="s">
        <v>8106</v>
      </c>
      <c r="E316" s="5"/>
      <c r="F316" s="5" t="s">
        <v>8105</v>
      </c>
      <c r="G316" s="5" t="s">
        <v>283</v>
      </c>
      <c r="H316" s="5" t="s">
        <v>3</v>
      </c>
      <c r="I316" s="5"/>
      <c r="J316" s="5" t="s">
        <v>8104</v>
      </c>
    </row>
    <row r="317" spans="1:10" x14ac:dyDescent="0.2">
      <c r="A317" s="5" t="s">
        <v>13297</v>
      </c>
      <c r="B317" s="5" t="s">
        <v>83</v>
      </c>
      <c r="C317" s="5"/>
      <c r="D317" s="5" t="s">
        <v>13296</v>
      </c>
      <c r="E317" s="5" t="s">
        <v>93</v>
      </c>
      <c r="F317" s="5" t="s">
        <v>11451</v>
      </c>
      <c r="G317" s="5" t="s">
        <v>382</v>
      </c>
      <c r="H317" s="5" t="s">
        <v>3</v>
      </c>
      <c r="I317" s="5"/>
      <c r="J317" s="5" t="s">
        <v>13295</v>
      </c>
    </row>
    <row r="318" spans="1:10" x14ac:dyDescent="0.2">
      <c r="A318" s="5" t="s">
        <v>13294</v>
      </c>
      <c r="B318" s="5" t="s">
        <v>83</v>
      </c>
      <c r="C318" s="5"/>
      <c r="D318" s="5" t="s">
        <v>13293</v>
      </c>
      <c r="E318" s="5" t="s">
        <v>93</v>
      </c>
      <c r="F318" s="5" t="s">
        <v>11451</v>
      </c>
      <c r="G318" s="5" t="s">
        <v>195</v>
      </c>
      <c r="H318" s="5" t="s">
        <v>3</v>
      </c>
      <c r="I318" s="5"/>
      <c r="J318" s="5" t="s">
        <v>13292</v>
      </c>
    </row>
    <row r="319" spans="1:10" x14ac:dyDescent="0.2">
      <c r="A319" s="5" t="s">
        <v>13291</v>
      </c>
      <c r="B319" s="5" t="s">
        <v>83</v>
      </c>
      <c r="C319" s="5"/>
      <c r="D319" s="5" t="s">
        <v>13290</v>
      </c>
      <c r="E319" s="5" t="s">
        <v>93</v>
      </c>
      <c r="F319" s="5" t="s">
        <v>11451</v>
      </c>
      <c r="G319" s="5" t="s">
        <v>195</v>
      </c>
      <c r="H319" s="5" t="s">
        <v>3</v>
      </c>
      <c r="I319" s="5"/>
      <c r="J319" s="5" t="s">
        <v>13289</v>
      </c>
    </row>
    <row r="320" spans="1:10" x14ac:dyDescent="0.2">
      <c r="A320" s="5" t="s">
        <v>13288</v>
      </c>
      <c r="B320" s="5" t="s">
        <v>83</v>
      </c>
      <c r="C320" s="5"/>
      <c r="D320" s="5" t="s">
        <v>13287</v>
      </c>
      <c r="E320" s="5" t="s">
        <v>93</v>
      </c>
      <c r="F320" s="5" t="s">
        <v>11451</v>
      </c>
      <c r="G320" s="5" t="s">
        <v>195</v>
      </c>
      <c r="H320" s="5" t="s">
        <v>3</v>
      </c>
      <c r="I320" s="5"/>
      <c r="J320" s="5" t="s">
        <v>13286</v>
      </c>
    </row>
    <row r="321" spans="1:10" x14ac:dyDescent="0.2">
      <c r="A321" s="5" t="s">
        <v>13285</v>
      </c>
      <c r="B321" s="5" t="s">
        <v>83</v>
      </c>
      <c r="C321" s="5"/>
      <c r="D321" s="5" t="s">
        <v>13284</v>
      </c>
      <c r="E321" s="5" t="s">
        <v>93</v>
      </c>
      <c r="F321" s="5" t="s">
        <v>11451</v>
      </c>
      <c r="G321" s="5" t="s">
        <v>195</v>
      </c>
      <c r="H321" s="5" t="s">
        <v>3</v>
      </c>
      <c r="I321" s="5"/>
      <c r="J321" s="5" t="s">
        <v>13283</v>
      </c>
    </row>
    <row r="322" spans="1:10" x14ac:dyDescent="0.2">
      <c r="A322" s="5" t="s">
        <v>13282</v>
      </c>
      <c r="B322" s="5" t="s">
        <v>83</v>
      </c>
      <c r="C322" s="5"/>
      <c r="D322" s="5" t="s">
        <v>13281</v>
      </c>
      <c r="E322" s="5" t="s">
        <v>93</v>
      </c>
      <c r="F322" s="5" t="s">
        <v>11451</v>
      </c>
      <c r="G322" s="5" t="s">
        <v>195</v>
      </c>
      <c r="H322" s="5" t="s">
        <v>3</v>
      </c>
      <c r="I322" s="5"/>
      <c r="J322" s="5" t="s">
        <v>13280</v>
      </c>
    </row>
    <row r="323" spans="1:10" x14ac:dyDescent="0.2">
      <c r="A323" s="5" t="s">
        <v>13279</v>
      </c>
      <c r="B323" s="5" t="s">
        <v>83</v>
      </c>
      <c r="C323" s="5"/>
      <c r="D323" s="5" t="s">
        <v>13278</v>
      </c>
      <c r="E323" s="5" t="s">
        <v>93</v>
      </c>
      <c r="F323" s="5" t="s">
        <v>11451</v>
      </c>
      <c r="G323" s="5" t="s">
        <v>195</v>
      </c>
      <c r="H323" s="5" t="s">
        <v>3</v>
      </c>
      <c r="I323" s="5"/>
      <c r="J323" s="5" t="s">
        <v>13277</v>
      </c>
    </row>
    <row r="324" spans="1:10" x14ac:dyDescent="0.2">
      <c r="A324" s="5" t="s">
        <v>13276</v>
      </c>
      <c r="B324" s="5" t="s">
        <v>83</v>
      </c>
      <c r="C324" s="5"/>
      <c r="D324" s="5" t="s">
        <v>13275</v>
      </c>
      <c r="E324" s="5" t="s">
        <v>93</v>
      </c>
      <c r="F324" s="5" t="s">
        <v>11451</v>
      </c>
      <c r="G324" s="5" t="s">
        <v>195</v>
      </c>
      <c r="H324" s="5" t="s">
        <v>3</v>
      </c>
      <c r="I324" s="5"/>
      <c r="J324" s="5" t="s">
        <v>13274</v>
      </c>
    </row>
    <row r="325" spans="1:10" x14ac:dyDescent="0.2">
      <c r="A325" s="5" t="s">
        <v>13273</v>
      </c>
      <c r="B325" s="5" t="s">
        <v>83</v>
      </c>
      <c r="C325" s="5"/>
      <c r="D325" s="5" t="s">
        <v>13272</v>
      </c>
      <c r="E325" s="5" t="s">
        <v>93</v>
      </c>
      <c r="F325" s="5" t="s">
        <v>11451</v>
      </c>
      <c r="G325" s="5" t="s">
        <v>195</v>
      </c>
      <c r="H325" s="5" t="s">
        <v>3</v>
      </c>
      <c r="I325" s="5"/>
      <c r="J325" s="5" t="s">
        <v>13271</v>
      </c>
    </row>
    <row r="326" spans="1:10" x14ac:dyDescent="0.2">
      <c r="A326" s="5" t="s">
        <v>13270</v>
      </c>
      <c r="B326" s="5" t="s">
        <v>83</v>
      </c>
      <c r="C326" s="5"/>
      <c r="D326" s="5" t="s">
        <v>13269</v>
      </c>
      <c r="E326" s="5" t="s">
        <v>93</v>
      </c>
      <c r="F326" s="5" t="s">
        <v>11451</v>
      </c>
      <c r="G326" s="5" t="s">
        <v>195</v>
      </c>
      <c r="H326" s="5" t="s">
        <v>3</v>
      </c>
      <c r="I326" s="5"/>
      <c r="J326" s="5" t="s">
        <v>13268</v>
      </c>
    </row>
    <row r="327" spans="1:10" x14ac:dyDescent="0.2">
      <c r="A327" s="5" t="s">
        <v>13267</v>
      </c>
      <c r="B327" s="5" t="s">
        <v>83</v>
      </c>
      <c r="C327" s="5"/>
      <c r="D327" s="5" t="s">
        <v>13266</v>
      </c>
      <c r="E327" s="5" t="s">
        <v>93</v>
      </c>
      <c r="F327" s="5" t="s">
        <v>11451</v>
      </c>
      <c r="G327" s="5" t="s">
        <v>195</v>
      </c>
      <c r="H327" s="5" t="s">
        <v>3</v>
      </c>
      <c r="I327" s="5"/>
      <c r="J327" s="5" t="s">
        <v>13265</v>
      </c>
    </row>
    <row r="328" spans="1:10" x14ac:dyDescent="0.2">
      <c r="A328" s="5" t="s">
        <v>13264</v>
      </c>
      <c r="B328" s="5" t="s">
        <v>83</v>
      </c>
      <c r="C328" s="5"/>
      <c r="D328" s="5" t="s">
        <v>13263</v>
      </c>
      <c r="E328" s="5"/>
      <c r="F328" s="5" t="s">
        <v>11451</v>
      </c>
      <c r="G328" s="5" t="s">
        <v>382</v>
      </c>
      <c r="H328" s="5" t="s">
        <v>3</v>
      </c>
      <c r="I328" s="5"/>
      <c r="J328" s="5" t="s">
        <v>13262</v>
      </c>
    </row>
    <row r="329" spans="1:10" x14ac:dyDescent="0.2">
      <c r="A329" s="5" t="s">
        <v>13261</v>
      </c>
      <c r="B329" s="5" t="s">
        <v>83</v>
      </c>
      <c r="C329" s="5"/>
      <c r="D329" s="5" t="s">
        <v>13260</v>
      </c>
      <c r="E329" s="5"/>
      <c r="F329" s="5" t="s">
        <v>11451</v>
      </c>
      <c r="G329" s="5" t="s">
        <v>382</v>
      </c>
      <c r="H329" s="5" t="s">
        <v>3</v>
      </c>
      <c r="I329" s="5"/>
      <c r="J329" s="5" t="s">
        <v>13259</v>
      </c>
    </row>
    <row r="330" spans="1:10" x14ac:dyDescent="0.2">
      <c r="A330" s="5" t="s">
        <v>13258</v>
      </c>
      <c r="B330" s="5" t="s">
        <v>83</v>
      </c>
      <c r="C330" s="5"/>
      <c r="D330" s="5" t="s">
        <v>13257</v>
      </c>
      <c r="E330" s="5"/>
      <c r="F330" s="5" t="s">
        <v>11451</v>
      </c>
      <c r="G330" s="5" t="s">
        <v>382</v>
      </c>
      <c r="H330" s="5" t="s">
        <v>3</v>
      </c>
      <c r="I330" s="5"/>
      <c r="J330" s="5" t="s">
        <v>13256</v>
      </c>
    </row>
    <row r="331" spans="1:10" x14ac:dyDescent="0.2">
      <c r="A331" s="5" t="s">
        <v>13255</v>
      </c>
      <c r="B331" s="5" t="s">
        <v>83</v>
      </c>
      <c r="C331" s="5"/>
      <c r="D331" s="5" t="s">
        <v>13254</v>
      </c>
      <c r="E331" s="5"/>
      <c r="F331" s="5" t="s">
        <v>11451</v>
      </c>
      <c r="G331" s="5" t="s">
        <v>382</v>
      </c>
      <c r="H331" s="5" t="s">
        <v>3</v>
      </c>
      <c r="I331" s="5"/>
      <c r="J331" s="5" t="s">
        <v>13253</v>
      </c>
    </row>
    <row r="332" spans="1:10" x14ac:dyDescent="0.2">
      <c r="A332" s="5" t="s">
        <v>13252</v>
      </c>
      <c r="B332" s="5" t="s">
        <v>83</v>
      </c>
      <c r="C332" s="5"/>
      <c r="D332" s="5" t="s">
        <v>13251</v>
      </c>
      <c r="E332" s="5"/>
      <c r="F332" s="5" t="s">
        <v>11451</v>
      </c>
      <c r="G332" s="5" t="s">
        <v>382</v>
      </c>
      <c r="H332" s="5" t="s">
        <v>3</v>
      </c>
      <c r="I332" s="5"/>
      <c r="J332" s="5" t="s">
        <v>13250</v>
      </c>
    </row>
    <row r="333" spans="1:10" x14ac:dyDescent="0.2">
      <c r="A333" s="5" t="s">
        <v>13249</v>
      </c>
      <c r="B333" s="5" t="s">
        <v>83</v>
      </c>
      <c r="C333" s="5"/>
      <c r="D333" s="5" t="s">
        <v>13248</v>
      </c>
      <c r="E333" s="5"/>
      <c r="F333" s="5" t="s">
        <v>11451</v>
      </c>
      <c r="G333" s="5" t="s">
        <v>382</v>
      </c>
      <c r="H333" s="5" t="s">
        <v>3</v>
      </c>
      <c r="I333" s="5"/>
      <c r="J333" s="5" t="s">
        <v>13247</v>
      </c>
    </row>
    <row r="334" spans="1:10" x14ac:dyDescent="0.2">
      <c r="A334" s="5" t="s">
        <v>13246</v>
      </c>
      <c r="B334" s="5" t="s">
        <v>83</v>
      </c>
      <c r="C334" s="5"/>
      <c r="D334" s="5" t="s">
        <v>13245</v>
      </c>
      <c r="E334" s="5"/>
      <c r="F334" s="5" t="s">
        <v>11451</v>
      </c>
      <c r="G334" s="5" t="s">
        <v>382</v>
      </c>
      <c r="H334" s="5" t="s">
        <v>3</v>
      </c>
      <c r="I334" s="5"/>
      <c r="J334" s="5" t="s">
        <v>13244</v>
      </c>
    </row>
    <row r="335" spans="1:10" x14ac:dyDescent="0.2">
      <c r="A335" s="5" t="s">
        <v>13243</v>
      </c>
      <c r="B335" s="5" t="s">
        <v>83</v>
      </c>
      <c r="C335" s="5"/>
      <c r="D335" s="5" t="s">
        <v>13242</v>
      </c>
      <c r="E335" s="5" t="s">
        <v>93</v>
      </c>
      <c r="F335" s="5" t="s">
        <v>11451</v>
      </c>
      <c r="G335" s="5" t="s">
        <v>382</v>
      </c>
      <c r="H335" s="5" t="s">
        <v>195</v>
      </c>
      <c r="I335" s="5"/>
      <c r="J335" s="5" t="s">
        <v>13241</v>
      </c>
    </row>
    <row r="336" spans="1:10" ht="25.5" x14ac:dyDescent="0.2">
      <c r="A336" s="5" t="s">
        <v>13240</v>
      </c>
      <c r="B336" s="5" t="s">
        <v>83</v>
      </c>
      <c r="C336" s="5"/>
      <c r="D336" s="5" t="s">
        <v>13239</v>
      </c>
      <c r="E336" s="5"/>
      <c r="F336" s="5" t="s">
        <v>11457</v>
      </c>
      <c r="G336" s="5" t="s">
        <v>148</v>
      </c>
      <c r="H336" s="5" t="s">
        <v>3</v>
      </c>
      <c r="I336" s="5"/>
      <c r="J336" s="5" t="s">
        <v>13238</v>
      </c>
    </row>
    <row r="337" spans="1:10" x14ac:dyDescent="0.2">
      <c r="A337" s="5" t="s">
        <v>13237</v>
      </c>
      <c r="B337" s="5" t="s">
        <v>83</v>
      </c>
      <c r="C337" s="5"/>
      <c r="D337" s="5" t="s">
        <v>13236</v>
      </c>
      <c r="E337" s="5"/>
      <c r="F337" s="5" t="s">
        <v>13235</v>
      </c>
      <c r="G337" s="5" t="s">
        <v>148</v>
      </c>
      <c r="H337" s="5" t="s">
        <v>3</v>
      </c>
      <c r="I337" s="5"/>
      <c r="J337" s="5" t="s">
        <v>13234</v>
      </c>
    </row>
    <row r="338" spans="1:10" ht="25.5" x14ac:dyDescent="0.2">
      <c r="A338" s="5" t="s">
        <v>13233</v>
      </c>
      <c r="B338" s="5" t="s">
        <v>83</v>
      </c>
      <c r="C338" s="5"/>
      <c r="D338" s="5" t="s">
        <v>13232</v>
      </c>
      <c r="E338" s="5" t="s">
        <v>13231</v>
      </c>
      <c r="F338" s="5" t="s">
        <v>11451</v>
      </c>
      <c r="G338" s="5" t="s">
        <v>148</v>
      </c>
      <c r="H338" s="5" t="s">
        <v>3</v>
      </c>
      <c r="I338" s="5"/>
      <c r="J338" s="5" t="s">
        <v>13230</v>
      </c>
    </row>
    <row r="339" spans="1:10" ht="25.5" x14ac:dyDescent="0.2">
      <c r="A339" s="5" t="s">
        <v>13229</v>
      </c>
      <c r="B339" s="5" t="s">
        <v>83</v>
      </c>
      <c r="C339" s="5"/>
      <c r="D339" s="5" t="s">
        <v>13228</v>
      </c>
      <c r="E339" s="5" t="s">
        <v>93</v>
      </c>
      <c r="F339" s="5" t="s">
        <v>13227</v>
      </c>
      <c r="G339" s="5" t="s">
        <v>382</v>
      </c>
      <c r="H339" s="5" t="s">
        <v>3</v>
      </c>
      <c r="I339" s="5"/>
      <c r="J339" s="5" t="s">
        <v>13226</v>
      </c>
    </row>
    <row r="340" spans="1:10" ht="25.5" x14ac:dyDescent="0.2">
      <c r="A340" s="5" t="s">
        <v>10972</v>
      </c>
      <c r="B340" s="5" t="s">
        <v>83</v>
      </c>
      <c r="C340" s="5"/>
      <c r="D340" s="5" t="s">
        <v>13225</v>
      </c>
      <c r="E340" s="5"/>
      <c r="F340" s="5" t="s">
        <v>10970</v>
      </c>
      <c r="G340" s="5" t="s">
        <v>8068</v>
      </c>
      <c r="H340" s="5" t="s">
        <v>3</v>
      </c>
      <c r="I340" s="5"/>
      <c r="J340" s="5" t="s">
        <v>10969</v>
      </c>
    </row>
    <row r="341" spans="1:10" ht="25.5" x14ac:dyDescent="0.2">
      <c r="A341" s="5" t="s">
        <v>10968</v>
      </c>
      <c r="B341" s="5" t="s">
        <v>83</v>
      </c>
      <c r="C341" s="5"/>
      <c r="D341" s="5" t="s">
        <v>13224</v>
      </c>
      <c r="E341" s="5"/>
      <c r="F341" s="5" t="s">
        <v>10957</v>
      </c>
      <c r="G341" s="5" t="s">
        <v>6584</v>
      </c>
      <c r="H341" s="5" t="s">
        <v>3</v>
      </c>
      <c r="I341" s="5"/>
      <c r="J341" s="5" t="s">
        <v>10966</v>
      </c>
    </row>
    <row r="342" spans="1:10" ht="25.5" x14ac:dyDescent="0.2">
      <c r="A342" s="5" t="s">
        <v>10965</v>
      </c>
      <c r="B342" s="5" t="s">
        <v>83</v>
      </c>
      <c r="C342" s="5"/>
      <c r="D342" s="5" t="s">
        <v>13223</v>
      </c>
      <c r="E342" s="5"/>
      <c r="F342" s="5" t="s">
        <v>10957</v>
      </c>
      <c r="G342" s="5" t="s">
        <v>6584</v>
      </c>
      <c r="H342" s="5" t="s">
        <v>3</v>
      </c>
      <c r="I342" s="5"/>
      <c r="J342" s="5" t="s">
        <v>10963</v>
      </c>
    </row>
    <row r="343" spans="1:10" ht="25.5" x14ac:dyDescent="0.2">
      <c r="A343" s="5" t="s">
        <v>10962</v>
      </c>
      <c r="B343" s="5" t="s">
        <v>83</v>
      </c>
      <c r="C343" s="5"/>
      <c r="D343" s="5" t="s">
        <v>13222</v>
      </c>
      <c r="E343" s="5"/>
      <c r="F343" s="5" t="s">
        <v>10957</v>
      </c>
      <c r="G343" s="5" t="s">
        <v>114</v>
      </c>
      <c r="H343" s="5" t="s">
        <v>3</v>
      </c>
      <c r="I343" s="5"/>
      <c r="J343" s="5" t="s">
        <v>10960</v>
      </c>
    </row>
    <row r="344" spans="1:10" ht="25.5" x14ac:dyDescent="0.2">
      <c r="A344" s="5" t="s">
        <v>10959</v>
      </c>
      <c r="B344" s="5" t="s">
        <v>83</v>
      </c>
      <c r="C344" s="5"/>
      <c r="D344" s="5" t="s">
        <v>13221</v>
      </c>
      <c r="E344" s="5"/>
      <c r="F344" s="5" t="s">
        <v>10957</v>
      </c>
      <c r="G344" s="5" t="s">
        <v>6584</v>
      </c>
      <c r="H344" s="5" t="s">
        <v>3</v>
      </c>
      <c r="I344" s="5"/>
      <c r="J344" s="5" t="s">
        <v>10956</v>
      </c>
    </row>
    <row r="345" spans="1:10" ht="25.5" x14ac:dyDescent="0.2">
      <c r="A345" s="5" t="s">
        <v>10943</v>
      </c>
      <c r="B345" s="5" t="s">
        <v>83</v>
      </c>
      <c r="C345" s="5"/>
      <c r="D345" s="5" t="s">
        <v>13220</v>
      </c>
      <c r="E345" s="5"/>
      <c r="F345" s="5"/>
      <c r="G345" s="5" t="s">
        <v>105</v>
      </c>
      <c r="H345" s="5" t="s">
        <v>3</v>
      </c>
      <c r="I345" s="5"/>
      <c r="J345" s="5" t="s">
        <v>13219</v>
      </c>
    </row>
    <row r="346" spans="1:10" ht="25.5" x14ac:dyDescent="0.2">
      <c r="A346" s="5" t="s">
        <v>13218</v>
      </c>
      <c r="B346" s="5" t="s">
        <v>83</v>
      </c>
      <c r="C346" s="5"/>
      <c r="D346" s="5" t="s">
        <v>13217</v>
      </c>
      <c r="E346" s="5"/>
      <c r="F346" s="5"/>
      <c r="G346" s="5" t="s">
        <v>276</v>
      </c>
      <c r="H346" s="5" t="s">
        <v>3</v>
      </c>
      <c r="I346" s="5"/>
      <c r="J346" s="5"/>
    </row>
    <row r="347" spans="1:10" ht="25.5" x14ac:dyDescent="0.2">
      <c r="A347" s="5" t="s">
        <v>13216</v>
      </c>
      <c r="B347" s="5" t="s">
        <v>83</v>
      </c>
      <c r="C347" s="5"/>
      <c r="D347" s="5" t="s">
        <v>13215</v>
      </c>
      <c r="E347" s="5"/>
      <c r="F347" s="5" t="s">
        <v>13214</v>
      </c>
      <c r="G347" s="5" t="s">
        <v>13213</v>
      </c>
      <c r="H347" s="5" t="s">
        <v>3</v>
      </c>
      <c r="I347" s="5"/>
      <c r="J347" s="5"/>
    </row>
    <row r="348" spans="1:10" x14ac:dyDescent="0.2">
      <c r="A348" s="5" t="s">
        <v>13212</v>
      </c>
      <c r="B348" s="5" t="s">
        <v>83</v>
      </c>
      <c r="C348" s="5"/>
      <c r="D348" s="5" t="s">
        <v>13211</v>
      </c>
      <c r="E348" s="5"/>
      <c r="F348" s="5" t="s">
        <v>13210</v>
      </c>
      <c r="G348" s="5" t="s">
        <v>224</v>
      </c>
      <c r="H348" s="5" t="s">
        <v>3</v>
      </c>
      <c r="I348" s="5"/>
      <c r="J348" s="5" t="s">
        <v>13209</v>
      </c>
    </row>
    <row r="349" spans="1:10" ht="25.5" x14ac:dyDescent="0.2">
      <c r="A349" s="5" t="s">
        <v>10936</v>
      </c>
      <c r="B349" s="5" t="s">
        <v>83</v>
      </c>
      <c r="C349" s="5"/>
      <c r="D349" s="5" t="s">
        <v>13208</v>
      </c>
      <c r="E349" s="5"/>
      <c r="F349" s="5" t="s">
        <v>10934</v>
      </c>
      <c r="G349" s="5" t="s">
        <v>170</v>
      </c>
      <c r="H349" s="5" t="s">
        <v>3</v>
      </c>
      <c r="I349" s="5"/>
      <c r="J349" s="5" t="s">
        <v>10933</v>
      </c>
    </row>
    <row r="350" spans="1:10" ht="25.5" x14ac:dyDescent="0.2">
      <c r="A350" s="5" t="s">
        <v>13207</v>
      </c>
      <c r="B350" s="5" t="s">
        <v>83</v>
      </c>
      <c r="C350" s="5"/>
      <c r="D350" s="5" t="s">
        <v>13206</v>
      </c>
      <c r="E350" s="5"/>
      <c r="F350" s="5" t="s">
        <v>13205</v>
      </c>
      <c r="G350" s="5" t="s">
        <v>502</v>
      </c>
      <c r="H350" s="5" t="s">
        <v>3</v>
      </c>
      <c r="I350" s="5"/>
      <c r="J350" s="5"/>
    </row>
    <row r="351" spans="1:10" x14ac:dyDescent="0.2">
      <c r="A351" s="5" t="s">
        <v>13204</v>
      </c>
      <c r="B351" s="5" t="s">
        <v>83</v>
      </c>
      <c r="C351" s="5"/>
      <c r="D351" s="5" t="s">
        <v>13202</v>
      </c>
      <c r="E351" s="5"/>
      <c r="F351" s="5" t="s">
        <v>13202</v>
      </c>
      <c r="G351" s="5" t="s">
        <v>229</v>
      </c>
      <c r="H351" s="5"/>
      <c r="I351" s="5"/>
      <c r="J351" s="5"/>
    </row>
    <row r="352" spans="1:10" x14ac:dyDescent="0.2">
      <c r="A352" s="5" t="s">
        <v>13203</v>
      </c>
      <c r="B352" s="5" t="s">
        <v>83</v>
      </c>
      <c r="C352" s="5"/>
      <c r="D352" s="5" t="s">
        <v>13202</v>
      </c>
      <c r="E352" s="5"/>
      <c r="F352" s="5" t="s">
        <v>13202</v>
      </c>
      <c r="G352" s="5" t="s">
        <v>229</v>
      </c>
      <c r="H352" s="5"/>
      <c r="I352" s="5"/>
      <c r="J352" s="5"/>
    </row>
    <row r="353" spans="1:10" ht="25.5" x14ac:dyDescent="0.2">
      <c r="A353" s="5" t="s">
        <v>13201</v>
      </c>
      <c r="B353" s="5" t="s">
        <v>83</v>
      </c>
      <c r="C353" s="5"/>
      <c r="D353" s="5" t="s">
        <v>13200</v>
      </c>
      <c r="E353" s="5"/>
      <c r="F353" s="5" t="s">
        <v>13199</v>
      </c>
      <c r="G353" s="5" t="s">
        <v>502</v>
      </c>
      <c r="H353" s="5" t="s">
        <v>3</v>
      </c>
      <c r="I353" s="5"/>
      <c r="J353" s="5"/>
    </row>
    <row r="354" spans="1:10" ht="25.5" x14ac:dyDescent="0.2">
      <c r="A354" s="5" t="s">
        <v>13198</v>
      </c>
      <c r="B354" s="5" t="s">
        <v>83</v>
      </c>
      <c r="C354" s="5"/>
      <c r="D354" s="5" t="s">
        <v>13197</v>
      </c>
      <c r="E354" s="5"/>
      <c r="F354" s="5" t="s">
        <v>13197</v>
      </c>
      <c r="G354" s="5" t="s">
        <v>1527</v>
      </c>
      <c r="H354" s="5" t="s">
        <v>3</v>
      </c>
      <c r="I354" s="5"/>
      <c r="J354" s="5"/>
    </row>
    <row r="355" spans="1:10" ht="25.5" x14ac:dyDescent="0.2">
      <c r="A355" s="5" t="s">
        <v>13196</v>
      </c>
      <c r="B355" s="5" t="s">
        <v>83</v>
      </c>
      <c r="C355" s="5"/>
      <c r="D355" s="5" t="s">
        <v>13195</v>
      </c>
      <c r="E355" s="5"/>
      <c r="F355" s="5" t="s">
        <v>13194</v>
      </c>
      <c r="G355" s="5" t="s">
        <v>315</v>
      </c>
      <c r="H355" s="5" t="s">
        <v>3</v>
      </c>
      <c r="I355" s="5"/>
      <c r="J355" s="5"/>
    </row>
    <row r="356" spans="1:10" ht="25.5" x14ac:dyDescent="0.2">
      <c r="A356" s="5" t="s">
        <v>13193</v>
      </c>
      <c r="B356" s="5" t="s">
        <v>83</v>
      </c>
      <c r="C356" s="5"/>
      <c r="D356" s="5" t="s">
        <v>13192</v>
      </c>
      <c r="E356" s="5" t="s">
        <v>368</v>
      </c>
      <c r="F356" s="5" t="s">
        <v>13191</v>
      </c>
      <c r="G356" s="5" t="s">
        <v>195</v>
      </c>
      <c r="H356" s="5" t="s">
        <v>3</v>
      </c>
      <c r="I356" s="5"/>
      <c r="J356" s="5" t="s">
        <v>12825</v>
      </c>
    </row>
    <row r="357" spans="1:10" x14ac:dyDescent="0.2">
      <c r="A357" s="5" t="s">
        <v>13190</v>
      </c>
      <c r="B357" s="5" t="s">
        <v>83</v>
      </c>
      <c r="C357" s="5"/>
      <c r="D357" s="5" t="s">
        <v>13189</v>
      </c>
      <c r="E357" s="5" t="s">
        <v>12444</v>
      </c>
      <c r="F357" s="5" t="s">
        <v>10920</v>
      </c>
      <c r="G357" s="5" t="s">
        <v>91</v>
      </c>
      <c r="H357" s="5" t="s">
        <v>3</v>
      </c>
      <c r="I357" s="5"/>
      <c r="J357" s="5" t="s">
        <v>13095</v>
      </c>
    </row>
    <row r="358" spans="1:10" x14ac:dyDescent="0.2">
      <c r="A358" s="5" t="s">
        <v>10932</v>
      </c>
      <c r="B358" s="5" t="s">
        <v>83</v>
      </c>
      <c r="C358" s="5"/>
      <c r="D358" s="5" t="s">
        <v>13188</v>
      </c>
      <c r="E358" s="5"/>
      <c r="F358" s="5" t="s">
        <v>10920</v>
      </c>
      <c r="G358" s="5" t="s">
        <v>118</v>
      </c>
      <c r="H358" s="5" t="s">
        <v>3</v>
      </c>
      <c r="I358" s="5"/>
      <c r="J358" s="5" t="s">
        <v>13187</v>
      </c>
    </row>
    <row r="359" spans="1:10" ht="25.5" x14ac:dyDescent="0.2">
      <c r="A359" s="5" t="s">
        <v>13186</v>
      </c>
      <c r="B359" s="5" t="s">
        <v>83</v>
      </c>
      <c r="C359" s="5"/>
      <c r="D359" s="5" t="s">
        <v>13185</v>
      </c>
      <c r="E359" s="5"/>
      <c r="F359" s="5" t="s">
        <v>10920</v>
      </c>
      <c r="G359" s="5" t="s">
        <v>80</v>
      </c>
      <c r="H359" s="5" t="s">
        <v>3</v>
      </c>
      <c r="I359" s="5"/>
      <c r="J359" s="5" t="s">
        <v>10926</v>
      </c>
    </row>
    <row r="360" spans="1:10" ht="25.5" x14ac:dyDescent="0.2">
      <c r="A360" s="5" t="s">
        <v>10929</v>
      </c>
      <c r="B360" s="5" t="s">
        <v>83</v>
      </c>
      <c r="C360" s="5"/>
      <c r="D360" s="5" t="s">
        <v>13184</v>
      </c>
      <c r="E360" s="5"/>
      <c r="F360" s="5" t="s">
        <v>10920</v>
      </c>
      <c r="G360" s="5" t="s">
        <v>105</v>
      </c>
      <c r="H360" s="5" t="s">
        <v>3</v>
      </c>
      <c r="I360" s="5"/>
      <c r="J360" s="5" t="s">
        <v>13183</v>
      </c>
    </row>
    <row r="361" spans="1:10" x14ac:dyDescent="0.2">
      <c r="A361" s="5" t="s">
        <v>13182</v>
      </c>
      <c r="B361" s="5" t="s">
        <v>83</v>
      </c>
      <c r="C361" s="5"/>
      <c r="D361" s="5" t="s">
        <v>13181</v>
      </c>
      <c r="E361" s="5"/>
      <c r="F361" s="5" t="s">
        <v>10920</v>
      </c>
      <c r="G361" s="5" t="s">
        <v>6584</v>
      </c>
      <c r="H361" s="5" t="s">
        <v>3</v>
      </c>
      <c r="I361" s="5"/>
      <c r="J361" s="5" t="s">
        <v>13180</v>
      </c>
    </row>
    <row r="362" spans="1:10" x14ac:dyDescent="0.2">
      <c r="A362" s="5" t="s">
        <v>10925</v>
      </c>
      <c r="B362" s="5" t="s">
        <v>83</v>
      </c>
      <c r="C362" s="5"/>
      <c r="D362" s="5" t="s">
        <v>13179</v>
      </c>
      <c r="E362" s="5" t="s">
        <v>93</v>
      </c>
      <c r="F362" s="5" t="s">
        <v>10920</v>
      </c>
      <c r="G362" s="5" t="s">
        <v>382</v>
      </c>
      <c r="H362" s="5" t="s">
        <v>3</v>
      </c>
      <c r="I362" s="5"/>
      <c r="J362" s="5" t="s">
        <v>10923</v>
      </c>
    </row>
    <row r="363" spans="1:10" x14ac:dyDescent="0.2">
      <c r="A363" s="5" t="s">
        <v>13178</v>
      </c>
      <c r="B363" s="5" t="s">
        <v>83</v>
      </c>
      <c r="C363" s="5"/>
      <c r="D363" s="5" t="s">
        <v>13177</v>
      </c>
      <c r="E363" s="5" t="s">
        <v>368</v>
      </c>
      <c r="F363" s="5" t="s">
        <v>10920</v>
      </c>
      <c r="G363" s="5" t="s">
        <v>207</v>
      </c>
      <c r="H363" s="5" t="s">
        <v>3</v>
      </c>
      <c r="I363" s="5"/>
      <c r="J363" s="5" t="s">
        <v>13176</v>
      </c>
    </row>
    <row r="364" spans="1:10" ht="25.5" x14ac:dyDescent="0.2">
      <c r="A364" s="5" t="s">
        <v>13175</v>
      </c>
      <c r="B364" s="5" t="s">
        <v>83</v>
      </c>
      <c r="C364" s="5"/>
      <c r="D364" s="5" t="s">
        <v>13174</v>
      </c>
      <c r="E364" s="5" t="s">
        <v>12444</v>
      </c>
      <c r="F364" s="5" t="s">
        <v>10916</v>
      </c>
      <c r="G364" s="5" t="s">
        <v>91</v>
      </c>
      <c r="H364" s="5" t="s">
        <v>3</v>
      </c>
      <c r="I364" s="5"/>
      <c r="J364" s="5" t="s">
        <v>13173</v>
      </c>
    </row>
    <row r="365" spans="1:10" x14ac:dyDescent="0.2">
      <c r="A365" s="5" t="s">
        <v>13172</v>
      </c>
      <c r="B365" s="5" t="s">
        <v>83</v>
      </c>
      <c r="C365" s="5"/>
      <c r="D365" s="5" t="s">
        <v>13171</v>
      </c>
      <c r="E365" s="5"/>
      <c r="F365" s="5" t="s">
        <v>10920</v>
      </c>
      <c r="G365" s="5" t="s">
        <v>173</v>
      </c>
      <c r="H365" s="5" t="s">
        <v>3</v>
      </c>
      <c r="I365" s="5"/>
      <c r="J365" s="5" t="s">
        <v>13170</v>
      </c>
    </row>
    <row r="366" spans="1:10" x14ac:dyDescent="0.2">
      <c r="A366" s="5" t="s">
        <v>13169</v>
      </c>
      <c r="B366" s="5" t="s">
        <v>83</v>
      </c>
      <c r="C366" s="5"/>
      <c r="D366" s="5" t="s">
        <v>13168</v>
      </c>
      <c r="E366" s="5"/>
      <c r="F366" s="5" t="s">
        <v>10920</v>
      </c>
      <c r="G366" s="5" t="s">
        <v>173</v>
      </c>
      <c r="H366" s="5" t="s">
        <v>3</v>
      </c>
      <c r="I366" s="5"/>
      <c r="J366" s="5" t="s">
        <v>13167</v>
      </c>
    </row>
    <row r="367" spans="1:10" x14ac:dyDescent="0.2">
      <c r="A367" s="5" t="s">
        <v>13166</v>
      </c>
      <c r="B367" s="5" t="s">
        <v>83</v>
      </c>
      <c r="C367" s="5"/>
      <c r="D367" s="5" t="s">
        <v>13165</v>
      </c>
      <c r="E367" s="5"/>
      <c r="F367" s="5" t="s">
        <v>10920</v>
      </c>
      <c r="G367" s="5" t="s">
        <v>173</v>
      </c>
      <c r="H367" s="5" t="s">
        <v>3</v>
      </c>
      <c r="I367" s="5"/>
      <c r="J367" s="5" t="s">
        <v>13164</v>
      </c>
    </row>
    <row r="368" spans="1:10" x14ac:dyDescent="0.2">
      <c r="A368" s="5" t="s">
        <v>13163</v>
      </c>
      <c r="B368" s="5" t="s">
        <v>83</v>
      </c>
      <c r="C368" s="5"/>
      <c r="D368" s="5" t="s">
        <v>13162</v>
      </c>
      <c r="E368" s="5"/>
      <c r="F368" s="5" t="s">
        <v>10920</v>
      </c>
      <c r="G368" s="5" t="s">
        <v>173</v>
      </c>
      <c r="H368" s="5" t="s">
        <v>3</v>
      </c>
      <c r="I368" s="5"/>
      <c r="J368" s="5" t="s">
        <v>13161</v>
      </c>
    </row>
    <row r="369" spans="1:10" x14ac:dyDescent="0.2">
      <c r="A369" s="5" t="s">
        <v>13160</v>
      </c>
      <c r="B369" s="5" t="s">
        <v>83</v>
      </c>
      <c r="C369" s="5"/>
      <c r="D369" s="5" t="s">
        <v>13159</v>
      </c>
      <c r="E369" s="5"/>
      <c r="F369" s="5" t="s">
        <v>10920</v>
      </c>
      <c r="G369" s="5" t="s">
        <v>173</v>
      </c>
      <c r="H369" s="5" t="s">
        <v>3</v>
      </c>
      <c r="I369" s="5"/>
      <c r="J369" s="5" t="s">
        <v>13158</v>
      </c>
    </row>
    <row r="370" spans="1:10" x14ac:dyDescent="0.2">
      <c r="A370" s="5" t="s">
        <v>13157</v>
      </c>
      <c r="B370" s="5" t="s">
        <v>83</v>
      </c>
      <c r="C370" s="5"/>
      <c r="D370" s="5" t="s">
        <v>13156</v>
      </c>
      <c r="E370" s="5"/>
      <c r="F370" s="5" t="s">
        <v>10920</v>
      </c>
      <c r="G370" s="5" t="s">
        <v>173</v>
      </c>
      <c r="H370" s="5" t="s">
        <v>3</v>
      </c>
      <c r="I370" s="5"/>
      <c r="J370" s="5" t="s">
        <v>13155</v>
      </c>
    </row>
    <row r="371" spans="1:10" x14ac:dyDescent="0.2">
      <c r="A371" s="5" t="s">
        <v>13154</v>
      </c>
      <c r="B371" s="5" t="s">
        <v>83</v>
      </c>
      <c r="C371" s="5"/>
      <c r="D371" s="5" t="s">
        <v>13153</v>
      </c>
      <c r="E371" s="5"/>
      <c r="F371" s="5" t="s">
        <v>10920</v>
      </c>
      <c r="G371" s="5" t="s">
        <v>173</v>
      </c>
      <c r="H371" s="5" t="s">
        <v>3</v>
      </c>
      <c r="I371" s="5"/>
      <c r="J371" s="5" t="s">
        <v>13152</v>
      </c>
    </row>
    <row r="372" spans="1:10" x14ac:dyDescent="0.2">
      <c r="A372" s="5" t="s">
        <v>13151</v>
      </c>
      <c r="B372" s="5" t="s">
        <v>83</v>
      </c>
      <c r="C372" s="5"/>
      <c r="D372" s="5" t="s">
        <v>13150</v>
      </c>
      <c r="E372" s="5"/>
      <c r="F372" s="5" t="s">
        <v>10920</v>
      </c>
      <c r="G372" s="5" t="s">
        <v>173</v>
      </c>
      <c r="H372" s="5" t="s">
        <v>3</v>
      </c>
      <c r="I372" s="5"/>
      <c r="J372" s="5" t="s">
        <v>13149</v>
      </c>
    </row>
    <row r="373" spans="1:10" x14ac:dyDescent="0.2">
      <c r="A373" s="5" t="s">
        <v>13148</v>
      </c>
      <c r="B373" s="5" t="s">
        <v>83</v>
      </c>
      <c r="C373" s="5"/>
      <c r="D373" s="5" t="s">
        <v>13147</v>
      </c>
      <c r="E373" s="5"/>
      <c r="F373" s="5" t="s">
        <v>10920</v>
      </c>
      <c r="G373" s="5" t="s">
        <v>173</v>
      </c>
      <c r="H373" s="5" t="s">
        <v>3</v>
      </c>
      <c r="I373" s="5"/>
      <c r="J373" s="5" t="s">
        <v>13146</v>
      </c>
    </row>
    <row r="374" spans="1:10" x14ac:dyDescent="0.2">
      <c r="A374" s="5" t="s">
        <v>13145</v>
      </c>
      <c r="B374" s="5" t="s">
        <v>83</v>
      </c>
      <c r="C374" s="5"/>
      <c r="D374" s="5" t="s">
        <v>13144</v>
      </c>
      <c r="E374" s="5"/>
      <c r="F374" s="5" t="s">
        <v>10920</v>
      </c>
      <c r="G374" s="5" t="s">
        <v>173</v>
      </c>
      <c r="H374" s="5" t="s">
        <v>3</v>
      </c>
      <c r="I374" s="5"/>
      <c r="J374" s="5" t="s">
        <v>13143</v>
      </c>
    </row>
    <row r="375" spans="1:10" x14ac:dyDescent="0.2">
      <c r="A375" s="5" t="s">
        <v>13142</v>
      </c>
      <c r="B375" s="5" t="s">
        <v>83</v>
      </c>
      <c r="C375" s="5"/>
      <c r="D375" s="5" t="s">
        <v>13141</v>
      </c>
      <c r="E375" s="5"/>
      <c r="F375" s="5" t="s">
        <v>10920</v>
      </c>
      <c r="G375" s="5" t="s">
        <v>173</v>
      </c>
      <c r="H375" s="5" t="s">
        <v>3</v>
      </c>
      <c r="I375" s="5"/>
      <c r="J375" s="5" t="s">
        <v>13140</v>
      </c>
    </row>
    <row r="376" spans="1:10" x14ac:dyDescent="0.2">
      <c r="A376" s="5" t="s">
        <v>13139</v>
      </c>
      <c r="B376" s="5" t="s">
        <v>83</v>
      </c>
      <c r="C376" s="5"/>
      <c r="D376" s="5" t="s">
        <v>13138</v>
      </c>
      <c r="E376" s="5"/>
      <c r="F376" s="5" t="s">
        <v>10920</v>
      </c>
      <c r="G376" s="5" t="s">
        <v>173</v>
      </c>
      <c r="H376" s="5" t="s">
        <v>3</v>
      </c>
      <c r="I376" s="5"/>
      <c r="J376" s="5" t="s">
        <v>13137</v>
      </c>
    </row>
    <row r="377" spans="1:10" x14ac:dyDescent="0.2">
      <c r="A377" s="5" t="s">
        <v>13136</v>
      </c>
      <c r="B377" s="5" t="s">
        <v>83</v>
      </c>
      <c r="C377" s="5"/>
      <c r="D377" s="5" t="s">
        <v>13135</v>
      </c>
      <c r="E377" s="5"/>
      <c r="F377" s="5" t="s">
        <v>10920</v>
      </c>
      <c r="G377" s="5" t="s">
        <v>173</v>
      </c>
      <c r="H377" s="5" t="s">
        <v>3</v>
      </c>
      <c r="I377" s="5"/>
      <c r="J377" s="5" t="s">
        <v>13134</v>
      </c>
    </row>
    <row r="378" spans="1:10" x14ac:dyDescent="0.2">
      <c r="A378" s="5" t="s">
        <v>13133</v>
      </c>
      <c r="B378" s="5" t="s">
        <v>83</v>
      </c>
      <c r="C378" s="5"/>
      <c r="D378" s="5" t="s">
        <v>13132</v>
      </c>
      <c r="E378" s="5"/>
      <c r="F378" s="5" t="s">
        <v>10920</v>
      </c>
      <c r="G378" s="5" t="s">
        <v>173</v>
      </c>
      <c r="H378" s="5" t="s">
        <v>3</v>
      </c>
      <c r="I378" s="5"/>
      <c r="J378" s="5" t="s">
        <v>13131</v>
      </c>
    </row>
    <row r="379" spans="1:10" x14ac:dyDescent="0.2">
      <c r="A379" s="5" t="s">
        <v>13130</v>
      </c>
      <c r="B379" s="5" t="s">
        <v>83</v>
      </c>
      <c r="C379" s="5"/>
      <c r="D379" s="5" t="s">
        <v>13129</v>
      </c>
      <c r="E379" s="5"/>
      <c r="F379" s="5" t="s">
        <v>10920</v>
      </c>
      <c r="G379" s="5" t="s">
        <v>173</v>
      </c>
      <c r="H379" s="5" t="s">
        <v>3</v>
      </c>
      <c r="I379" s="5"/>
      <c r="J379" s="5" t="s">
        <v>13128</v>
      </c>
    </row>
    <row r="380" spans="1:10" x14ac:dyDescent="0.2">
      <c r="A380" s="5" t="s">
        <v>13127</v>
      </c>
      <c r="B380" s="5" t="s">
        <v>83</v>
      </c>
      <c r="C380" s="5"/>
      <c r="D380" s="5" t="s">
        <v>13126</v>
      </c>
      <c r="E380" s="5"/>
      <c r="F380" s="5" t="s">
        <v>10920</v>
      </c>
      <c r="G380" s="5" t="s">
        <v>173</v>
      </c>
      <c r="H380" s="5" t="s">
        <v>3</v>
      </c>
      <c r="I380" s="5"/>
      <c r="J380" s="5" t="s">
        <v>13125</v>
      </c>
    </row>
    <row r="381" spans="1:10" x14ac:dyDescent="0.2">
      <c r="A381" s="5" t="s">
        <v>13124</v>
      </c>
      <c r="B381" s="5" t="s">
        <v>83</v>
      </c>
      <c r="C381" s="5"/>
      <c r="D381" s="5" t="s">
        <v>13123</v>
      </c>
      <c r="E381" s="5"/>
      <c r="F381" s="5" t="s">
        <v>10920</v>
      </c>
      <c r="G381" s="5" t="s">
        <v>173</v>
      </c>
      <c r="H381" s="5" t="s">
        <v>3</v>
      </c>
      <c r="I381" s="5"/>
      <c r="J381" s="5" t="s">
        <v>13122</v>
      </c>
    </row>
    <row r="382" spans="1:10" x14ac:dyDescent="0.2">
      <c r="A382" s="5" t="s">
        <v>13121</v>
      </c>
      <c r="B382" s="5" t="s">
        <v>83</v>
      </c>
      <c r="C382" s="5"/>
      <c r="D382" s="5" t="s">
        <v>13120</v>
      </c>
      <c r="E382" s="5"/>
      <c r="F382" s="5" t="s">
        <v>10920</v>
      </c>
      <c r="G382" s="5" t="s">
        <v>173</v>
      </c>
      <c r="H382" s="5" t="s">
        <v>3</v>
      </c>
      <c r="I382" s="5"/>
      <c r="J382" s="5" t="s">
        <v>13119</v>
      </c>
    </row>
    <row r="383" spans="1:10" ht="25.5" x14ac:dyDescent="0.2">
      <c r="A383" s="5" t="s">
        <v>13118</v>
      </c>
      <c r="B383" s="5" t="s">
        <v>83</v>
      </c>
      <c r="C383" s="5"/>
      <c r="D383" s="5" t="s">
        <v>13117</v>
      </c>
      <c r="E383" s="5"/>
      <c r="F383" s="5" t="s">
        <v>13116</v>
      </c>
      <c r="G383" s="5" t="s">
        <v>224</v>
      </c>
      <c r="H383" s="5" t="s">
        <v>3</v>
      </c>
      <c r="I383" s="5"/>
      <c r="J383" s="5" t="s">
        <v>13116</v>
      </c>
    </row>
    <row r="384" spans="1:10" ht="25.5" x14ac:dyDescent="0.2">
      <c r="A384" s="5" t="s">
        <v>13115</v>
      </c>
      <c r="B384" s="5" t="s">
        <v>83</v>
      </c>
      <c r="C384" s="5"/>
      <c r="D384" s="5" t="s">
        <v>13114</v>
      </c>
      <c r="E384" s="5"/>
      <c r="F384" s="5" t="s">
        <v>13113</v>
      </c>
      <c r="G384" s="5" t="s">
        <v>148</v>
      </c>
      <c r="H384" s="5" t="s">
        <v>3</v>
      </c>
      <c r="I384" s="5"/>
      <c r="J384" s="5" t="s">
        <v>13112</v>
      </c>
    </row>
    <row r="385" spans="1:10" x14ac:dyDescent="0.2">
      <c r="A385" s="5" t="s">
        <v>13111</v>
      </c>
      <c r="B385" s="5" t="s">
        <v>83</v>
      </c>
      <c r="C385" s="5"/>
      <c r="D385" s="5" t="s">
        <v>13110</v>
      </c>
      <c r="E385" s="5"/>
      <c r="F385" s="5" t="s">
        <v>10902</v>
      </c>
      <c r="G385" s="5" t="s">
        <v>80</v>
      </c>
      <c r="H385" s="5" t="s">
        <v>3</v>
      </c>
      <c r="I385" s="5"/>
      <c r="J385" s="5" t="s">
        <v>13109</v>
      </c>
    </row>
    <row r="386" spans="1:10" ht="25.5" x14ac:dyDescent="0.2">
      <c r="A386" s="5" t="s">
        <v>13108</v>
      </c>
      <c r="B386" s="5" t="s">
        <v>83</v>
      </c>
      <c r="C386" s="5"/>
      <c r="D386" s="5" t="s">
        <v>13107</v>
      </c>
      <c r="E386" s="5"/>
      <c r="F386" s="5" t="s">
        <v>13106</v>
      </c>
      <c r="G386" s="5" t="s">
        <v>224</v>
      </c>
      <c r="H386" s="5" t="s">
        <v>3</v>
      </c>
      <c r="I386" s="5"/>
      <c r="J386" s="5" t="s">
        <v>13106</v>
      </c>
    </row>
    <row r="387" spans="1:10" ht="25.5" x14ac:dyDescent="0.2">
      <c r="A387" s="5" t="s">
        <v>13105</v>
      </c>
      <c r="B387" s="5" t="s">
        <v>83</v>
      </c>
      <c r="C387" s="5"/>
      <c r="D387" s="5" t="s">
        <v>13104</v>
      </c>
      <c r="E387" s="5"/>
      <c r="F387" s="5" t="s">
        <v>13103</v>
      </c>
      <c r="G387" s="5" t="s">
        <v>224</v>
      </c>
      <c r="H387" s="5" t="s">
        <v>3</v>
      </c>
      <c r="I387" s="5"/>
      <c r="J387" s="5" t="s">
        <v>13102</v>
      </c>
    </row>
    <row r="388" spans="1:10" x14ac:dyDescent="0.2">
      <c r="A388" s="5" t="s">
        <v>13101</v>
      </c>
      <c r="B388" s="5" t="s">
        <v>83</v>
      </c>
      <c r="C388" s="5"/>
      <c r="D388" s="5" t="s">
        <v>13100</v>
      </c>
      <c r="E388" s="5" t="s">
        <v>93</v>
      </c>
      <c r="F388" s="5" t="s">
        <v>10920</v>
      </c>
      <c r="G388" s="5" t="s">
        <v>195</v>
      </c>
      <c r="H388" s="5" t="s">
        <v>3</v>
      </c>
      <c r="I388" s="5"/>
      <c r="J388" s="5" t="s">
        <v>13099</v>
      </c>
    </row>
    <row r="389" spans="1:10" x14ac:dyDescent="0.2">
      <c r="A389" s="5" t="s">
        <v>13098</v>
      </c>
      <c r="B389" s="5" t="s">
        <v>83</v>
      </c>
      <c r="C389" s="5"/>
      <c r="D389" s="5" t="s">
        <v>13093</v>
      </c>
      <c r="E389" s="5" t="s">
        <v>368</v>
      </c>
      <c r="F389" s="5" t="s">
        <v>10920</v>
      </c>
      <c r="G389" s="5" t="s">
        <v>173</v>
      </c>
      <c r="H389" s="5" t="s">
        <v>3</v>
      </c>
      <c r="I389" s="5"/>
      <c r="J389" s="5" t="s">
        <v>13095</v>
      </c>
    </row>
    <row r="390" spans="1:10" x14ac:dyDescent="0.2">
      <c r="A390" s="5" t="s">
        <v>13097</v>
      </c>
      <c r="B390" s="5" t="s">
        <v>83</v>
      </c>
      <c r="C390" s="5"/>
      <c r="D390" s="5" t="s">
        <v>13093</v>
      </c>
      <c r="E390" s="5" t="s">
        <v>93</v>
      </c>
      <c r="F390" s="5" t="s">
        <v>10920</v>
      </c>
      <c r="G390" s="5" t="s">
        <v>173</v>
      </c>
      <c r="H390" s="5" t="s">
        <v>3</v>
      </c>
      <c r="I390" s="5"/>
      <c r="J390" s="5" t="s">
        <v>13095</v>
      </c>
    </row>
    <row r="391" spans="1:10" x14ac:dyDescent="0.2">
      <c r="A391" s="5" t="s">
        <v>13096</v>
      </c>
      <c r="B391" s="5" t="s">
        <v>83</v>
      </c>
      <c r="C391" s="5"/>
      <c r="D391" s="5" t="s">
        <v>13093</v>
      </c>
      <c r="E391" s="5" t="s">
        <v>368</v>
      </c>
      <c r="F391" s="5" t="s">
        <v>10920</v>
      </c>
      <c r="G391" s="5" t="s">
        <v>148</v>
      </c>
      <c r="H391" s="5" t="s">
        <v>3</v>
      </c>
      <c r="I391" s="5"/>
      <c r="J391" s="5" t="s">
        <v>13095</v>
      </c>
    </row>
    <row r="392" spans="1:10" ht="25.5" x14ac:dyDescent="0.2">
      <c r="A392" s="5" t="s">
        <v>13094</v>
      </c>
      <c r="B392" s="5" t="s">
        <v>83</v>
      </c>
      <c r="C392" s="5"/>
      <c r="D392" s="5" t="s">
        <v>13093</v>
      </c>
      <c r="E392" s="5" t="s">
        <v>93</v>
      </c>
      <c r="F392" s="5" t="s">
        <v>10920</v>
      </c>
      <c r="G392" s="5" t="s">
        <v>173</v>
      </c>
      <c r="H392" s="5" t="s">
        <v>3</v>
      </c>
      <c r="I392" s="5"/>
      <c r="J392" s="5" t="s">
        <v>13092</v>
      </c>
    </row>
    <row r="393" spans="1:10" x14ac:dyDescent="0.2">
      <c r="A393" s="5" t="s">
        <v>10897</v>
      </c>
      <c r="B393" s="5" t="s">
        <v>83</v>
      </c>
      <c r="C393" s="5"/>
      <c r="D393" s="5" t="s">
        <v>13091</v>
      </c>
      <c r="E393" s="5" t="s">
        <v>93</v>
      </c>
      <c r="F393" s="5" t="s">
        <v>10615</v>
      </c>
      <c r="G393" s="5" t="s">
        <v>91</v>
      </c>
      <c r="H393" s="5" t="s">
        <v>3</v>
      </c>
      <c r="I393" s="5"/>
      <c r="J393" s="5" t="s">
        <v>10895</v>
      </c>
    </row>
    <row r="394" spans="1:10" ht="25.5" x14ac:dyDescent="0.2">
      <c r="A394" s="5" t="s">
        <v>13090</v>
      </c>
      <c r="B394" s="5" t="s">
        <v>83</v>
      </c>
      <c r="C394" s="5"/>
      <c r="D394" s="5" t="s">
        <v>9444</v>
      </c>
      <c r="E394" s="5"/>
      <c r="F394" s="5" t="s">
        <v>13089</v>
      </c>
      <c r="G394" s="5" t="s">
        <v>224</v>
      </c>
      <c r="H394" s="5" t="s">
        <v>3</v>
      </c>
      <c r="I394" s="5"/>
      <c r="J394" s="5" t="s">
        <v>9443</v>
      </c>
    </row>
    <row r="395" spans="1:10" x14ac:dyDescent="0.2">
      <c r="A395" s="5" t="s">
        <v>10274</v>
      </c>
      <c r="B395" s="5" t="s">
        <v>83</v>
      </c>
      <c r="C395" s="5"/>
      <c r="D395" s="5" t="s">
        <v>10894</v>
      </c>
      <c r="E395" s="5"/>
      <c r="F395" s="5" t="s">
        <v>10893</v>
      </c>
      <c r="G395" s="5" t="s">
        <v>118</v>
      </c>
      <c r="H395" s="5" t="s">
        <v>3</v>
      </c>
      <c r="I395" s="5"/>
      <c r="J395" s="5" t="s">
        <v>10892</v>
      </c>
    </row>
    <row r="396" spans="1:10" x14ac:dyDescent="0.2">
      <c r="A396" s="5" t="s">
        <v>10891</v>
      </c>
      <c r="B396" s="5" t="s">
        <v>83</v>
      </c>
      <c r="C396" s="5"/>
      <c r="D396" s="5" t="s">
        <v>10890</v>
      </c>
      <c r="E396" s="5"/>
      <c r="F396" s="5" t="s">
        <v>10295</v>
      </c>
      <c r="G396" s="5" t="s">
        <v>3059</v>
      </c>
      <c r="H396" s="5" t="s">
        <v>3</v>
      </c>
      <c r="I396" s="5"/>
      <c r="J396" s="5" t="s">
        <v>10294</v>
      </c>
    </row>
    <row r="397" spans="1:10" ht="25.5" x14ac:dyDescent="0.2">
      <c r="A397" s="5" t="s">
        <v>12078</v>
      </c>
      <c r="B397" s="5" t="s">
        <v>83</v>
      </c>
      <c r="C397" s="5"/>
      <c r="D397" s="5" t="s">
        <v>13088</v>
      </c>
      <c r="E397" s="5"/>
      <c r="F397" s="5" t="s">
        <v>11760</v>
      </c>
      <c r="G397" s="5" t="s">
        <v>276</v>
      </c>
      <c r="H397" s="5" t="s">
        <v>3</v>
      </c>
      <c r="I397" s="5"/>
      <c r="J397" s="5" t="s">
        <v>12076</v>
      </c>
    </row>
    <row r="398" spans="1:10" ht="25.5" x14ac:dyDescent="0.2">
      <c r="A398" s="5" t="s">
        <v>11762</v>
      </c>
      <c r="B398" s="5" t="s">
        <v>83</v>
      </c>
      <c r="C398" s="5"/>
      <c r="D398" s="5" t="s">
        <v>11761</v>
      </c>
      <c r="E398" s="5"/>
      <c r="F398" s="5" t="s">
        <v>11760</v>
      </c>
      <c r="G398" s="5" t="s">
        <v>118</v>
      </c>
      <c r="H398" s="5" t="s">
        <v>3</v>
      </c>
      <c r="I398" s="5"/>
      <c r="J398" s="5" t="s">
        <v>13087</v>
      </c>
    </row>
    <row r="399" spans="1:10" ht="25.5" x14ac:dyDescent="0.2">
      <c r="A399" s="5" t="s">
        <v>11758</v>
      </c>
      <c r="B399" s="5" t="s">
        <v>83</v>
      </c>
      <c r="C399" s="5"/>
      <c r="D399" s="5" t="s">
        <v>11757</v>
      </c>
      <c r="E399" s="5"/>
      <c r="F399" s="5" t="s">
        <v>11753</v>
      </c>
      <c r="G399" s="5" t="s">
        <v>224</v>
      </c>
      <c r="H399" s="5" t="s">
        <v>3</v>
      </c>
      <c r="I399" s="5"/>
      <c r="J399" s="5" t="s">
        <v>11756</v>
      </c>
    </row>
    <row r="400" spans="1:10" ht="25.5" x14ac:dyDescent="0.2">
      <c r="A400" s="5" t="s">
        <v>13086</v>
      </c>
      <c r="B400" s="5" t="s">
        <v>83</v>
      </c>
      <c r="C400" s="5"/>
      <c r="D400" s="5" t="s">
        <v>13085</v>
      </c>
      <c r="E400" s="5" t="s">
        <v>93</v>
      </c>
      <c r="F400" s="5" t="s">
        <v>13073</v>
      </c>
      <c r="G400" s="5" t="s">
        <v>148</v>
      </c>
      <c r="H400" s="5" t="s">
        <v>3</v>
      </c>
      <c r="I400" s="5"/>
      <c r="J400" s="5" t="s">
        <v>13084</v>
      </c>
    </row>
    <row r="401" spans="1:10" x14ac:dyDescent="0.2">
      <c r="A401" s="5" t="s">
        <v>13083</v>
      </c>
      <c r="B401" s="5" t="s">
        <v>83</v>
      </c>
      <c r="C401" s="5"/>
      <c r="D401" s="5" t="s">
        <v>13082</v>
      </c>
      <c r="E401" s="5" t="s">
        <v>93</v>
      </c>
      <c r="F401" s="5" t="s">
        <v>9680</v>
      </c>
      <c r="G401" s="5" t="s">
        <v>207</v>
      </c>
      <c r="H401" s="5" t="s">
        <v>3</v>
      </c>
      <c r="I401" s="5"/>
      <c r="J401" s="5" t="s">
        <v>10992</v>
      </c>
    </row>
    <row r="402" spans="1:10" x14ac:dyDescent="0.2">
      <c r="A402" s="5" t="s">
        <v>13081</v>
      </c>
      <c r="B402" s="5" t="s">
        <v>83</v>
      </c>
      <c r="C402" s="5"/>
      <c r="D402" s="5" t="s">
        <v>13080</v>
      </c>
      <c r="E402" s="5" t="s">
        <v>93</v>
      </c>
      <c r="F402" s="5" t="s">
        <v>10920</v>
      </c>
      <c r="G402" s="5" t="s">
        <v>148</v>
      </c>
      <c r="H402" s="5" t="s">
        <v>3</v>
      </c>
      <c r="I402" s="5"/>
      <c r="J402" s="5" t="s">
        <v>10923</v>
      </c>
    </row>
    <row r="403" spans="1:10" ht="25.5" x14ac:dyDescent="0.2">
      <c r="A403" s="5" t="s">
        <v>13079</v>
      </c>
      <c r="B403" s="5" t="s">
        <v>83</v>
      </c>
      <c r="C403" s="5"/>
      <c r="D403" s="5" t="s">
        <v>13078</v>
      </c>
      <c r="E403" s="5" t="s">
        <v>93</v>
      </c>
      <c r="F403" s="5" t="s">
        <v>13073</v>
      </c>
      <c r="G403" s="5" t="s">
        <v>148</v>
      </c>
      <c r="H403" s="5" t="s">
        <v>3</v>
      </c>
      <c r="I403" s="5"/>
      <c r="J403" s="5" t="s">
        <v>12844</v>
      </c>
    </row>
    <row r="404" spans="1:10" ht="25.5" x14ac:dyDescent="0.2">
      <c r="A404" s="5" t="s">
        <v>13077</v>
      </c>
      <c r="B404" s="5" t="s">
        <v>83</v>
      </c>
      <c r="C404" s="5"/>
      <c r="D404" s="5" t="s">
        <v>13076</v>
      </c>
      <c r="E404" s="5" t="s">
        <v>93</v>
      </c>
      <c r="F404" s="5" t="s">
        <v>13073</v>
      </c>
      <c r="G404" s="5" t="s">
        <v>148</v>
      </c>
      <c r="H404" s="5" t="s">
        <v>3</v>
      </c>
      <c r="I404" s="5"/>
      <c r="J404" s="5" t="s">
        <v>12771</v>
      </c>
    </row>
    <row r="405" spans="1:10" ht="25.5" x14ac:dyDescent="0.2">
      <c r="A405" s="5" t="s">
        <v>13075</v>
      </c>
      <c r="B405" s="5" t="s">
        <v>83</v>
      </c>
      <c r="C405" s="5"/>
      <c r="D405" s="5" t="s">
        <v>13074</v>
      </c>
      <c r="E405" s="5" t="s">
        <v>93</v>
      </c>
      <c r="F405" s="5" t="s">
        <v>13073</v>
      </c>
      <c r="G405" s="5" t="s">
        <v>148</v>
      </c>
      <c r="H405" s="5" t="s">
        <v>3</v>
      </c>
      <c r="I405" s="5"/>
      <c r="J405" s="5" t="s">
        <v>12713</v>
      </c>
    </row>
    <row r="406" spans="1:10" x14ac:dyDescent="0.2">
      <c r="A406" s="5" t="s">
        <v>13072</v>
      </c>
      <c r="B406" s="5" t="s">
        <v>83</v>
      </c>
      <c r="C406" s="5"/>
      <c r="D406" s="5" t="s">
        <v>13071</v>
      </c>
      <c r="E406" s="5"/>
      <c r="F406" s="5" t="s">
        <v>9472</v>
      </c>
      <c r="G406" s="5" t="s">
        <v>80</v>
      </c>
      <c r="H406" s="5" t="s">
        <v>3</v>
      </c>
      <c r="I406" s="5"/>
      <c r="J406" s="5" t="s">
        <v>13070</v>
      </c>
    </row>
    <row r="407" spans="1:10" x14ac:dyDescent="0.2">
      <c r="A407" s="5" t="s">
        <v>13069</v>
      </c>
      <c r="B407" s="5" t="s">
        <v>83</v>
      </c>
      <c r="C407" s="5"/>
      <c r="D407" s="5" t="s">
        <v>13068</v>
      </c>
      <c r="E407" s="5"/>
      <c r="F407" s="5" t="s">
        <v>9472</v>
      </c>
      <c r="G407" s="5" t="s">
        <v>6584</v>
      </c>
      <c r="H407" s="5" t="s">
        <v>3</v>
      </c>
      <c r="I407" s="5"/>
      <c r="J407" s="5" t="s">
        <v>13067</v>
      </c>
    </row>
    <row r="408" spans="1:10" x14ac:dyDescent="0.2">
      <c r="A408" s="5" t="s">
        <v>10883</v>
      </c>
      <c r="B408" s="5" t="s">
        <v>83</v>
      </c>
      <c r="C408" s="5"/>
      <c r="D408" s="5" t="s">
        <v>13066</v>
      </c>
      <c r="E408" s="5" t="s">
        <v>93</v>
      </c>
      <c r="F408" s="5" t="s">
        <v>10879</v>
      </c>
      <c r="G408" s="5" t="s">
        <v>207</v>
      </c>
      <c r="H408" s="5" t="s">
        <v>3</v>
      </c>
      <c r="I408" s="5"/>
      <c r="J408" s="5" t="s">
        <v>13065</v>
      </c>
    </row>
    <row r="409" spans="1:10" x14ac:dyDescent="0.2">
      <c r="A409" s="5" t="s">
        <v>13064</v>
      </c>
      <c r="B409" s="5" t="s">
        <v>83</v>
      </c>
      <c r="C409" s="5"/>
      <c r="D409" s="5" t="s">
        <v>13063</v>
      </c>
      <c r="E409" s="5"/>
      <c r="F409" s="5" t="s">
        <v>10879</v>
      </c>
      <c r="G409" s="5" t="s">
        <v>283</v>
      </c>
      <c r="H409" s="5" t="s">
        <v>3</v>
      </c>
      <c r="I409" s="5"/>
      <c r="J409" s="5" t="s">
        <v>13062</v>
      </c>
    </row>
    <row r="410" spans="1:10" ht="25.5" x14ac:dyDescent="0.2">
      <c r="A410" s="5" t="s">
        <v>13061</v>
      </c>
      <c r="B410" s="5" t="s">
        <v>83</v>
      </c>
      <c r="C410" s="5"/>
      <c r="D410" s="5" t="s">
        <v>13060</v>
      </c>
      <c r="E410" s="5"/>
      <c r="F410" s="5" t="s">
        <v>10934</v>
      </c>
      <c r="G410" s="5" t="s">
        <v>170</v>
      </c>
      <c r="H410" s="5" t="s">
        <v>3</v>
      </c>
      <c r="I410" s="5"/>
      <c r="J410" s="5" t="s">
        <v>10933</v>
      </c>
    </row>
    <row r="411" spans="1:10" ht="25.5" x14ac:dyDescent="0.2">
      <c r="A411" s="5" t="s">
        <v>10871</v>
      </c>
      <c r="B411" s="5" t="s">
        <v>83</v>
      </c>
      <c r="C411" s="5"/>
      <c r="D411" s="5" t="s">
        <v>10870</v>
      </c>
      <c r="E411" s="5"/>
      <c r="F411" s="5" t="s">
        <v>12291</v>
      </c>
      <c r="G411" s="5" t="s">
        <v>7296</v>
      </c>
      <c r="H411" s="5" t="s">
        <v>3</v>
      </c>
      <c r="I411" s="5"/>
      <c r="J411" s="5" t="s">
        <v>13059</v>
      </c>
    </row>
    <row r="412" spans="1:10" x14ac:dyDescent="0.2">
      <c r="A412" s="5" t="s">
        <v>13058</v>
      </c>
      <c r="B412" s="5" t="s">
        <v>83</v>
      </c>
      <c r="C412" s="5"/>
      <c r="D412" s="5" t="s">
        <v>13057</v>
      </c>
      <c r="E412" s="5"/>
      <c r="F412" s="5" t="s">
        <v>13056</v>
      </c>
      <c r="G412" s="5" t="s">
        <v>105</v>
      </c>
      <c r="H412" s="5" t="s">
        <v>3</v>
      </c>
      <c r="I412" s="5"/>
      <c r="J412" s="5" t="s">
        <v>13055</v>
      </c>
    </row>
    <row r="413" spans="1:10" x14ac:dyDescent="0.2">
      <c r="A413" s="5" t="s">
        <v>13054</v>
      </c>
      <c r="B413" s="5" t="s">
        <v>83</v>
      </c>
      <c r="C413" s="5"/>
      <c r="D413" s="5" t="s">
        <v>13053</v>
      </c>
      <c r="E413" s="5"/>
      <c r="F413" s="5" t="s">
        <v>12155</v>
      </c>
      <c r="G413" s="5" t="s">
        <v>229</v>
      </c>
      <c r="H413" s="5" t="s">
        <v>3</v>
      </c>
      <c r="I413" s="5"/>
      <c r="J413" s="5" t="s">
        <v>13052</v>
      </c>
    </row>
    <row r="414" spans="1:10" ht="25.5" x14ac:dyDescent="0.2">
      <c r="A414" s="5" t="s">
        <v>10861</v>
      </c>
      <c r="B414" s="5" t="s">
        <v>83</v>
      </c>
      <c r="C414" s="5"/>
      <c r="D414" s="5" t="s">
        <v>10860</v>
      </c>
      <c r="E414" s="5"/>
      <c r="F414" s="5" t="s">
        <v>13051</v>
      </c>
      <c r="G414" s="5" t="s">
        <v>4</v>
      </c>
      <c r="H414" s="5" t="s">
        <v>3</v>
      </c>
      <c r="I414" s="5"/>
      <c r="J414" s="5" t="s">
        <v>13050</v>
      </c>
    </row>
    <row r="415" spans="1:10" x14ac:dyDescent="0.2">
      <c r="A415" s="5" t="s">
        <v>11751</v>
      </c>
      <c r="B415" s="5" t="s">
        <v>83</v>
      </c>
      <c r="C415" s="5"/>
      <c r="D415" s="5" t="s">
        <v>11750</v>
      </c>
      <c r="E415" s="5"/>
      <c r="F415" s="5" t="s">
        <v>10871</v>
      </c>
      <c r="G415" s="5" t="s">
        <v>7378</v>
      </c>
      <c r="H415" s="5" t="s">
        <v>3</v>
      </c>
      <c r="I415" s="5"/>
      <c r="J415" s="5" t="s">
        <v>13047</v>
      </c>
    </row>
    <row r="416" spans="1:10" ht="25.5" x14ac:dyDescent="0.2">
      <c r="A416" s="5" t="s">
        <v>13049</v>
      </c>
      <c r="B416" s="5" t="s">
        <v>83</v>
      </c>
      <c r="C416" s="5"/>
      <c r="D416" s="5" t="s">
        <v>13048</v>
      </c>
      <c r="E416" s="5"/>
      <c r="F416" s="5" t="s">
        <v>13047</v>
      </c>
      <c r="G416" s="5" t="s">
        <v>229</v>
      </c>
      <c r="H416" s="5" t="s">
        <v>3</v>
      </c>
      <c r="I416" s="5"/>
      <c r="J416" s="5" t="s">
        <v>13046</v>
      </c>
    </row>
    <row r="417" spans="1:10" x14ac:dyDescent="0.2">
      <c r="A417" s="5" t="s">
        <v>12084</v>
      </c>
      <c r="B417" s="5" t="s">
        <v>83</v>
      </c>
      <c r="C417" s="5"/>
      <c r="D417" s="5" t="s">
        <v>13045</v>
      </c>
      <c r="E417" s="5"/>
      <c r="F417" s="5" t="s">
        <v>12083</v>
      </c>
      <c r="G417" s="5" t="s">
        <v>224</v>
      </c>
      <c r="H417" s="5" t="s">
        <v>3</v>
      </c>
      <c r="I417" s="5"/>
      <c r="J417" s="5" t="s">
        <v>12082</v>
      </c>
    </row>
    <row r="418" spans="1:10" ht="25.5" x14ac:dyDescent="0.2">
      <c r="A418" s="5" t="s">
        <v>12081</v>
      </c>
      <c r="B418" s="5" t="s">
        <v>83</v>
      </c>
      <c r="C418" s="5"/>
      <c r="D418" s="5" t="s">
        <v>13044</v>
      </c>
      <c r="E418" s="5"/>
      <c r="F418" s="5" t="s">
        <v>12080</v>
      </c>
      <c r="G418" s="5" t="s">
        <v>122</v>
      </c>
      <c r="H418" s="5" t="s">
        <v>3</v>
      </c>
      <c r="I418" s="5"/>
      <c r="J418" s="5" t="s">
        <v>12079</v>
      </c>
    </row>
    <row r="419" spans="1:10" x14ac:dyDescent="0.2">
      <c r="A419" s="5" t="s">
        <v>13043</v>
      </c>
      <c r="B419" s="5" t="s">
        <v>83</v>
      </c>
      <c r="C419" s="5"/>
      <c r="D419" s="5" t="s">
        <v>13042</v>
      </c>
      <c r="E419" s="5" t="s">
        <v>138</v>
      </c>
      <c r="F419" s="5" t="s">
        <v>13041</v>
      </c>
      <c r="G419" s="5" t="s">
        <v>382</v>
      </c>
      <c r="H419" s="5" t="s">
        <v>3</v>
      </c>
      <c r="I419" s="5"/>
      <c r="J419" s="5" t="s">
        <v>13040</v>
      </c>
    </row>
    <row r="420" spans="1:10" ht="25.5" x14ac:dyDescent="0.2">
      <c r="A420" s="5" t="s">
        <v>13039</v>
      </c>
      <c r="B420" s="5" t="s">
        <v>83</v>
      </c>
      <c r="C420" s="5"/>
      <c r="D420" s="5" t="s">
        <v>13038</v>
      </c>
      <c r="E420" s="5" t="s">
        <v>3057</v>
      </c>
      <c r="F420" s="5" t="s">
        <v>8135</v>
      </c>
      <c r="G420" s="5" t="s">
        <v>148</v>
      </c>
      <c r="H420" s="5" t="s">
        <v>3</v>
      </c>
      <c r="I420" s="5"/>
      <c r="J420" s="5" t="s">
        <v>13037</v>
      </c>
    </row>
    <row r="421" spans="1:10" x14ac:dyDescent="0.2">
      <c r="A421" s="5" t="s">
        <v>13036</v>
      </c>
      <c r="B421" s="5" t="s">
        <v>83</v>
      </c>
      <c r="C421" s="5"/>
      <c r="D421" s="5" t="s">
        <v>8090</v>
      </c>
      <c r="E421" s="5"/>
      <c r="F421" s="5"/>
      <c r="G421" s="5" t="s">
        <v>328</v>
      </c>
      <c r="H421" s="5"/>
      <c r="I421" s="5"/>
      <c r="J421" s="5" t="s">
        <v>13035</v>
      </c>
    </row>
    <row r="422" spans="1:10" ht="25.5" x14ac:dyDescent="0.2">
      <c r="A422" s="5" t="s">
        <v>13034</v>
      </c>
      <c r="B422" s="5" t="s">
        <v>83</v>
      </c>
      <c r="C422" s="5"/>
      <c r="D422" s="5" t="s">
        <v>13033</v>
      </c>
      <c r="E422" s="5"/>
      <c r="F422" s="5"/>
      <c r="G422" s="5" t="s">
        <v>3059</v>
      </c>
      <c r="H422" s="5" t="s">
        <v>3</v>
      </c>
      <c r="I422" s="5"/>
      <c r="J422" s="5" t="s">
        <v>13029</v>
      </c>
    </row>
    <row r="423" spans="1:10" ht="25.5" x14ac:dyDescent="0.2">
      <c r="A423" s="5" t="s">
        <v>13032</v>
      </c>
      <c r="B423" s="5" t="s">
        <v>83</v>
      </c>
      <c r="C423" s="5"/>
      <c r="D423" s="5" t="s">
        <v>13031</v>
      </c>
      <c r="E423" s="5"/>
      <c r="F423" s="5" t="s">
        <v>13030</v>
      </c>
      <c r="G423" s="5" t="s">
        <v>105</v>
      </c>
      <c r="H423" s="5" t="s">
        <v>3</v>
      </c>
      <c r="I423" s="5"/>
      <c r="J423" s="5" t="s">
        <v>13029</v>
      </c>
    </row>
    <row r="424" spans="1:10" x14ac:dyDescent="0.2">
      <c r="A424" s="5" t="s">
        <v>13028</v>
      </c>
      <c r="B424" s="5" t="s">
        <v>83</v>
      </c>
      <c r="C424" s="5"/>
      <c r="D424" s="5" t="s">
        <v>13027</v>
      </c>
      <c r="E424" s="5"/>
      <c r="F424" s="5"/>
      <c r="G424" s="5" t="s">
        <v>3059</v>
      </c>
      <c r="H424" s="5" t="s">
        <v>3</v>
      </c>
      <c r="I424" s="5"/>
      <c r="J424" s="5" t="s">
        <v>13023</v>
      </c>
    </row>
    <row r="425" spans="1:10" x14ac:dyDescent="0.2">
      <c r="A425" s="5" t="s">
        <v>13026</v>
      </c>
      <c r="B425" s="5" t="s">
        <v>83</v>
      </c>
      <c r="C425" s="5"/>
      <c r="D425" s="5" t="s">
        <v>13025</v>
      </c>
      <c r="E425" s="5"/>
      <c r="F425" s="5" t="s">
        <v>13024</v>
      </c>
      <c r="G425" s="5" t="s">
        <v>105</v>
      </c>
      <c r="H425" s="5" t="s">
        <v>3</v>
      </c>
      <c r="I425" s="5"/>
      <c r="J425" s="5" t="s">
        <v>13023</v>
      </c>
    </row>
    <row r="426" spans="1:10" ht="25.5" x14ac:dyDescent="0.2">
      <c r="A426" s="5" t="s">
        <v>13022</v>
      </c>
      <c r="B426" s="5" t="s">
        <v>83</v>
      </c>
      <c r="C426" s="5"/>
      <c r="D426" s="5" t="s">
        <v>13021</v>
      </c>
      <c r="E426" s="5"/>
      <c r="F426" s="5"/>
      <c r="G426" s="5" t="s">
        <v>3059</v>
      </c>
      <c r="H426" s="5" t="s">
        <v>3</v>
      </c>
      <c r="I426" s="5"/>
      <c r="J426" s="5" t="s">
        <v>13017</v>
      </c>
    </row>
    <row r="427" spans="1:10" ht="25.5" x14ac:dyDescent="0.2">
      <c r="A427" s="5" t="s">
        <v>13020</v>
      </c>
      <c r="B427" s="5" t="s">
        <v>83</v>
      </c>
      <c r="C427" s="5"/>
      <c r="D427" s="5" t="s">
        <v>13019</v>
      </c>
      <c r="E427" s="5"/>
      <c r="F427" s="5" t="s">
        <v>13018</v>
      </c>
      <c r="G427" s="5" t="s">
        <v>105</v>
      </c>
      <c r="H427" s="5" t="s">
        <v>3</v>
      </c>
      <c r="I427" s="5"/>
      <c r="J427" s="5" t="s">
        <v>13017</v>
      </c>
    </row>
    <row r="428" spans="1:10" ht="25.5" x14ac:dyDescent="0.2">
      <c r="A428" s="5" t="s">
        <v>13016</v>
      </c>
      <c r="B428" s="5" t="s">
        <v>83</v>
      </c>
      <c r="C428" s="5"/>
      <c r="D428" s="5" t="s">
        <v>13015</v>
      </c>
      <c r="E428" s="5"/>
      <c r="F428" s="5"/>
      <c r="G428" s="5" t="s">
        <v>3059</v>
      </c>
      <c r="H428" s="5" t="s">
        <v>3</v>
      </c>
      <c r="I428" s="5"/>
      <c r="J428" s="5" t="s">
        <v>13011</v>
      </c>
    </row>
    <row r="429" spans="1:10" ht="25.5" x14ac:dyDescent="0.2">
      <c r="A429" s="5" t="s">
        <v>13014</v>
      </c>
      <c r="B429" s="5" t="s">
        <v>83</v>
      </c>
      <c r="C429" s="5"/>
      <c r="D429" s="5" t="s">
        <v>13013</v>
      </c>
      <c r="E429" s="5"/>
      <c r="F429" s="5" t="s">
        <v>13012</v>
      </c>
      <c r="G429" s="5" t="s">
        <v>105</v>
      </c>
      <c r="H429" s="5" t="s">
        <v>3</v>
      </c>
      <c r="I429" s="5"/>
      <c r="J429" s="5" t="s">
        <v>13011</v>
      </c>
    </row>
    <row r="430" spans="1:10" x14ac:dyDescent="0.2">
      <c r="A430" s="5" t="s">
        <v>13010</v>
      </c>
      <c r="B430" s="5" t="s">
        <v>83</v>
      </c>
      <c r="C430" s="5"/>
      <c r="D430" s="5" t="s">
        <v>13009</v>
      </c>
      <c r="E430" s="5"/>
      <c r="F430" s="5"/>
      <c r="G430" s="5" t="s">
        <v>3059</v>
      </c>
      <c r="H430" s="5" t="s">
        <v>3</v>
      </c>
      <c r="I430" s="5"/>
      <c r="J430" s="5" t="s">
        <v>13005</v>
      </c>
    </row>
    <row r="431" spans="1:10" x14ac:dyDescent="0.2">
      <c r="A431" s="5" t="s">
        <v>13008</v>
      </c>
      <c r="B431" s="5" t="s">
        <v>83</v>
      </c>
      <c r="C431" s="5"/>
      <c r="D431" s="5" t="s">
        <v>13007</v>
      </c>
      <c r="E431" s="5"/>
      <c r="F431" s="5" t="s">
        <v>13006</v>
      </c>
      <c r="G431" s="5" t="s">
        <v>105</v>
      </c>
      <c r="H431" s="5" t="s">
        <v>3</v>
      </c>
      <c r="I431" s="5"/>
      <c r="J431" s="5" t="s">
        <v>13005</v>
      </c>
    </row>
    <row r="432" spans="1:10" x14ac:dyDescent="0.2">
      <c r="A432" s="5" t="s">
        <v>13004</v>
      </c>
      <c r="B432" s="5" t="s">
        <v>83</v>
      </c>
      <c r="C432" s="5"/>
      <c r="D432" s="5" t="s">
        <v>13003</v>
      </c>
      <c r="E432" s="5"/>
      <c r="F432" s="5"/>
      <c r="G432" s="5" t="s">
        <v>3059</v>
      </c>
      <c r="H432" s="5" t="s">
        <v>3</v>
      </c>
      <c r="I432" s="5"/>
      <c r="J432" s="5" t="s">
        <v>12999</v>
      </c>
    </row>
    <row r="433" spans="1:10" x14ac:dyDescent="0.2">
      <c r="A433" s="5" t="s">
        <v>13002</v>
      </c>
      <c r="B433" s="5" t="s">
        <v>83</v>
      </c>
      <c r="C433" s="5"/>
      <c r="D433" s="5" t="s">
        <v>13001</v>
      </c>
      <c r="E433" s="5"/>
      <c r="F433" s="5" t="s">
        <v>13000</v>
      </c>
      <c r="G433" s="5" t="s">
        <v>105</v>
      </c>
      <c r="H433" s="5" t="s">
        <v>3</v>
      </c>
      <c r="I433" s="5"/>
      <c r="J433" s="5" t="s">
        <v>12999</v>
      </c>
    </row>
    <row r="434" spans="1:10" ht="25.5" x14ac:dyDescent="0.2">
      <c r="A434" s="5" t="s">
        <v>12998</v>
      </c>
      <c r="B434" s="5" t="s">
        <v>83</v>
      </c>
      <c r="C434" s="5"/>
      <c r="D434" s="5" t="s">
        <v>12997</v>
      </c>
      <c r="E434" s="5"/>
      <c r="F434" s="5"/>
      <c r="G434" s="5" t="s">
        <v>3059</v>
      </c>
      <c r="H434" s="5" t="s">
        <v>3</v>
      </c>
      <c r="I434" s="5"/>
      <c r="J434" s="5" t="s">
        <v>12993</v>
      </c>
    </row>
    <row r="435" spans="1:10" ht="25.5" x14ac:dyDescent="0.2">
      <c r="A435" s="5" t="s">
        <v>12996</v>
      </c>
      <c r="B435" s="5" t="s">
        <v>83</v>
      </c>
      <c r="C435" s="5"/>
      <c r="D435" s="5" t="s">
        <v>12995</v>
      </c>
      <c r="E435" s="5"/>
      <c r="F435" s="5" t="s">
        <v>12994</v>
      </c>
      <c r="G435" s="5" t="s">
        <v>105</v>
      </c>
      <c r="H435" s="5" t="s">
        <v>3</v>
      </c>
      <c r="I435" s="5"/>
      <c r="J435" s="5" t="s">
        <v>12993</v>
      </c>
    </row>
    <row r="436" spans="1:10" x14ac:dyDescent="0.2">
      <c r="A436" s="5" t="s">
        <v>12992</v>
      </c>
      <c r="B436" s="5" t="s">
        <v>83</v>
      </c>
      <c r="C436" s="5"/>
      <c r="D436" s="5" t="s">
        <v>12991</v>
      </c>
      <c r="E436" s="5"/>
      <c r="F436" s="5"/>
      <c r="G436" s="5" t="s">
        <v>3059</v>
      </c>
      <c r="H436" s="5" t="s">
        <v>3</v>
      </c>
      <c r="I436" s="5"/>
      <c r="J436" s="5" t="s">
        <v>12987</v>
      </c>
    </row>
    <row r="437" spans="1:10" x14ac:dyDescent="0.2">
      <c r="A437" s="5" t="s">
        <v>12990</v>
      </c>
      <c r="B437" s="5" t="s">
        <v>83</v>
      </c>
      <c r="C437" s="5"/>
      <c r="D437" s="5" t="s">
        <v>12989</v>
      </c>
      <c r="E437" s="5"/>
      <c r="F437" s="5" t="s">
        <v>12988</v>
      </c>
      <c r="G437" s="5" t="s">
        <v>105</v>
      </c>
      <c r="H437" s="5" t="s">
        <v>3</v>
      </c>
      <c r="I437" s="5"/>
      <c r="J437" s="5" t="s">
        <v>12987</v>
      </c>
    </row>
    <row r="438" spans="1:10" x14ac:dyDescent="0.2">
      <c r="A438" s="5" t="s">
        <v>12986</v>
      </c>
      <c r="B438" s="5" t="s">
        <v>83</v>
      </c>
      <c r="C438" s="5"/>
      <c r="D438" s="5" t="s">
        <v>12985</v>
      </c>
      <c r="E438" s="5"/>
      <c r="F438" s="5"/>
      <c r="G438" s="5" t="s">
        <v>3059</v>
      </c>
      <c r="H438" s="5" t="s">
        <v>3</v>
      </c>
      <c r="I438" s="5"/>
      <c r="J438" s="5" t="s">
        <v>12981</v>
      </c>
    </row>
    <row r="439" spans="1:10" x14ac:dyDescent="0.2">
      <c r="A439" s="5" t="s">
        <v>12984</v>
      </c>
      <c r="B439" s="5" t="s">
        <v>83</v>
      </c>
      <c r="C439" s="5"/>
      <c r="D439" s="5" t="s">
        <v>12983</v>
      </c>
      <c r="E439" s="5"/>
      <c r="F439" s="5" t="s">
        <v>12982</v>
      </c>
      <c r="G439" s="5" t="s">
        <v>105</v>
      </c>
      <c r="H439" s="5" t="s">
        <v>3</v>
      </c>
      <c r="I439" s="5"/>
      <c r="J439" s="5" t="s">
        <v>12981</v>
      </c>
    </row>
    <row r="440" spans="1:10" ht="25.5" x14ac:dyDescent="0.2">
      <c r="A440" s="5" t="s">
        <v>12980</v>
      </c>
      <c r="B440" s="5" t="s">
        <v>83</v>
      </c>
      <c r="C440" s="5"/>
      <c r="D440" s="5" t="s">
        <v>12979</v>
      </c>
      <c r="E440" s="5"/>
      <c r="F440" s="5"/>
      <c r="G440" s="5" t="s">
        <v>3059</v>
      </c>
      <c r="H440" s="5" t="s">
        <v>3</v>
      </c>
      <c r="I440" s="5"/>
      <c r="J440" s="5" t="s">
        <v>12975</v>
      </c>
    </row>
    <row r="441" spans="1:10" ht="25.5" x14ac:dyDescent="0.2">
      <c r="A441" s="5" t="s">
        <v>12978</v>
      </c>
      <c r="B441" s="5" t="s">
        <v>83</v>
      </c>
      <c r="C441" s="5"/>
      <c r="D441" s="5" t="s">
        <v>12977</v>
      </c>
      <c r="E441" s="5"/>
      <c r="F441" s="5" t="s">
        <v>12976</v>
      </c>
      <c r="G441" s="5" t="s">
        <v>105</v>
      </c>
      <c r="H441" s="5" t="s">
        <v>3</v>
      </c>
      <c r="I441" s="5"/>
      <c r="J441" s="5" t="s">
        <v>12975</v>
      </c>
    </row>
    <row r="442" spans="1:10" ht="25.5" x14ac:dyDescent="0.2">
      <c r="A442" s="5" t="s">
        <v>12974</v>
      </c>
      <c r="B442" s="5" t="s">
        <v>83</v>
      </c>
      <c r="C442" s="5"/>
      <c r="D442" s="5" t="s">
        <v>12973</v>
      </c>
      <c r="E442" s="5"/>
      <c r="F442" s="5"/>
      <c r="G442" s="5" t="s">
        <v>3059</v>
      </c>
      <c r="H442" s="5" t="s">
        <v>3</v>
      </c>
      <c r="I442" s="5"/>
      <c r="J442" s="5" t="s">
        <v>12967</v>
      </c>
    </row>
    <row r="443" spans="1:10" ht="25.5" x14ac:dyDescent="0.2">
      <c r="A443" s="5" t="s">
        <v>12972</v>
      </c>
      <c r="B443" s="5" t="s">
        <v>83</v>
      </c>
      <c r="C443" s="5"/>
      <c r="D443" s="5" t="s">
        <v>8090</v>
      </c>
      <c r="E443" s="5"/>
      <c r="F443" s="5"/>
      <c r="G443" s="5" t="s">
        <v>105</v>
      </c>
      <c r="H443" s="5" t="s">
        <v>11509</v>
      </c>
      <c r="I443" s="5"/>
      <c r="J443" s="5" t="s">
        <v>12971</v>
      </c>
    </row>
    <row r="444" spans="1:10" ht="25.5" x14ac:dyDescent="0.2">
      <c r="A444" s="5" t="s">
        <v>12970</v>
      </c>
      <c r="B444" s="5" t="s">
        <v>83</v>
      </c>
      <c r="C444" s="5"/>
      <c r="D444" s="5" t="s">
        <v>12969</v>
      </c>
      <c r="E444" s="5"/>
      <c r="F444" s="5" t="s">
        <v>12968</v>
      </c>
      <c r="G444" s="5" t="s">
        <v>105</v>
      </c>
      <c r="H444" s="5" t="s">
        <v>3</v>
      </c>
      <c r="I444" s="5"/>
      <c r="J444" s="5" t="s">
        <v>12967</v>
      </c>
    </row>
    <row r="445" spans="1:10" ht="25.5" x14ac:dyDescent="0.2">
      <c r="A445" s="5" t="s">
        <v>12966</v>
      </c>
      <c r="B445" s="5" t="s">
        <v>83</v>
      </c>
      <c r="C445" s="5"/>
      <c r="D445" s="5" t="s">
        <v>12965</v>
      </c>
      <c r="E445" s="5"/>
      <c r="F445" s="5"/>
      <c r="G445" s="5" t="s">
        <v>3059</v>
      </c>
      <c r="H445" s="5" t="s">
        <v>3</v>
      </c>
      <c r="I445" s="5"/>
      <c r="J445" s="5" t="s">
        <v>12961</v>
      </c>
    </row>
    <row r="446" spans="1:10" ht="25.5" x14ac:dyDescent="0.2">
      <c r="A446" s="5" t="s">
        <v>12964</v>
      </c>
      <c r="B446" s="5" t="s">
        <v>83</v>
      </c>
      <c r="C446" s="5"/>
      <c r="D446" s="5" t="s">
        <v>12963</v>
      </c>
      <c r="E446" s="5"/>
      <c r="F446" s="5" t="s">
        <v>12962</v>
      </c>
      <c r="G446" s="5" t="s">
        <v>105</v>
      </c>
      <c r="H446" s="5" t="s">
        <v>3</v>
      </c>
      <c r="I446" s="5"/>
      <c r="J446" s="5" t="s">
        <v>12961</v>
      </c>
    </row>
    <row r="447" spans="1:10" x14ac:dyDescent="0.2">
      <c r="A447" s="5" t="s">
        <v>12960</v>
      </c>
      <c r="B447" s="5" t="s">
        <v>83</v>
      </c>
      <c r="C447" s="5"/>
      <c r="D447" s="5" t="s">
        <v>12959</v>
      </c>
      <c r="E447" s="5"/>
      <c r="F447" s="5" t="s">
        <v>12949</v>
      </c>
      <c r="G447" s="5" t="s">
        <v>170</v>
      </c>
      <c r="H447" s="5" t="s">
        <v>3</v>
      </c>
      <c r="I447" s="5"/>
      <c r="J447" s="5" t="s">
        <v>12958</v>
      </c>
    </row>
    <row r="448" spans="1:10" x14ac:dyDescent="0.2">
      <c r="A448" s="5" t="s">
        <v>12957</v>
      </c>
      <c r="B448" s="5" t="s">
        <v>83</v>
      </c>
      <c r="C448" s="5"/>
      <c r="D448" s="5" t="s">
        <v>12956</v>
      </c>
      <c r="E448" s="5"/>
      <c r="F448" s="5" t="s">
        <v>12949</v>
      </c>
      <c r="G448" s="5" t="s">
        <v>118</v>
      </c>
      <c r="H448" s="5" t="s">
        <v>3</v>
      </c>
      <c r="I448" s="5"/>
      <c r="J448" s="5" t="s">
        <v>12955</v>
      </c>
    </row>
    <row r="449" spans="1:10" x14ac:dyDescent="0.2">
      <c r="A449" s="5" t="s">
        <v>12954</v>
      </c>
      <c r="B449" s="5" t="s">
        <v>83</v>
      </c>
      <c r="C449" s="5"/>
      <c r="D449" s="5" t="s">
        <v>12953</v>
      </c>
      <c r="E449" s="5"/>
      <c r="F449" s="5" t="s">
        <v>12949</v>
      </c>
      <c r="G449" s="5" t="s">
        <v>118</v>
      </c>
      <c r="H449" s="5" t="s">
        <v>3</v>
      </c>
      <c r="I449" s="5"/>
      <c r="J449" s="5" t="s">
        <v>12952</v>
      </c>
    </row>
    <row r="450" spans="1:10" x14ac:dyDescent="0.2">
      <c r="A450" s="5" t="s">
        <v>12951</v>
      </c>
      <c r="B450" s="5" t="s">
        <v>83</v>
      </c>
      <c r="C450" s="5"/>
      <c r="D450" s="5" t="s">
        <v>12950</v>
      </c>
      <c r="E450" s="5"/>
      <c r="F450" s="5" t="s">
        <v>12949</v>
      </c>
      <c r="G450" s="5" t="s">
        <v>118</v>
      </c>
      <c r="H450" s="5" t="s">
        <v>3</v>
      </c>
      <c r="I450" s="5"/>
      <c r="J450" s="5" t="s">
        <v>12948</v>
      </c>
    </row>
    <row r="451" spans="1:10" ht="25.5" x14ac:dyDescent="0.2">
      <c r="A451" s="5" t="s">
        <v>12947</v>
      </c>
      <c r="B451" s="5" t="s">
        <v>83</v>
      </c>
      <c r="C451" s="5"/>
      <c r="D451" s="5" t="s">
        <v>12946</v>
      </c>
      <c r="E451" s="5" t="s">
        <v>93</v>
      </c>
      <c r="F451" s="5" t="s">
        <v>12945</v>
      </c>
      <c r="G451" s="5" t="s">
        <v>382</v>
      </c>
      <c r="H451" s="5" t="s">
        <v>3</v>
      </c>
      <c r="I451" s="5"/>
      <c r="J451" s="5" t="s">
        <v>12944</v>
      </c>
    </row>
    <row r="452" spans="1:10" x14ac:dyDescent="0.2">
      <c r="A452" s="5" t="s">
        <v>12943</v>
      </c>
      <c r="B452" s="5" t="s">
        <v>83</v>
      </c>
      <c r="C452" s="5"/>
      <c r="D452" s="5" t="s">
        <v>12942</v>
      </c>
      <c r="E452" s="5"/>
      <c r="F452" s="5" t="s">
        <v>106</v>
      </c>
      <c r="G452" s="5" t="s">
        <v>173</v>
      </c>
      <c r="H452" s="5" t="s">
        <v>3</v>
      </c>
      <c r="I452" s="5"/>
      <c r="J452" s="5" t="s">
        <v>12941</v>
      </c>
    </row>
    <row r="453" spans="1:10" ht="25.5" x14ac:dyDescent="0.2">
      <c r="A453" s="5" t="s">
        <v>10835</v>
      </c>
      <c r="B453" s="5" t="s">
        <v>83</v>
      </c>
      <c r="C453" s="5"/>
      <c r="D453" s="5" t="s">
        <v>10834</v>
      </c>
      <c r="E453" s="5"/>
      <c r="F453" s="5" t="s">
        <v>10833</v>
      </c>
      <c r="G453" s="5" t="s">
        <v>229</v>
      </c>
      <c r="H453" s="5" t="s">
        <v>3</v>
      </c>
      <c r="I453" s="5"/>
      <c r="J453" s="5" t="s">
        <v>10832</v>
      </c>
    </row>
    <row r="454" spans="1:10" ht="25.5" x14ac:dyDescent="0.2">
      <c r="A454" s="5" t="s">
        <v>10831</v>
      </c>
      <c r="B454" s="5" t="s">
        <v>83</v>
      </c>
      <c r="C454" s="5"/>
      <c r="D454" s="5" t="s">
        <v>10830</v>
      </c>
      <c r="E454" s="5"/>
      <c r="F454" s="5" t="s">
        <v>10829</v>
      </c>
      <c r="G454" s="5" t="s">
        <v>224</v>
      </c>
      <c r="H454" s="5" t="s">
        <v>3</v>
      </c>
      <c r="I454" s="5"/>
      <c r="J454" s="5" t="s">
        <v>10828</v>
      </c>
    </row>
    <row r="455" spans="1:10" x14ac:dyDescent="0.2">
      <c r="A455" s="5" t="s">
        <v>12940</v>
      </c>
      <c r="B455" s="5" t="s">
        <v>83</v>
      </c>
      <c r="C455" s="5"/>
      <c r="D455" s="5" t="s">
        <v>12939</v>
      </c>
      <c r="E455" s="5"/>
      <c r="F455" s="5" t="s">
        <v>12938</v>
      </c>
      <c r="G455" s="5" t="s">
        <v>173</v>
      </c>
      <c r="H455" s="5" t="s">
        <v>3</v>
      </c>
      <c r="I455" s="5"/>
      <c r="J455" s="5" t="s">
        <v>12937</v>
      </c>
    </row>
    <row r="456" spans="1:10" x14ac:dyDescent="0.2">
      <c r="A456" s="5" t="s">
        <v>12936</v>
      </c>
      <c r="B456" s="5" t="s">
        <v>83</v>
      </c>
      <c r="C456" s="5"/>
      <c r="D456" s="5" t="s">
        <v>12935</v>
      </c>
      <c r="E456" s="5" t="s">
        <v>93</v>
      </c>
      <c r="F456" s="5" t="s">
        <v>12934</v>
      </c>
      <c r="G456" s="5" t="s">
        <v>207</v>
      </c>
      <c r="H456" s="5" t="s">
        <v>3</v>
      </c>
      <c r="I456" s="5"/>
      <c r="J456" s="5" t="s">
        <v>12933</v>
      </c>
    </row>
    <row r="457" spans="1:10" x14ac:dyDescent="0.2">
      <c r="A457" s="5" t="s">
        <v>7657</v>
      </c>
      <c r="B457" s="5" t="s">
        <v>83</v>
      </c>
      <c r="C457" s="5"/>
      <c r="D457" s="5" t="s">
        <v>5503</v>
      </c>
      <c r="E457" s="5"/>
      <c r="F457" s="5" t="s">
        <v>10258</v>
      </c>
      <c r="G457" s="5" t="s">
        <v>328</v>
      </c>
      <c r="H457" s="5" t="s">
        <v>3</v>
      </c>
      <c r="I457" s="5"/>
      <c r="J457" s="5" t="s">
        <v>7656</v>
      </c>
    </row>
    <row r="458" spans="1:10" x14ac:dyDescent="0.2">
      <c r="A458" s="5" t="s">
        <v>12932</v>
      </c>
      <c r="B458" s="5" t="s">
        <v>83</v>
      </c>
      <c r="C458" s="5"/>
      <c r="D458" s="5" t="s">
        <v>12931</v>
      </c>
      <c r="E458" s="5"/>
      <c r="F458" s="5" t="s">
        <v>7640</v>
      </c>
      <c r="G458" s="5" t="s">
        <v>199</v>
      </c>
      <c r="H458" s="5" t="s">
        <v>3</v>
      </c>
      <c r="I458" s="5"/>
      <c r="J458" s="5" t="s">
        <v>12930</v>
      </c>
    </row>
    <row r="459" spans="1:10" x14ac:dyDescent="0.2">
      <c r="A459" s="5" t="s">
        <v>7585</v>
      </c>
      <c r="B459" s="5" t="s">
        <v>83</v>
      </c>
      <c r="C459" s="5"/>
      <c r="D459" s="5" t="s">
        <v>12929</v>
      </c>
      <c r="E459" s="5"/>
      <c r="F459" s="5" t="s">
        <v>7583</v>
      </c>
      <c r="G459" s="5" t="s">
        <v>229</v>
      </c>
      <c r="H459" s="5" t="s">
        <v>3</v>
      </c>
      <c r="I459" s="5"/>
      <c r="J459" s="5"/>
    </row>
    <row r="460" spans="1:10" ht="38.25" x14ac:dyDescent="0.2">
      <c r="A460" s="5" t="s">
        <v>12928</v>
      </c>
      <c r="B460" s="5" t="s">
        <v>83</v>
      </c>
      <c r="C460" s="5"/>
      <c r="D460" s="5" t="s">
        <v>12927</v>
      </c>
      <c r="E460" s="5" t="s">
        <v>93</v>
      </c>
      <c r="F460" s="5" t="s">
        <v>12926</v>
      </c>
      <c r="G460" s="5" t="s">
        <v>207</v>
      </c>
      <c r="H460" s="5" t="s">
        <v>3</v>
      </c>
      <c r="I460" s="5"/>
      <c r="J460" s="5" t="s">
        <v>12925</v>
      </c>
    </row>
    <row r="461" spans="1:10" ht="25.5" x14ac:dyDescent="0.2">
      <c r="A461" s="5" t="s">
        <v>12924</v>
      </c>
      <c r="B461" s="5" t="s">
        <v>83</v>
      </c>
      <c r="C461" s="5"/>
      <c r="D461" s="5" t="s">
        <v>12923</v>
      </c>
      <c r="E461" s="5" t="s">
        <v>138</v>
      </c>
      <c r="F461" s="5" t="s">
        <v>12152</v>
      </c>
      <c r="G461" s="5" t="s">
        <v>173</v>
      </c>
      <c r="H461" s="5" t="s">
        <v>137</v>
      </c>
      <c r="I461" s="5" t="s">
        <v>12885</v>
      </c>
      <c r="J461" s="5" t="s">
        <v>12922</v>
      </c>
    </row>
    <row r="462" spans="1:10" ht="25.5" x14ac:dyDescent="0.2">
      <c r="A462" s="5" t="s">
        <v>12921</v>
      </c>
      <c r="B462" s="5" t="s">
        <v>83</v>
      </c>
      <c r="C462" s="5"/>
      <c r="D462" s="5" t="s">
        <v>12920</v>
      </c>
      <c r="E462" s="5" t="s">
        <v>368</v>
      </c>
      <c r="F462" s="5" t="s">
        <v>12152</v>
      </c>
      <c r="G462" s="5" t="s">
        <v>207</v>
      </c>
      <c r="H462" s="5" t="s">
        <v>137</v>
      </c>
      <c r="I462" s="5" t="s">
        <v>12885</v>
      </c>
      <c r="J462" s="5" t="s">
        <v>12919</v>
      </c>
    </row>
    <row r="463" spans="1:10" ht="25.5" x14ac:dyDescent="0.2">
      <c r="A463" s="5" t="s">
        <v>12918</v>
      </c>
      <c r="B463" s="5" t="s">
        <v>83</v>
      </c>
      <c r="C463" s="5"/>
      <c r="D463" s="5" t="s">
        <v>12917</v>
      </c>
      <c r="E463" s="5" t="s">
        <v>368</v>
      </c>
      <c r="F463" s="5" t="s">
        <v>12152</v>
      </c>
      <c r="G463" s="5" t="s">
        <v>207</v>
      </c>
      <c r="H463" s="5"/>
      <c r="I463" s="5"/>
      <c r="J463" s="5" t="s">
        <v>12916</v>
      </c>
    </row>
    <row r="464" spans="1:10" ht="25.5" x14ac:dyDescent="0.2">
      <c r="A464" s="5" t="s">
        <v>12915</v>
      </c>
      <c r="B464" s="5" t="s">
        <v>83</v>
      </c>
      <c r="C464" s="5"/>
      <c r="D464" s="5" t="s">
        <v>12914</v>
      </c>
      <c r="E464" s="5"/>
      <c r="F464" s="5"/>
      <c r="G464" s="5" t="s">
        <v>4028</v>
      </c>
      <c r="H464" s="5" t="s">
        <v>137</v>
      </c>
      <c r="I464" s="5" t="s">
        <v>12885</v>
      </c>
      <c r="J464" s="5" t="s">
        <v>12913</v>
      </c>
    </row>
    <row r="465" spans="1:10" ht="25.5" x14ac:dyDescent="0.2">
      <c r="A465" s="5" t="s">
        <v>12912</v>
      </c>
      <c r="B465" s="5" t="s">
        <v>83</v>
      </c>
      <c r="C465" s="5"/>
      <c r="D465" s="5" t="s">
        <v>12911</v>
      </c>
      <c r="E465" s="5"/>
      <c r="F465" s="5" t="s">
        <v>12907</v>
      </c>
      <c r="G465" s="5" t="s">
        <v>105</v>
      </c>
      <c r="H465" s="5" t="s">
        <v>137</v>
      </c>
      <c r="I465" s="5" t="s">
        <v>12885</v>
      </c>
      <c r="J465" s="5" t="s">
        <v>12910</v>
      </c>
    </row>
    <row r="466" spans="1:10" ht="25.5" x14ac:dyDescent="0.2">
      <c r="A466" s="5" t="s">
        <v>12909</v>
      </c>
      <c r="B466" s="5" t="s">
        <v>83</v>
      </c>
      <c r="C466" s="5"/>
      <c r="D466" s="5" t="s">
        <v>12908</v>
      </c>
      <c r="E466" s="5"/>
      <c r="F466" s="5" t="s">
        <v>12907</v>
      </c>
      <c r="G466" s="5" t="s">
        <v>105</v>
      </c>
      <c r="H466" s="5" t="s">
        <v>137</v>
      </c>
      <c r="I466" s="5"/>
      <c r="J466" s="5" t="s">
        <v>12906</v>
      </c>
    </row>
    <row r="467" spans="1:10" ht="25.5" x14ac:dyDescent="0.2">
      <c r="A467" s="5" t="s">
        <v>12905</v>
      </c>
      <c r="B467" s="5" t="s">
        <v>83</v>
      </c>
      <c r="C467" s="5"/>
      <c r="D467" s="5" t="s">
        <v>12904</v>
      </c>
      <c r="E467" s="5" t="s">
        <v>138</v>
      </c>
      <c r="F467" s="5" t="s">
        <v>12152</v>
      </c>
      <c r="G467" s="5" t="s">
        <v>173</v>
      </c>
      <c r="H467" s="5" t="s">
        <v>137</v>
      </c>
      <c r="I467" s="5" t="s">
        <v>12885</v>
      </c>
      <c r="J467" s="5" t="s">
        <v>12903</v>
      </c>
    </row>
    <row r="468" spans="1:10" ht="25.5" x14ac:dyDescent="0.2">
      <c r="A468" s="5" t="s">
        <v>12902</v>
      </c>
      <c r="B468" s="5" t="s">
        <v>83</v>
      </c>
      <c r="C468" s="5"/>
      <c r="D468" s="5" t="s">
        <v>12901</v>
      </c>
      <c r="E468" s="5"/>
      <c r="F468" s="5"/>
      <c r="G468" s="5"/>
      <c r="H468" s="5" t="s">
        <v>3</v>
      </c>
      <c r="I468" s="5"/>
      <c r="J468" s="5"/>
    </row>
    <row r="469" spans="1:10" ht="25.5" x14ac:dyDescent="0.2">
      <c r="A469" s="5" t="s">
        <v>12900</v>
      </c>
      <c r="B469" s="5" t="s">
        <v>83</v>
      </c>
      <c r="C469" s="5"/>
      <c r="D469" s="5" t="s">
        <v>12899</v>
      </c>
      <c r="E469" s="5"/>
      <c r="F469" s="5" t="s">
        <v>12152</v>
      </c>
      <c r="G469" s="5" t="s">
        <v>173</v>
      </c>
      <c r="H469" s="5" t="s">
        <v>137</v>
      </c>
      <c r="I469" s="5" t="s">
        <v>12885</v>
      </c>
      <c r="J469" s="5" t="s">
        <v>12898</v>
      </c>
    </row>
    <row r="470" spans="1:10" ht="25.5" x14ac:dyDescent="0.2">
      <c r="A470" s="5" t="s">
        <v>12897</v>
      </c>
      <c r="B470" s="5" t="s">
        <v>83</v>
      </c>
      <c r="C470" s="5"/>
      <c r="D470" s="5" t="s">
        <v>12896</v>
      </c>
      <c r="E470" s="5" t="s">
        <v>368</v>
      </c>
      <c r="F470" s="5" t="s">
        <v>12152</v>
      </c>
      <c r="G470" s="5" t="s">
        <v>173</v>
      </c>
      <c r="H470" s="5" t="s">
        <v>137</v>
      </c>
      <c r="I470" s="5" t="s">
        <v>12885</v>
      </c>
      <c r="J470" s="5" t="s">
        <v>12895</v>
      </c>
    </row>
    <row r="471" spans="1:10" ht="25.5" x14ac:dyDescent="0.2">
      <c r="A471" s="5" t="s">
        <v>12894</v>
      </c>
      <c r="B471" s="5" t="s">
        <v>83</v>
      </c>
      <c r="C471" s="5"/>
      <c r="D471" s="5" t="s">
        <v>12893</v>
      </c>
      <c r="E471" s="5" t="s">
        <v>288</v>
      </c>
      <c r="F471" s="5" t="s">
        <v>12152</v>
      </c>
      <c r="G471" s="5" t="s">
        <v>91</v>
      </c>
      <c r="H471" s="5"/>
      <c r="I471" s="5"/>
      <c r="J471" s="5" t="s">
        <v>12892</v>
      </c>
    </row>
    <row r="472" spans="1:10" ht="38.25" x14ac:dyDescent="0.2">
      <c r="A472" s="5" t="s">
        <v>12891</v>
      </c>
      <c r="B472" s="5" t="s">
        <v>83</v>
      </c>
      <c r="C472" s="5"/>
      <c r="D472" s="5" t="s">
        <v>12890</v>
      </c>
      <c r="E472" s="5" t="s">
        <v>213</v>
      </c>
      <c r="F472" s="5" t="s">
        <v>12889</v>
      </c>
      <c r="G472" s="5" t="s">
        <v>91</v>
      </c>
      <c r="H472" s="5" t="s">
        <v>137</v>
      </c>
      <c r="I472" s="5" t="s">
        <v>12885</v>
      </c>
      <c r="J472" s="5" t="s">
        <v>12888</v>
      </c>
    </row>
    <row r="473" spans="1:10" ht="25.5" x14ac:dyDescent="0.2">
      <c r="A473" s="5" t="s">
        <v>12887</v>
      </c>
      <c r="B473" s="5" t="s">
        <v>83</v>
      </c>
      <c r="C473" s="5"/>
      <c r="D473" s="5" t="s">
        <v>12886</v>
      </c>
      <c r="E473" s="5"/>
      <c r="F473" s="5" t="s">
        <v>12152</v>
      </c>
      <c r="G473" s="5" t="s">
        <v>173</v>
      </c>
      <c r="H473" s="5" t="s">
        <v>137</v>
      </c>
      <c r="I473" s="5" t="s">
        <v>12885</v>
      </c>
      <c r="J473" s="5" t="s">
        <v>12884</v>
      </c>
    </row>
    <row r="474" spans="1:10" ht="25.5" x14ac:dyDescent="0.2">
      <c r="A474" s="5" t="s">
        <v>12883</v>
      </c>
      <c r="B474" s="5" t="s">
        <v>83</v>
      </c>
      <c r="C474" s="5"/>
      <c r="D474" s="5" t="s">
        <v>12882</v>
      </c>
      <c r="E474" s="5"/>
      <c r="F474" s="5" t="s">
        <v>12881</v>
      </c>
      <c r="G474" s="5" t="s">
        <v>114</v>
      </c>
      <c r="H474" s="5" t="s">
        <v>3</v>
      </c>
      <c r="I474" s="5"/>
      <c r="J474" s="5" t="s">
        <v>12880</v>
      </c>
    </row>
    <row r="475" spans="1:10" x14ac:dyDescent="0.2">
      <c r="A475" s="5" t="s">
        <v>12879</v>
      </c>
      <c r="B475" s="5" t="s">
        <v>83</v>
      </c>
      <c r="C475" s="5"/>
      <c r="D475" s="5" t="s">
        <v>10814</v>
      </c>
      <c r="E475" s="5"/>
      <c r="F475" s="5" t="s">
        <v>12152</v>
      </c>
      <c r="G475" s="5" t="s">
        <v>5495</v>
      </c>
      <c r="H475" s="5" t="s">
        <v>3</v>
      </c>
      <c r="I475" s="5"/>
      <c r="J475" s="5" t="s">
        <v>10812</v>
      </c>
    </row>
    <row r="476" spans="1:10" ht="25.5" x14ac:dyDescent="0.2">
      <c r="A476" s="5" t="s">
        <v>12878</v>
      </c>
      <c r="B476" s="5" t="s">
        <v>83</v>
      </c>
      <c r="C476" s="5"/>
      <c r="D476" s="5" t="s">
        <v>12877</v>
      </c>
      <c r="E476" s="5"/>
      <c r="F476" s="5" t="s">
        <v>12876</v>
      </c>
      <c r="G476" s="5" t="s">
        <v>12875</v>
      </c>
      <c r="H476" s="5" t="s">
        <v>3</v>
      </c>
      <c r="I476" s="5"/>
      <c r="J476" s="5" t="s">
        <v>12874</v>
      </c>
    </row>
    <row r="477" spans="1:10" x14ac:dyDescent="0.2">
      <c r="A477" s="5" t="s">
        <v>11736</v>
      </c>
      <c r="B477" s="5" t="s">
        <v>83</v>
      </c>
      <c r="C477" s="5"/>
      <c r="D477" s="5" t="s">
        <v>12873</v>
      </c>
      <c r="E477" s="5"/>
      <c r="F477" s="5" t="s">
        <v>11736</v>
      </c>
      <c r="G477" s="5" t="s">
        <v>170</v>
      </c>
      <c r="H477" s="5" t="s">
        <v>3</v>
      </c>
      <c r="I477" s="5"/>
      <c r="J477" s="5"/>
    </row>
    <row r="478" spans="1:10" x14ac:dyDescent="0.2">
      <c r="A478" s="5" t="s">
        <v>12872</v>
      </c>
      <c r="B478" s="5" t="s">
        <v>83</v>
      </c>
      <c r="C478" s="5"/>
      <c r="D478" s="5" t="s">
        <v>12871</v>
      </c>
      <c r="E478" s="5" t="s">
        <v>93</v>
      </c>
      <c r="F478" s="5" t="s">
        <v>12858</v>
      </c>
      <c r="G478" s="5" t="s">
        <v>207</v>
      </c>
      <c r="H478" s="5" t="s">
        <v>3</v>
      </c>
      <c r="I478" s="5"/>
      <c r="J478" s="5" t="s">
        <v>12870</v>
      </c>
    </row>
    <row r="479" spans="1:10" x14ac:dyDescent="0.2">
      <c r="A479" s="5" t="s">
        <v>12869</v>
      </c>
      <c r="B479" s="5" t="s">
        <v>83</v>
      </c>
      <c r="C479" s="5"/>
      <c r="D479" s="5" t="s">
        <v>12868</v>
      </c>
      <c r="E479" s="5" t="s">
        <v>93</v>
      </c>
      <c r="F479" s="5" t="s">
        <v>12858</v>
      </c>
      <c r="G479" s="5" t="s">
        <v>207</v>
      </c>
      <c r="H479" s="5" t="s">
        <v>3</v>
      </c>
      <c r="I479" s="5"/>
      <c r="J479" s="5" t="s">
        <v>12867</v>
      </c>
    </row>
    <row r="480" spans="1:10" x14ac:dyDescent="0.2">
      <c r="A480" s="5" t="s">
        <v>12866</v>
      </c>
      <c r="B480" s="5" t="s">
        <v>83</v>
      </c>
      <c r="C480" s="5"/>
      <c r="D480" s="5" t="s">
        <v>12865</v>
      </c>
      <c r="E480" s="5" t="s">
        <v>93</v>
      </c>
      <c r="F480" s="5" t="s">
        <v>12858</v>
      </c>
      <c r="G480" s="5" t="s">
        <v>207</v>
      </c>
      <c r="H480" s="5" t="s">
        <v>3</v>
      </c>
      <c r="I480" s="5"/>
      <c r="J480" s="5" t="s">
        <v>12864</v>
      </c>
    </row>
    <row r="481" spans="1:10" x14ac:dyDescent="0.2">
      <c r="A481" s="5" t="s">
        <v>12863</v>
      </c>
      <c r="B481" s="5" t="s">
        <v>83</v>
      </c>
      <c r="C481" s="5"/>
      <c r="D481" s="5" t="s">
        <v>12862</v>
      </c>
      <c r="E481" s="5" t="s">
        <v>93</v>
      </c>
      <c r="F481" s="5" t="s">
        <v>12858</v>
      </c>
      <c r="G481" s="5" t="s">
        <v>207</v>
      </c>
      <c r="H481" s="5" t="s">
        <v>3</v>
      </c>
      <c r="I481" s="5"/>
      <c r="J481" s="5" t="s">
        <v>12861</v>
      </c>
    </row>
    <row r="482" spans="1:10" x14ac:dyDescent="0.2">
      <c r="A482" s="5" t="s">
        <v>12860</v>
      </c>
      <c r="B482" s="5" t="s">
        <v>83</v>
      </c>
      <c r="C482" s="5"/>
      <c r="D482" s="5" t="s">
        <v>12859</v>
      </c>
      <c r="E482" s="5" t="s">
        <v>93</v>
      </c>
      <c r="F482" s="5" t="s">
        <v>12858</v>
      </c>
      <c r="G482" s="5" t="s">
        <v>207</v>
      </c>
      <c r="H482" s="5" t="s">
        <v>3</v>
      </c>
      <c r="I482" s="5"/>
      <c r="J482" s="5" t="s">
        <v>12857</v>
      </c>
    </row>
    <row r="483" spans="1:10" ht="25.5" x14ac:dyDescent="0.2">
      <c r="A483" s="5" t="s">
        <v>9150</v>
      </c>
      <c r="B483" s="5" t="s">
        <v>83</v>
      </c>
      <c r="C483" s="5"/>
      <c r="D483" s="5" t="s">
        <v>10804</v>
      </c>
      <c r="E483" s="5"/>
      <c r="F483" s="5" t="s">
        <v>354</v>
      </c>
      <c r="G483" s="5" t="s">
        <v>173</v>
      </c>
      <c r="H483" s="5" t="s">
        <v>3</v>
      </c>
      <c r="I483" s="5"/>
      <c r="J483" s="5" t="s">
        <v>10539</v>
      </c>
    </row>
    <row r="484" spans="1:10" ht="25.5" x14ac:dyDescent="0.2">
      <c r="A484" s="5" t="s">
        <v>7469</v>
      </c>
      <c r="B484" s="5" t="s">
        <v>83</v>
      </c>
      <c r="C484" s="5"/>
      <c r="D484" s="5" t="s">
        <v>7468</v>
      </c>
      <c r="E484" s="5"/>
      <c r="F484" s="5" t="s">
        <v>12856</v>
      </c>
      <c r="G484" s="5" t="s">
        <v>173</v>
      </c>
      <c r="H484" s="5" t="s">
        <v>3</v>
      </c>
      <c r="I484" s="5"/>
      <c r="J484" s="5" t="s">
        <v>7466</v>
      </c>
    </row>
    <row r="485" spans="1:10" x14ac:dyDescent="0.2">
      <c r="A485" s="5" t="s">
        <v>12855</v>
      </c>
      <c r="B485" s="5" t="s">
        <v>83</v>
      </c>
      <c r="C485" s="5"/>
      <c r="D485" s="5" t="s">
        <v>12854</v>
      </c>
      <c r="E485" s="5"/>
      <c r="F485" s="5" t="s">
        <v>12853</v>
      </c>
      <c r="G485" s="5" t="s">
        <v>173</v>
      </c>
      <c r="H485" s="5" t="s">
        <v>3</v>
      </c>
      <c r="I485" s="5"/>
      <c r="J485" s="5"/>
    </row>
    <row r="486" spans="1:10" x14ac:dyDescent="0.2">
      <c r="A486" s="5" t="s">
        <v>12852</v>
      </c>
      <c r="B486" s="5" t="s">
        <v>83</v>
      </c>
      <c r="C486" s="5"/>
      <c r="D486" s="5" t="s">
        <v>12851</v>
      </c>
      <c r="E486" s="5"/>
      <c r="F486" s="5" t="s">
        <v>12850</v>
      </c>
      <c r="G486" s="5" t="s">
        <v>328</v>
      </c>
      <c r="H486" s="5" t="s">
        <v>3</v>
      </c>
      <c r="I486" s="5"/>
      <c r="J486" s="5" t="s">
        <v>12849</v>
      </c>
    </row>
    <row r="487" spans="1:10" ht="25.5" x14ac:dyDescent="0.2">
      <c r="A487" s="5" t="s">
        <v>7465</v>
      </c>
      <c r="B487" s="5" t="s">
        <v>83</v>
      </c>
      <c r="C487" s="5"/>
      <c r="D487" s="5" t="s">
        <v>12847</v>
      </c>
      <c r="E487" s="5"/>
      <c r="F487" s="5" t="s">
        <v>7463</v>
      </c>
      <c r="G487" s="5" t="s">
        <v>234</v>
      </c>
      <c r="H487" s="5" t="s">
        <v>3</v>
      </c>
      <c r="I487" s="5"/>
      <c r="J487" s="5" t="s">
        <v>12846</v>
      </c>
    </row>
    <row r="488" spans="1:10" ht="25.5" x14ac:dyDescent="0.2">
      <c r="A488" s="5" t="s">
        <v>12848</v>
      </c>
      <c r="B488" s="5" t="s">
        <v>83</v>
      </c>
      <c r="C488" s="5"/>
      <c r="D488" s="5" t="s">
        <v>12847</v>
      </c>
      <c r="E488" s="5"/>
      <c r="F488" s="5" t="s">
        <v>12291</v>
      </c>
      <c r="G488" s="5" t="s">
        <v>224</v>
      </c>
      <c r="H488" s="5" t="s">
        <v>3</v>
      </c>
      <c r="I488" s="5"/>
      <c r="J488" s="5" t="s">
        <v>12846</v>
      </c>
    </row>
    <row r="489" spans="1:10" ht="25.5" x14ac:dyDescent="0.2">
      <c r="A489" s="5" t="s">
        <v>11329</v>
      </c>
      <c r="B489" s="5" t="s">
        <v>83</v>
      </c>
      <c r="C489" s="5"/>
      <c r="D489" s="5" t="s">
        <v>12845</v>
      </c>
      <c r="E489" s="5" t="s">
        <v>93</v>
      </c>
      <c r="F489" s="5" t="s">
        <v>11328</v>
      </c>
      <c r="G489" s="5" t="s">
        <v>382</v>
      </c>
      <c r="H489" s="5" t="s">
        <v>3</v>
      </c>
      <c r="I489" s="5"/>
      <c r="J489" s="5" t="s">
        <v>12844</v>
      </c>
    </row>
    <row r="490" spans="1:10" x14ac:dyDescent="0.2">
      <c r="A490" s="5" t="s">
        <v>12843</v>
      </c>
      <c r="B490" s="5" t="s">
        <v>83</v>
      </c>
      <c r="C490" s="5"/>
      <c r="D490" s="5" t="s">
        <v>12842</v>
      </c>
      <c r="E490" s="5" t="s">
        <v>213</v>
      </c>
      <c r="F490" s="5" t="s">
        <v>12841</v>
      </c>
      <c r="G490" s="5" t="s">
        <v>91</v>
      </c>
      <c r="H490" s="5" t="s">
        <v>3</v>
      </c>
      <c r="I490" s="5"/>
      <c r="J490" s="5" t="s">
        <v>12840</v>
      </c>
    </row>
    <row r="491" spans="1:10" x14ac:dyDescent="0.2">
      <c r="A491" s="5" t="s">
        <v>12839</v>
      </c>
      <c r="B491" s="5" t="s">
        <v>83</v>
      </c>
      <c r="C491" s="5"/>
      <c r="D491" s="5" t="s">
        <v>12838</v>
      </c>
      <c r="E491" s="5" t="s">
        <v>93</v>
      </c>
      <c r="F491" s="5" t="s">
        <v>7853</v>
      </c>
      <c r="G491" s="5" t="s">
        <v>207</v>
      </c>
      <c r="H491" s="5" t="s">
        <v>3</v>
      </c>
      <c r="I491" s="5"/>
      <c r="J491" s="5"/>
    </row>
    <row r="492" spans="1:10" ht="25.5" x14ac:dyDescent="0.2">
      <c r="A492" s="5" t="s">
        <v>12837</v>
      </c>
      <c r="B492" s="5" t="s">
        <v>83</v>
      </c>
      <c r="C492" s="5"/>
      <c r="D492" s="5" t="s">
        <v>12836</v>
      </c>
      <c r="E492" s="5" t="s">
        <v>368</v>
      </c>
      <c r="F492" s="5" t="s">
        <v>12835</v>
      </c>
      <c r="G492" s="5" t="s">
        <v>195</v>
      </c>
      <c r="H492" s="5" t="s">
        <v>3</v>
      </c>
      <c r="I492" s="5"/>
      <c r="J492" s="5" t="s">
        <v>12834</v>
      </c>
    </row>
    <row r="493" spans="1:10" x14ac:dyDescent="0.2">
      <c r="A493" s="5" t="s">
        <v>12833</v>
      </c>
      <c r="B493" s="5" t="s">
        <v>83</v>
      </c>
      <c r="C493" s="5"/>
      <c r="D493" s="5" t="s">
        <v>12829</v>
      </c>
      <c r="E493" s="5"/>
      <c r="F493" s="5" t="s">
        <v>12832</v>
      </c>
      <c r="G493" s="5" t="s">
        <v>105</v>
      </c>
      <c r="H493" s="5" t="s">
        <v>3</v>
      </c>
      <c r="I493" s="5"/>
      <c r="J493" s="5" t="s">
        <v>12831</v>
      </c>
    </row>
    <row r="494" spans="1:10" x14ac:dyDescent="0.2">
      <c r="A494" s="5" t="s">
        <v>12830</v>
      </c>
      <c r="B494" s="5" t="s">
        <v>83</v>
      </c>
      <c r="C494" s="5"/>
      <c r="D494" s="5" t="s">
        <v>12829</v>
      </c>
      <c r="E494" s="5"/>
      <c r="F494" s="5" t="s">
        <v>12828</v>
      </c>
      <c r="G494" s="5" t="s">
        <v>105</v>
      </c>
      <c r="H494" s="5" t="s">
        <v>3</v>
      </c>
      <c r="I494" s="5"/>
      <c r="J494" s="5"/>
    </row>
    <row r="495" spans="1:10" ht="25.5" x14ac:dyDescent="0.2">
      <c r="A495" s="5" t="s">
        <v>12827</v>
      </c>
      <c r="B495" s="5" t="s">
        <v>83</v>
      </c>
      <c r="C495" s="5"/>
      <c r="D495" s="5" t="s">
        <v>12826</v>
      </c>
      <c r="E495" s="5" t="s">
        <v>368</v>
      </c>
      <c r="F495" s="5" t="s">
        <v>12822</v>
      </c>
      <c r="G495" s="5" t="s">
        <v>195</v>
      </c>
      <c r="H495" s="5" t="s">
        <v>3</v>
      </c>
      <c r="I495" s="5"/>
      <c r="J495" s="5" t="s">
        <v>12825</v>
      </c>
    </row>
    <row r="496" spans="1:10" ht="25.5" x14ac:dyDescent="0.2">
      <c r="A496" s="5" t="s">
        <v>12824</v>
      </c>
      <c r="B496" s="5" t="s">
        <v>83</v>
      </c>
      <c r="C496" s="5"/>
      <c r="D496" s="5" t="s">
        <v>12823</v>
      </c>
      <c r="E496" s="5"/>
      <c r="F496" s="5" t="s">
        <v>12822</v>
      </c>
      <c r="G496" s="5" t="s">
        <v>12821</v>
      </c>
      <c r="H496" s="5" t="s">
        <v>3</v>
      </c>
      <c r="I496" s="5"/>
      <c r="J496" s="5" t="s">
        <v>12820</v>
      </c>
    </row>
    <row r="497" spans="1:10" x14ac:dyDescent="0.2">
      <c r="A497" s="5" t="s">
        <v>12819</v>
      </c>
      <c r="B497" s="5" t="s">
        <v>83</v>
      </c>
      <c r="C497" s="5"/>
      <c r="D497" s="5" t="s">
        <v>12818</v>
      </c>
      <c r="E497" s="5" t="s">
        <v>93</v>
      </c>
      <c r="F497" s="5" t="s">
        <v>12817</v>
      </c>
      <c r="G497" s="5" t="s">
        <v>207</v>
      </c>
      <c r="H497" s="5" t="s">
        <v>3</v>
      </c>
      <c r="I497" s="5"/>
      <c r="J497" s="5" t="s">
        <v>12816</v>
      </c>
    </row>
    <row r="498" spans="1:10" x14ac:dyDescent="0.2">
      <c r="A498" s="5" t="s">
        <v>7340</v>
      </c>
      <c r="B498" s="5" t="s">
        <v>83</v>
      </c>
      <c r="C498" s="5"/>
      <c r="D498" s="5" t="s">
        <v>10225</v>
      </c>
      <c r="E498" s="5"/>
      <c r="F498" s="5"/>
      <c r="G498" s="5" t="s">
        <v>118</v>
      </c>
      <c r="H498" s="5" t="s">
        <v>3</v>
      </c>
      <c r="I498" s="5"/>
      <c r="J498" s="5" t="s">
        <v>10222</v>
      </c>
    </row>
    <row r="499" spans="1:10" x14ac:dyDescent="0.2">
      <c r="A499" s="5" t="s">
        <v>12815</v>
      </c>
      <c r="B499" s="5" t="s">
        <v>83</v>
      </c>
      <c r="C499" s="5"/>
      <c r="D499" s="5" t="s">
        <v>12814</v>
      </c>
      <c r="E499" s="5"/>
      <c r="F499" s="5" t="s">
        <v>10222</v>
      </c>
      <c r="G499" s="5" t="s">
        <v>3059</v>
      </c>
      <c r="H499" s="5" t="s">
        <v>3</v>
      </c>
      <c r="I499" s="5"/>
      <c r="J499" s="5"/>
    </row>
    <row r="500" spans="1:10" x14ac:dyDescent="0.2">
      <c r="A500" s="5" t="s">
        <v>10224</v>
      </c>
      <c r="B500" s="5" t="s">
        <v>83</v>
      </c>
      <c r="C500" s="5"/>
      <c r="D500" s="5" t="s">
        <v>10223</v>
      </c>
      <c r="E500" s="5"/>
      <c r="F500" s="5" t="s">
        <v>10222</v>
      </c>
      <c r="G500" s="5" t="s">
        <v>224</v>
      </c>
      <c r="H500" s="5" t="s">
        <v>3</v>
      </c>
      <c r="I500" s="5"/>
      <c r="J500" s="5"/>
    </row>
    <row r="501" spans="1:10" ht="25.5" x14ac:dyDescent="0.2">
      <c r="A501" s="5" t="s">
        <v>12813</v>
      </c>
      <c r="B501" s="5" t="s">
        <v>83</v>
      </c>
      <c r="C501" s="5"/>
      <c r="D501" s="5" t="s">
        <v>12812</v>
      </c>
      <c r="E501" s="5"/>
      <c r="F501" s="5" t="s">
        <v>9437</v>
      </c>
      <c r="G501" s="5" t="s">
        <v>173</v>
      </c>
      <c r="H501" s="5" t="s">
        <v>3</v>
      </c>
      <c r="I501" s="5"/>
      <c r="J501" s="5" t="s">
        <v>12811</v>
      </c>
    </row>
    <row r="502" spans="1:10" x14ac:dyDescent="0.2">
      <c r="A502" s="5" t="s">
        <v>10769</v>
      </c>
      <c r="B502" s="5" t="s">
        <v>83</v>
      </c>
      <c r="C502" s="5"/>
      <c r="D502" s="5" t="s">
        <v>10768</v>
      </c>
      <c r="E502" s="5"/>
      <c r="F502" s="5" t="s">
        <v>10767</v>
      </c>
      <c r="G502" s="5" t="s">
        <v>105</v>
      </c>
      <c r="H502" s="5" t="s">
        <v>3</v>
      </c>
      <c r="I502" s="5"/>
      <c r="J502" s="5" t="s">
        <v>10766</v>
      </c>
    </row>
    <row r="503" spans="1:10" x14ac:dyDescent="0.2">
      <c r="A503" s="5" t="s">
        <v>12810</v>
      </c>
      <c r="B503" s="5" t="s">
        <v>83</v>
      </c>
      <c r="C503" s="5"/>
      <c r="D503" s="5" t="s">
        <v>12809</v>
      </c>
      <c r="E503" s="5"/>
      <c r="F503" s="5" t="s">
        <v>12808</v>
      </c>
      <c r="G503" s="5" t="s">
        <v>170</v>
      </c>
      <c r="H503" s="5" t="s">
        <v>3</v>
      </c>
      <c r="I503" s="5"/>
      <c r="J503" s="5" t="s">
        <v>12807</v>
      </c>
    </row>
    <row r="504" spans="1:10" ht="25.5" x14ac:dyDescent="0.2">
      <c r="A504" s="5" t="s">
        <v>12027</v>
      </c>
      <c r="B504" s="5" t="s">
        <v>83</v>
      </c>
      <c r="C504" s="5"/>
      <c r="D504" s="5" t="s">
        <v>12806</v>
      </c>
      <c r="E504" s="5"/>
      <c r="F504" s="5" t="s">
        <v>12026</v>
      </c>
      <c r="G504" s="5" t="s">
        <v>105</v>
      </c>
      <c r="H504" s="5" t="s">
        <v>3</v>
      </c>
      <c r="I504" s="5"/>
      <c r="J504" s="5" t="s">
        <v>12025</v>
      </c>
    </row>
    <row r="505" spans="1:10" x14ac:dyDescent="0.2">
      <c r="A505" s="5" t="s">
        <v>12805</v>
      </c>
      <c r="B505" s="5" t="s">
        <v>83</v>
      </c>
      <c r="C505" s="5"/>
      <c r="D505" s="5" t="s">
        <v>12804</v>
      </c>
      <c r="E505" s="5" t="s">
        <v>93</v>
      </c>
      <c r="F505" s="5" t="s">
        <v>12803</v>
      </c>
      <c r="G505" s="5" t="s">
        <v>195</v>
      </c>
      <c r="H505" s="5" t="s">
        <v>3</v>
      </c>
      <c r="I505" s="5"/>
      <c r="J505" s="5" t="s">
        <v>12802</v>
      </c>
    </row>
    <row r="506" spans="1:10" ht="25.5" x14ac:dyDescent="0.2">
      <c r="A506" s="5" t="s">
        <v>12801</v>
      </c>
      <c r="B506" s="5" t="s">
        <v>83</v>
      </c>
      <c r="C506" s="5"/>
      <c r="D506" s="5" t="s">
        <v>12800</v>
      </c>
      <c r="E506" s="5"/>
      <c r="F506" s="5" t="s">
        <v>12799</v>
      </c>
      <c r="G506" s="5" t="s">
        <v>393</v>
      </c>
      <c r="H506" s="5" t="s">
        <v>3</v>
      </c>
      <c r="I506" s="5"/>
      <c r="J506" s="5" t="s">
        <v>12799</v>
      </c>
    </row>
    <row r="507" spans="1:10" x14ac:dyDescent="0.2">
      <c r="A507" s="5" t="s">
        <v>10760</v>
      </c>
      <c r="B507" s="5" t="s">
        <v>83</v>
      </c>
      <c r="C507" s="5"/>
      <c r="D507" s="5" t="s">
        <v>12798</v>
      </c>
      <c r="E507" s="5"/>
      <c r="F507" s="5" t="s">
        <v>10758</v>
      </c>
      <c r="G507" s="5" t="s">
        <v>118</v>
      </c>
      <c r="H507" s="5" t="s">
        <v>3</v>
      </c>
      <c r="I507" s="5"/>
      <c r="J507" s="5" t="s">
        <v>10757</v>
      </c>
    </row>
    <row r="508" spans="1:10" x14ac:dyDescent="0.2">
      <c r="A508" s="5" t="s">
        <v>12282</v>
      </c>
      <c r="B508" s="5" t="s">
        <v>83</v>
      </c>
      <c r="C508" s="5"/>
      <c r="D508" s="5" t="s">
        <v>12797</v>
      </c>
      <c r="E508" s="5"/>
      <c r="F508" s="5" t="s">
        <v>12282</v>
      </c>
      <c r="G508" s="5" t="s">
        <v>122</v>
      </c>
      <c r="H508" s="5" t="s">
        <v>3</v>
      </c>
      <c r="I508" s="5"/>
      <c r="J508" s="5" t="s">
        <v>12796</v>
      </c>
    </row>
    <row r="509" spans="1:10" ht="25.5" x14ac:dyDescent="0.2">
      <c r="A509" s="5" t="s">
        <v>11705</v>
      </c>
      <c r="B509" s="5" t="s">
        <v>83</v>
      </c>
      <c r="C509" s="5"/>
      <c r="D509" s="5" t="s">
        <v>12795</v>
      </c>
      <c r="E509" s="5"/>
      <c r="F509" s="5" t="s">
        <v>11703</v>
      </c>
      <c r="G509" s="5" t="s">
        <v>105</v>
      </c>
      <c r="H509" s="5" t="s">
        <v>3</v>
      </c>
      <c r="I509" s="5"/>
      <c r="J509" s="5" t="s">
        <v>12794</v>
      </c>
    </row>
    <row r="510" spans="1:10" x14ac:dyDescent="0.2">
      <c r="A510" s="5" t="s">
        <v>12793</v>
      </c>
      <c r="B510" s="5" t="s">
        <v>83</v>
      </c>
      <c r="C510" s="5"/>
      <c r="D510" s="5" t="s">
        <v>12792</v>
      </c>
      <c r="E510" s="5"/>
      <c r="F510" s="5" t="s">
        <v>12791</v>
      </c>
      <c r="G510" s="5" t="s">
        <v>114</v>
      </c>
      <c r="H510" s="5" t="s">
        <v>3</v>
      </c>
      <c r="I510" s="5"/>
      <c r="J510" s="5"/>
    </row>
    <row r="511" spans="1:10" x14ac:dyDescent="0.2">
      <c r="A511" s="5" t="s">
        <v>12790</v>
      </c>
      <c r="B511" s="5" t="s">
        <v>83</v>
      </c>
      <c r="C511" s="5"/>
      <c r="D511" s="5" t="s">
        <v>12789</v>
      </c>
      <c r="E511" s="5"/>
      <c r="F511" s="5" t="s">
        <v>12788</v>
      </c>
      <c r="G511" s="5" t="s">
        <v>393</v>
      </c>
      <c r="H511" s="5" t="s">
        <v>3</v>
      </c>
      <c r="I511" s="5"/>
      <c r="J511" s="5" t="s">
        <v>12787</v>
      </c>
    </row>
    <row r="512" spans="1:10" ht="25.5" x14ac:dyDescent="0.2">
      <c r="A512" s="5" t="s">
        <v>12786</v>
      </c>
      <c r="B512" s="5" t="s">
        <v>83</v>
      </c>
      <c r="C512" s="5"/>
      <c r="D512" s="5" t="s">
        <v>12785</v>
      </c>
      <c r="E512" s="5"/>
      <c r="F512" s="5" t="s">
        <v>12784</v>
      </c>
      <c r="G512" s="5" t="s">
        <v>105</v>
      </c>
      <c r="H512" s="5" t="s">
        <v>3</v>
      </c>
      <c r="I512" s="5"/>
      <c r="J512" s="5" t="s">
        <v>12783</v>
      </c>
    </row>
    <row r="513" spans="1:10" ht="25.5" x14ac:dyDescent="0.2">
      <c r="A513" s="5" t="s">
        <v>12782</v>
      </c>
      <c r="B513" s="5" t="s">
        <v>83</v>
      </c>
      <c r="C513" s="5"/>
      <c r="D513" s="5" t="s">
        <v>12781</v>
      </c>
      <c r="E513" s="5" t="s">
        <v>368</v>
      </c>
      <c r="F513" s="5" t="s">
        <v>12780</v>
      </c>
      <c r="G513" s="5" t="s">
        <v>195</v>
      </c>
      <c r="H513" s="5" t="s">
        <v>3</v>
      </c>
      <c r="I513" s="5"/>
      <c r="J513" s="5" t="s">
        <v>12779</v>
      </c>
    </row>
    <row r="514" spans="1:10" ht="25.5" x14ac:dyDescent="0.2">
      <c r="A514" s="5" t="s">
        <v>12778</v>
      </c>
      <c r="B514" s="5" t="s">
        <v>83</v>
      </c>
      <c r="C514" s="5"/>
      <c r="D514" s="5" t="s">
        <v>12777</v>
      </c>
      <c r="E514" s="5" t="s">
        <v>368</v>
      </c>
      <c r="F514" s="5" t="s">
        <v>12776</v>
      </c>
      <c r="G514" s="5" t="s">
        <v>195</v>
      </c>
      <c r="H514" s="5" t="s">
        <v>3</v>
      </c>
      <c r="I514" s="5"/>
      <c r="J514" s="5" t="s">
        <v>12775</v>
      </c>
    </row>
    <row r="515" spans="1:10" ht="25.5" x14ac:dyDescent="0.2">
      <c r="A515" s="5" t="s">
        <v>12774</v>
      </c>
      <c r="B515" s="5" t="s">
        <v>83</v>
      </c>
      <c r="C515" s="5"/>
      <c r="D515" s="5" t="s">
        <v>12773</v>
      </c>
      <c r="E515" s="5" t="s">
        <v>93</v>
      </c>
      <c r="F515" s="5" t="s">
        <v>12772</v>
      </c>
      <c r="G515" s="5" t="s">
        <v>382</v>
      </c>
      <c r="H515" s="5" t="s">
        <v>3</v>
      </c>
      <c r="I515" s="5"/>
      <c r="J515" s="5" t="s">
        <v>12771</v>
      </c>
    </row>
    <row r="516" spans="1:10" x14ac:dyDescent="0.2">
      <c r="A516" s="5" t="s">
        <v>12770</v>
      </c>
      <c r="B516" s="5" t="s">
        <v>83</v>
      </c>
      <c r="C516" s="5"/>
      <c r="D516" s="5" t="s">
        <v>12769</v>
      </c>
      <c r="E516" s="5" t="s">
        <v>368</v>
      </c>
      <c r="F516" s="5" t="s">
        <v>10740</v>
      </c>
      <c r="G516" s="5" t="s">
        <v>195</v>
      </c>
      <c r="H516" s="5" t="s">
        <v>3</v>
      </c>
      <c r="I516" s="5"/>
      <c r="J516" s="5" t="s">
        <v>12768</v>
      </c>
    </row>
    <row r="517" spans="1:10" x14ac:dyDescent="0.2">
      <c r="A517" s="5" t="s">
        <v>12767</v>
      </c>
      <c r="B517" s="5" t="s">
        <v>83</v>
      </c>
      <c r="C517" s="5"/>
      <c r="D517" s="5" t="s">
        <v>12766</v>
      </c>
      <c r="E517" s="5"/>
      <c r="F517" s="5" t="s">
        <v>12765</v>
      </c>
      <c r="G517" s="5" t="s">
        <v>393</v>
      </c>
      <c r="H517" s="5" t="s">
        <v>3</v>
      </c>
      <c r="I517" s="5"/>
      <c r="J517" s="5" t="s">
        <v>12765</v>
      </c>
    </row>
    <row r="518" spans="1:10" ht="25.5" x14ac:dyDescent="0.2">
      <c r="A518" s="5" t="s">
        <v>12764</v>
      </c>
      <c r="B518" s="5" t="s">
        <v>83</v>
      </c>
      <c r="C518" s="5"/>
      <c r="D518" s="5" t="s">
        <v>12763</v>
      </c>
      <c r="E518" s="5" t="s">
        <v>93</v>
      </c>
      <c r="F518" s="5" t="s">
        <v>12762</v>
      </c>
      <c r="G518" s="5" t="s">
        <v>207</v>
      </c>
      <c r="H518" s="5" t="s">
        <v>3</v>
      </c>
      <c r="I518" s="5"/>
      <c r="J518" s="5" t="s">
        <v>12761</v>
      </c>
    </row>
    <row r="519" spans="1:10" x14ac:dyDescent="0.2">
      <c r="A519" s="5" t="s">
        <v>12760</v>
      </c>
      <c r="B519" s="5" t="s">
        <v>83</v>
      </c>
      <c r="C519" s="5"/>
      <c r="D519" s="5" t="s">
        <v>12759</v>
      </c>
      <c r="E519" s="5"/>
      <c r="F519" s="5" t="s">
        <v>12758</v>
      </c>
      <c r="G519" s="5" t="s">
        <v>207</v>
      </c>
      <c r="H519" s="5" t="s">
        <v>3</v>
      </c>
      <c r="I519" s="5"/>
      <c r="J519" s="5" t="s">
        <v>12757</v>
      </c>
    </row>
    <row r="520" spans="1:10" x14ac:dyDescent="0.2">
      <c r="A520" s="5" t="s">
        <v>12756</v>
      </c>
      <c r="B520" s="5" t="s">
        <v>83</v>
      </c>
      <c r="C520" s="5"/>
      <c r="D520" s="5" t="s">
        <v>12755</v>
      </c>
      <c r="E520" s="5"/>
      <c r="F520" s="5" t="s">
        <v>12743</v>
      </c>
      <c r="G520" s="5" t="s">
        <v>207</v>
      </c>
      <c r="H520" s="5" t="s">
        <v>3</v>
      </c>
      <c r="I520" s="5"/>
      <c r="J520" s="5" t="s">
        <v>12754</v>
      </c>
    </row>
    <row r="521" spans="1:10" x14ac:dyDescent="0.2">
      <c r="A521" s="5" t="s">
        <v>12753</v>
      </c>
      <c r="B521" s="5" t="s">
        <v>83</v>
      </c>
      <c r="C521" s="5"/>
      <c r="D521" s="5" t="s">
        <v>12752</v>
      </c>
      <c r="E521" s="5" t="s">
        <v>288</v>
      </c>
      <c r="F521" s="5" t="s">
        <v>12743</v>
      </c>
      <c r="G521" s="5" t="s">
        <v>91</v>
      </c>
      <c r="H521" s="5" t="s">
        <v>3</v>
      </c>
      <c r="I521" s="5"/>
      <c r="J521" s="5" t="s">
        <v>12751</v>
      </c>
    </row>
    <row r="522" spans="1:10" ht="25.5" x14ac:dyDescent="0.2">
      <c r="A522" s="5" t="s">
        <v>12750</v>
      </c>
      <c r="B522" s="5" t="s">
        <v>83</v>
      </c>
      <c r="C522" s="5"/>
      <c r="D522" s="5" t="s">
        <v>12747</v>
      </c>
      <c r="E522" s="5"/>
      <c r="F522" s="5" t="s">
        <v>12743</v>
      </c>
      <c r="G522" s="5" t="s">
        <v>207</v>
      </c>
      <c r="H522" s="5" t="s">
        <v>3</v>
      </c>
      <c r="I522" s="5"/>
      <c r="J522" s="5" t="s">
        <v>12749</v>
      </c>
    </row>
    <row r="523" spans="1:10" ht="25.5" x14ac:dyDescent="0.2">
      <c r="A523" s="5" t="s">
        <v>12748</v>
      </c>
      <c r="B523" s="5" t="s">
        <v>83</v>
      </c>
      <c r="C523" s="5"/>
      <c r="D523" s="5" t="s">
        <v>12747</v>
      </c>
      <c r="E523" s="5" t="s">
        <v>288</v>
      </c>
      <c r="F523" s="5" t="s">
        <v>12743</v>
      </c>
      <c r="G523" s="5" t="s">
        <v>91</v>
      </c>
      <c r="H523" s="5" t="s">
        <v>3</v>
      </c>
      <c r="I523" s="5"/>
      <c r="J523" s="5" t="s">
        <v>12746</v>
      </c>
    </row>
    <row r="524" spans="1:10" x14ac:dyDescent="0.2">
      <c r="A524" s="5" t="s">
        <v>12745</v>
      </c>
      <c r="B524" s="5" t="s">
        <v>83</v>
      </c>
      <c r="C524" s="5"/>
      <c r="D524" s="5" t="s">
        <v>12744</v>
      </c>
      <c r="E524" s="5"/>
      <c r="F524" s="5" t="s">
        <v>12743</v>
      </c>
      <c r="G524" s="5" t="s">
        <v>328</v>
      </c>
      <c r="H524" s="5" t="s">
        <v>3</v>
      </c>
      <c r="I524" s="5"/>
      <c r="J524" s="5"/>
    </row>
    <row r="525" spans="1:10" x14ac:dyDescent="0.2">
      <c r="A525" s="5" t="s">
        <v>12742</v>
      </c>
      <c r="B525" s="5" t="s">
        <v>83</v>
      </c>
      <c r="C525" s="5"/>
      <c r="D525" s="5" t="s">
        <v>12741</v>
      </c>
      <c r="E525" s="5" t="s">
        <v>93</v>
      </c>
      <c r="F525" s="5" t="s">
        <v>12740</v>
      </c>
      <c r="G525" s="5" t="s">
        <v>148</v>
      </c>
      <c r="H525" s="5" t="s">
        <v>3</v>
      </c>
      <c r="I525" s="5"/>
      <c r="J525" s="5" t="s">
        <v>12739</v>
      </c>
    </row>
    <row r="526" spans="1:10" x14ac:dyDescent="0.2">
      <c r="A526" s="5" t="s">
        <v>10717</v>
      </c>
      <c r="B526" s="5" t="s">
        <v>83</v>
      </c>
      <c r="C526" s="5"/>
      <c r="D526" s="5" t="s">
        <v>12738</v>
      </c>
      <c r="E526" s="5" t="s">
        <v>93</v>
      </c>
      <c r="F526" s="5" t="s">
        <v>10615</v>
      </c>
      <c r="G526" s="5" t="s">
        <v>91</v>
      </c>
      <c r="H526" s="5" t="s">
        <v>3</v>
      </c>
      <c r="I526" s="5"/>
      <c r="J526" s="5" t="s">
        <v>10715</v>
      </c>
    </row>
    <row r="527" spans="1:10" x14ac:dyDescent="0.2">
      <c r="A527" s="5" t="s">
        <v>9761</v>
      </c>
      <c r="B527" s="5" t="s">
        <v>83</v>
      </c>
      <c r="C527" s="5"/>
      <c r="D527" s="5" t="s">
        <v>12737</v>
      </c>
      <c r="E527" s="5" t="s">
        <v>368</v>
      </c>
      <c r="F527" s="5" t="s">
        <v>9761</v>
      </c>
      <c r="G527" s="5" t="s">
        <v>195</v>
      </c>
      <c r="H527" s="5" t="s">
        <v>3</v>
      </c>
      <c r="I527" s="5"/>
      <c r="J527" s="5" t="s">
        <v>12736</v>
      </c>
    </row>
    <row r="528" spans="1:10" ht="25.5" x14ac:dyDescent="0.2">
      <c r="A528" s="5" t="s">
        <v>12735</v>
      </c>
      <c r="B528" s="5" t="s">
        <v>83</v>
      </c>
      <c r="C528" s="5"/>
      <c r="D528" s="5" t="s">
        <v>12734</v>
      </c>
      <c r="E528" s="5"/>
      <c r="F528" s="5" t="s">
        <v>11402</v>
      </c>
      <c r="G528" s="5" t="s">
        <v>114</v>
      </c>
      <c r="H528" s="5" t="s">
        <v>3</v>
      </c>
      <c r="I528" s="5"/>
      <c r="J528" s="5" t="s">
        <v>12733</v>
      </c>
    </row>
    <row r="529" spans="1:10" ht="25.5" x14ac:dyDescent="0.2">
      <c r="A529" s="5" t="s">
        <v>12732</v>
      </c>
      <c r="B529" s="5" t="s">
        <v>83</v>
      </c>
      <c r="C529" s="5"/>
      <c r="D529" s="5" t="s">
        <v>12731</v>
      </c>
      <c r="E529" s="5"/>
      <c r="F529" s="5" t="s">
        <v>12730</v>
      </c>
      <c r="G529" s="5" t="s">
        <v>114</v>
      </c>
      <c r="H529" s="5" t="s">
        <v>3</v>
      </c>
      <c r="I529" s="5"/>
      <c r="J529" s="5" t="s">
        <v>12729</v>
      </c>
    </row>
    <row r="530" spans="1:10" x14ac:dyDescent="0.2">
      <c r="A530" s="5" t="s">
        <v>12728</v>
      </c>
      <c r="B530" s="5" t="s">
        <v>83</v>
      </c>
      <c r="C530" s="5"/>
      <c r="D530" s="5" t="s">
        <v>12727</v>
      </c>
      <c r="E530" s="5" t="s">
        <v>368</v>
      </c>
      <c r="F530" s="5" t="s">
        <v>12726</v>
      </c>
      <c r="G530" s="5" t="s">
        <v>195</v>
      </c>
      <c r="H530" s="5" t="s">
        <v>3</v>
      </c>
      <c r="I530" s="5"/>
      <c r="J530" s="5" t="s">
        <v>12725</v>
      </c>
    </row>
    <row r="531" spans="1:10" ht="25.5" x14ac:dyDescent="0.2">
      <c r="A531" s="5" t="s">
        <v>12724</v>
      </c>
      <c r="B531" s="5" t="s">
        <v>83</v>
      </c>
      <c r="C531" s="5"/>
      <c r="D531" s="5" t="s">
        <v>12723</v>
      </c>
      <c r="E531" s="5"/>
      <c r="F531" s="5" t="s">
        <v>12722</v>
      </c>
      <c r="G531" s="5" t="s">
        <v>114</v>
      </c>
      <c r="H531" s="5" t="s">
        <v>3</v>
      </c>
      <c r="I531" s="5"/>
      <c r="J531" s="5" t="s">
        <v>12721</v>
      </c>
    </row>
    <row r="532" spans="1:10" ht="25.5" x14ac:dyDescent="0.2">
      <c r="A532" s="5" t="s">
        <v>12720</v>
      </c>
      <c r="B532" s="5" t="s">
        <v>83</v>
      </c>
      <c r="C532" s="5"/>
      <c r="D532" s="5" t="s">
        <v>12719</v>
      </c>
      <c r="E532" s="5"/>
      <c r="F532" s="5" t="s">
        <v>12718</v>
      </c>
      <c r="G532" s="5" t="s">
        <v>105</v>
      </c>
      <c r="H532" s="5" t="s">
        <v>3</v>
      </c>
      <c r="I532" s="5"/>
      <c r="J532" s="5" t="s">
        <v>12717</v>
      </c>
    </row>
    <row r="533" spans="1:10" x14ac:dyDescent="0.2">
      <c r="A533" s="5" t="s">
        <v>11701</v>
      </c>
      <c r="B533" s="5" t="s">
        <v>83</v>
      </c>
      <c r="C533" s="5"/>
      <c r="D533" s="5" t="s">
        <v>12716</v>
      </c>
      <c r="E533" s="5"/>
      <c r="F533" s="5" t="s">
        <v>11699</v>
      </c>
      <c r="G533" s="5" t="s">
        <v>114</v>
      </c>
      <c r="H533" s="5" t="s">
        <v>3</v>
      </c>
      <c r="I533" s="5"/>
      <c r="J533" s="5" t="s">
        <v>12715</v>
      </c>
    </row>
    <row r="534" spans="1:10" ht="25.5" x14ac:dyDescent="0.2">
      <c r="A534" s="5" t="s">
        <v>11326</v>
      </c>
      <c r="B534" s="5" t="s">
        <v>83</v>
      </c>
      <c r="C534" s="5"/>
      <c r="D534" s="5" t="s">
        <v>12714</v>
      </c>
      <c r="E534" s="5" t="s">
        <v>93</v>
      </c>
      <c r="F534" s="5" t="s">
        <v>11325</v>
      </c>
      <c r="G534" s="5" t="s">
        <v>382</v>
      </c>
      <c r="H534" s="5" t="s">
        <v>3</v>
      </c>
      <c r="I534" s="5"/>
      <c r="J534" s="5" t="s">
        <v>12713</v>
      </c>
    </row>
    <row r="535" spans="1:10" ht="25.5" x14ac:dyDescent="0.2">
      <c r="A535" s="5" t="s">
        <v>12712</v>
      </c>
      <c r="B535" s="5" t="s">
        <v>83</v>
      </c>
      <c r="C535" s="5"/>
      <c r="D535" s="5" t="s">
        <v>12711</v>
      </c>
      <c r="E535" s="5" t="s">
        <v>93</v>
      </c>
      <c r="F535" s="5" t="s">
        <v>12710</v>
      </c>
      <c r="G535" s="5" t="s">
        <v>195</v>
      </c>
      <c r="H535" s="5" t="s">
        <v>3</v>
      </c>
      <c r="I535" s="5"/>
      <c r="J535" s="5" t="s">
        <v>12709</v>
      </c>
    </row>
    <row r="536" spans="1:10" ht="25.5" x14ac:dyDescent="0.2">
      <c r="A536" s="5" t="s">
        <v>12708</v>
      </c>
      <c r="B536" s="5" t="s">
        <v>83</v>
      </c>
      <c r="C536" s="5"/>
      <c r="D536" s="5" t="s">
        <v>12707</v>
      </c>
      <c r="E536" s="5"/>
      <c r="F536" s="5" t="s">
        <v>12706</v>
      </c>
      <c r="G536" s="5" t="s">
        <v>118</v>
      </c>
      <c r="H536" s="5" t="s">
        <v>3</v>
      </c>
      <c r="I536" s="5"/>
      <c r="J536" s="5" t="s">
        <v>12705</v>
      </c>
    </row>
    <row r="537" spans="1:10" ht="25.5" x14ac:dyDescent="0.2">
      <c r="A537" s="5" t="s">
        <v>12704</v>
      </c>
      <c r="B537" s="5" t="s">
        <v>83</v>
      </c>
      <c r="C537" s="5"/>
      <c r="D537" s="5" t="s">
        <v>12703</v>
      </c>
      <c r="E537" s="5"/>
      <c r="F537" s="5" t="s">
        <v>12702</v>
      </c>
      <c r="G537" s="5" t="s">
        <v>4028</v>
      </c>
      <c r="H537" s="5" t="s">
        <v>3</v>
      </c>
      <c r="I537" s="5"/>
      <c r="J537" s="5" t="s">
        <v>12701</v>
      </c>
    </row>
    <row r="538" spans="1:10" ht="25.5" x14ac:dyDescent="0.2">
      <c r="A538" s="5" t="s">
        <v>10685</v>
      </c>
      <c r="B538" s="5" t="s">
        <v>83</v>
      </c>
      <c r="C538" s="5"/>
      <c r="D538" s="5" t="s">
        <v>10684</v>
      </c>
      <c r="E538" s="5"/>
      <c r="F538" s="5" t="s">
        <v>8863</v>
      </c>
      <c r="G538" s="5" t="s">
        <v>4</v>
      </c>
      <c r="H538" s="5" t="s">
        <v>3</v>
      </c>
      <c r="I538" s="5"/>
      <c r="J538" s="5" t="s">
        <v>12700</v>
      </c>
    </row>
    <row r="539" spans="1:10" x14ac:dyDescent="0.2">
      <c r="A539" s="5" t="s">
        <v>12699</v>
      </c>
      <c r="B539" s="5" t="s">
        <v>83</v>
      </c>
      <c r="C539" s="5"/>
      <c r="D539" s="5" t="s">
        <v>2219</v>
      </c>
      <c r="E539" s="5"/>
      <c r="F539" s="5" t="s">
        <v>12699</v>
      </c>
      <c r="G539" s="5" t="s">
        <v>118</v>
      </c>
      <c r="H539" s="5" t="s">
        <v>3</v>
      </c>
      <c r="I539" s="5"/>
      <c r="J539" s="5" t="s">
        <v>12698</v>
      </c>
    </row>
    <row r="540" spans="1:10" x14ac:dyDescent="0.2">
      <c r="A540" s="5" t="s">
        <v>12697</v>
      </c>
      <c r="B540" s="5" t="s">
        <v>83</v>
      </c>
      <c r="C540" s="5"/>
      <c r="D540" s="5" t="s">
        <v>10225</v>
      </c>
      <c r="E540" s="5"/>
      <c r="F540" s="5" t="s">
        <v>12697</v>
      </c>
      <c r="G540" s="5" t="s">
        <v>118</v>
      </c>
      <c r="H540" s="5" t="s">
        <v>3</v>
      </c>
      <c r="I540" s="5"/>
      <c r="J540" s="5" t="s">
        <v>10222</v>
      </c>
    </row>
    <row r="541" spans="1:10" x14ac:dyDescent="0.2">
      <c r="A541" s="5" t="s">
        <v>12696</v>
      </c>
      <c r="B541" s="5" t="s">
        <v>83</v>
      </c>
      <c r="C541" s="5"/>
      <c r="D541" s="5" t="s">
        <v>9754</v>
      </c>
      <c r="E541" s="5"/>
      <c r="F541" s="5" t="s">
        <v>12696</v>
      </c>
      <c r="G541" s="5" t="s">
        <v>118</v>
      </c>
      <c r="H541" s="5" t="s">
        <v>3</v>
      </c>
      <c r="I541" s="5"/>
      <c r="J541" s="5" t="s">
        <v>9751</v>
      </c>
    </row>
    <row r="542" spans="1:10" x14ac:dyDescent="0.2">
      <c r="A542" s="5" t="s">
        <v>12695</v>
      </c>
      <c r="B542" s="5" t="s">
        <v>83</v>
      </c>
      <c r="C542" s="5"/>
      <c r="D542" s="5" t="s">
        <v>10336</v>
      </c>
      <c r="E542" s="5"/>
      <c r="F542" s="5" t="s">
        <v>12695</v>
      </c>
      <c r="G542" s="5" t="s">
        <v>118</v>
      </c>
      <c r="H542" s="5" t="s">
        <v>3</v>
      </c>
      <c r="I542" s="5"/>
      <c r="J542" s="5" t="s">
        <v>10333</v>
      </c>
    </row>
    <row r="543" spans="1:10" x14ac:dyDescent="0.2">
      <c r="A543" s="5" t="s">
        <v>10677</v>
      </c>
      <c r="B543" s="5" t="s">
        <v>83</v>
      </c>
      <c r="C543" s="5"/>
      <c r="D543" s="5" t="s">
        <v>10676</v>
      </c>
      <c r="E543" s="5"/>
      <c r="F543" s="5" t="s">
        <v>6534</v>
      </c>
      <c r="G543" s="5" t="s">
        <v>105</v>
      </c>
      <c r="H543" s="5" t="s">
        <v>3</v>
      </c>
      <c r="I543" s="5"/>
      <c r="J543" s="5" t="s">
        <v>10675</v>
      </c>
    </row>
    <row r="544" spans="1:10" x14ac:dyDescent="0.2">
      <c r="A544" s="5" t="s">
        <v>9755</v>
      </c>
      <c r="B544" s="5" t="s">
        <v>83</v>
      </c>
      <c r="C544" s="5"/>
      <c r="D544" s="5" t="s">
        <v>9754</v>
      </c>
      <c r="E544" s="5"/>
      <c r="F544" s="5"/>
      <c r="G544" s="5" t="s">
        <v>118</v>
      </c>
      <c r="H544" s="5" t="s">
        <v>3</v>
      </c>
      <c r="I544" s="5"/>
      <c r="J544" s="5" t="s">
        <v>9751</v>
      </c>
    </row>
    <row r="545" spans="1:10" x14ac:dyDescent="0.2">
      <c r="A545" s="5" t="s">
        <v>12694</v>
      </c>
      <c r="B545" s="5" t="s">
        <v>83</v>
      </c>
      <c r="C545" s="5"/>
      <c r="D545" s="5" t="s">
        <v>12693</v>
      </c>
      <c r="E545" s="5"/>
      <c r="F545" s="5" t="s">
        <v>9751</v>
      </c>
      <c r="G545" s="5" t="s">
        <v>3059</v>
      </c>
      <c r="H545" s="5" t="s">
        <v>3</v>
      </c>
      <c r="I545" s="5"/>
      <c r="J545" s="5"/>
    </row>
    <row r="546" spans="1:10" x14ac:dyDescent="0.2">
      <c r="A546" s="5" t="s">
        <v>9753</v>
      </c>
      <c r="B546" s="5" t="s">
        <v>83</v>
      </c>
      <c r="C546" s="5"/>
      <c r="D546" s="5" t="s">
        <v>9752</v>
      </c>
      <c r="E546" s="5"/>
      <c r="F546" s="5" t="s">
        <v>9751</v>
      </c>
      <c r="G546" s="5" t="s">
        <v>224</v>
      </c>
      <c r="H546" s="5" t="s">
        <v>3</v>
      </c>
      <c r="I546" s="5"/>
      <c r="J546" s="5"/>
    </row>
    <row r="547" spans="1:10" x14ac:dyDescent="0.2">
      <c r="A547" s="5" t="s">
        <v>12692</v>
      </c>
      <c r="B547" s="5" t="s">
        <v>83</v>
      </c>
      <c r="C547" s="5"/>
      <c r="D547" s="5" t="s">
        <v>7464</v>
      </c>
      <c r="E547" s="5"/>
      <c r="F547" s="5" t="s">
        <v>11574</v>
      </c>
      <c r="G547" s="5" t="s">
        <v>224</v>
      </c>
      <c r="H547" s="5" t="s">
        <v>3</v>
      </c>
      <c r="I547" s="5"/>
      <c r="J547" s="5" t="s">
        <v>12358</v>
      </c>
    </row>
    <row r="548" spans="1:10" ht="25.5" x14ac:dyDescent="0.2">
      <c r="A548" s="5" t="s">
        <v>10670</v>
      </c>
      <c r="B548" s="5" t="s">
        <v>83</v>
      </c>
      <c r="C548" s="5"/>
      <c r="D548" s="5" t="s">
        <v>10669</v>
      </c>
      <c r="E548" s="5"/>
      <c r="F548" s="5" t="s">
        <v>12291</v>
      </c>
      <c r="G548" s="5" t="s">
        <v>4028</v>
      </c>
      <c r="H548" s="5" t="s">
        <v>3</v>
      </c>
      <c r="I548" s="5"/>
      <c r="J548" s="5" t="s">
        <v>12691</v>
      </c>
    </row>
    <row r="549" spans="1:10" ht="25.5" x14ac:dyDescent="0.2">
      <c r="A549" s="5" t="s">
        <v>12690</v>
      </c>
      <c r="B549" s="5" t="s">
        <v>83</v>
      </c>
      <c r="C549" s="5"/>
      <c r="D549" s="5" t="s">
        <v>12689</v>
      </c>
      <c r="E549" s="5" t="s">
        <v>368</v>
      </c>
      <c r="F549" s="5" t="s">
        <v>12688</v>
      </c>
      <c r="G549" s="5" t="s">
        <v>195</v>
      </c>
      <c r="H549" s="5" t="s">
        <v>3</v>
      </c>
      <c r="I549" s="5"/>
      <c r="J549" s="5" t="s">
        <v>12687</v>
      </c>
    </row>
    <row r="550" spans="1:10" ht="25.5" x14ac:dyDescent="0.2">
      <c r="A550" s="5" t="s">
        <v>2219</v>
      </c>
      <c r="B550" s="5" t="s">
        <v>83</v>
      </c>
      <c r="C550" s="5"/>
      <c r="D550" s="5" t="s">
        <v>10666</v>
      </c>
      <c r="E550" s="5"/>
      <c r="F550" s="5" t="s">
        <v>7970</v>
      </c>
      <c r="G550" s="5" t="s">
        <v>1527</v>
      </c>
      <c r="H550" s="5" t="s">
        <v>3</v>
      </c>
      <c r="I550" s="5"/>
      <c r="J550" s="5" t="s">
        <v>12673</v>
      </c>
    </row>
    <row r="551" spans="1:10" ht="25.5" x14ac:dyDescent="0.2">
      <c r="A551" s="5" t="s">
        <v>12686</v>
      </c>
      <c r="B551" s="5" t="s">
        <v>83</v>
      </c>
      <c r="C551" s="5"/>
      <c r="D551" s="5" t="s">
        <v>12685</v>
      </c>
      <c r="E551" s="5"/>
      <c r="F551" s="5" t="s">
        <v>7970</v>
      </c>
      <c r="G551" s="5" t="s">
        <v>3059</v>
      </c>
      <c r="H551" s="5" t="s">
        <v>3</v>
      </c>
      <c r="I551" s="5"/>
      <c r="J551" s="5" t="s">
        <v>12684</v>
      </c>
    </row>
    <row r="552" spans="1:10" ht="25.5" x14ac:dyDescent="0.2">
      <c r="A552" s="5" t="s">
        <v>9749</v>
      </c>
      <c r="B552" s="5" t="s">
        <v>83</v>
      </c>
      <c r="C552" s="5"/>
      <c r="D552" s="5" t="s">
        <v>12683</v>
      </c>
      <c r="E552" s="5"/>
      <c r="F552" s="5" t="s">
        <v>7970</v>
      </c>
      <c r="G552" s="5" t="s">
        <v>3059</v>
      </c>
      <c r="H552" s="5" t="s">
        <v>3</v>
      </c>
      <c r="I552" s="5"/>
      <c r="J552" s="5" t="s">
        <v>12682</v>
      </c>
    </row>
    <row r="553" spans="1:10" ht="25.5" x14ac:dyDescent="0.2">
      <c r="A553" s="5" t="s">
        <v>12274</v>
      </c>
      <c r="B553" s="5" t="s">
        <v>83</v>
      </c>
      <c r="C553" s="5"/>
      <c r="D553" s="5" t="s">
        <v>10666</v>
      </c>
      <c r="E553" s="5"/>
      <c r="F553" s="5" t="s">
        <v>2219</v>
      </c>
      <c r="G553" s="5" t="s">
        <v>6385</v>
      </c>
      <c r="H553" s="5" t="s">
        <v>3</v>
      </c>
      <c r="I553" s="5"/>
      <c r="J553" s="5" t="s">
        <v>12673</v>
      </c>
    </row>
    <row r="554" spans="1:10" ht="25.5" x14ac:dyDescent="0.2">
      <c r="A554" s="5" t="s">
        <v>10663</v>
      </c>
      <c r="B554" s="5" t="s">
        <v>83</v>
      </c>
      <c r="C554" s="5"/>
      <c r="D554" s="5" t="s">
        <v>12681</v>
      </c>
      <c r="E554" s="5"/>
      <c r="F554" s="5" t="s">
        <v>12680</v>
      </c>
      <c r="G554" s="5" t="s">
        <v>170</v>
      </c>
      <c r="H554" s="5" t="s">
        <v>3</v>
      </c>
      <c r="I554" s="5"/>
      <c r="J554" s="5" t="s">
        <v>12679</v>
      </c>
    </row>
    <row r="555" spans="1:10" ht="25.5" x14ac:dyDescent="0.2">
      <c r="A555" s="5" t="s">
        <v>12678</v>
      </c>
      <c r="B555" s="5" t="s">
        <v>83</v>
      </c>
      <c r="C555" s="5"/>
      <c r="D555" s="5" t="s">
        <v>12677</v>
      </c>
      <c r="E555" s="5"/>
      <c r="F555" s="5" t="s">
        <v>2219</v>
      </c>
      <c r="G555" s="5" t="s">
        <v>7378</v>
      </c>
      <c r="H555" s="5" t="s">
        <v>3</v>
      </c>
      <c r="I555" s="5"/>
      <c r="J555" s="5" t="s">
        <v>12676</v>
      </c>
    </row>
    <row r="556" spans="1:10" ht="25.5" x14ac:dyDescent="0.2">
      <c r="A556" s="5" t="s">
        <v>12675</v>
      </c>
      <c r="B556" s="5" t="s">
        <v>83</v>
      </c>
      <c r="C556" s="5"/>
      <c r="D556" s="5" t="s">
        <v>10666</v>
      </c>
      <c r="E556" s="5"/>
      <c r="F556" s="5" t="s">
        <v>9151</v>
      </c>
      <c r="G556" s="5" t="s">
        <v>1527</v>
      </c>
      <c r="H556" s="5" t="s">
        <v>3</v>
      </c>
      <c r="I556" s="5"/>
      <c r="J556" s="5" t="s">
        <v>12673</v>
      </c>
    </row>
    <row r="557" spans="1:10" ht="25.5" x14ac:dyDescent="0.2">
      <c r="A557" s="5" t="s">
        <v>12674</v>
      </c>
      <c r="B557" s="5" t="s">
        <v>83</v>
      </c>
      <c r="C557" s="5"/>
      <c r="D557" s="5" t="s">
        <v>10666</v>
      </c>
      <c r="E557" s="5"/>
      <c r="F557" s="5" t="s">
        <v>9151</v>
      </c>
      <c r="G557" s="5" t="s">
        <v>6385</v>
      </c>
      <c r="H557" s="5" t="s">
        <v>3</v>
      </c>
      <c r="I557" s="5"/>
      <c r="J557" s="5" t="s">
        <v>12673</v>
      </c>
    </row>
    <row r="558" spans="1:10" ht="38.25" x14ac:dyDescent="0.2">
      <c r="A558" s="5" t="s">
        <v>12672</v>
      </c>
      <c r="B558" s="5" t="s">
        <v>83</v>
      </c>
      <c r="C558" s="5"/>
      <c r="D558" s="5" t="s">
        <v>12670</v>
      </c>
      <c r="E558" s="5"/>
      <c r="F558" s="5" t="s">
        <v>12669</v>
      </c>
      <c r="G558" s="5" t="s">
        <v>357</v>
      </c>
      <c r="H558" s="5" t="s">
        <v>3</v>
      </c>
      <c r="I558" s="5"/>
      <c r="J558" s="5" t="s">
        <v>12668</v>
      </c>
    </row>
    <row r="559" spans="1:10" ht="38.25" x14ac:dyDescent="0.2">
      <c r="A559" s="5" t="s">
        <v>12671</v>
      </c>
      <c r="B559" s="5" t="s">
        <v>83</v>
      </c>
      <c r="C559" s="5"/>
      <c r="D559" s="5" t="s">
        <v>12670</v>
      </c>
      <c r="E559" s="5"/>
      <c r="F559" s="5" t="s">
        <v>12669</v>
      </c>
      <c r="G559" s="5" t="s">
        <v>4057</v>
      </c>
      <c r="H559" s="5" t="s">
        <v>3</v>
      </c>
      <c r="I559" s="5"/>
      <c r="J559" s="5" t="s">
        <v>12668</v>
      </c>
    </row>
    <row r="560" spans="1:10" x14ac:dyDescent="0.2">
      <c r="A560" s="5" t="s">
        <v>12667</v>
      </c>
      <c r="B560" s="5" t="s">
        <v>83</v>
      </c>
      <c r="C560" s="5"/>
      <c r="D560" s="5" t="s">
        <v>12666</v>
      </c>
      <c r="E560" s="5" t="s">
        <v>93</v>
      </c>
      <c r="F560" s="5" t="s">
        <v>12665</v>
      </c>
      <c r="G560" s="5" t="s">
        <v>207</v>
      </c>
      <c r="H560" s="5" t="s">
        <v>3</v>
      </c>
      <c r="I560" s="5"/>
      <c r="J560" s="5" t="s">
        <v>12664</v>
      </c>
    </row>
    <row r="561" spans="1:10" x14ac:dyDescent="0.2">
      <c r="A561" s="5" t="s">
        <v>9742</v>
      </c>
      <c r="B561" s="5" t="s">
        <v>83</v>
      </c>
      <c r="C561" s="5"/>
      <c r="D561" s="5" t="s">
        <v>9741</v>
      </c>
      <c r="E561" s="5"/>
      <c r="F561" s="5" t="s">
        <v>9740</v>
      </c>
      <c r="G561" s="5" t="s">
        <v>118</v>
      </c>
      <c r="H561" s="5" t="s">
        <v>3</v>
      </c>
      <c r="I561" s="5"/>
      <c r="J561" s="5" t="s">
        <v>9739</v>
      </c>
    </row>
    <row r="562" spans="1:10" ht="25.5" x14ac:dyDescent="0.2">
      <c r="A562" s="5" t="s">
        <v>12663</v>
      </c>
      <c r="B562" s="5" t="s">
        <v>83</v>
      </c>
      <c r="C562" s="5"/>
      <c r="D562" s="5" t="s">
        <v>12662</v>
      </c>
      <c r="E562" s="5"/>
      <c r="F562" s="5" t="s">
        <v>12661</v>
      </c>
      <c r="G562" s="5" t="s">
        <v>4028</v>
      </c>
      <c r="H562" s="5"/>
      <c r="I562" s="5"/>
      <c r="J562" s="5" t="s">
        <v>12660</v>
      </c>
    </row>
    <row r="563" spans="1:10" x14ac:dyDescent="0.2">
      <c r="A563" s="5" t="s">
        <v>10647</v>
      </c>
      <c r="B563" s="5" t="s">
        <v>83</v>
      </c>
      <c r="C563" s="5"/>
      <c r="D563" s="5" t="s">
        <v>10646</v>
      </c>
      <c r="E563" s="5"/>
      <c r="F563" s="5" t="s">
        <v>10645</v>
      </c>
      <c r="G563" s="5" t="s">
        <v>224</v>
      </c>
      <c r="H563" s="5" t="s">
        <v>3</v>
      </c>
      <c r="I563" s="5"/>
      <c r="J563" s="5" t="s">
        <v>10644</v>
      </c>
    </row>
    <row r="564" spans="1:10" x14ac:dyDescent="0.2">
      <c r="A564" s="5" t="s">
        <v>12659</v>
      </c>
      <c r="B564" s="5" t="s">
        <v>83</v>
      </c>
      <c r="C564" s="5"/>
      <c r="D564" s="5" t="s">
        <v>12658</v>
      </c>
      <c r="E564" s="5" t="s">
        <v>93</v>
      </c>
      <c r="F564" s="5" t="s">
        <v>12657</v>
      </c>
      <c r="G564" s="5" t="s">
        <v>207</v>
      </c>
      <c r="H564" s="5" t="s">
        <v>3</v>
      </c>
      <c r="I564" s="5"/>
      <c r="J564" s="5" t="s">
        <v>12656</v>
      </c>
    </row>
    <row r="565" spans="1:10" x14ac:dyDescent="0.2">
      <c r="A565" s="5" t="s">
        <v>12655</v>
      </c>
      <c r="B565" s="5" t="s">
        <v>83</v>
      </c>
      <c r="C565" s="5"/>
      <c r="D565" s="5" t="s">
        <v>12653</v>
      </c>
      <c r="E565" s="5"/>
      <c r="F565" s="5" t="s">
        <v>12652</v>
      </c>
      <c r="G565" s="5" t="s">
        <v>173</v>
      </c>
      <c r="H565" s="5" t="s">
        <v>3</v>
      </c>
      <c r="I565" s="5"/>
      <c r="J565" s="5" t="s">
        <v>12652</v>
      </c>
    </row>
    <row r="566" spans="1:10" x14ac:dyDescent="0.2">
      <c r="A566" s="5" t="s">
        <v>12654</v>
      </c>
      <c r="B566" s="5" t="s">
        <v>83</v>
      </c>
      <c r="C566" s="5"/>
      <c r="D566" s="5" t="s">
        <v>12653</v>
      </c>
      <c r="E566" s="5" t="s">
        <v>138</v>
      </c>
      <c r="F566" s="5" t="s">
        <v>12652</v>
      </c>
      <c r="G566" s="5" t="s">
        <v>173</v>
      </c>
      <c r="H566" s="5" t="s">
        <v>3</v>
      </c>
      <c r="I566" s="5"/>
      <c r="J566" s="5" t="s">
        <v>12652</v>
      </c>
    </row>
    <row r="567" spans="1:10" x14ac:dyDescent="0.2">
      <c r="A567" s="5" t="s">
        <v>12651</v>
      </c>
      <c r="B567" s="5" t="s">
        <v>83</v>
      </c>
      <c r="C567" s="5"/>
      <c r="D567" s="5" t="s">
        <v>12650</v>
      </c>
      <c r="E567" s="5" t="s">
        <v>150</v>
      </c>
      <c r="F567" s="5" t="s">
        <v>12592</v>
      </c>
      <c r="G567" s="5" t="s">
        <v>148</v>
      </c>
      <c r="H567" s="5" t="s">
        <v>3</v>
      </c>
      <c r="I567" s="5"/>
      <c r="J567" s="5" t="s">
        <v>12649</v>
      </c>
    </row>
    <row r="568" spans="1:10" x14ac:dyDescent="0.2">
      <c r="A568" s="5" t="s">
        <v>12648</v>
      </c>
      <c r="B568" s="5" t="s">
        <v>83</v>
      </c>
      <c r="C568" s="5"/>
      <c r="D568" s="5" t="s">
        <v>12647</v>
      </c>
      <c r="E568" s="5" t="s">
        <v>150</v>
      </c>
      <c r="F568" s="5" t="s">
        <v>12588</v>
      </c>
      <c r="G568" s="5" t="s">
        <v>148</v>
      </c>
      <c r="H568" s="5" t="s">
        <v>3</v>
      </c>
      <c r="I568" s="5"/>
      <c r="J568" s="5" t="s">
        <v>12646</v>
      </c>
    </row>
    <row r="569" spans="1:10" x14ac:dyDescent="0.2">
      <c r="A569" s="5" t="s">
        <v>12645</v>
      </c>
      <c r="B569" s="5" t="s">
        <v>83</v>
      </c>
      <c r="C569" s="5"/>
      <c r="D569" s="5" t="s">
        <v>12644</v>
      </c>
      <c r="E569" s="5" t="s">
        <v>150</v>
      </c>
      <c r="F569" s="5" t="s">
        <v>12584</v>
      </c>
      <c r="G569" s="5" t="s">
        <v>148</v>
      </c>
      <c r="H569" s="5" t="s">
        <v>3</v>
      </c>
      <c r="I569" s="5"/>
      <c r="J569" s="5" t="s">
        <v>12643</v>
      </c>
    </row>
    <row r="570" spans="1:10" x14ac:dyDescent="0.2">
      <c r="A570" s="5" t="s">
        <v>12642</v>
      </c>
      <c r="B570" s="5" t="s">
        <v>83</v>
      </c>
      <c r="C570" s="5"/>
      <c r="D570" s="5" t="s">
        <v>12641</v>
      </c>
      <c r="E570" s="5" t="s">
        <v>150</v>
      </c>
      <c r="F570" s="5" t="s">
        <v>12580</v>
      </c>
      <c r="G570" s="5" t="s">
        <v>148</v>
      </c>
      <c r="H570" s="5" t="s">
        <v>3</v>
      </c>
      <c r="I570" s="5"/>
      <c r="J570" s="5" t="s">
        <v>12640</v>
      </c>
    </row>
    <row r="571" spans="1:10" x14ac:dyDescent="0.2">
      <c r="A571" s="5" t="s">
        <v>12639</v>
      </c>
      <c r="B571" s="5" t="s">
        <v>83</v>
      </c>
      <c r="C571" s="5"/>
      <c r="D571" s="5" t="s">
        <v>12638</v>
      </c>
      <c r="E571" s="5" t="s">
        <v>150</v>
      </c>
      <c r="F571" s="5" t="s">
        <v>12576</v>
      </c>
      <c r="G571" s="5" t="s">
        <v>148</v>
      </c>
      <c r="H571" s="5" t="s">
        <v>3</v>
      </c>
      <c r="I571" s="5"/>
      <c r="J571" s="5" t="s">
        <v>12637</v>
      </c>
    </row>
    <row r="572" spans="1:10" x14ac:dyDescent="0.2">
      <c r="A572" s="5" t="s">
        <v>12636</v>
      </c>
      <c r="B572" s="5" t="s">
        <v>83</v>
      </c>
      <c r="C572" s="5"/>
      <c r="D572" s="5" t="s">
        <v>12635</v>
      </c>
      <c r="E572" s="5" t="s">
        <v>150</v>
      </c>
      <c r="F572" s="5" t="s">
        <v>12572</v>
      </c>
      <c r="G572" s="5" t="s">
        <v>148</v>
      </c>
      <c r="H572" s="5" t="s">
        <v>3</v>
      </c>
      <c r="I572" s="5"/>
      <c r="J572" s="5" t="s">
        <v>12634</v>
      </c>
    </row>
    <row r="573" spans="1:10" x14ac:dyDescent="0.2">
      <c r="A573" s="5" t="s">
        <v>12633</v>
      </c>
      <c r="B573" s="5" t="s">
        <v>83</v>
      </c>
      <c r="C573" s="5"/>
      <c r="D573" s="5" t="s">
        <v>12632</v>
      </c>
      <c r="E573" s="5" t="s">
        <v>150</v>
      </c>
      <c r="F573" s="5" t="s">
        <v>12631</v>
      </c>
      <c r="G573" s="5" t="s">
        <v>148</v>
      </c>
      <c r="H573" s="5" t="s">
        <v>3</v>
      </c>
      <c r="I573" s="5"/>
      <c r="J573" s="5" t="s">
        <v>12630</v>
      </c>
    </row>
    <row r="574" spans="1:10" x14ac:dyDescent="0.2">
      <c r="A574" s="5" t="s">
        <v>12629</v>
      </c>
      <c r="B574" s="5" t="s">
        <v>83</v>
      </c>
      <c r="C574" s="5"/>
      <c r="D574" s="5" t="s">
        <v>12628</v>
      </c>
      <c r="E574" s="5" t="s">
        <v>150</v>
      </c>
      <c r="F574" s="5" t="s">
        <v>12627</v>
      </c>
      <c r="G574" s="5" t="s">
        <v>148</v>
      </c>
      <c r="H574" s="5" t="s">
        <v>3</v>
      </c>
      <c r="I574" s="5"/>
      <c r="J574" s="5" t="s">
        <v>12626</v>
      </c>
    </row>
    <row r="575" spans="1:10" x14ac:dyDescent="0.2">
      <c r="A575" s="5" t="s">
        <v>12625</v>
      </c>
      <c r="B575" s="5" t="s">
        <v>83</v>
      </c>
      <c r="C575" s="5"/>
      <c r="D575" s="5" t="s">
        <v>12624</v>
      </c>
      <c r="E575" s="5" t="s">
        <v>150</v>
      </c>
      <c r="F575" s="5" t="s">
        <v>12623</v>
      </c>
      <c r="G575" s="5" t="s">
        <v>148</v>
      </c>
      <c r="H575" s="5" t="s">
        <v>3</v>
      </c>
      <c r="I575" s="5"/>
      <c r="J575" s="5" t="s">
        <v>12622</v>
      </c>
    </row>
    <row r="576" spans="1:10" x14ac:dyDescent="0.2">
      <c r="A576" s="5" t="s">
        <v>12621</v>
      </c>
      <c r="B576" s="5" t="s">
        <v>83</v>
      </c>
      <c r="C576" s="5"/>
      <c r="D576" s="5" t="s">
        <v>12620</v>
      </c>
      <c r="E576" s="5" t="s">
        <v>150</v>
      </c>
      <c r="F576" s="5" t="s">
        <v>12524</v>
      </c>
      <c r="G576" s="5" t="s">
        <v>148</v>
      </c>
      <c r="H576" s="5" t="s">
        <v>3</v>
      </c>
      <c r="I576" s="5"/>
      <c r="J576" s="5" t="s">
        <v>12619</v>
      </c>
    </row>
    <row r="577" spans="1:10" x14ac:dyDescent="0.2">
      <c r="A577" s="5" t="s">
        <v>12618</v>
      </c>
      <c r="B577" s="5" t="s">
        <v>83</v>
      </c>
      <c r="C577" s="5"/>
      <c r="D577" s="5" t="s">
        <v>12617</v>
      </c>
      <c r="E577" s="5" t="s">
        <v>150</v>
      </c>
      <c r="F577" s="5" t="s">
        <v>12520</v>
      </c>
      <c r="G577" s="5" t="s">
        <v>148</v>
      </c>
      <c r="H577" s="5" t="s">
        <v>3</v>
      </c>
      <c r="I577" s="5"/>
      <c r="J577" s="5" t="s">
        <v>12616</v>
      </c>
    </row>
    <row r="578" spans="1:10" x14ac:dyDescent="0.2">
      <c r="A578" s="5" t="s">
        <v>12615</v>
      </c>
      <c r="B578" s="5" t="s">
        <v>83</v>
      </c>
      <c r="C578" s="5"/>
      <c r="D578" s="5" t="s">
        <v>12614</v>
      </c>
      <c r="E578" s="5" t="s">
        <v>150</v>
      </c>
      <c r="F578" s="5" t="s">
        <v>12516</v>
      </c>
      <c r="G578" s="5" t="s">
        <v>148</v>
      </c>
      <c r="H578" s="5" t="s">
        <v>3</v>
      </c>
      <c r="I578" s="5"/>
      <c r="J578" s="5" t="s">
        <v>12613</v>
      </c>
    </row>
    <row r="579" spans="1:10" x14ac:dyDescent="0.2">
      <c r="A579" s="5" t="s">
        <v>12612</v>
      </c>
      <c r="B579" s="5" t="s">
        <v>83</v>
      </c>
      <c r="C579" s="5"/>
      <c r="D579" s="5" t="s">
        <v>12611</v>
      </c>
      <c r="E579" s="5" t="s">
        <v>150</v>
      </c>
      <c r="F579" s="5" t="s">
        <v>12512</v>
      </c>
      <c r="G579" s="5" t="s">
        <v>148</v>
      </c>
      <c r="H579" s="5" t="s">
        <v>3</v>
      </c>
      <c r="I579" s="5"/>
      <c r="J579" s="5" t="s">
        <v>12610</v>
      </c>
    </row>
    <row r="580" spans="1:10" x14ac:dyDescent="0.2">
      <c r="A580" s="5" t="s">
        <v>12609</v>
      </c>
      <c r="B580" s="5" t="s">
        <v>83</v>
      </c>
      <c r="C580" s="5"/>
      <c r="D580" s="5" t="s">
        <v>12608</v>
      </c>
      <c r="E580" s="5" t="s">
        <v>150</v>
      </c>
      <c r="F580" s="5" t="s">
        <v>12508</v>
      </c>
      <c r="G580" s="5" t="s">
        <v>148</v>
      </c>
      <c r="H580" s="5" t="s">
        <v>3</v>
      </c>
      <c r="I580" s="5"/>
      <c r="J580" s="5" t="s">
        <v>12607</v>
      </c>
    </row>
    <row r="581" spans="1:10" x14ac:dyDescent="0.2">
      <c r="A581" s="5" t="s">
        <v>12606</v>
      </c>
      <c r="B581" s="5" t="s">
        <v>83</v>
      </c>
      <c r="C581" s="5"/>
      <c r="D581" s="5" t="s">
        <v>12605</v>
      </c>
      <c r="E581" s="5" t="s">
        <v>150</v>
      </c>
      <c r="F581" s="5" t="s">
        <v>12503</v>
      </c>
      <c r="G581" s="5" t="s">
        <v>148</v>
      </c>
      <c r="H581" s="5" t="s">
        <v>3</v>
      </c>
      <c r="I581" s="5"/>
      <c r="J581" s="5" t="s">
        <v>12604</v>
      </c>
    </row>
    <row r="582" spans="1:10" x14ac:dyDescent="0.2">
      <c r="A582" s="5" t="s">
        <v>12603</v>
      </c>
      <c r="B582" s="5" t="s">
        <v>83</v>
      </c>
      <c r="C582" s="5"/>
      <c r="D582" s="5" t="s">
        <v>12602</v>
      </c>
      <c r="E582" s="5" t="s">
        <v>150</v>
      </c>
      <c r="F582" s="5" t="s">
        <v>12471</v>
      </c>
      <c r="G582" s="5" t="s">
        <v>148</v>
      </c>
      <c r="H582" s="5" t="s">
        <v>3</v>
      </c>
      <c r="I582" s="5"/>
      <c r="J582" s="5" t="s">
        <v>12601</v>
      </c>
    </row>
    <row r="583" spans="1:10" x14ac:dyDescent="0.2">
      <c r="A583" s="5" t="s">
        <v>12600</v>
      </c>
      <c r="B583" s="5" t="s">
        <v>83</v>
      </c>
      <c r="C583" s="5"/>
      <c r="D583" s="5" t="s">
        <v>12599</v>
      </c>
      <c r="E583" s="5" t="s">
        <v>150</v>
      </c>
      <c r="F583" s="5" t="s">
        <v>12467</v>
      </c>
      <c r="G583" s="5" t="s">
        <v>148</v>
      </c>
      <c r="H583" s="5" t="s">
        <v>3</v>
      </c>
      <c r="I583" s="5"/>
      <c r="J583" s="5" t="s">
        <v>12598</v>
      </c>
    </row>
    <row r="584" spans="1:10" x14ac:dyDescent="0.2">
      <c r="A584" s="5" t="s">
        <v>12597</v>
      </c>
      <c r="B584" s="5" t="s">
        <v>83</v>
      </c>
      <c r="C584" s="5"/>
      <c r="D584" s="5" t="s">
        <v>12596</v>
      </c>
      <c r="E584" s="5" t="s">
        <v>150</v>
      </c>
      <c r="F584" s="5" t="s">
        <v>12463</v>
      </c>
      <c r="G584" s="5" t="s">
        <v>148</v>
      </c>
      <c r="H584" s="5" t="s">
        <v>3</v>
      </c>
      <c r="I584" s="5"/>
      <c r="J584" s="5" t="s">
        <v>12595</v>
      </c>
    </row>
    <row r="585" spans="1:10" x14ac:dyDescent="0.2">
      <c r="A585" s="5" t="s">
        <v>12594</v>
      </c>
      <c r="B585" s="5" t="s">
        <v>83</v>
      </c>
      <c r="C585" s="5"/>
      <c r="D585" s="5" t="s">
        <v>12593</v>
      </c>
      <c r="E585" s="5" t="s">
        <v>12529</v>
      </c>
      <c r="F585" s="5" t="s">
        <v>12592</v>
      </c>
      <c r="G585" s="5" t="s">
        <v>382</v>
      </c>
      <c r="H585" s="5" t="s">
        <v>3</v>
      </c>
      <c r="I585" s="5"/>
      <c r="J585" s="5" t="s">
        <v>12591</v>
      </c>
    </row>
    <row r="586" spans="1:10" x14ac:dyDescent="0.2">
      <c r="A586" s="5" t="s">
        <v>12590</v>
      </c>
      <c r="B586" s="5" t="s">
        <v>83</v>
      </c>
      <c r="C586" s="5"/>
      <c r="D586" s="5" t="s">
        <v>12589</v>
      </c>
      <c r="E586" s="5" t="s">
        <v>12529</v>
      </c>
      <c r="F586" s="5" t="s">
        <v>12588</v>
      </c>
      <c r="G586" s="5" t="s">
        <v>382</v>
      </c>
      <c r="H586" s="5" t="s">
        <v>3</v>
      </c>
      <c r="I586" s="5"/>
      <c r="J586" s="5" t="s">
        <v>12587</v>
      </c>
    </row>
    <row r="587" spans="1:10" x14ac:dyDescent="0.2">
      <c r="A587" s="5" t="s">
        <v>12586</v>
      </c>
      <c r="B587" s="5" t="s">
        <v>83</v>
      </c>
      <c r="C587" s="5"/>
      <c r="D587" s="5" t="s">
        <v>12585</v>
      </c>
      <c r="E587" s="5" t="s">
        <v>12529</v>
      </c>
      <c r="F587" s="5" t="s">
        <v>12584</v>
      </c>
      <c r="G587" s="5" t="s">
        <v>382</v>
      </c>
      <c r="H587" s="5" t="s">
        <v>3</v>
      </c>
      <c r="I587" s="5"/>
      <c r="J587" s="5" t="s">
        <v>12583</v>
      </c>
    </row>
    <row r="588" spans="1:10" x14ac:dyDescent="0.2">
      <c r="A588" s="5" t="s">
        <v>12582</v>
      </c>
      <c r="B588" s="5" t="s">
        <v>83</v>
      </c>
      <c r="C588" s="5"/>
      <c r="D588" s="5" t="s">
        <v>12581</v>
      </c>
      <c r="E588" s="5" t="s">
        <v>12504</v>
      </c>
      <c r="F588" s="5" t="s">
        <v>12580</v>
      </c>
      <c r="G588" s="5" t="s">
        <v>382</v>
      </c>
      <c r="H588" s="5" t="s">
        <v>3</v>
      </c>
      <c r="I588" s="5"/>
      <c r="J588" s="5" t="s">
        <v>12579</v>
      </c>
    </row>
    <row r="589" spans="1:10" x14ac:dyDescent="0.2">
      <c r="A589" s="5" t="s">
        <v>12578</v>
      </c>
      <c r="B589" s="5" t="s">
        <v>83</v>
      </c>
      <c r="C589" s="5"/>
      <c r="D589" s="5" t="s">
        <v>12577</v>
      </c>
      <c r="E589" s="5" t="s">
        <v>12504</v>
      </c>
      <c r="F589" s="5" t="s">
        <v>12576</v>
      </c>
      <c r="G589" s="5" t="s">
        <v>382</v>
      </c>
      <c r="H589" s="5" t="s">
        <v>3</v>
      </c>
      <c r="I589" s="5"/>
      <c r="J589" s="5" t="s">
        <v>12575</v>
      </c>
    </row>
    <row r="590" spans="1:10" x14ac:dyDescent="0.2">
      <c r="A590" s="5" t="s">
        <v>12574</v>
      </c>
      <c r="B590" s="5" t="s">
        <v>83</v>
      </c>
      <c r="C590" s="5"/>
      <c r="D590" s="5" t="s">
        <v>12573</v>
      </c>
      <c r="E590" s="5" t="s">
        <v>12504</v>
      </c>
      <c r="F590" s="5" t="s">
        <v>12572</v>
      </c>
      <c r="G590" s="5" t="s">
        <v>382</v>
      </c>
      <c r="H590" s="5" t="s">
        <v>3</v>
      </c>
      <c r="I590" s="5"/>
      <c r="J590" s="5" t="s">
        <v>12571</v>
      </c>
    </row>
    <row r="591" spans="1:10" ht="25.5" x14ac:dyDescent="0.2">
      <c r="A591" s="5" t="s">
        <v>12570</v>
      </c>
      <c r="B591" s="5" t="s">
        <v>83</v>
      </c>
      <c r="C591" s="5"/>
      <c r="D591" s="5" t="s">
        <v>12569</v>
      </c>
      <c r="E591" s="5" t="s">
        <v>138</v>
      </c>
      <c r="F591" s="5" t="s">
        <v>5834</v>
      </c>
      <c r="G591" s="5" t="s">
        <v>173</v>
      </c>
      <c r="H591" s="5" t="s">
        <v>3</v>
      </c>
      <c r="I591" s="5"/>
      <c r="J591" s="5" t="s">
        <v>12568</v>
      </c>
    </row>
    <row r="592" spans="1:10" ht="25.5" x14ac:dyDescent="0.2">
      <c r="A592" s="5" t="s">
        <v>12567</v>
      </c>
      <c r="B592" s="5" t="s">
        <v>83</v>
      </c>
      <c r="C592" s="5"/>
      <c r="D592" s="5" t="s">
        <v>12566</v>
      </c>
      <c r="E592" s="5" t="s">
        <v>138</v>
      </c>
      <c r="F592" s="5" t="s">
        <v>5834</v>
      </c>
      <c r="G592" s="5" t="s">
        <v>173</v>
      </c>
      <c r="H592" s="5" t="s">
        <v>3</v>
      </c>
      <c r="I592" s="5"/>
      <c r="J592" s="5" t="s">
        <v>12565</v>
      </c>
    </row>
    <row r="593" spans="1:10" ht="25.5" x14ac:dyDescent="0.2">
      <c r="A593" s="5" t="s">
        <v>12564</v>
      </c>
      <c r="B593" s="5" t="s">
        <v>83</v>
      </c>
      <c r="C593" s="5"/>
      <c r="D593" s="5" t="s">
        <v>12563</v>
      </c>
      <c r="E593" s="5" t="s">
        <v>138</v>
      </c>
      <c r="F593" s="5" t="s">
        <v>5834</v>
      </c>
      <c r="G593" s="5" t="s">
        <v>173</v>
      </c>
      <c r="H593" s="5" t="s">
        <v>3</v>
      </c>
      <c r="I593" s="5"/>
      <c r="J593" s="5" t="s">
        <v>12562</v>
      </c>
    </row>
    <row r="594" spans="1:10" ht="25.5" x14ac:dyDescent="0.2">
      <c r="A594" s="5" t="s">
        <v>12561</v>
      </c>
      <c r="B594" s="5" t="s">
        <v>83</v>
      </c>
      <c r="C594" s="5"/>
      <c r="D594" s="5" t="s">
        <v>12560</v>
      </c>
      <c r="E594" s="5"/>
      <c r="F594" s="5" t="s">
        <v>12559</v>
      </c>
      <c r="G594" s="5" t="s">
        <v>224</v>
      </c>
      <c r="H594" s="5" t="s">
        <v>3</v>
      </c>
      <c r="I594" s="5"/>
      <c r="J594" s="5" t="s">
        <v>12558</v>
      </c>
    </row>
    <row r="595" spans="1:10" ht="25.5" x14ac:dyDescent="0.2">
      <c r="A595" s="5" t="s">
        <v>12557</v>
      </c>
      <c r="B595" s="5" t="s">
        <v>83</v>
      </c>
      <c r="C595" s="5"/>
      <c r="D595" s="5" t="s">
        <v>12556</v>
      </c>
      <c r="E595" s="5"/>
      <c r="F595" s="5" t="s">
        <v>12555</v>
      </c>
      <c r="G595" s="5" t="s">
        <v>224</v>
      </c>
      <c r="H595" s="5" t="s">
        <v>3</v>
      </c>
      <c r="I595" s="5"/>
      <c r="J595" s="5" t="s">
        <v>12554</v>
      </c>
    </row>
    <row r="596" spans="1:10" ht="25.5" x14ac:dyDescent="0.2">
      <c r="A596" s="5" t="s">
        <v>12553</v>
      </c>
      <c r="B596" s="5" t="s">
        <v>83</v>
      </c>
      <c r="C596" s="5"/>
      <c r="D596" s="5" t="s">
        <v>12552</v>
      </c>
      <c r="E596" s="5"/>
      <c r="F596" s="5" t="s">
        <v>12551</v>
      </c>
      <c r="G596" s="5" t="s">
        <v>224</v>
      </c>
      <c r="H596" s="5" t="s">
        <v>3</v>
      </c>
      <c r="I596" s="5"/>
      <c r="J596" s="5" t="s">
        <v>12550</v>
      </c>
    </row>
    <row r="597" spans="1:10" ht="25.5" x14ac:dyDescent="0.2">
      <c r="A597" s="5" t="s">
        <v>12549</v>
      </c>
      <c r="B597" s="5" t="s">
        <v>83</v>
      </c>
      <c r="C597" s="5"/>
      <c r="D597" s="5" t="s">
        <v>12548</v>
      </c>
      <c r="E597" s="5" t="s">
        <v>150</v>
      </c>
      <c r="F597" s="5" t="s">
        <v>12541</v>
      </c>
      <c r="G597" s="5" t="s">
        <v>148</v>
      </c>
      <c r="H597" s="5" t="s">
        <v>3</v>
      </c>
      <c r="I597" s="5"/>
      <c r="J597" s="5" t="s">
        <v>12547</v>
      </c>
    </row>
    <row r="598" spans="1:10" ht="25.5" x14ac:dyDescent="0.2">
      <c r="A598" s="5" t="s">
        <v>12546</v>
      </c>
      <c r="B598" s="5" t="s">
        <v>83</v>
      </c>
      <c r="C598" s="5"/>
      <c r="D598" s="5" t="s">
        <v>12545</v>
      </c>
      <c r="E598" s="5" t="s">
        <v>150</v>
      </c>
      <c r="F598" s="5" t="s">
        <v>12541</v>
      </c>
      <c r="G598" s="5" t="s">
        <v>148</v>
      </c>
      <c r="H598" s="5" t="s">
        <v>3</v>
      </c>
      <c r="I598" s="5"/>
      <c r="J598" s="5" t="s">
        <v>12544</v>
      </c>
    </row>
    <row r="599" spans="1:10" ht="25.5" x14ac:dyDescent="0.2">
      <c r="A599" s="5" t="s">
        <v>12543</v>
      </c>
      <c r="B599" s="5" t="s">
        <v>83</v>
      </c>
      <c r="C599" s="5"/>
      <c r="D599" s="5" t="s">
        <v>12542</v>
      </c>
      <c r="E599" s="5" t="s">
        <v>150</v>
      </c>
      <c r="F599" s="5" t="s">
        <v>12541</v>
      </c>
      <c r="G599" s="5" t="s">
        <v>148</v>
      </c>
      <c r="H599" s="5" t="s">
        <v>3</v>
      </c>
      <c r="I599" s="5"/>
      <c r="J599" s="5" t="s">
        <v>12540</v>
      </c>
    </row>
    <row r="600" spans="1:10" x14ac:dyDescent="0.2">
      <c r="A600" s="5" t="s">
        <v>12539</v>
      </c>
      <c r="B600" s="5" t="s">
        <v>83</v>
      </c>
      <c r="C600" s="5"/>
      <c r="D600" s="5" t="s">
        <v>12538</v>
      </c>
      <c r="E600" s="5" t="s">
        <v>12529</v>
      </c>
      <c r="F600" s="5" t="s">
        <v>12537</v>
      </c>
      <c r="G600" s="5" t="s">
        <v>382</v>
      </c>
      <c r="H600" s="5" t="s">
        <v>3</v>
      </c>
      <c r="I600" s="5"/>
      <c r="J600" s="5" t="s">
        <v>12536</v>
      </c>
    </row>
    <row r="601" spans="1:10" x14ac:dyDescent="0.2">
      <c r="A601" s="5" t="s">
        <v>12535</v>
      </c>
      <c r="B601" s="5" t="s">
        <v>83</v>
      </c>
      <c r="C601" s="5"/>
      <c r="D601" s="5" t="s">
        <v>12534</v>
      </c>
      <c r="E601" s="5" t="s">
        <v>12529</v>
      </c>
      <c r="F601" s="5" t="s">
        <v>12533</v>
      </c>
      <c r="G601" s="5" t="s">
        <v>382</v>
      </c>
      <c r="H601" s="5" t="s">
        <v>3</v>
      </c>
      <c r="I601" s="5"/>
      <c r="J601" s="5" t="s">
        <v>12532</v>
      </c>
    </row>
    <row r="602" spans="1:10" x14ac:dyDescent="0.2">
      <c r="A602" s="5" t="s">
        <v>12531</v>
      </c>
      <c r="B602" s="5" t="s">
        <v>83</v>
      </c>
      <c r="C602" s="5"/>
      <c r="D602" s="5" t="s">
        <v>12530</v>
      </c>
      <c r="E602" s="5" t="s">
        <v>12529</v>
      </c>
      <c r="F602" s="5" t="s">
        <v>12528</v>
      </c>
      <c r="G602" s="5" t="s">
        <v>382</v>
      </c>
      <c r="H602" s="5" t="s">
        <v>3</v>
      </c>
      <c r="I602" s="5"/>
      <c r="J602" s="5" t="s">
        <v>12527</v>
      </c>
    </row>
    <row r="603" spans="1:10" x14ac:dyDescent="0.2">
      <c r="A603" s="5" t="s">
        <v>12526</v>
      </c>
      <c r="B603" s="5" t="s">
        <v>83</v>
      </c>
      <c r="C603" s="5"/>
      <c r="D603" s="5" t="s">
        <v>12525</v>
      </c>
      <c r="E603" s="5"/>
      <c r="F603" s="5" t="s">
        <v>12524</v>
      </c>
      <c r="G603" s="5" t="s">
        <v>382</v>
      </c>
      <c r="H603" s="5" t="s">
        <v>3</v>
      </c>
      <c r="I603" s="5"/>
      <c r="J603" s="5" t="s">
        <v>12523</v>
      </c>
    </row>
    <row r="604" spans="1:10" x14ac:dyDescent="0.2">
      <c r="A604" s="5" t="s">
        <v>12522</v>
      </c>
      <c r="B604" s="5" t="s">
        <v>83</v>
      </c>
      <c r="C604" s="5"/>
      <c r="D604" s="5" t="s">
        <v>12521</v>
      </c>
      <c r="E604" s="5"/>
      <c r="F604" s="5" t="s">
        <v>12520</v>
      </c>
      <c r="G604" s="5" t="s">
        <v>382</v>
      </c>
      <c r="H604" s="5" t="s">
        <v>3</v>
      </c>
      <c r="I604" s="5"/>
      <c r="J604" s="5" t="s">
        <v>12519</v>
      </c>
    </row>
    <row r="605" spans="1:10" x14ac:dyDescent="0.2">
      <c r="A605" s="5" t="s">
        <v>12518</v>
      </c>
      <c r="B605" s="5" t="s">
        <v>83</v>
      </c>
      <c r="C605" s="5"/>
      <c r="D605" s="5" t="s">
        <v>12517</v>
      </c>
      <c r="E605" s="5"/>
      <c r="F605" s="5" t="s">
        <v>12516</v>
      </c>
      <c r="G605" s="5" t="s">
        <v>382</v>
      </c>
      <c r="H605" s="5" t="s">
        <v>3</v>
      </c>
      <c r="I605" s="5"/>
      <c r="J605" s="5" t="s">
        <v>12515</v>
      </c>
    </row>
    <row r="606" spans="1:10" x14ac:dyDescent="0.2">
      <c r="A606" s="5" t="s">
        <v>12514</v>
      </c>
      <c r="B606" s="5" t="s">
        <v>83</v>
      </c>
      <c r="C606" s="5"/>
      <c r="D606" s="5" t="s">
        <v>12513</v>
      </c>
      <c r="E606" s="5" t="s">
        <v>12504</v>
      </c>
      <c r="F606" s="5" t="s">
        <v>12512</v>
      </c>
      <c r="G606" s="5" t="s">
        <v>382</v>
      </c>
      <c r="H606" s="5" t="s">
        <v>3</v>
      </c>
      <c r="I606" s="5"/>
      <c r="J606" s="5" t="s">
        <v>12511</v>
      </c>
    </row>
    <row r="607" spans="1:10" x14ac:dyDescent="0.2">
      <c r="A607" s="5" t="s">
        <v>12510</v>
      </c>
      <c r="B607" s="5" t="s">
        <v>83</v>
      </c>
      <c r="C607" s="5"/>
      <c r="D607" s="5" t="s">
        <v>12509</v>
      </c>
      <c r="E607" s="5" t="s">
        <v>368</v>
      </c>
      <c r="F607" s="5" t="s">
        <v>12508</v>
      </c>
      <c r="G607" s="5" t="s">
        <v>382</v>
      </c>
      <c r="H607" s="5" t="s">
        <v>3</v>
      </c>
      <c r="I607" s="5"/>
      <c r="J607" s="5" t="s">
        <v>12507</v>
      </c>
    </row>
    <row r="608" spans="1:10" x14ac:dyDescent="0.2">
      <c r="A608" s="5" t="s">
        <v>12506</v>
      </c>
      <c r="B608" s="5" t="s">
        <v>83</v>
      </c>
      <c r="C608" s="5"/>
      <c r="D608" s="5" t="s">
        <v>12505</v>
      </c>
      <c r="E608" s="5" t="s">
        <v>12504</v>
      </c>
      <c r="F608" s="5" t="s">
        <v>12503</v>
      </c>
      <c r="G608" s="5" t="s">
        <v>382</v>
      </c>
      <c r="H608" s="5" t="s">
        <v>3</v>
      </c>
      <c r="I608" s="5"/>
      <c r="J608" s="5" t="s">
        <v>12502</v>
      </c>
    </row>
    <row r="609" spans="1:10" x14ac:dyDescent="0.2">
      <c r="A609" s="5" t="s">
        <v>12501</v>
      </c>
      <c r="B609" s="5" t="s">
        <v>83</v>
      </c>
      <c r="C609" s="5"/>
      <c r="D609" s="5" t="s">
        <v>12500</v>
      </c>
      <c r="E609" s="5" t="s">
        <v>138</v>
      </c>
      <c r="F609" s="5" t="s">
        <v>5834</v>
      </c>
      <c r="G609" s="5" t="s">
        <v>173</v>
      </c>
      <c r="H609" s="5" t="s">
        <v>3</v>
      </c>
      <c r="I609" s="5"/>
      <c r="J609" s="5" t="s">
        <v>12499</v>
      </c>
    </row>
    <row r="610" spans="1:10" x14ac:dyDescent="0.2">
      <c r="A610" s="5" t="s">
        <v>12498</v>
      </c>
      <c r="B610" s="5" t="s">
        <v>83</v>
      </c>
      <c r="C610" s="5"/>
      <c r="D610" s="5" t="s">
        <v>12497</v>
      </c>
      <c r="E610" s="5" t="s">
        <v>138</v>
      </c>
      <c r="F610" s="5" t="s">
        <v>5834</v>
      </c>
      <c r="G610" s="5" t="s">
        <v>173</v>
      </c>
      <c r="H610" s="5" t="s">
        <v>3</v>
      </c>
      <c r="I610" s="5"/>
      <c r="J610" s="5" t="s">
        <v>12496</v>
      </c>
    </row>
    <row r="611" spans="1:10" x14ac:dyDescent="0.2">
      <c r="A611" s="5" t="s">
        <v>12495</v>
      </c>
      <c r="B611" s="5" t="s">
        <v>83</v>
      </c>
      <c r="C611" s="5"/>
      <c r="D611" s="5" t="s">
        <v>12494</v>
      </c>
      <c r="E611" s="5" t="s">
        <v>138</v>
      </c>
      <c r="F611" s="5" t="s">
        <v>5834</v>
      </c>
      <c r="G611" s="5" t="s">
        <v>173</v>
      </c>
      <c r="H611" s="5" t="s">
        <v>3</v>
      </c>
      <c r="I611" s="5"/>
      <c r="J611" s="5" t="s">
        <v>12493</v>
      </c>
    </row>
    <row r="612" spans="1:10" x14ac:dyDescent="0.2">
      <c r="A612" s="5" t="s">
        <v>12492</v>
      </c>
      <c r="B612" s="5" t="s">
        <v>83</v>
      </c>
      <c r="C612" s="5"/>
      <c r="D612" s="5" t="s">
        <v>12491</v>
      </c>
      <c r="E612" s="5" t="s">
        <v>138</v>
      </c>
      <c r="F612" s="5" t="s">
        <v>5834</v>
      </c>
      <c r="G612" s="5" t="s">
        <v>173</v>
      </c>
      <c r="H612" s="5" t="s">
        <v>3</v>
      </c>
      <c r="I612" s="5"/>
      <c r="J612" s="5" t="s">
        <v>12490</v>
      </c>
    </row>
    <row r="613" spans="1:10" ht="25.5" x14ac:dyDescent="0.2">
      <c r="A613" s="5" t="s">
        <v>12489</v>
      </c>
      <c r="B613" s="5" t="s">
        <v>83</v>
      </c>
      <c r="C613" s="5"/>
      <c r="D613" s="5" t="s">
        <v>12488</v>
      </c>
      <c r="E613" s="5" t="s">
        <v>138</v>
      </c>
      <c r="F613" s="5" t="s">
        <v>5834</v>
      </c>
      <c r="G613" s="5" t="s">
        <v>173</v>
      </c>
      <c r="H613" s="5" t="s">
        <v>3</v>
      </c>
      <c r="I613" s="5"/>
      <c r="J613" s="5" t="s">
        <v>12487</v>
      </c>
    </row>
    <row r="614" spans="1:10" ht="25.5" x14ac:dyDescent="0.2">
      <c r="A614" s="5" t="s">
        <v>12486</v>
      </c>
      <c r="B614" s="5" t="s">
        <v>83</v>
      </c>
      <c r="C614" s="5"/>
      <c r="D614" s="5" t="s">
        <v>12485</v>
      </c>
      <c r="E614" s="5" t="s">
        <v>138</v>
      </c>
      <c r="F614" s="5" t="s">
        <v>5834</v>
      </c>
      <c r="G614" s="5" t="s">
        <v>173</v>
      </c>
      <c r="H614" s="5" t="s">
        <v>3</v>
      </c>
      <c r="I614" s="5"/>
      <c r="J614" s="5" t="s">
        <v>12484</v>
      </c>
    </row>
    <row r="615" spans="1:10" ht="25.5" x14ac:dyDescent="0.2">
      <c r="A615" s="5" t="s">
        <v>12483</v>
      </c>
      <c r="B615" s="5" t="s">
        <v>83</v>
      </c>
      <c r="C615" s="5"/>
      <c r="D615" s="5" t="s">
        <v>12482</v>
      </c>
      <c r="E615" s="5"/>
      <c r="F615" s="5" t="s">
        <v>12475</v>
      </c>
      <c r="G615" s="5" t="s">
        <v>173</v>
      </c>
      <c r="H615" s="5" t="s">
        <v>3</v>
      </c>
      <c r="I615" s="5"/>
      <c r="J615" s="5" t="s">
        <v>12481</v>
      </c>
    </row>
    <row r="616" spans="1:10" ht="25.5" x14ac:dyDescent="0.2">
      <c r="A616" s="5" t="s">
        <v>12480</v>
      </c>
      <c r="B616" s="5" t="s">
        <v>83</v>
      </c>
      <c r="C616" s="5"/>
      <c r="D616" s="5" t="s">
        <v>12479</v>
      </c>
      <c r="E616" s="5"/>
      <c r="F616" s="5" t="s">
        <v>12475</v>
      </c>
      <c r="G616" s="5" t="s">
        <v>173</v>
      </c>
      <c r="H616" s="5" t="s">
        <v>3</v>
      </c>
      <c r="I616" s="5"/>
      <c r="J616" s="5" t="s">
        <v>12478</v>
      </c>
    </row>
    <row r="617" spans="1:10" ht="25.5" x14ac:dyDescent="0.2">
      <c r="A617" s="5" t="s">
        <v>12477</v>
      </c>
      <c r="B617" s="5" t="s">
        <v>83</v>
      </c>
      <c r="C617" s="5"/>
      <c r="D617" s="5" t="s">
        <v>12476</v>
      </c>
      <c r="E617" s="5"/>
      <c r="F617" s="5" t="s">
        <v>12475</v>
      </c>
      <c r="G617" s="5" t="s">
        <v>173</v>
      </c>
      <c r="H617" s="5" t="s">
        <v>3</v>
      </c>
      <c r="I617" s="5"/>
      <c r="J617" s="5" t="s">
        <v>12474</v>
      </c>
    </row>
    <row r="618" spans="1:10" x14ac:dyDescent="0.2">
      <c r="A618" s="5" t="s">
        <v>12473</v>
      </c>
      <c r="B618" s="5" t="s">
        <v>83</v>
      </c>
      <c r="C618" s="5"/>
      <c r="D618" s="5" t="s">
        <v>12472</v>
      </c>
      <c r="E618" s="5"/>
      <c r="F618" s="5" t="s">
        <v>12471</v>
      </c>
      <c r="G618" s="5" t="s">
        <v>382</v>
      </c>
      <c r="H618" s="5" t="s">
        <v>3</v>
      </c>
      <c r="I618" s="5"/>
      <c r="J618" s="5" t="s">
        <v>12470</v>
      </c>
    </row>
    <row r="619" spans="1:10" x14ac:dyDescent="0.2">
      <c r="A619" s="5" t="s">
        <v>12469</v>
      </c>
      <c r="B619" s="5" t="s">
        <v>83</v>
      </c>
      <c r="C619" s="5"/>
      <c r="D619" s="5" t="s">
        <v>12468</v>
      </c>
      <c r="E619" s="5"/>
      <c r="F619" s="5" t="s">
        <v>12467</v>
      </c>
      <c r="G619" s="5" t="s">
        <v>382</v>
      </c>
      <c r="H619" s="5" t="s">
        <v>3</v>
      </c>
      <c r="I619" s="5"/>
      <c r="J619" s="5" t="s">
        <v>12466</v>
      </c>
    </row>
    <row r="620" spans="1:10" x14ac:dyDescent="0.2">
      <c r="A620" s="5" t="s">
        <v>12465</v>
      </c>
      <c r="B620" s="5" t="s">
        <v>83</v>
      </c>
      <c r="C620" s="5"/>
      <c r="D620" s="5" t="s">
        <v>12464</v>
      </c>
      <c r="E620" s="5"/>
      <c r="F620" s="5" t="s">
        <v>12463</v>
      </c>
      <c r="G620" s="5" t="s">
        <v>382</v>
      </c>
      <c r="H620" s="5" t="s">
        <v>3</v>
      </c>
      <c r="I620" s="5"/>
      <c r="J620" s="5" t="s">
        <v>12462</v>
      </c>
    </row>
    <row r="621" spans="1:10" x14ac:dyDescent="0.2">
      <c r="A621" s="5" t="s">
        <v>12461</v>
      </c>
      <c r="B621" s="5" t="s">
        <v>83</v>
      </c>
      <c r="C621" s="5"/>
      <c r="D621" s="5" t="s">
        <v>12460</v>
      </c>
      <c r="E621" s="5" t="s">
        <v>150</v>
      </c>
      <c r="F621" s="5" t="s">
        <v>4849</v>
      </c>
      <c r="G621" s="5" t="s">
        <v>148</v>
      </c>
      <c r="H621" s="5" t="s">
        <v>137</v>
      </c>
      <c r="I621" s="5" t="s">
        <v>2756</v>
      </c>
      <c r="J621" s="5" t="s">
        <v>12459</v>
      </c>
    </row>
    <row r="622" spans="1:10" x14ac:dyDescent="0.2">
      <c r="A622" s="5" t="s">
        <v>2251</v>
      </c>
      <c r="B622" s="5" t="s">
        <v>83</v>
      </c>
      <c r="C622" s="5"/>
      <c r="D622" s="5" t="s">
        <v>12458</v>
      </c>
      <c r="E622" s="5" t="s">
        <v>288</v>
      </c>
      <c r="F622" s="5" t="s">
        <v>12457</v>
      </c>
      <c r="G622" s="5" t="s">
        <v>91</v>
      </c>
      <c r="H622" s="5" t="s">
        <v>3</v>
      </c>
      <c r="I622" s="5"/>
      <c r="J622" s="5"/>
    </row>
    <row r="623" spans="1:10" x14ac:dyDescent="0.2">
      <c r="A623" s="5" t="s">
        <v>10617</v>
      </c>
      <c r="B623" s="5" t="s">
        <v>83</v>
      </c>
      <c r="C623" s="5"/>
      <c r="D623" s="5" t="s">
        <v>12456</v>
      </c>
      <c r="E623" s="5" t="s">
        <v>93</v>
      </c>
      <c r="F623" s="5" t="s">
        <v>10615</v>
      </c>
      <c r="G623" s="5" t="s">
        <v>91</v>
      </c>
      <c r="H623" s="5" t="s">
        <v>3</v>
      </c>
      <c r="I623" s="5"/>
      <c r="J623" s="5" t="s">
        <v>10614</v>
      </c>
    </row>
    <row r="624" spans="1:10" x14ac:dyDescent="0.2">
      <c r="A624" s="5" t="s">
        <v>12455</v>
      </c>
      <c r="B624" s="5" t="s">
        <v>83</v>
      </c>
      <c r="C624" s="5"/>
      <c r="D624" s="5" t="s">
        <v>12454</v>
      </c>
      <c r="E624" s="5"/>
      <c r="F624" s="5" t="s">
        <v>12453</v>
      </c>
      <c r="G624" s="5" t="s">
        <v>6584</v>
      </c>
      <c r="H624" s="5" t="s">
        <v>3</v>
      </c>
      <c r="I624" s="5"/>
      <c r="J624" s="5"/>
    </row>
    <row r="625" spans="1:10" x14ac:dyDescent="0.2">
      <c r="A625" s="5" t="s">
        <v>472</v>
      </c>
      <c r="B625" s="5" t="s">
        <v>83</v>
      </c>
      <c r="C625" s="5"/>
      <c r="D625" s="5" t="s">
        <v>476</v>
      </c>
      <c r="E625" s="5"/>
      <c r="F625" s="5"/>
      <c r="G625" s="5" t="s">
        <v>475</v>
      </c>
      <c r="H625" s="5" t="s">
        <v>3</v>
      </c>
      <c r="I625" s="5"/>
      <c r="J625" s="5"/>
    </row>
    <row r="626" spans="1:10" x14ac:dyDescent="0.2">
      <c r="A626" s="5" t="s">
        <v>12452</v>
      </c>
      <c r="B626" s="5" t="s">
        <v>83</v>
      </c>
      <c r="C626" s="5"/>
      <c r="D626" s="5" t="s">
        <v>12448</v>
      </c>
      <c r="E626" s="5"/>
      <c r="F626" s="5" t="s">
        <v>12451</v>
      </c>
      <c r="G626" s="5" t="s">
        <v>173</v>
      </c>
      <c r="H626" s="5" t="s">
        <v>3</v>
      </c>
      <c r="I626" s="5"/>
      <c r="J626" s="5" t="s">
        <v>12450</v>
      </c>
    </row>
    <row r="627" spans="1:10" x14ac:dyDescent="0.2">
      <c r="A627" s="5" t="s">
        <v>12449</v>
      </c>
      <c r="B627" s="5" t="s">
        <v>83</v>
      </c>
      <c r="C627" s="5"/>
      <c r="D627" s="5" t="s">
        <v>12448</v>
      </c>
      <c r="E627" s="5"/>
      <c r="F627" s="5" t="s">
        <v>12443</v>
      </c>
      <c r="G627" s="5" t="s">
        <v>173</v>
      </c>
      <c r="H627" s="5" t="s">
        <v>3</v>
      </c>
      <c r="I627" s="5"/>
      <c r="J627" s="5" t="s">
        <v>12447</v>
      </c>
    </row>
    <row r="628" spans="1:10" ht="25.5" x14ac:dyDescent="0.2">
      <c r="A628" s="5" t="s">
        <v>12446</v>
      </c>
      <c r="B628" s="5" t="s">
        <v>83</v>
      </c>
      <c r="C628" s="5"/>
      <c r="D628" s="5" t="s">
        <v>12445</v>
      </c>
      <c r="E628" s="5" t="s">
        <v>12444</v>
      </c>
      <c r="F628" s="5" t="s">
        <v>12443</v>
      </c>
      <c r="G628" s="5" t="s">
        <v>91</v>
      </c>
      <c r="H628" s="5" t="s">
        <v>3</v>
      </c>
      <c r="I628" s="5"/>
      <c r="J628" s="5" t="s">
        <v>12442</v>
      </c>
    </row>
    <row r="629" spans="1:10" x14ac:dyDescent="0.2">
      <c r="A629" s="5" t="s">
        <v>10601</v>
      </c>
      <c r="B629" s="5" t="s">
        <v>83</v>
      </c>
      <c r="C629" s="5"/>
      <c r="D629" s="5" t="s">
        <v>10600</v>
      </c>
      <c r="E629" s="5"/>
      <c r="F629" s="5"/>
      <c r="G629" s="5" t="s">
        <v>4028</v>
      </c>
      <c r="H629" s="5" t="s">
        <v>3</v>
      </c>
      <c r="I629" s="5"/>
      <c r="J629" s="5"/>
    </row>
    <row r="630" spans="1:10" x14ac:dyDescent="0.2">
      <c r="A630" s="5" t="s">
        <v>12441</v>
      </c>
      <c r="B630" s="5" t="s">
        <v>83</v>
      </c>
      <c r="C630" s="5"/>
      <c r="D630" s="5" t="s">
        <v>12440</v>
      </c>
      <c r="E630" s="5" t="s">
        <v>93</v>
      </c>
      <c r="F630" s="5" t="s">
        <v>12439</v>
      </c>
      <c r="G630" s="5" t="s">
        <v>6584</v>
      </c>
      <c r="H630" s="5" t="s">
        <v>3</v>
      </c>
      <c r="I630" s="5"/>
      <c r="J630" s="5" t="s">
        <v>12438</v>
      </c>
    </row>
    <row r="631" spans="1:10" ht="25.5" x14ac:dyDescent="0.2">
      <c r="A631" s="5" t="s">
        <v>10594</v>
      </c>
      <c r="B631" s="5" t="s">
        <v>83</v>
      </c>
      <c r="C631" s="5"/>
      <c r="D631" s="5" t="s">
        <v>12437</v>
      </c>
      <c r="E631" s="5"/>
      <c r="F631" s="5" t="s">
        <v>10593</v>
      </c>
      <c r="G631" s="5" t="s">
        <v>118</v>
      </c>
      <c r="H631" s="5" t="s">
        <v>3</v>
      </c>
      <c r="I631" s="5"/>
      <c r="J631" s="5" t="s">
        <v>12436</v>
      </c>
    </row>
    <row r="632" spans="1:10" x14ac:dyDescent="0.2">
      <c r="A632" s="5" t="s">
        <v>10583</v>
      </c>
      <c r="B632" s="5" t="s">
        <v>83</v>
      </c>
      <c r="C632" s="5"/>
      <c r="D632" s="5" t="s">
        <v>12435</v>
      </c>
      <c r="E632" s="5" t="s">
        <v>368</v>
      </c>
      <c r="F632" s="5" t="s">
        <v>11775</v>
      </c>
      <c r="G632" s="5" t="s">
        <v>91</v>
      </c>
      <c r="H632" s="5" t="s">
        <v>3</v>
      </c>
      <c r="I632" s="5"/>
      <c r="J632" s="5" t="s">
        <v>10580</v>
      </c>
    </row>
    <row r="633" spans="1:10" ht="25.5" x14ac:dyDescent="0.2">
      <c r="A633" s="5" t="s">
        <v>12434</v>
      </c>
      <c r="B633" s="5" t="s">
        <v>83</v>
      </c>
      <c r="C633" s="5"/>
      <c r="D633" s="5" t="s">
        <v>11059</v>
      </c>
      <c r="E633" s="5"/>
      <c r="F633" s="5" t="s">
        <v>11060</v>
      </c>
      <c r="G633" s="5" t="s">
        <v>105</v>
      </c>
      <c r="H633" s="5" t="s">
        <v>3</v>
      </c>
      <c r="I633" s="5"/>
      <c r="J633" s="5" t="s">
        <v>12433</v>
      </c>
    </row>
    <row r="634" spans="1:10" ht="25.5" x14ac:dyDescent="0.2">
      <c r="A634" s="5" t="s">
        <v>360</v>
      </c>
      <c r="B634" s="5" t="s">
        <v>83</v>
      </c>
      <c r="C634" s="5"/>
      <c r="D634" s="5" t="s">
        <v>10579</v>
      </c>
      <c r="E634" s="5"/>
      <c r="F634" s="5" t="s">
        <v>358</v>
      </c>
      <c r="G634" s="5" t="s">
        <v>357</v>
      </c>
      <c r="H634" s="5" t="s">
        <v>3</v>
      </c>
      <c r="I634" s="5"/>
      <c r="J634" s="5" t="s">
        <v>12431</v>
      </c>
    </row>
    <row r="635" spans="1:10" ht="25.5" x14ac:dyDescent="0.2">
      <c r="A635" s="5" t="s">
        <v>12432</v>
      </c>
      <c r="B635" s="5" t="s">
        <v>83</v>
      </c>
      <c r="C635" s="5"/>
      <c r="D635" s="5" t="s">
        <v>10579</v>
      </c>
      <c r="E635" s="5"/>
      <c r="F635" s="5" t="s">
        <v>358</v>
      </c>
      <c r="G635" s="5" t="s">
        <v>4057</v>
      </c>
      <c r="H635" s="5" t="s">
        <v>3</v>
      </c>
      <c r="I635" s="5"/>
      <c r="J635" s="5" t="s">
        <v>12431</v>
      </c>
    </row>
    <row r="636" spans="1:10" ht="25.5" x14ac:dyDescent="0.2">
      <c r="A636" s="5" t="s">
        <v>12429</v>
      </c>
      <c r="B636" s="5" t="s">
        <v>83</v>
      </c>
      <c r="C636" s="5"/>
      <c r="D636" s="5" t="s">
        <v>12430</v>
      </c>
      <c r="E636" s="5" t="s">
        <v>368</v>
      </c>
      <c r="F636" s="5" t="s">
        <v>12429</v>
      </c>
      <c r="G636" s="5" t="s">
        <v>382</v>
      </c>
      <c r="H636" s="5" t="s">
        <v>3</v>
      </c>
      <c r="I636" s="5"/>
      <c r="J636" s="5" t="s">
        <v>12428</v>
      </c>
    </row>
    <row r="637" spans="1:10" ht="25.5" x14ac:dyDescent="0.2">
      <c r="A637" s="5" t="s">
        <v>12427</v>
      </c>
      <c r="B637" s="5" t="s">
        <v>83</v>
      </c>
      <c r="C637" s="5"/>
      <c r="D637" s="5" t="s">
        <v>12426</v>
      </c>
      <c r="E637" s="5"/>
      <c r="F637" s="5" t="s">
        <v>12393</v>
      </c>
      <c r="G637" s="5" t="s">
        <v>234</v>
      </c>
      <c r="H637" s="5" t="s">
        <v>3</v>
      </c>
      <c r="I637" s="5"/>
      <c r="J637" s="5" t="s">
        <v>12425</v>
      </c>
    </row>
    <row r="638" spans="1:10" x14ac:dyDescent="0.2">
      <c r="A638" s="5" t="s">
        <v>12424</v>
      </c>
      <c r="B638" s="5" t="s">
        <v>83</v>
      </c>
      <c r="C638" s="5"/>
      <c r="D638" s="5" t="s">
        <v>12423</v>
      </c>
      <c r="E638" s="5"/>
      <c r="F638" s="5" t="s">
        <v>9101</v>
      </c>
      <c r="G638" s="5" t="s">
        <v>7378</v>
      </c>
      <c r="H638" s="5" t="s">
        <v>3</v>
      </c>
      <c r="I638" s="5"/>
      <c r="J638" s="5" t="s">
        <v>12422</v>
      </c>
    </row>
    <row r="639" spans="1:10" x14ac:dyDescent="0.2">
      <c r="A639" s="5" t="s">
        <v>10577</v>
      </c>
      <c r="B639" s="5" t="s">
        <v>83</v>
      </c>
      <c r="C639" s="5"/>
      <c r="D639" s="5" t="s">
        <v>12421</v>
      </c>
      <c r="E639" s="5"/>
      <c r="F639" s="5" t="s">
        <v>12420</v>
      </c>
      <c r="G639" s="5" t="s">
        <v>105</v>
      </c>
      <c r="H639" s="5" t="s">
        <v>3</v>
      </c>
      <c r="I639" s="5"/>
      <c r="J639" s="5" t="s">
        <v>12419</v>
      </c>
    </row>
    <row r="640" spans="1:10" ht="25.5" x14ac:dyDescent="0.2">
      <c r="A640" s="5" t="s">
        <v>12418</v>
      </c>
      <c r="B640" s="5" t="s">
        <v>83</v>
      </c>
      <c r="C640" s="5"/>
      <c r="D640" s="5" t="s">
        <v>12417</v>
      </c>
      <c r="E640" s="5" t="s">
        <v>3057</v>
      </c>
      <c r="F640" s="5" t="s">
        <v>345</v>
      </c>
      <c r="G640" s="5" t="s">
        <v>91</v>
      </c>
      <c r="H640" s="5" t="s">
        <v>3</v>
      </c>
      <c r="I640" s="5"/>
      <c r="J640" s="5" t="s">
        <v>12416</v>
      </c>
    </row>
    <row r="641" spans="1:10" ht="25.5" x14ac:dyDescent="0.2">
      <c r="A641" s="5" t="s">
        <v>9260</v>
      </c>
      <c r="B641" s="5" t="s">
        <v>83</v>
      </c>
      <c r="C641" s="5"/>
      <c r="D641" s="5" t="s">
        <v>9687</v>
      </c>
      <c r="E641" s="5"/>
      <c r="F641" s="5" t="s">
        <v>354</v>
      </c>
      <c r="G641" s="5" t="s">
        <v>173</v>
      </c>
      <c r="H641" s="5" t="s">
        <v>3</v>
      </c>
      <c r="I641" s="5"/>
      <c r="J641" s="5" t="s">
        <v>12415</v>
      </c>
    </row>
    <row r="642" spans="1:10" x14ac:dyDescent="0.2">
      <c r="A642" s="5" t="s">
        <v>12414</v>
      </c>
      <c r="B642" s="5" t="s">
        <v>83</v>
      </c>
      <c r="C642" s="5"/>
      <c r="D642" s="5" t="s">
        <v>12414</v>
      </c>
      <c r="E642" s="5"/>
      <c r="F642" s="5" t="s">
        <v>354</v>
      </c>
      <c r="G642" s="5" t="s">
        <v>173</v>
      </c>
      <c r="H642" s="5" t="s">
        <v>3</v>
      </c>
      <c r="I642" s="5"/>
      <c r="J642" s="5" t="s">
        <v>12413</v>
      </c>
    </row>
    <row r="643" spans="1:10" ht="25.5" x14ac:dyDescent="0.2">
      <c r="A643" s="5" t="s">
        <v>10538</v>
      </c>
      <c r="B643" s="5" t="s">
        <v>83</v>
      </c>
      <c r="C643" s="5"/>
      <c r="D643" s="5" t="s">
        <v>12412</v>
      </c>
      <c r="E643" s="5"/>
      <c r="F643" s="5" t="s">
        <v>10536</v>
      </c>
      <c r="G643" s="5" t="s">
        <v>224</v>
      </c>
      <c r="H643" s="5" t="s">
        <v>3</v>
      </c>
      <c r="I643" s="5"/>
      <c r="J643" s="5" t="s">
        <v>12411</v>
      </c>
    </row>
    <row r="644" spans="1:10" ht="25.5" x14ac:dyDescent="0.2">
      <c r="A644" s="5" t="s">
        <v>10534</v>
      </c>
      <c r="B644" s="5" t="s">
        <v>83</v>
      </c>
      <c r="C644" s="5"/>
      <c r="D644" s="5" t="s">
        <v>12410</v>
      </c>
      <c r="E644" s="5"/>
      <c r="F644" s="5" t="s">
        <v>10530</v>
      </c>
      <c r="G644" s="5" t="s">
        <v>105</v>
      </c>
      <c r="H644" s="5" t="s">
        <v>3</v>
      </c>
      <c r="I644" s="5"/>
      <c r="J644" s="5" t="s">
        <v>12404</v>
      </c>
    </row>
    <row r="645" spans="1:10" ht="38.25" x14ac:dyDescent="0.2">
      <c r="A645" s="5" t="s">
        <v>12409</v>
      </c>
      <c r="B645" s="5" t="s">
        <v>83</v>
      </c>
      <c r="C645" s="5"/>
      <c r="D645" s="5" t="s">
        <v>12408</v>
      </c>
      <c r="E645" s="5"/>
      <c r="F645" s="5" t="s">
        <v>12407</v>
      </c>
      <c r="G645" s="5" t="s">
        <v>224</v>
      </c>
      <c r="H645" s="5" t="s">
        <v>3</v>
      </c>
      <c r="I645" s="5"/>
      <c r="J645" s="5" t="s">
        <v>12406</v>
      </c>
    </row>
    <row r="646" spans="1:10" ht="25.5" x14ac:dyDescent="0.2">
      <c r="A646" s="5" t="s">
        <v>10532</v>
      </c>
      <c r="B646" s="5" t="s">
        <v>83</v>
      </c>
      <c r="C646" s="5"/>
      <c r="D646" s="5" t="s">
        <v>12405</v>
      </c>
      <c r="E646" s="5"/>
      <c r="F646" s="5" t="s">
        <v>10530</v>
      </c>
      <c r="G646" s="5" t="s">
        <v>80</v>
      </c>
      <c r="H646" s="5" t="s">
        <v>3</v>
      </c>
      <c r="I646" s="5"/>
      <c r="J646" s="5" t="s">
        <v>12404</v>
      </c>
    </row>
    <row r="647" spans="1:10" ht="25.5" x14ac:dyDescent="0.2">
      <c r="A647" s="5" t="s">
        <v>12403</v>
      </c>
      <c r="B647" s="5" t="s">
        <v>83</v>
      </c>
      <c r="C647" s="5"/>
      <c r="D647" s="5" t="s">
        <v>12402</v>
      </c>
      <c r="E647" s="5"/>
      <c r="F647" s="5" t="s">
        <v>12401</v>
      </c>
      <c r="G647" s="5" t="s">
        <v>224</v>
      </c>
      <c r="H647" s="5" t="s">
        <v>3</v>
      </c>
      <c r="I647" s="5"/>
      <c r="J647" s="5" t="s">
        <v>12400</v>
      </c>
    </row>
    <row r="648" spans="1:10" ht="25.5" x14ac:dyDescent="0.2">
      <c r="A648" s="5" t="s">
        <v>12399</v>
      </c>
      <c r="B648" s="5" t="s">
        <v>83</v>
      </c>
      <c r="C648" s="5"/>
      <c r="D648" s="5" t="s">
        <v>12398</v>
      </c>
      <c r="E648" s="5"/>
      <c r="F648" s="5" t="s">
        <v>12397</v>
      </c>
      <c r="G648" s="5" t="s">
        <v>118</v>
      </c>
      <c r="H648" s="5" t="s">
        <v>3</v>
      </c>
      <c r="I648" s="5"/>
      <c r="J648" s="5" t="s">
        <v>12396</v>
      </c>
    </row>
    <row r="649" spans="1:10" x14ac:dyDescent="0.2">
      <c r="A649" s="5" t="s">
        <v>12395</v>
      </c>
      <c r="B649" s="5" t="s">
        <v>83</v>
      </c>
      <c r="C649" s="5"/>
      <c r="D649" s="5" t="s">
        <v>12394</v>
      </c>
      <c r="E649" s="5"/>
      <c r="F649" s="5" t="s">
        <v>12393</v>
      </c>
      <c r="G649" s="5" t="s">
        <v>4028</v>
      </c>
      <c r="H649" s="5" t="s">
        <v>3</v>
      </c>
      <c r="I649" s="5"/>
      <c r="J649" s="5" t="s">
        <v>12392</v>
      </c>
    </row>
    <row r="650" spans="1:10" x14ac:dyDescent="0.2">
      <c r="A650" s="5" t="s">
        <v>12390</v>
      </c>
      <c r="B650" s="5" t="s">
        <v>83</v>
      </c>
      <c r="C650" s="5"/>
      <c r="D650" s="5" t="s">
        <v>12391</v>
      </c>
      <c r="E650" s="5"/>
      <c r="F650" s="5" t="s">
        <v>12390</v>
      </c>
      <c r="G650" s="5" t="s">
        <v>283</v>
      </c>
      <c r="H650" s="5" t="s">
        <v>3</v>
      </c>
      <c r="I650" s="5"/>
      <c r="J650" s="5"/>
    </row>
    <row r="651" spans="1:10" x14ac:dyDescent="0.2">
      <c r="A651" s="5" t="s">
        <v>11607</v>
      </c>
      <c r="B651" s="5" t="s">
        <v>83</v>
      </c>
      <c r="C651" s="5"/>
      <c r="D651" s="5" t="s">
        <v>10504</v>
      </c>
      <c r="E651" s="5"/>
      <c r="F651" s="5" t="s">
        <v>259</v>
      </c>
      <c r="G651" s="5" t="s">
        <v>114</v>
      </c>
      <c r="H651" s="5" t="s">
        <v>3</v>
      </c>
      <c r="I651" s="5"/>
      <c r="J651" s="5" t="s">
        <v>11606</v>
      </c>
    </row>
    <row r="652" spans="1:10" x14ac:dyDescent="0.2">
      <c r="A652" s="5" t="s">
        <v>12389</v>
      </c>
      <c r="B652" s="5" t="s">
        <v>83</v>
      </c>
      <c r="C652" s="5"/>
      <c r="D652" s="5" t="s">
        <v>12388</v>
      </c>
      <c r="E652" s="5"/>
      <c r="F652" s="5" t="s">
        <v>259</v>
      </c>
      <c r="G652" s="5" t="s">
        <v>229</v>
      </c>
      <c r="H652" s="5" t="s">
        <v>3</v>
      </c>
      <c r="I652" s="5"/>
      <c r="J652" s="5" t="s">
        <v>12387</v>
      </c>
    </row>
    <row r="653" spans="1:10" x14ac:dyDescent="0.2">
      <c r="A653" s="5" t="s">
        <v>12386</v>
      </c>
      <c r="B653" s="5" t="s">
        <v>83</v>
      </c>
      <c r="C653" s="5"/>
      <c r="D653" s="5" t="s">
        <v>12385</v>
      </c>
      <c r="E653" s="5"/>
      <c r="F653" s="5" t="s">
        <v>259</v>
      </c>
      <c r="G653" s="5" t="s">
        <v>229</v>
      </c>
      <c r="H653" s="5" t="s">
        <v>3</v>
      </c>
      <c r="I653" s="5"/>
      <c r="J653" s="5" t="s">
        <v>12384</v>
      </c>
    </row>
    <row r="654" spans="1:10" x14ac:dyDescent="0.2">
      <c r="A654" s="5" t="s">
        <v>12383</v>
      </c>
      <c r="B654" s="5" t="s">
        <v>83</v>
      </c>
      <c r="C654" s="5"/>
      <c r="D654" s="5" t="s">
        <v>12382</v>
      </c>
      <c r="E654" s="5"/>
      <c r="F654" s="5" t="s">
        <v>259</v>
      </c>
      <c r="G654" s="5" t="s">
        <v>229</v>
      </c>
      <c r="H654" s="5" t="s">
        <v>3</v>
      </c>
      <c r="I654" s="5"/>
      <c r="J654" s="5" t="s">
        <v>12381</v>
      </c>
    </row>
    <row r="655" spans="1:10" x14ac:dyDescent="0.2">
      <c r="A655" s="5" t="s">
        <v>11601</v>
      </c>
      <c r="B655" s="5" t="s">
        <v>83</v>
      </c>
      <c r="C655" s="5"/>
      <c r="D655" s="5" t="s">
        <v>11600</v>
      </c>
      <c r="E655" s="5"/>
      <c r="F655" s="5" t="s">
        <v>259</v>
      </c>
      <c r="G655" s="5" t="s">
        <v>283</v>
      </c>
      <c r="H655" s="5" t="s">
        <v>3</v>
      </c>
      <c r="I655" s="5"/>
      <c r="J655" s="5" t="s">
        <v>11599</v>
      </c>
    </row>
    <row r="656" spans="1:10" ht="25.5" x14ac:dyDescent="0.2">
      <c r="A656" s="5" t="s">
        <v>275</v>
      </c>
      <c r="B656" s="5" t="s">
        <v>83</v>
      </c>
      <c r="C656" s="5"/>
      <c r="D656" s="5" t="s">
        <v>12380</v>
      </c>
      <c r="E656" s="5"/>
      <c r="F656" s="5" t="s">
        <v>280</v>
      </c>
      <c r="G656" s="5" t="s">
        <v>229</v>
      </c>
      <c r="H656" s="5" t="s">
        <v>3</v>
      </c>
      <c r="I656" s="5"/>
      <c r="J656" s="5" t="s">
        <v>279</v>
      </c>
    </row>
    <row r="657" spans="1:10" x14ac:dyDescent="0.2">
      <c r="A657" s="5" t="s">
        <v>12379</v>
      </c>
      <c r="B657" s="5" t="s">
        <v>83</v>
      </c>
      <c r="C657" s="5"/>
      <c r="D657" s="5" t="s">
        <v>11594</v>
      </c>
      <c r="E657" s="5"/>
      <c r="F657" s="5" t="s">
        <v>259</v>
      </c>
      <c r="G657" s="5" t="s">
        <v>114</v>
      </c>
      <c r="H657" s="5" t="s">
        <v>3</v>
      </c>
      <c r="I657" s="5"/>
      <c r="J657" s="5" t="s">
        <v>12378</v>
      </c>
    </row>
    <row r="658" spans="1:10" ht="25.5" x14ac:dyDescent="0.2">
      <c r="A658" s="5" t="s">
        <v>12044</v>
      </c>
      <c r="B658" s="5" t="s">
        <v>83</v>
      </c>
      <c r="C658" s="5"/>
      <c r="D658" s="5" t="s">
        <v>12377</v>
      </c>
      <c r="E658" s="5"/>
      <c r="F658" s="5" t="s">
        <v>259</v>
      </c>
      <c r="G658" s="5" t="s">
        <v>382</v>
      </c>
      <c r="H658" s="5" t="s">
        <v>3</v>
      </c>
      <c r="I658" s="5"/>
      <c r="J658" s="5" t="s">
        <v>12043</v>
      </c>
    </row>
    <row r="659" spans="1:10" x14ac:dyDescent="0.2">
      <c r="A659" s="5" t="s">
        <v>12376</v>
      </c>
      <c r="B659" s="5" t="s">
        <v>83</v>
      </c>
      <c r="C659" s="5"/>
      <c r="D659" s="5" t="s">
        <v>12375</v>
      </c>
      <c r="E659" s="5"/>
      <c r="F659" s="5" t="s">
        <v>259</v>
      </c>
      <c r="G659" s="5" t="s">
        <v>229</v>
      </c>
      <c r="H659" s="5" t="s">
        <v>3</v>
      </c>
      <c r="I659" s="5"/>
      <c r="J659" s="5" t="s">
        <v>12374</v>
      </c>
    </row>
    <row r="660" spans="1:10" ht="25.5" x14ac:dyDescent="0.2">
      <c r="A660" s="5" t="s">
        <v>12373</v>
      </c>
      <c r="B660" s="5" t="s">
        <v>83</v>
      </c>
      <c r="C660" s="5"/>
      <c r="D660" s="5" t="s">
        <v>12372</v>
      </c>
      <c r="E660" s="5"/>
      <c r="F660" s="5" t="s">
        <v>259</v>
      </c>
      <c r="G660" s="5" t="s">
        <v>80</v>
      </c>
      <c r="H660" s="5" t="s">
        <v>3</v>
      </c>
      <c r="I660" s="5"/>
      <c r="J660" s="5" t="s">
        <v>12371</v>
      </c>
    </row>
    <row r="661" spans="1:10" x14ac:dyDescent="0.2">
      <c r="A661" s="5" t="s">
        <v>11589</v>
      </c>
      <c r="B661" s="5" t="s">
        <v>83</v>
      </c>
      <c r="C661" s="5"/>
      <c r="D661" s="5" t="s">
        <v>11588</v>
      </c>
      <c r="E661" s="5" t="s">
        <v>288</v>
      </c>
      <c r="F661" s="5" t="s">
        <v>259</v>
      </c>
      <c r="G661" s="5" t="s">
        <v>229</v>
      </c>
      <c r="H661" s="5" t="s">
        <v>3</v>
      </c>
      <c r="I661" s="5"/>
      <c r="J661" s="5" t="s">
        <v>11587</v>
      </c>
    </row>
    <row r="662" spans="1:10" x14ac:dyDescent="0.2">
      <c r="A662" s="5" t="s">
        <v>265</v>
      </c>
      <c r="B662" s="5" t="s">
        <v>83</v>
      </c>
      <c r="C662" s="5"/>
      <c r="D662" s="5" t="s">
        <v>10503</v>
      </c>
      <c r="E662" s="5"/>
      <c r="F662" s="5" t="s">
        <v>259</v>
      </c>
      <c r="G662" s="5" t="s">
        <v>118</v>
      </c>
      <c r="H662" s="5" t="s">
        <v>3</v>
      </c>
      <c r="I662" s="5"/>
      <c r="J662" s="5" t="s">
        <v>262</v>
      </c>
    </row>
    <row r="663" spans="1:10" ht="25.5" x14ac:dyDescent="0.2">
      <c r="A663" s="5" t="s">
        <v>12039</v>
      </c>
      <c r="B663" s="5" t="s">
        <v>83</v>
      </c>
      <c r="C663" s="5"/>
      <c r="D663" s="5" t="s">
        <v>12370</v>
      </c>
      <c r="E663" s="5"/>
      <c r="F663" s="5" t="s">
        <v>259</v>
      </c>
      <c r="G663" s="5" t="s">
        <v>382</v>
      </c>
      <c r="H663" s="5" t="s">
        <v>3</v>
      </c>
      <c r="I663" s="5"/>
      <c r="J663" s="5" t="s">
        <v>12038</v>
      </c>
    </row>
    <row r="664" spans="1:10" x14ac:dyDescent="0.2">
      <c r="A664" s="5" t="s">
        <v>12054</v>
      </c>
      <c r="B664" s="5" t="s">
        <v>83</v>
      </c>
      <c r="C664" s="5"/>
      <c r="D664" s="5" t="s">
        <v>12369</v>
      </c>
      <c r="E664" s="5"/>
      <c r="F664" s="5" t="s">
        <v>259</v>
      </c>
      <c r="G664" s="5" t="s">
        <v>170</v>
      </c>
      <c r="H664" s="5" t="s">
        <v>3</v>
      </c>
      <c r="I664" s="5"/>
      <c r="J664" s="5" t="s">
        <v>12053</v>
      </c>
    </row>
    <row r="665" spans="1:10" x14ac:dyDescent="0.2">
      <c r="A665" s="5" t="s">
        <v>12368</v>
      </c>
      <c r="B665" s="5" t="s">
        <v>83</v>
      </c>
      <c r="C665" s="5"/>
      <c r="D665" s="5" t="s">
        <v>12367</v>
      </c>
      <c r="E665" s="5"/>
      <c r="F665" s="5" t="s">
        <v>259</v>
      </c>
      <c r="G665" s="5" t="s">
        <v>86</v>
      </c>
      <c r="H665" s="5" t="s">
        <v>3</v>
      </c>
      <c r="I665" s="5"/>
      <c r="J665" s="5" t="s">
        <v>12366</v>
      </c>
    </row>
    <row r="666" spans="1:10" ht="25.5" x14ac:dyDescent="0.2">
      <c r="A666" s="5" t="s">
        <v>11582</v>
      </c>
      <c r="B666" s="5" t="s">
        <v>83</v>
      </c>
      <c r="C666" s="5"/>
      <c r="D666" s="5" t="s">
        <v>12365</v>
      </c>
      <c r="E666" s="5"/>
      <c r="F666" s="5" t="s">
        <v>259</v>
      </c>
      <c r="G666" s="5" t="s">
        <v>80</v>
      </c>
      <c r="H666" s="5" t="s">
        <v>3</v>
      </c>
      <c r="I666" s="5"/>
      <c r="J666" s="5" t="s">
        <v>12364</v>
      </c>
    </row>
    <row r="667" spans="1:10" ht="25.5" x14ac:dyDescent="0.2">
      <c r="A667" s="5" t="s">
        <v>12042</v>
      </c>
      <c r="B667" s="5" t="s">
        <v>83</v>
      </c>
      <c r="C667" s="5"/>
      <c r="D667" s="5" t="s">
        <v>12363</v>
      </c>
      <c r="E667" s="5"/>
      <c r="F667" s="5" t="s">
        <v>259</v>
      </c>
      <c r="G667" s="5" t="s">
        <v>382</v>
      </c>
      <c r="H667" s="5" t="s">
        <v>3</v>
      </c>
      <c r="I667" s="5"/>
      <c r="J667" s="5" t="s">
        <v>12040</v>
      </c>
    </row>
    <row r="668" spans="1:10" ht="25.5" x14ac:dyDescent="0.2">
      <c r="A668" s="5" t="s">
        <v>12362</v>
      </c>
      <c r="B668" s="5" t="s">
        <v>83</v>
      </c>
      <c r="C668" s="5"/>
      <c r="D668" s="5" t="s">
        <v>12361</v>
      </c>
      <c r="E668" s="5"/>
      <c r="F668" s="5" t="s">
        <v>11574</v>
      </c>
      <c r="G668" s="5" t="s">
        <v>224</v>
      </c>
      <c r="H668" s="5" t="s">
        <v>3</v>
      </c>
      <c r="I668" s="5"/>
      <c r="J668" s="5" t="s">
        <v>12358</v>
      </c>
    </row>
    <row r="669" spans="1:10" ht="25.5" x14ac:dyDescent="0.2">
      <c r="A669" s="5" t="s">
        <v>12360</v>
      </c>
      <c r="B669" s="5" t="s">
        <v>83</v>
      </c>
      <c r="C669" s="5"/>
      <c r="D669" s="5" t="s">
        <v>12359</v>
      </c>
      <c r="E669" s="5"/>
      <c r="F669" s="5" t="s">
        <v>11574</v>
      </c>
      <c r="G669" s="5" t="s">
        <v>8604</v>
      </c>
      <c r="H669" s="5" t="s">
        <v>3</v>
      </c>
      <c r="I669" s="5"/>
      <c r="J669" s="5" t="s">
        <v>12358</v>
      </c>
    </row>
    <row r="670" spans="1:10" x14ac:dyDescent="0.2">
      <c r="A670" s="5" t="s">
        <v>12357</v>
      </c>
      <c r="B670" s="5" t="s">
        <v>83</v>
      </c>
      <c r="C670" s="5"/>
      <c r="D670" s="5" t="s">
        <v>12356</v>
      </c>
      <c r="E670" s="5" t="s">
        <v>288</v>
      </c>
      <c r="F670" s="5" t="s">
        <v>12355</v>
      </c>
      <c r="G670" s="5" t="s">
        <v>91</v>
      </c>
      <c r="H670" s="5" t="s">
        <v>3</v>
      </c>
      <c r="I670" s="5"/>
      <c r="J670" s="5"/>
    </row>
    <row r="671" spans="1:10" ht="25.5" x14ac:dyDescent="0.2">
      <c r="A671" s="5" t="s">
        <v>9662</v>
      </c>
      <c r="B671" s="5" t="s">
        <v>83</v>
      </c>
      <c r="C671" s="5"/>
      <c r="D671" s="5" t="s">
        <v>12354</v>
      </c>
      <c r="E671" s="5" t="s">
        <v>138</v>
      </c>
      <c r="F671" s="5" t="s">
        <v>12353</v>
      </c>
      <c r="G671" s="5" t="s">
        <v>173</v>
      </c>
      <c r="H671" s="5" t="s">
        <v>3</v>
      </c>
      <c r="I671" s="5"/>
      <c r="J671" s="5" t="s">
        <v>12352</v>
      </c>
    </row>
    <row r="672" spans="1:10" ht="25.5" x14ac:dyDescent="0.2">
      <c r="A672" s="5" t="s">
        <v>12351</v>
      </c>
      <c r="B672" s="5" t="s">
        <v>83</v>
      </c>
      <c r="C672" s="5"/>
      <c r="D672" s="5" t="s">
        <v>12350</v>
      </c>
      <c r="E672" s="5" t="s">
        <v>138</v>
      </c>
      <c r="F672" s="5" t="s">
        <v>12349</v>
      </c>
      <c r="G672" s="5" t="s">
        <v>173</v>
      </c>
      <c r="H672" s="5" t="s">
        <v>3</v>
      </c>
      <c r="I672" s="5"/>
      <c r="J672" s="5" t="s">
        <v>12348</v>
      </c>
    </row>
    <row r="673" spans="1:10" ht="25.5" x14ac:dyDescent="0.2">
      <c r="A673" s="5" t="s">
        <v>10461</v>
      </c>
      <c r="B673" s="5" t="s">
        <v>8</v>
      </c>
      <c r="C673" s="5"/>
      <c r="D673" s="5" t="s">
        <v>12347</v>
      </c>
      <c r="E673" s="5"/>
      <c r="F673" s="5"/>
      <c r="G673" s="5"/>
      <c r="H673" s="5"/>
      <c r="I673" s="5"/>
      <c r="J673" s="5"/>
    </row>
    <row r="674" spans="1:10" ht="25.5" x14ac:dyDescent="0.2">
      <c r="A674" s="5" t="s">
        <v>11570</v>
      </c>
      <c r="B674" s="5" t="s">
        <v>8</v>
      </c>
      <c r="C674" s="5"/>
      <c r="D674" s="5" t="s">
        <v>12346</v>
      </c>
      <c r="E674" s="5"/>
      <c r="F674" s="5"/>
      <c r="G674" s="5"/>
      <c r="H674" s="5"/>
      <c r="I674" s="5"/>
      <c r="J674" s="5"/>
    </row>
    <row r="675" spans="1:10" ht="25.5" x14ac:dyDescent="0.2">
      <c r="A675" s="5" t="s">
        <v>9328</v>
      </c>
      <c r="B675" s="5" t="s">
        <v>8</v>
      </c>
      <c r="C675" s="5"/>
      <c r="D675" s="5" t="s">
        <v>12345</v>
      </c>
      <c r="E675" s="5"/>
      <c r="F675" s="5"/>
      <c r="G675" s="5"/>
      <c r="H675" s="5"/>
      <c r="I675" s="5"/>
      <c r="J675" s="5" t="s">
        <v>12344</v>
      </c>
    </row>
    <row r="676" spans="1:10" ht="25.5" x14ac:dyDescent="0.2">
      <c r="A676" s="5" t="s">
        <v>12343</v>
      </c>
      <c r="B676" s="5" t="s">
        <v>8</v>
      </c>
      <c r="C676" s="5"/>
      <c r="D676" s="5" t="s">
        <v>12342</v>
      </c>
      <c r="E676" s="5"/>
      <c r="F676" s="5"/>
      <c r="G676" s="5"/>
      <c r="H676" s="5"/>
      <c r="I676" s="5"/>
      <c r="J676" s="5" t="s">
        <v>12341</v>
      </c>
    </row>
    <row r="677" spans="1:10" ht="38.25" x14ac:dyDescent="0.2">
      <c r="A677" s="5" t="s">
        <v>60</v>
      </c>
      <c r="B677" s="5" t="s">
        <v>8</v>
      </c>
      <c r="C677" s="5"/>
      <c r="D677" s="5" t="s">
        <v>12340</v>
      </c>
      <c r="E677" s="5"/>
      <c r="F677" s="5"/>
      <c r="G677" s="5"/>
      <c r="H677" s="5"/>
      <c r="I677" s="5"/>
      <c r="J677" s="5" t="s">
        <v>12339</v>
      </c>
    </row>
    <row r="678" spans="1:10" ht="25.5" x14ac:dyDescent="0.2">
      <c r="A678" s="5" t="s">
        <v>57</v>
      </c>
      <c r="B678" s="5" t="s">
        <v>8</v>
      </c>
      <c r="C678" s="5"/>
      <c r="D678" s="5" t="s">
        <v>12338</v>
      </c>
      <c r="E678" s="5"/>
      <c r="F678" s="5"/>
      <c r="G678" s="5"/>
      <c r="H678" s="5"/>
      <c r="I678" s="5"/>
      <c r="J678" s="5"/>
    </row>
    <row r="679" spans="1:10" ht="25.5" x14ac:dyDescent="0.2">
      <c r="A679" s="5" t="s">
        <v>53</v>
      </c>
      <c r="B679" s="5" t="s">
        <v>8</v>
      </c>
      <c r="C679" s="5"/>
      <c r="D679" s="5" t="s">
        <v>52</v>
      </c>
      <c r="E679" s="5"/>
      <c r="F679" s="5"/>
      <c r="G679" s="5"/>
      <c r="H679" s="5"/>
      <c r="I679" s="5"/>
      <c r="J679" s="5" t="s">
        <v>51</v>
      </c>
    </row>
    <row r="680" spans="1:10" x14ac:dyDescent="0.2">
      <c r="A680" s="5" t="s">
        <v>12337</v>
      </c>
      <c r="B680" s="5" t="s">
        <v>8</v>
      </c>
      <c r="C680" s="5"/>
      <c r="D680" s="5" t="s">
        <v>12336</v>
      </c>
      <c r="E680" s="5"/>
      <c r="F680" s="5"/>
      <c r="G680" s="5"/>
      <c r="H680" s="5"/>
      <c r="I680" s="5"/>
      <c r="J680" s="5" t="s">
        <v>12335</v>
      </c>
    </row>
    <row r="681" spans="1:10" ht="25.5" x14ac:dyDescent="0.2">
      <c r="A681" s="5" t="s">
        <v>8901</v>
      </c>
      <c r="B681" s="5" t="s">
        <v>8</v>
      </c>
      <c r="C681" s="5"/>
      <c r="D681" s="5" t="s">
        <v>8900</v>
      </c>
      <c r="E681" s="5"/>
      <c r="F681" s="5"/>
      <c r="G681" s="5"/>
      <c r="H681" s="5"/>
      <c r="I681" s="5"/>
      <c r="J681" s="5" t="s">
        <v>12334</v>
      </c>
    </row>
    <row r="682" spans="1:10" ht="25.5" x14ac:dyDescent="0.2">
      <c r="A682" s="5" t="s">
        <v>10447</v>
      </c>
      <c r="B682" s="5" t="s">
        <v>8</v>
      </c>
      <c r="C682" s="5"/>
      <c r="D682" s="5" t="s">
        <v>10446</v>
      </c>
      <c r="E682" s="5"/>
      <c r="F682" s="5"/>
      <c r="G682" s="5"/>
      <c r="H682" s="5"/>
      <c r="I682" s="5"/>
      <c r="J682" s="5"/>
    </row>
    <row r="683" spans="1:10" ht="25.5" x14ac:dyDescent="0.2">
      <c r="A683" s="5" t="s">
        <v>10445</v>
      </c>
      <c r="B683" s="5" t="s">
        <v>8</v>
      </c>
      <c r="C683" s="5"/>
      <c r="D683" s="5" t="s">
        <v>10444</v>
      </c>
      <c r="E683" s="5"/>
      <c r="F683" s="5"/>
      <c r="G683" s="5"/>
      <c r="H683" s="5"/>
      <c r="I683" s="5"/>
      <c r="J683" s="5"/>
    </row>
    <row r="684" spans="1:10" x14ac:dyDescent="0.2">
      <c r="A684" s="5" t="s">
        <v>12333</v>
      </c>
      <c r="B684" s="5" t="s">
        <v>8</v>
      </c>
      <c r="C684" s="5"/>
      <c r="D684" s="5" t="s">
        <v>12332</v>
      </c>
      <c r="E684" s="5"/>
      <c r="F684" s="5"/>
      <c r="G684" s="5"/>
      <c r="H684" s="5"/>
      <c r="I684" s="5"/>
      <c r="J684" s="5"/>
    </row>
    <row r="685" spans="1:10" ht="25.5" x14ac:dyDescent="0.2">
      <c r="A685" s="5" t="s">
        <v>12331</v>
      </c>
      <c r="B685" s="5" t="s">
        <v>8</v>
      </c>
      <c r="C685" s="5"/>
      <c r="D685" s="5" t="s">
        <v>12330</v>
      </c>
      <c r="E685" s="5"/>
      <c r="F685" s="5"/>
      <c r="G685" s="5"/>
      <c r="H685" s="5"/>
      <c r="I685" s="5"/>
      <c r="J685" s="5"/>
    </row>
    <row r="686" spans="1:10" x14ac:dyDescent="0.2">
      <c r="A686" s="5" t="s">
        <v>12329</v>
      </c>
      <c r="B686" s="5" t="s">
        <v>8</v>
      </c>
      <c r="C686" s="5"/>
      <c r="D686" s="5" t="s">
        <v>12328</v>
      </c>
      <c r="E686" s="5"/>
      <c r="F686" s="5"/>
      <c r="G686" s="5"/>
      <c r="H686" s="5"/>
      <c r="I686" s="5"/>
      <c r="J686" s="5"/>
    </row>
    <row r="687" spans="1:10" ht="25.5" x14ac:dyDescent="0.2">
      <c r="A687" s="5" t="s">
        <v>12327</v>
      </c>
      <c r="B687" s="5" t="s">
        <v>8</v>
      </c>
      <c r="C687" s="5"/>
      <c r="D687" s="5" t="s">
        <v>12326</v>
      </c>
      <c r="E687" s="5"/>
      <c r="F687" s="5"/>
      <c r="G687" s="5"/>
      <c r="H687" s="5"/>
      <c r="I687" s="5"/>
      <c r="J687" s="5"/>
    </row>
    <row r="688" spans="1:10" ht="25.5" x14ac:dyDescent="0.2">
      <c r="A688" s="5" t="s">
        <v>12325</v>
      </c>
      <c r="B688" s="5" t="s">
        <v>8</v>
      </c>
      <c r="C688" s="5"/>
      <c r="D688" s="5" t="s">
        <v>12324</v>
      </c>
      <c r="E688" s="5"/>
      <c r="F688" s="5"/>
      <c r="G688" s="5"/>
      <c r="H688" s="5"/>
      <c r="I688" s="5"/>
      <c r="J688" s="5"/>
    </row>
    <row r="689" spans="1:10" x14ac:dyDescent="0.2">
      <c r="A689" s="5" t="s">
        <v>12323</v>
      </c>
      <c r="B689" s="5" t="s">
        <v>8</v>
      </c>
      <c r="C689" s="5"/>
      <c r="D689" s="5" t="s">
        <v>12322</v>
      </c>
      <c r="E689" s="5"/>
      <c r="F689" s="5"/>
      <c r="G689" s="5"/>
      <c r="H689" s="5"/>
      <c r="I689" s="5"/>
      <c r="J689" s="5"/>
    </row>
    <row r="690" spans="1:10" ht="25.5" x14ac:dyDescent="0.2">
      <c r="A690" s="5" t="s">
        <v>12321</v>
      </c>
      <c r="B690" s="5" t="s">
        <v>8</v>
      </c>
      <c r="C690" s="5"/>
      <c r="D690" s="5" t="s">
        <v>12320</v>
      </c>
      <c r="E690" s="5"/>
      <c r="F690" s="5"/>
      <c r="G690" s="5"/>
      <c r="H690" s="5"/>
      <c r="I690" s="5"/>
      <c r="J690" s="5"/>
    </row>
    <row r="691" spans="1:10" ht="25.5" x14ac:dyDescent="0.2">
      <c r="A691" s="5" t="s">
        <v>12319</v>
      </c>
      <c r="B691" s="5" t="s">
        <v>8</v>
      </c>
      <c r="C691" s="5"/>
      <c r="D691" s="5" t="s">
        <v>12318</v>
      </c>
      <c r="E691" s="5"/>
      <c r="F691" s="5"/>
      <c r="G691" s="5"/>
      <c r="H691" s="5"/>
      <c r="I691" s="5"/>
      <c r="J691" s="5"/>
    </row>
    <row r="692" spans="1:10" ht="25.5" x14ac:dyDescent="0.2">
      <c r="A692" s="5" t="s">
        <v>12317</v>
      </c>
      <c r="B692" s="5" t="s">
        <v>8</v>
      </c>
      <c r="C692" s="5"/>
      <c r="D692" s="5" t="s">
        <v>12316</v>
      </c>
      <c r="E692" s="5"/>
      <c r="F692" s="5"/>
      <c r="G692" s="5"/>
      <c r="H692" s="5"/>
      <c r="I692" s="5"/>
      <c r="J692" s="5"/>
    </row>
    <row r="693" spans="1:10" x14ac:dyDescent="0.2">
      <c r="A693" s="5" t="s">
        <v>12315</v>
      </c>
      <c r="B693" s="5" t="s">
        <v>8</v>
      </c>
      <c r="C693" s="5"/>
      <c r="D693" s="5" t="s">
        <v>12314</v>
      </c>
      <c r="E693" s="5"/>
      <c r="F693" s="5"/>
      <c r="G693" s="5"/>
      <c r="H693" s="5"/>
      <c r="I693" s="5"/>
      <c r="J693" s="5"/>
    </row>
    <row r="694" spans="1:10" x14ac:dyDescent="0.2">
      <c r="A694" s="5" t="s">
        <v>12313</v>
      </c>
      <c r="B694" s="5" t="s">
        <v>8</v>
      </c>
      <c r="C694" s="5"/>
      <c r="D694" s="5" t="s">
        <v>12312</v>
      </c>
      <c r="E694" s="5"/>
      <c r="F694" s="5"/>
      <c r="G694" s="5"/>
      <c r="H694" s="5"/>
      <c r="I694" s="5"/>
      <c r="J694" s="5"/>
    </row>
    <row r="695" spans="1:10" x14ac:dyDescent="0.2">
      <c r="A695" s="5" t="s">
        <v>12311</v>
      </c>
      <c r="B695" s="5" t="s">
        <v>8</v>
      </c>
      <c r="C695" s="5"/>
      <c r="D695" s="5" t="s">
        <v>12310</v>
      </c>
      <c r="E695" s="5"/>
      <c r="F695" s="5"/>
      <c r="G695" s="5"/>
      <c r="H695" s="5"/>
      <c r="I695" s="5"/>
      <c r="J695" s="5" t="s">
        <v>12309</v>
      </c>
    </row>
    <row r="696" spans="1:10" ht="25.5" x14ac:dyDescent="0.2">
      <c r="A696" s="5" t="s">
        <v>10421</v>
      </c>
      <c r="B696" s="5" t="s">
        <v>8</v>
      </c>
      <c r="C696" s="5"/>
      <c r="D696" s="5" t="s">
        <v>12308</v>
      </c>
      <c r="E696" s="5"/>
      <c r="F696" s="5"/>
      <c r="G696" s="5"/>
      <c r="H696" s="5"/>
      <c r="I696" s="5"/>
      <c r="J696" s="5"/>
    </row>
    <row r="697" spans="1:10" ht="25.5" x14ac:dyDescent="0.2">
      <c r="A697" s="5" t="s">
        <v>12307</v>
      </c>
      <c r="B697" s="5" t="s">
        <v>8</v>
      </c>
      <c r="C697" s="5"/>
      <c r="D697" s="5" t="s">
        <v>12306</v>
      </c>
      <c r="E697" s="5"/>
      <c r="F697" s="5"/>
      <c r="G697" s="5"/>
      <c r="H697" s="5"/>
      <c r="I697" s="5"/>
      <c r="J697" s="5"/>
    </row>
    <row r="698" spans="1:10" ht="25.5" x14ac:dyDescent="0.2">
      <c r="A698" s="5" t="s">
        <v>12305</v>
      </c>
      <c r="B698" s="5" t="s">
        <v>8</v>
      </c>
      <c r="C698" s="5"/>
      <c r="D698" s="5" t="s">
        <v>12304</v>
      </c>
      <c r="E698" s="5"/>
      <c r="F698" s="5"/>
      <c r="G698" s="5"/>
      <c r="H698" s="5"/>
      <c r="I698" s="5"/>
      <c r="J698" s="5"/>
    </row>
    <row r="699" spans="1:10" x14ac:dyDescent="0.2">
      <c r="A699" s="5" t="s">
        <v>6</v>
      </c>
      <c r="B699" s="5" t="s">
        <v>0</v>
      </c>
      <c r="C699" s="5"/>
      <c r="D699" s="5" t="s">
        <v>8571</v>
      </c>
      <c r="E699" s="5"/>
      <c r="F699" s="5" t="s">
        <v>896</v>
      </c>
      <c r="G699" s="5" t="s">
        <v>3</v>
      </c>
      <c r="H699" s="5"/>
      <c r="I699" s="5"/>
      <c r="J699" s="5" t="s">
        <v>2</v>
      </c>
    </row>
    <row r="700" spans="1:10" x14ac:dyDescent="0.2">
      <c r="A700" s="5" t="s">
        <v>1</v>
      </c>
      <c r="B700" s="5" t="s">
        <v>0</v>
      </c>
      <c r="C700" s="5"/>
      <c r="D700" s="5">
        <v>113</v>
      </c>
      <c r="E700" s="5"/>
      <c r="F700" s="5"/>
      <c r="G700" s="5"/>
      <c r="H700" s="5"/>
      <c r="I700" s="5"/>
      <c r="J700" s="5"/>
    </row>
  </sheetData>
  <autoFilter ref="A3:M3" xr:uid="{B2F118FD-E5B2-4E44-9BD3-D0682A1C8D44}"/>
  <mergeCells count="1">
    <mergeCell ref="G1:I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E7B62-A910-4201-BBF8-4ECC14B8A30A}">
  <sheetPr codeName="Sheet27"/>
  <dimension ref="A1:Y227"/>
  <sheetViews>
    <sheetView workbookViewId="0">
      <pane ySplit="6585" topLeftCell="A226"/>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14292</v>
      </c>
      <c r="C1" s="14"/>
      <c r="D1" s="14"/>
      <c r="E1" s="14"/>
      <c r="F1" s="13" t="s">
        <v>8892</v>
      </c>
      <c r="G1" s="16">
        <v>45538</v>
      </c>
      <c r="H1" s="16"/>
      <c r="I1" s="16"/>
      <c r="J1" s="11"/>
    </row>
    <row r="2" spans="1:25" ht="18" x14ac:dyDescent="0.2">
      <c r="A2" s="14">
        <f ca="1">COUNTA(OFFSET(A3,1,0,2222,1))</f>
        <v>224</v>
      </c>
      <c r="B2" s="15"/>
      <c r="C2" s="14">
        <f ca="1">MAX(OFFSET(C3,1,0,2222,1))</f>
        <v>65</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14292</v>
      </c>
      <c r="G4" s="5" t="s">
        <v>207</v>
      </c>
      <c r="H4" s="5" t="s">
        <v>3</v>
      </c>
      <c r="I4" s="5"/>
      <c r="J4" s="5" t="s">
        <v>8874</v>
      </c>
    </row>
    <row r="5" spans="1:25" x14ac:dyDescent="0.2">
      <c r="A5" s="5" t="s">
        <v>11331</v>
      </c>
      <c r="B5" s="5" t="s">
        <v>8584</v>
      </c>
      <c r="C5" s="5">
        <v>0</v>
      </c>
      <c r="D5" s="5"/>
      <c r="E5" s="5"/>
      <c r="F5" s="5" t="s">
        <v>13771</v>
      </c>
      <c r="G5" s="5" t="s">
        <v>207</v>
      </c>
      <c r="H5" s="5" t="s">
        <v>3</v>
      </c>
      <c r="I5" s="5"/>
      <c r="J5" s="5" t="s">
        <v>14291</v>
      </c>
    </row>
    <row r="6" spans="1:25" ht="25.5" x14ac:dyDescent="0.2">
      <c r="A6" s="5" t="s">
        <v>11538</v>
      </c>
      <c r="B6" s="5" t="s">
        <v>8584</v>
      </c>
      <c r="C6" s="5">
        <v>1</v>
      </c>
      <c r="D6" s="5"/>
      <c r="E6" s="5"/>
      <c r="F6" s="5" t="s">
        <v>8880</v>
      </c>
      <c r="G6" s="5" t="s">
        <v>105</v>
      </c>
      <c r="H6" s="5" t="s">
        <v>3</v>
      </c>
      <c r="I6" s="5"/>
      <c r="J6" s="5" t="s">
        <v>13518</v>
      </c>
    </row>
    <row r="7" spans="1:25" x14ac:dyDescent="0.2">
      <c r="A7" s="5" t="s">
        <v>11149</v>
      </c>
      <c r="B7" s="5" t="s">
        <v>8584</v>
      </c>
      <c r="C7" s="5">
        <v>2</v>
      </c>
      <c r="D7" s="5"/>
      <c r="E7" s="5"/>
      <c r="F7" s="5" t="s">
        <v>7977</v>
      </c>
      <c r="G7" s="5" t="s">
        <v>315</v>
      </c>
      <c r="H7" s="5" t="s">
        <v>3</v>
      </c>
      <c r="I7" s="5"/>
      <c r="J7" s="5" t="s">
        <v>14168</v>
      </c>
    </row>
    <row r="8" spans="1:25" x14ac:dyDescent="0.2">
      <c r="A8" s="5" t="s">
        <v>7465</v>
      </c>
      <c r="B8" s="5" t="s">
        <v>8584</v>
      </c>
      <c r="C8" s="5">
        <v>2</v>
      </c>
      <c r="D8" s="5"/>
      <c r="E8" s="5"/>
      <c r="F8" s="5" t="s">
        <v>7980</v>
      </c>
      <c r="G8" s="5" t="s">
        <v>315</v>
      </c>
      <c r="H8" s="5" t="s">
        <v>3</v>
      </c>
      <c r="I8" s="5"/>
      <c r="J8" s="5" t="s">
        <v>14290</v>
      </c>
    </row>
    <row r="9" spans="1:25" x14ac:dyDescent="0.2">
      <c r="A9" s="5" t="s">
        <v>14289</v>
      </c>
      <c r="B9" s="5" t="s">
        <v>8584</v>
      </c>
      <c r="C9" s="5">
        <v>3</v>
      </c>
      <c r="D9" s="5"/>
      <c r="E9" s="5" t="s">
        <v>11304</v>
      </c>
      <c r="F9" s="5" t="s">
        <v>11134</v>
      </c>
      <c r="G9" s="5" t="s">
        <v>3059</v>
      </c>
      <c r="H9" s="5" t="s">
        <v>3</v>
      </c>
      <c r="I9" s="5"/>
      <c r="J9" s="5" t="s">
        <v>14057</v>
      </c>
    </row>
    <row r="10" spans="1:25" x14ac:dyDescent="0.2">
      <c r="A10" s="5" t="s">
        <v>358</v>
      </c>
      <c r="B10" s="5" t="s">
        <v>8584</v>
      </c>
      <c r="C10" s="5">
        <v>4</v>
      </c>
      <c r="D10" s="5"/>
      <c r="E10" s="5" t="s">
        <v>11304</v>
      </c>
      <c r="F10" s="5" t="s">
        <v>8844</v>
      </c>
      <c r="G10" s="5" t="s">
        <v>224</v>
      </c>
      <c r="H10" s="5" t="s">
        <v>3</v>
      </c>
      <c r="I10" s="5"/>
      <c r="J10" s="5" t="s">
        <v>14146</v>
      </c>
    </row>
    <row r="11" spans="1:25" s="2" customFormat="1" x14ac:dyDescent="0.2">
      <c r="A11" s="5" t="s">
        <v>784</v>
      </c>
      <c r="B11" s="5" t="s">
        <v>8584</v>
      </c>
      <c r="C11" s="5">
        <v>5</v>
      </c>
      <c r="D11" s="5"/>
      <c r="E11" s="5"/>
      <c r="F11" s="5" t="s">
        <v>14288</v>
      </c>
      <c r="G11" s="5" t="s">
        <v>118</v>
      </c>
      <c r="H11" s="5" t="s">
        <v>3</v>
      </c>
      <c r="I11" s="5"/>
      <c r="J11" s="5" t="s">
        <v>14287</v>
      </c>
      <c r="M11" s="1"/>
      <c r="N11"/>
      <c r="O11"/>
      <c r="P11"/>
      <c r="Q11"/>
      <c r="R11"/>
      <c r="S11"/>
      <c r="T11"/>
      <c r="U11"/>
      <c r="V11"/>
      <c r="W11"/>
      <c r="X11"/>
      <c r="Y11"/>
    </row>
    <row r="12" spans="1:25" s="2" customFormat="1" ht="25.5" x14ac:dyDescent="0.2">
      <c r="A12" s="5" t="s">
        <v>8571</v>
      </c>
      <c r="B12" s="5" t="s">
        <v>8584</v>
      </c>
      <c r="C12" s="5">
        <v>6</v>
      </c>
      <c r="D12" s="5"/>
      <c r="E12" s="5"/>
      <c r="F12" s="5" t="s">
        <v>11225</v>
      </c>
      <c r="G12" s="5" t="s">
        <v>896</v>
      </c>
      <c r="H12" s="5" t="s">
        <v>3</v>
      </c>
      <c r="I12" s="5"/>
      <c r="J12" s="5" t="s">
        <v>14286</v>
      </c>
      <c r="M12" s="1"/>
      <c r="N12"/>
      <c r="O12"/>
      <c r="P12"/>
      <c r="Q12"/>
      <c r="R12"/>
      <c r="S12"/>
      <c r="T12"/>
      <c r="U12"/>
      <c r="V12"/>
      <c r="W12"/>
      <c r="X12"/>
      <c r="Y12"/>
    </row>
    <row r="13" spans="1:25" s="2" customFormat="1" x14ac:dyDescent="0.2">
      <c r="A13" s="5" t="s">
        <v>14285</v>
      </c>
      <c r="B13" s="5" t="s">
        <v>8584</v>
      </c>
      <c r="C13" s="5">
        <v>6</v>
      </c>
      <c r="D13" s="5"/>
      <c r="E13" s="5"/>
      <c r="F13" s="5" t="s">
        <v>7974</v>
      </c>
      <c r="G13" s="5" t="s">
        <v>896</v>
      </c>
      <c r="H13" s="5" t="s">
        <v>3</v>
      </c>
      <c r="I13" s="5"/>
      <c r="J13" s="5" t="s">
        <v>14284</v>
      </c>
      <c r="M13" s="1"/>
      <c r="N13"/>
      <c r="O13"/>
      <c r="P13"/>
      <c r="Q13"/>
      <c r="R13"/>
      <c r="S13"/>
      <c r="T13"/>
      <c r="U13"/>
      <c r="V13"/>
      <c r="W13"/>
      <c r="X13"/>
      <c r="Y13"/>
    </row>
    <row r="14" spans="1:25" s="2" customFormat="1" x14ac:dyDescent="0.2">
      <c r="A14" s="5" t="s">
        <v>14283</v>
      </c>
      <c r="B14" s="5" t="s">
        <v>8584</v>
      </c>
      <c r="C14" s="5">
        <v>7</v>
      </c>
      <c r="D14" s="5"/>
      <c r="E14" s="5" t="s">
        <v>150</v>
      </c>
      <c r="F14" s="5" t="s">
        <v>212</v>
      </c>
      <c r="G14" s="5" t="s">
        <v>148</v>
      </c>
      <c r="H14" s="5" t="s">
        <v>3</v>
      </c>
      <c r="I14" s="5"/>
      <c r="J14" s="5" t="s">
        <v>14281</v>
      </c>
      <c r="M14" s="1"/>
      <c r="N14"/>
      <c r="O14"/>
      <c r="P14"/>
      <c r="Q14"/>
      <c r="R14"/>
      <c r="S14"/>
      <c r="T14"/>
      <c r="U14"/>
      <c r="V14"/>
      <c r="W14"/>
      <c r="X14"/>
      <c r="Y14"/>
    </row>
    <row r="15" spans="1:25" s="2" customFormat="1" x14ac:dyDescent="0.2">
      <c r="A15" s="5" t="s">
        <v>14282</v>
      </c>
      <c r="B15" s="5" t="s">
        <v>8584</v>
      </c>
      <c r="C15" s="5">
        <v>7</v>
      </c>
      <c r="D15" s="5"/>
      <c r="E15" s="5" t="s">
        <v>213</v>
      </c>
      <c r="F15" s="5" t="s">
        <v>212</v>
      </c>
      <c r="G15" s="5" t="s">
        <v>91</v>
      </c>
      <c r="H15" s="5" t="s">
        <v>3</v>
      </c>
      <c r="I15" s="5"/>
      <c r="J15" s="5" t="s">
        <v>14281</v>
      </c>
      <c r="M15" s="1"/>
      <c r="N15"/>
      <c r="O15"/>
      <c r="P15"/>
      <c r="Q15"/>
      <c r="R15"/>
      <c r="S15"/>
      <c r="T15"/>
      <c r="U15"/>
      <c r="V15"/>
      <c r="W15"/>
      <c r="X15"/>
      <c r="Y15"/>
    </row>
    <row r="16" spans="1:25" s="2" customFormat="1" x14ac:dyDescent="0.2">
      <c r="A16" s="5" t="s">
        <v>8758</v>
      </c>
      <c r="B16" s="5" t="s">
        <v>8584</v>
      </c>
      <c r="C16" s="5">
        <v>8</v>
      </c>
      <c r="D16" s="5"/>
      <c r="E16" s="5" t="s">
        <v>11304</v>
      </c>
      <c r="F16" s="5" t="s">
        <v>9321</v>
      </c>
      <c r="G16" s="5" t="s">
        <v>8068</v>
      </c>
      <c r="H16" s="5" t="s">
        <v>137</v>
      </c>
      <c r="I16" s="5" t="s">
        <v>8757</v>
      </c>
      <c r="J16" s="5" t="s">
        <v>14280</v>
      </c>
      <c r="M16" s="1"/>
      <c r="N16"/>
      <c r="O16"/>
      <c r="P16"/>
      <c r="Q16"/>
      <c r="R16"/>
      <c r="S16"/>
      <c r="T16"/>
      <c r="U16"/>
      <c r="V16"/>
      <c r="W16"/>
      <c r="X16"/>
      <c r="Y16"/>
    </row>
    <row r="17" spans="1:25" s="2" customFormat="1" x14ac:dyDescent="0.2">
      <c r="A17" s="5" t="s">
        <v>372</v>
      </c>
      <c r="B17" s="5" t="s">
        <v>8584</v>
      </c>
      <c r="C17" s="5">
        <v>9</v>
      </c>
      <c r="D17" s="5"/>
      <c r="E17" s="5"/>
      <c r="F17" s="5" t="s">
        <v>11886</v>
      </c>
      <c r="G17" s="5" t="s">
        <v>173</v>
      </c>
      <c r="H17" s="5" t="s">
        <v>3</v>
      </c>
      <c r="I17" s="5"/>
      <c r="J17" s="5" t="s">
        <v>9302</v>
      </c>
      <c r="M17" s="1"/>
      <c r="N17"/>
      <c r="O17"/>
      <c r="P17"/>
      <c r="Q17"/>
      <c r="R17"/>
      <c r="S17"/>
      <c r="T17"/>
      <c r="U17"/>
      <c r="V17"/>
      <c r="W17"/>
      <c r="X17"/>
      <c r="Y17"/>
    </row>
    <row r="18" spans="1:25" s="2" customFormat="1" x14ac:dyDescent="0.2">
      <c r="A18" s="5" t="s">
        <v>9227</v>
      </c>
      <c r="B18" s="5" t="s">
        <v>8584</v>
      </c>
      <c r="C18" s="5">
        <v>10</v>
      </c>
      <c r="D18" s="5"/>
      <c r="E18" s="5"/>
      <c r="F18" s="5" t="s">
        <v>9226</v>
      </c>
      <c r="G18" s="5" t="s">
        <v>229</v>
      </c>
      <c r="H18" s="5" t="s">
        <v>3</v>
      </c>
      <c r="I18" s="5"/>
      <c r="J18" s="5" t="s">
        <v>11885</v>
      </c>
      <c r="M18" s="1"/>
      <c r="N18"/>
      <c r="O18"/>
      <c r="P18"/>
      <c r="Q18"/>
      <c r="R18"/>
      <c r="S18"/>
      <c r="T18"/>
      <c r="U18"/>
      <c r="V18"/>
      <c r="W18"/>
      <c r="X18"/>
      <c r="Y18"/>
    </row>
    <row r="19" spans="1:25" s="2" customFormat="1" x14ac:dyDescent="0.2">
      <c r="A19" s="5" t="s">
        <v>10851</v>
      </c>
      <c r="B19" s="5" t="s">
        <v>8584</v>
      </c>
      <c r="C19" s="5">
        <v>11</v>
      </c>
      <c r="D19" s="5"/>
      <c r="E19" s="5" t="s">
        <v>6367</v>
      </c>
      <c r="F19" s="5" t="s">
        <v>14279</v>
      </c>
      <c r="G19" s="5" t="s">
        <v>105</v>
      </c>
      <c r="H19" s="5" t="s">
        <v>3</v>
      </c>
      <c r="I19" s="5"/>
      <c r="J19" s="5"/>
      <c r="M19" s="1"/>
      <c r="N19"/>
      <c r="O19"/>
      <c r="P19"/>
      <c r="Q19"/>
      <c r="R19"/>
      <c r="S19"/>
      <c r="T19"/>
      <c r="U19"/>
      <c r="V19"/>
      <c r="W19"/>
      <c r="X19"/>
      <c r="Y19"/>
    </row>
    <row r="20" spans="1:25" s="2" customFormat="1" x14ac:dyDescent="0.2">
      <c r="A20" s="5" t="s">
        <v>13517</v>
      </c>
      <c r="B20" s="5" t="s">
        <v>8584</v>
      </c>
      <c r="C20" s="5">
        <v>12</v>
      </c>
      <c r="D20" s="5"/>
      <c r="E20" s="5" t="s">
        <v>3057</v>
      </c>
      <c r="F20" s="5" t="s">
        <v>13041</v>
      </c>
      <c r="G20" s="5" t="s">
        <v>382</v>
      </c>
      <c r="H20" s="5" t="s">
        <v>3</v>
      </c>
      <c r="I20" s="5"/>
      <c r="J20" s="5" t="s">
        <v>13515</v>
      </c>
      <c r="M20" s="1"/>
      <c r="N20"/>
      <c r="O20"/>
      <c r="P20"/>
      <c r="Q20"/>
      <c r="R20"/>
      <c r="S20"/>
      <c r="T20"/>
      <c r="U20"/>
      <c r="V20"/>
      <c r="W20"/>
      <c r="X20"/>
      <c r="Y20"/>
    </row>
    <row r="21" spans="1:25" s="2" customFormat="1" x14ac:dyDescent="0.2">
      <c r="A21" s="5" t="s">
        <v>13043</v>
      </c>
      <c r="B21" s="5" t="s">
        <v>8584</v>
      </c>
      <c r="C21" s="5">
        <v>12</v>
      </c>
      <c r="D21" s="5"/>
      <c r="E21" s="5"/>
      <c r="F21" s="5" t="s">
        <v>14278</v>
      </c>
      <c r="G21" s="5" t="s">
        <v>382</v>
      </c>
      <c r="H21" s="5" t="s">
        <v>3</v>
      </c>
      <c r="I21" s="5"/>
      <c r="J21" s="5"/>
      <c r="M21" s="1"/>
      <c r="N21"/>
      <c r="O21"/>
      <c r="P21"/>
      <c r="Q21"/>
      <c r="R21"/>
      <c r="S21"/>
      <c r="T21"/>
      <c r="U21"/>
      <c r="V21"/>
      <c r="W21"/>
      <c r="X21"/>
      <c r="Y21"/>
    </row>
    <row r="22" spans="1:25" s="2" customFormat="1" ht="25.5" x14ac:dyDescent="0.2">
      <c r="A22" s="5" t="s">
        <v>12793</v>
      </c>
      <c r="B22" s="5" t="s">
        <v>8584</v>
      </c>
      <c r="C22" s="5">
        <v>13</v>
      </c>
      <c r="D22" s="5"/>
      <c r="E22" s="5"/>
      <c r="F22" s="5" t="s">
        <v>12791</v>
      </c>
      <c r="G22" s="5" t="s">
        <v>114</v>
      </c>
      <c r="H22" s="5" t="s">
        <v>3</v>
      </c>
      <c r="I22" s="5"/>
      <c r="J22" s="5" t="s">
        <v>14277</v>
      </c>
      <c r="M22" s="1"/>
      <c r="N22"/>
      <c r="O22"/>
      <c r="P22"/>
      <c r="Q22"/>
      <c r="R22"/>
      <c r="S22"/>
      <c r="T22"/>
      <c r="U22"/>
      <c r="V22"/>
      <c r="W22"/>
      <c r="X22"/>
      <c r="Y22"/>
    </row>
    <row r="23" spans="1:25" s="2" customFormat="1" ht="25.5" x14ac:dyDescent="0.2">
      <c r="A23" s="5" t="s">
        <v>12883</v>
      </c>
      <c r="B23" s="5" t="s">
        <v>8584</v>
      </c>
      <c r="C23" s="5">
        <v>14</v>
      </c>
      <c r="D23" s="5"/>
      <c r="E23" s="5"/>
      <c r="F23" s="5" t="s">
        <v>12881</v>
      </c>
      <c r="G23" s="5" t="s">
        <v>114</v>
      </c>
      <c r="H23" s="5" t="s">
        <v>3</v>
      </c>
      <c r="I23" s="5"/>
      <c r="J23" s="5" t="s">
        <v>12880</v>
      </c>
      <c r="M23" s="1"/>
      <c r="N23"/>
      <c r="O23"/>
      <c r="P23"/>
      <c r="Q23"/>
      <c r="R23"/>
      <c r="S23"/>
      <c r="T23"/>
      <c r="U23"/>
      <c r="V23"/>
      <c r="W23"/>
      <c r="X23"/>
      <c r="Y23"/>
    </row>
    <row r="24" spans="1:25" s="2" customFormat="1" ht="25.5" x14ac:dyDescent="0.2">
      <c r="A24" s="5" t="s">
        <v>13229</v>
      </c>
      <c r="B24" s="5" t="s">
        <v>8584</v>
      </c>
      <c r="C24" s="5">
        <v>15</v>
      </c>
      <c r="D24" s="5"/>
      <c r="E24" s="5" t="s">
        <v>93</v>
      </c>
      <c r="F24" s="5" t="s">
        <v>13227</v>
      </c>
      <c r="G24" s="5" t="s">
        <v>382</v>
      </c>
      <c r="H24" s="5" t="s">
        <v>3</v>
      </c>
      <c r="I24" s="5"/>
      <c r="J24" s="5" t="s">
        <v>13226</v>
      </c>
      <c r="M24" s="1"/>
      <c r="N24"/>
      <c r="O24"/>
      <c r="P24"/>
      <c r="Q24"/>
      <c r="R24"/>
      <c r="S24"/>
      <c r="T24"/>
      <c r="U24"/>
      <c r="V24"/>
      <c r="W24"/>
      <c r="X24"/>
      <c r="Y24"/>
    </row>
    <row r="25" spans="1:25" s="2" customFormat="1" x14ac:dyDescent="0.2">
      <c r="A25" s="5" t="s">
        <v>13064</v>
      </c>
      <c r="B25" s="5" t="s">
        <v>8584</v>
      </c>
      <c r="C25" s="5">
        <v>16</v>
      </c>
      <c r="D25" s="5"/>
      <c r="E25" s="5"/>
      <c r="F25" s="5" t="s">
        <v>10879</v>
      </c>
      <c r="G25" s="5" t="s">
        <v>283</v>
      </c>
      <c r="H25" s="5" t="s">
        <v>3</v>
      </c>
      <c r="I25" s="5"/>
      <c r="J25" s="5" t="s">
        <v>13062</v>
      </c>
      <c r="M25" s="1"/>
      <c r="N25"/>
      <c r="O25"/>
      <c r="P25"/>
      <c r="Q25"/>
      <c r="R25"/>
      <c r="S25"/>
      <c r="T25"/>
      <c r="U25"/>
      <c r="V25"/>
      <c r="W25"/>
      <c r="X25"/>
      <c r="Y25"/>
    </row>
    <row r="26" spans="1:25" s="2" customFormat="1" x14ac:dyDescent="0.2">
      <c r="A26" s="5" t="s">
        <v>13449</v>
      </c>
      <c r="B26" s="5" t="s">
        <v>8584</v>
      </c>
      <c r="C26" s="5">
        <v>17</v>
      </c>
      <c r="D26" s="5"/>
      <c r="E26" s="5" t="s">
        <v>11304</v>
      </c>
      <c r="F26" s="5" t="s">
        <v>13447</v>
      </c>
      <c r="G26" s="5" t="s">
        <v>234</v>
      </c>
      <c r="H26" s="5" t="s">
        <v>137</v>
      </c>
      <c r="I26" s="5" t="s">
        <v>13449</v>
      </c>
      <c r="J26" s="5" t="s">
        <v>13446</v>
      </c>
      <c r="M26" s="1"/>
      <c r="N26"/>
      <c r="O26"/>
      <c r="P26"/>
      <c r="Q26"/>
      <c r="R26"/>
      <c r="S26"/>
      <c r="T26"/>
      <c r="U26"/>
      <c r="V26"/>
      <c r="W26"/>
      <c r="X26"/>
      <c r="Y26"/>
    </row>
    <row r="27" spans="1:25" s="2" customFormat="1" ht="25.5" x14ac:dyDescent="0.2">
      <c r="A27" s="5" t="s">
        <v>12708</v>
      </c>
      <c r="B27" s="5" t="s">
        <v>8584</v>
      </c>
      <c r="C27" s="5">
        <v>18</v>
      </c>
      <c r="D27" s="5"/>
      <c r="E27" s="5"/>
      <c r="F27" s="5" t="s">
        <v>14276</v>
      </c>
      <c r="G27" s="5" t="s">
        <v>118</v>
      </c>
      <c r="H27" s="5" t="s">
        <v>137</v>
      </c>
      <c r="I27" s="5" t="s">
        <v>12708</v>
      </c>
      <c r="J27" s="5" t="s">
        <v>12705</v>
      </c>
      <c r="M27" s="1"/>
      <c r="N27"/>
      <c r="O27"/>
      <c r="P27"/>
      <c r="Q27"/>
      <c r="R27"/>
      <c r="S27"/>
      <c r="T27"/>
      <c r="U27"/>
      <c r="V27"/>
      <c r="W27"/>
      <c r="X27"/>
      <c r="Y27"/>
    </row>
    <row r="28" spans="1:25" s="2" customFormat="1" ht="25.5" x14ac:dyDescent="0.2">
      <c r="A28" s="5" t="s">
        <v>12351</v>
      </c>
      <c r="B28" s="5" t="s">
        <v>8584</v>
      </c>
      <c r="C28" s="5">
        <v>19</v>
      </c>
      <c r="D28" s="5"/>
      <c r="E28" s="5" t="s">
        <v>138</v>
      </c>
      <c r="F28" s="5" t="s">
        <v>12349</v>
      </c>
      <c r="G28" s="5" t="s">
        <v>173</v>
      </c>
      <c r="H28" s="5" t="s">
        <v>3</v>
      </c>
      <c r="I28" s="5"/>
      <c r="J28" s="5" t="s">
        <v>12348</v>
      </c>
      <c r="M28" s="1"/>
      <c r="N28"/>
      <c r="O28"/>
      <c r="P28"/>
      <c r="Q28"/>
      <c r="R28"/>
      <c r="S28"/>
      <c r="T28"/>
      <c r="U28"/>
      <c r="V28"/>
      <c r="W28"/>
      <c r="X28"/>
      <c r="Y28"/>
    </row>
    <row r="29" spans="1:25" s="2" customFormat="1" ht="25.5" x14ac:dyDescent="0.2">
      <c r="A29" s="5" t="s">
        <v>13468</v>
      </c>
      <c r="B29" s="5" t="s">
        <v>8584</v>
      </c>
      <c r="C29" s="5">
        <v>20</v>
      </c>
      <c r="D29" s="5"/>
      <c r="E29" s="5"/>
      <c r="F29" s="5" t="s">
        <v>14275</v>
      </c>
      <c r="G29" s="5" t="s">
        <v>229</v>
      </c>
      <c r="H29" s="5" t="s">
        <v>3</v>
      </c>
      <c r="I29" s="5"/>
      <c r="J29" s="5" t="s">
        <v>14274</v>
      </c>
      <c r="M29" s="1"/>
      <c r="N29"/>
      <c r="O29"/>
      <c r="P29"/>
      <c r="Q29"/>
      <c r="R29"/>
      <c r="S29"/>
      <c r="T29"/>
      <c r="U29"/>
      <c r="V29"/>
      <c r="W29"/>
      <c r="X29"/>
      <c r="Y29"/>
    </row>
    <row r="30" spans="1:25" s="2" customFormat="1" ht="25.5" x14ac:dyDescent="0.2">
      <c r="A30" s="5" t="s">
        <v>13464</v>
      </c>
      <c r="B30" s="5" t="s">
        <v>8584</v>
      </c>
      <c r="C30" s="5">
        <v>21</v>
      </c>
      <c r="D30" s="5"/>
      <c r="E30" s="5"/>
      <c r="F30" s="5" t="s">
        <v>14273</v>
      </c>
      <c r="G30" s="5" t="s">
        <v>114</v>
      </c>
      <c r="H30" s="5" t="s">
        <v>3</v>
      </c>
      <c r="I30" s="5"/>
      <c r="J30" s="5" t="s">
        <v>14272</v>
      </c>
      <c r="M30" s="1"/>
      <c r="N30"/>
      <c r="O30"/>
      <c r="P30"/>
      <c r="Q30"/>
      <c r="R30"/>
      <c r="S30"/>
      <c r="T30"/>
      <c r="U30"/>
      <c r="V30"/>
      <c r="W30"/>
      <c r="X30"/>
      <c r="Y30"/>
    </row>
    <row r="31" spans="1:25" s="2" customFormat="1" ht="25.5" x14ac:dyDescent="0.2">
      <c r="A31" s="5" t="s">
        <v>13471</v>
      </c>
      <c r="B31" s="5" t="s">
        <v>8584</v>
      </c>
      <c r="C31" s="5">
        <v>22</v>
      </c>
      <c r="D31" s="5"/>
      <c r="E31" s="5"/>
      <c r="F31" s="5" t="s">
        <v>13462</v>
      </c>
      <c r="G31" s="5" t="s">
        <v>114</v>
      </c>
      <c r="H31" s="5" t="s">
        <v>3</v>
      </c>
      <c r="I31" s="5"/>
      <c r="J31" s="5" t="s">
        <v>14271</v>
      </c>
      <c r="M31" s="1"/>
      <c r="N31"/>
      <c r="O31"/>
      <c r="P31"/>
      <c r="Q31"/>
      <c r="R31"/>
      <c r="S31"/>
      <c r="T31"/>
      <c r="U31"/>
      <c r="V31"/>
      <c r="W31"/>
      <c r="X31"/>
      <c r="Y31"/>
    </row>
    <row r="32" spans="1:25" s="2" customFormat="1" ht="25.5" x14ac:dyDescent="0.2">
      <c r="A32" s="5" t="s">
        <v>12156</v>
      </c>
      <c r="B32" s="5" t="s">
        <v>8584</v>
      </c>
      <c r="C32" s="5">
        <v>23</v>
      </c>
      <c r="D32" s="5"/>
      <c r="E32" s="5"/>
      <c r="F32" s="5" t="s">
        <v>12155</v>
      </c>
      <c r="G32" s="5" t="s">
        <v>229</v>
      </c>
      <c r="H32" s="5" t="s">
        <v>3</v>
      </c>
      <c r="I32" s="5"/>
      <c r="J32" s="5" t="s">
        <v>12154</v>
      </c>
      <c r="M32" s="1"/>
      <c r="N32"/>
      <c r="O32"/>
      <c r="P32"/>
      <c r="Q32"/>
      <c r="R32"/>
      <c r="S32"/>
      <c r="T32"/>
      <c r="U32"/>
      <c r="V32"/>
      <c r="W32"/>
      <c r="X32"/>
      <c r="Y32"/>
    </row>
    <row r="33" spans="1:25" s="2" customFormat="1" ht="25.5" x14ac:dyDescent="0.2">
      <c r="A33" s="5" t="s">
        <v>14270</v>
      </c>
      <c r="B33" s="5" t="s">
        <v>8584</v>
      </c>
      <c r="C33" s="5">
        <v>24</v>
      </c>
      <c r="D33" s="5"/>
      <c r="E33" s="5"/>
      <c r="F33" s="5" t="s">
        <v>14269</v>
      </c>
      <c r="G33" s="5" t="s">
        <v>173</v>
      </c>
      <c r="H33" s="5" t="s">
        <v>3</v>
      </c>
      <c r="I33" s="5"/>
      <c r="J33" s="5" t="s">
        <v>14268</v>
      </c>
      <c r="M33" s="1"/>
      <c r="N33"/>
      <c r="O33"/>
      <c r="P33"/>
      <c r="Q33"/>
      <c r="R33"/>
      <c r="S33"/>
      <c r="T33"/>
      <c r="U33"/>
      <c r="V33"/>
      <c r="W33"/>
      <c r="X33"/>
      <c r="Y33"/>
    </row>
    <row r="34" spans="1:25" s="2" customFormat="1" ht="25.5" x14ac:dyDescent="0.2">
      <c r="A34" s="5" t="s">
        <v>14267</v>
      </c>
      <c r="B34" s="5" t="s">
        <v>8584</v>
      </c>
      <c r="C34" s="5">
        <v>25</v>
      </c>
      <c r="D34" s="5"/>
      <c r="E34" s="5"/>
      <c r="F34" s="5" t="s">
        <v>7974</v>
      </c>
      <c r="G34" s="5" t="s">
        <v>170</v>
      </c>
      <c r="H34" s="5" t="s">
        <v>137</v>
      </c>
      <c r="I34" s="5" t="s">
        <v>14260</v>
      </c>
      <c r="J34" s="5" t="s">
        <v>14266</v>
      </c>
      <c r="M34" s="1"/>
      <c r="N34"/>
      <c r="O34"/>
      <c r="P34"/>
      <c r="Q34"/>
      <c r="R34"/>
      <c r="S34"/>
      <c r="T34"/>
      <c r="U34"/>
      <c r="V34"/>
      <c r="W34"/>
      <c r="X34"/>
      <c r="Y34"/>
    </row>
    <row r="35" spans="1:25" s="2" customFormat="1" ht="25.5" x14ac:dyDescent="0.2">
      <c r="A35" s="5" t="s">
        <v>14265</v>
      </c>
      <c r="B35" s="5" t="s">
        <v>8584</v>
      </c>
      <c r="C35" s="5">
        <v>26</v>
      </c>
      <c r="D35" s="5"/>
      <c r="E35" s="5" t="s">
        <v>150</v>
      </c>
      <c r="F35" s="5" t="s">
        <v>14263</v>
      </c>
      <c r="G35" s="5" t="s">
        <v>148</v>
      </c>
      <c r="H35" s="5" t="s">
        <v>137</v>
      </c>
      <c r="I35" s="5" t="s">
        <v>14260</v>
      </c>
      <c r="J35" s="5" t="s">
        <v>14262</v>
      </c>
      <c r="M35" s="1"/>
      <c r="N35"/>
      <c r="O35"/>
      <c r="P35"/>
      <c r="Q35"/>
      <c r="R35"/>
      <c r="S35"/>
      <c r="T35"/>
      <c r="U35"/>
      <c r="V35"/>
      <c r="W35"/>
      <c r="X35"/>
      <c r="Y35"/>
    </row>
    <row r="36" spans="1:25" s="2" customFormat="1" ht="25.5" x14ac:dyDescent="0.2">
      <c r="A36" s="5" t="s">
        <v>14264</v>
      </c>
      <c r="B36" s="5" t="s">
        <v>8584</v>
      </c>
      <c r="C36" s="5">
        <v>26</v>
      </c>
      <c r="D36" s="5"/>
      <c r="E36" s="5" t="s">
        <v>213</v>
      </c>
      <c r="F36" s="5" t="s">
        <v>14263</v>
      </c>
      <c r="G36" s="5" t="s">
        <v>91</v>
      </c>
      <c r="H36" s="5" t="s">
        <v>137</v>
      </c>
      <c r="I36" s="5" t="s">
        <v>14260</v>
      </c>
      <c r="J36" s="5" t="s">
        <v>14262</v>
      </c>
      <c r="M36" s="1"/>
      <c r="N36"/>
      <c r="O36"/>
      <c r="P36"/>
      <c r="Q36"/>
      <c r="R36"/>
      <c r="S36"/>
      <c r="T36"/>
      <c r="U36"/>
      <c r="V36"/>
      <c r="W36"/>
      <c r="X36"/>
      <c r="Y36"/>
    </row>
    <row r="37" spans="1:25" s="2" customFormat="1" ht="25.5" x14ac:dyDescent="0.2">
      <c r="A37" s="5" t="s">
        <v>14261</v>
      </c>
      <c r="B37" s="5" t="s">
        <v>8584</v>
      </c>
      <c r="C37" s="5">
        <v>27</v>
      </c>
      <c r="D37" s="5"/>
      <c r="E37" s="5"/>
      <c r="F37" s="5" t="s">
        <v>7973</v>
      </c>
      <c r="G37" s="5" t="s">
        <v>283</v>
      </c>
      <c r="H37" s="5" t="s">
        <v>137</v>
      </c>
      <c r="I37" s="5" t="s">
        <v>14260</v>
      </c>
      <c r="J37" s="5" t="s">
        <v>14259</v>
      </c>
      <c r="M37" s="1"/>
      <c r="N37"/>
      <c r="O37"/>
      <c r="P37"/>
      <c r="Q37"/>
      <c r="R37"/>
      <c r="S37"/>
      <c r="T37"/>
      <c r="U37"/>
      <c r="V37"/>
      <c r="W37"/>
      <c r="X37"/>
      <c r="Y37"/>
    </row>
    <row r="38" spans="1:25" s="2" customFormat="1" ht="25.5" x14ac:dyDescent="0.2">
      <c r="A38" s="5" t="s">
        <v>12724</v>
      </c>
      <c r="B38" s="5" t="s">
        <v>8584</v>
      </c>
      <c r="C38" s="5">
        <v>28</v>
      </c>
      <c r="D38" s="5"/>
      <c r="E38" s="5"/>
      <c r="F38" s="5" t="s">
        <v>12722</v>
      </c>
      <c r="G38" s="5" t="s">
        <v>114</v>
      </c>
      <c r="H38" s="5" t="s">
        <v>3</v>
      </c>
      <c r="I38" s="5"/>
      <c r="J38" s="5" t="s">
        <v>12721</v>
      </c>
      <c r="M38" s="1"/>
      <c r="N38"/>
      <c r="O38"/>
      <c r="P38"/>
      <c r="Q38"/>
      <c r="R38"/>
      <c r="S38"/>
      <c r="T38"/>
      <c r="U38"/>
      <c r="V38"/>
      <c r="W38"/>
      <c r="X38"/>
      <c r="Y38"/>
    </row>
    <row r="39" spans="1:25" s="2" customFormat="1" ht="25.5" x14ac:dyDescent="0.2">
      <c r="A39" s="5" t="s">
        <v>14258</v>
      </c>
      <c r="B39" s="5" t="s">
        <v>8584</v>
      </c>
      <c r="C39" s="5">
        <v>29</v>
      </c>
      <c r="D39" s="5"/>
      <c r="E39" s="5" t="s">
        <v>11304</v>
      </c>
      <c r="F39" s="5" t="s">
        <v>14257</v>
      </c>
      <c r="G39" s="5" t="s">
        <v>224</v>
      </c>
      <c r="H39" s="5" t="s">
        <v>3</v>
      </c>
      <c r="I39" s="5"/>
      <c r="J39" s="5" t="s">
        <v>14256</v>
      </c>
      <c r="M39" s="1"/>
      <c r="N39"/>
      <c r="O39"/>
      <c r="P39"/>
      <c r="Q39"/>
      <c r="R39"/>
      <c r="S39"/>
      <c r="T39"/>
      <c r="U39"/>
      <c r="V39"/>
      <c r="W39"/>
      <c r="X39"/>
      <c r="Y39"/>
    </row>
    <row r="40" spans="1:25" s="2" customFormat="1" ht="25.5" x14ac:dyDescent="0.2">
      <c r="A40" s="5" t="s">
        <v>12732</v>
      </c>
      <c r="B40" s="5" t="s">
        <v>8584</v>
      </c>
      <c r="C40" s="5">
        <v>30</v>
      </c>
      <c r="D40" s="5"/>
      <c r="E40" s="5"/>
      <c r="F40" s="5" t="s">
        <v>12730</v>
      </c>
      <c r="G40" s="5" t="s">
        <v>114</v>
      </c>
      <c r="H40" s="5" t="s">
        <v>3</v>
      </c>
      <c r="I40" s="5"/>
      <c r="J40" s="5" t="s">
        <v>12729</v>
      </c>
      <c r="M40" s="1"/>
      <c r="N40"/>
      <c r="O40"/>
      <c r="P40"/>
      <c r="Q40"/>
      <c r="R40"/>
      <c r="S40"/>
      <c r="T40"/>
      <c r="U40"/>
      <c r="V40"/>
      <c r="W40"/>
      <c r="X40"/>
      <c r="Y40"/>
    </row>
    <row r="41" spans="1:25" s="2" customFormat="1" ht="25.5" x14ac:dyDescent="0.2">
      <c r="A41" s="5" t="s">
        <v>14255</v>
      </c>
      <c r="B41" s="5" t="s">
        <v>8584</v>
      </c>
      <c r="C41" s="5">
        <v>31</v>
      </c>
      <c r="D41" s="5"/>
      <c r="E41" s="5"/>
      <c r="F41" s="5" t="s">
        <v>14253</v>
      </c>
      <c r="G41" s="5" t="s">
        <v>224</v>
      </c>
      <c r="H41" s="5" t="s">
        <v>3</v>
      </c>
      <c r="I41" s="5"/>
      <c r="J41" s="5" t="s">
        <v>14252</v>
      </c>
      <c r="M41" s="1"/>
      <c r="N41"/>
      <c r="O41"/>
      <c r="P41"/>
      <c r="Q41"/>
      <c r="R41"/>
      <c r="S41"/>
      <c r="T41"/>
      <c r="U41"/>
      <c r="V41"/>
      <c r="W41"/>
      <c r="X41"/>
      <c r="Y41"/>
    </row>
    <row r="42" spans="1:25" s="2" customFormat="1" ht="25.5" x14ac:dyDescent="0.2">
      <c r="A42" s="5" t="s">
        <v>14254</v>
      </c>
      <c r="B42" s="5" t="s">
        <v>8584</v>
      </c>
      <c r="C42" s="5">
        <v>31</v>
      </c>
      <c r="D42" s="5"/>
      <c r="E42" s="5" t="s">
        <v>11304</v>
      </c>
      <c r="F42" s="5" t="s">
        <v>14253</v>
      </c>
      <c r="G42" s="5" t="s">
        <v>224</v>
      </c>
      <c r="H42" s="5" t="s">
        <v>3</v>
      </c>
      <c r="I42" s="5"/>
      <c r="J42" s="5" t="s">
        <v>14252</v>
      </c>
      <c r="M42" s="1"/>
      <c r="N42"/>
      <c r="O42"/>
      <c r="P42"/>
      <c r="Q42"/>
      <c r="R42"/>
      <c r="S42"/>
      <c r="T42"/>
      <c r="U42"/>
      <c r="V42"/>
      <c r="W42"/>
      <c r="X42"/>
      <c r="Y42"/>
    </row>
    <row r="43" spans="1:25" s="2" customFormat="1" ht="25.5" x14ac:dyDescent="0.2">
      <c r="A43" s="5" t="s">
        <v>12735</v>
      </c>
      <c r="B43" s="5" t="s">
        <v>8584</v>
      </c>
      <c r="C43" s="5">
        <v>32</v>
      </c>
      <c r="D43" s="5"/>
      <c r="E43" s="5"/>
      <c r="F43" s="5" t="s">
        <v>11402</v>
      </c>
      <c r="G43" s="5" t="s">
        <v>114</v>
      </c>
      <c r="H43" s="5" t="s">
        <v>3</v>
      </c>
      <c r="I43" s="5"/>
      <c r="J43" s="5" t="s">
        <v>12733</v>
      </c>
      <c r="M43" s="1"/>
      <c r="N43"/>
      <c r="O43"/>
      <c r="P43"/>
      <c r="Q43"/>
      <c r="R43"/>
      <c r="S43"/>
      <c r="T43"/>
      <c r="U43"/>
      <c r="V43"/>
      <c r="W43"/>
      <c r="X43"/>
      <c r="Y43"/>
    </row>
    <row r="44" spans="1:25" s="2" customFormat="1" ht="25.5" x14ac:dyDescent="0.2">
      <c r="A44" s="5" t="s">
        <v>14251</v>
      </c>
      <c r="B44" s="5" t="s">
        <v>8584</v>
      </c>
      <c r="C44" s="5">
        <v>33</v>
      </c>
      <c r="D44" s="5"/>
      <c r="E44" s="5" t="s">
        <v>11304</v>
      </c>
      <c r="F44" s="5" t="s">
        <v>14250</v>
      </c>
      <c r="G44" s="5" t="s">
        <v>224</v>
      </c>
      <c r="H44" s="5" t="s">
        <v>3</v>
      </c>
      <c r="I44" s="5"/>
      <c r="J44" s="5" t="s">
        <v>14249</v>
      </c>
      <c r="M44" s="1"/>
      <c r="N44"/>
      <c r="O44"/>
      <c r="P44"/>
      <c r="Q44"/>
      <c r="R44"/>
      <c r="S44"/>
      <c r="T44"/>
      <c r="U44"/>
      <c r="V44"/>
      <c r="W44"/>
      <c r="X44"/>
      <c r="Y44"/>
    </row>
    <row r="45" spans="1:25" s="2" customFormat="1" ht="25.5" x14ac:dyDescent="0.2">
      <c r="A45" s="5" t="s">
        <v>13512</v>
      </c>
      <c r="B45" s="5" t="s">
        <v>8584</v>
      </c>
      <c r="C45" s="5">
        <v>34</v>
      </c>
      <c r="D45" s="5"/>
      <c r="E45" s="5"/>
      <c r="F45" s="5" t="s">
        <v>7980</v>
      </c>
      <c r="G45" s="5" t="s">
        <v>207</v>
      </c>
      <c r="H45" s="5" t="s">
        <v>3</v>
      </c>
      <c r="I45" s="5"/>
      <c r="J45" s="5" t="s">
        <v>13510</v>
      </c>
      <c r="M45" s="1"/>
      <c r="N45"/>
      <c r="O45"/>
      <c r="P45"/>
      <c r="Q45"/>
      <c r="R45"/>
      <c r="S45"/>
      <c r="T45"/>
      <c r="U45"/>
      <c r="V45"/>
      <c r="W45"/>
      <c r="X45"/>
      <c r="Y45"/>
    </row>
    <row r="46" spans="1:25" s="2" customFormat="1" x14ac:dyDescent="0.2">
      <c r="A46" s="5" t="s">
        <v>10647</v>
      </c>
      <c r="B46" s="5" t="s">
        <v>8584</v>
      </c>
      <c r="C46" s="5">
        <v>35</v>
      </c>
      <c r="D46" s="5"/>
      <c r="E46" s="5" t="s">
        <v>11304</v>
      </c>
      <c r="F46" s="5" t="s">
        <v>10645</v>
      </c>
      <c r="G46" s="5" t="s">
        <v>224</v>
      </c>
      <c r="H46" s="5" t="s">
        <v>3</v>
      </c>
      <c r="I46" s="5"/>
      <c r="J46" s="5" t="s">
        <v>10644</v>
      </c>
      <c r="M46" s="1"/>
      <c r="N46"/>
      <c r="O46"/>
      <c r="P46"/>
      <c r="Q46"/>
      <c r="R46"/>
      <c r="S46"/>
      <c r="T46"/>
      <c r="U46"/>
      <c r="V46"/>
      <c r="W46"/>
      <c r="X46"/>
      <c r="Y46"/>
    </row>
    <row r="47" spans="1:25" s="2" customFormat="1" x14ac:dyDescent="0.2">
      <c r="A47" s="5" t="s">
        <v>14248</v>
      </c>
      <c r="B47" s="5" t="s">
        <v>8584</v>
      </c>
      <c r="C47" s="5">
        <v>36</v>
      </c>
      <c r="D47" s="5"/>
      <c r="E47" s="5"/>
      <c r="F47" s="5" t="s">
        <v>14247</v>
      </c>
      <c r="G47" s="5" t="s">
        <v>118</v>
      </c>
      <c r="H47" s="5" t="s">
        <v>137</v>
      </c>
      <c r="I47" s="5" t="s">
        <v>10893</v>
      </c>
      <c r="J47" s="5" t="s">
        <v>14246</v>
      </c>
      <c r="M47" s="1"/>
      <c r="N47"/>
      <c r="O47"/>
      <c r="P47"/>
      <c r="Q47"/>
      <c r="R47"/>
      <c r="S47"/>
      <c r="T47"/>
      <c r="U47"/>
      <c r="V47"/>
      <c r="W47"/>
      <c r="X47"/>
      <c r="Y47"/>
    </row>
    <row r="48" spans="1:25" s="2" customFormat="1" ht="25.5" x14ac:dyDescent="0.2">
      <c r="A48" s="5" t="s">
        <v>14245</v>
      </c>
      <c r="B48" s="5" t="s">
        <v>8584</v>
      </c>
      <c r="C48" s="5">
        <v>36</v>
      </c>
      <c r="D48" s="5"/>
      <c r="E48" s="5"/>
      <c r="F48" s="5" t="s">
        <v>14244</v>
      </c>
      <c r="G48" s="5" t="s">
        <v>105</v>
      </c>
      <c r="H48" s="5" t="s">
        <v>3</v>
      </c>
      <c r="I48" s="5"/>
      <c r="J48" s="5"/>
      <c r="M48" s="1"/>
      <c r="N48"/>
      <c r="O48"/>
      <c r="P48"/>
      <c r="Q48"/>
      <c r="R48"/>
      <c r="S48"/>
      <c r="T48"/>
      <c r="U48"/>
      <c r="V48"/>
      <c r="W48"/>
      <c r="X48"/>
      <c r="Y48"/>
    </row>
    <row r="49" spans="1:25" s="2" customFormat="1" ht="25.5" x14ac:dyDescent="0.2">
      <c r="A49" s="5" t="s">
        <v>14243</v>
      </c>
      <c r="B49" s="5" t="s">
        <v>8584</v>
      </c>
      <c r="C49" s="5">
        <v>37</v>
      </c>
      <c r="D49" s="5"/>
      <c r="E49" s="5" t="s">
        <v>6367</v>
      </c>
      <c r="F49" s="5" t="s">
        <v>12817</v>
      </c>
      <c r="G49" s="5" t="s">
        <v>105</v>
      </c>
      <c r="H49" s="5"/>
      <c r="I49" s="5"/>
      <c r="J49" s="5" t="s">
        <v>14242</v>
      </c>
      <c r="M49" s="1"/>
      <c r="N49"/>
      <c r="O49"/>
      <c r="P49"/>
      <c r="Q49"/>
      <c r="R49"/>
      <c r="S49"/>
      <c r="T49"/>
      <c r="U49"/>
      <c r="V49"/>
      <c r="W49"/>
      <c r="X49"/>
      <c r="Y49"/>
    </row>
    <row r="50" spans="1:25" s="2" customFormat="1" x14ac:dyDescent="0.2">
      <c r="A50" s="5" t="s">
        <v>12389</v>
      </c>
      <c r="B50" s="5" t="s">
        <v>8584</v>
      </c>
      <c r="C50" s="5">
        <v>38</v>
      </c>
      <c r="D50" s="5"/>
      <c r="E50" s="5"/>
      <c r="F50" s="5" t="s">
        <v>259</v>
      </c>
      <c r="G50" s="5" t="s">
        <v>229</v>
      </c>
      <c r="H50" s="5" t="s">
        <v>3</v>
      </c>
      <c r="I50" s="5"/>
      <c r="J50" s="5" t="s">
        <v>12387</v>
      </c>
      <c r="M50" s="1"/>
      <c r="N50"/>
      <c r="O50"/>
      <c r="P50"/>
      <c r="Q50"/>
      <c r="R50"/>
      <c r="S50"/>
      <c r="T50"/>
      <c r="U50"/>
      <c r="V50"/>
      <c r="W50"/>
      <c r="X50"/>
      <c r="Y50"/>
    </row>
    <row r="51" spans="1:25" s="2" customFormat="1" x14ac:dyDescent="0.2">
      <c r="A51" s="5" t="s">
        <v>12054</v>
      </c>
      <c r="B51" s="5" t="s">
        <v>8584</v>
      </c>
      <c r="C51" s="5">
        <v>39</v>
      </c>
      <c r="D51" s="5"/>
      <c r="E51" s="5"/>
      <c r="F51" s="5" t="s">
        <v>259</v>
      </c>
      <c r="G51" s="5" t="s">
        <v>170</v>
      </c>
      <c r="H51" s="5" t="s">
        <v>3</v>
      </c>
      <c r="I51" s="5"/>
      <c r="J51" s="5" t="s">
        <v>12053</v>
      </c>
      <c r="M51" s="1"/>
      <c r="N51"/>
      <c r="O51"/>
      <c r="P51"/>
      <c r="Q51"/>
      <c r="R51"/>
      <c r="S51"/>
      <c r="T51"/>
      <c r="U51"/>
      <c r="V51"/>
      <c r="W51"/>
      <c r="X51"/>
      <c r="Y51"/>
    </row>
    <row r="52" spans="1:25" s="2" customFormat="1" x14ac:dyDescent="0.2">
      <c r="A52" s="5" t="s">
        <v>14241</v>
      </c>
      <c r="B52" s="5" t="s">
        <v>8584</v>
      </c>
      <c r="C52" s="5">
        <v>40</v>
      </c>
      <c r="D52" s="5"/>
      <c r="E52" s="5" t="s">
        <v>6367</v>
      </c>
      <c r="F52" s="5" t="s">
        <v>14240</v>
      </c>
      <c r="G52" s="5" t="s">
        <v>105</v>
      </c>
      <c r="H52" s="5" t="s">
        <v>3</v>
      </c>
      <c r="I52" s="5"/>
      <c r="J52" s="5" t="s">
        <v>14239</v>
      </c>
      <c r="M52" s="1"/>
      <c r="N52"/>
      <c r="O52"/>
      <c r="P52"/>
      <c r="Q52"/>
      <c r="R52"/>
      <c r="S52"/>
      <c r="T52"/>
      <c r="U52"/>
      <c r="V52"/>
      <c r="W52"/>
      <c r="X52"/>
      <c r="Y52"/>
    </row>
    <row r="53" spans="1:25" s="2" customFormat="1" ht="25.5" x14ac:dyDescent="0.2">
      <c r="A53" s="5" t="s">
        <v>12373</v>
      </c>
      <c r="B53" s="5" t="s">
        <v>8584</v>
      </c>
      <c r="C53" s="5">
        <v>41</v>
      </c>
      <c r="D53" s="5"/>
      <c r="E53" s="5"/>
      <c r="F53" s="5" t="s">
        <v>259</v>
      </c>
      <c r="G53" s="5" t="s">
        <v>80</v>
      </c>
      <c r="H53" s="5" t="s">
        <v>3</v>
      </c>
      <c r="I53" s="5"/>
      <c r="J53" s="5" t="s">
        <v>12371</v>
      </c>
      <c r="M53" s="1"/>
      <c r="N53"/>
      <c r="O53"/>
      <c r="P53"/>
      <c r="Q53"/>
      <c r="R53"/>
      <c r="S53"/>
      <c r="T53"/>
      <c r="U53"/>
      <c r="V53"/>
      <c r="W53"/>
      <c r="X53"/>
      <c r="Y53"/>
    </row>
    <row r="54" spans="1:25" s="2" customFormat="1" x14ac:dyDescent="0.2">
      <c r="A54" s="5" t="s">
        <v>14238</v>
      </c>
      <c r="B54" s="5" t="s">
        <v>8584</v>
      </c>
      <c r="C54" s="5">
        <v>42</v>
      </c>
      <c r="D54" s="5"/>
      <c r="E54" s="5"/>
      <c r="F54" s="5" t="s">
        <v>14237</v>
      </c>
      <c r="G54" s="5" t="s">
        <v>382</v>
      </c>
      <c r="H54" s="5" t="s">
        <v>3</v>
      </c>
      <c r="I54" s="5"/>
      <c r="J54" s="5" t="s">
        <v>14236</v>
      </c>
      <c r="M54" s="1"/>
      <c r="N54"/>
      <c r="O54"/>
      <c r="P54"/>
      <c r="Q54"/>
      <c r="R54"/>
      <c r="S54"/>
      <c r="T54"/>
      <c r="U54"/>
      <c r="V54"/>
      <c r="W54"/>
      <c r="X54"/>
      <c r="Y54"/>
    </row>
    <row r="55" spans="1:25" s="2" customFormat="1" ht="25.5" x14ac:dyDescent="0.2">
      <c r="A55" s="5" t="s">
        <v>11209</v>
      </c>
      <c r="B55" s="5" t="s">
        <v>8584</v>
      </c>
      <c r="C55" s="5">
        <v>43</v>
      </c>
      <c r="D55" s="5"/>
      <c r="E55" s="5" t="s">
        <v>6367</v>
      </c>
      <c r="F55" s="5" t="s">
        <v>11204</v>
      </c>
      <c r="G55" s="5" t="s">
        <v>105</v>
      </c>
      <c r="H55" s="5" t="s">
        <v>3</v>
      </c>
      <c r="I55" s="5"/>
      <c r="J55" s="5" t="s">
        <v>11207</v>
      </c>
      <c r="M55" s="1"/>
      <c r="N55"/>
      <c r="O55"/>
      <c r="P55"/>
      <c r="Q55"/>
      <c r="R55"/>
      <c r="S55"/>
      <c r="T55"/>
      <c r="U55"/>
      <c r="V55"/>
      <c r="W55"/>
      <c r="X55"/>
      <c r="Y55"/>
    </row>
    <row r="56" spans="1:25" s="2" customFormat="1" ht="25.5" x14ac:dyDescent="0.2">
      <c r="A56" s="5" t="s">
        <v>14235</v>
      </c>
      <c r="B56" s="5" t="s">
        <v>8584</v>
      </c>
      <c r="C56" s="5">
        <v>43</v>
      </c>
      <c r="D56" s="5"/>
      <c r="E56" s="5"/>
      <c r="F56" s="5" t="s">
        <v>12026</v>
      </c>
      <c r="G56" s="5" t="s">
        <v>105</v>
      </c>
      <c r="H56" s="5" t="s">
        <v>3</v>
      </c>
      <c r="I56" s="5"/>
      <c r="J56" s="5" t="s">
        <v>14234</v>
      </c>
      <c r="M56" s="1"/>
      <c r="N56"/>
      <c r="O56"/>
      <c r="P56"/>
      <c r="Q56"/>
      <c r="R56"/>
      <c r="S56"/>
      <c r="T56"/>
      <c r="U56"/>
      <c r="V56"/>
      <c r="W56"/>
      <c r="X56"/>
      <c r="Y56"/>
    </row>
    <row r="57" spans="1:25" s="2" customFormat="1" x14ac:dyDescent="0.2">
      <c r="A57" s="5" t="s">
        <v>14233</v>
      </c>
      <c r="B57" s="5" t="s">
        <v>8584</v>
      </c>
      <c r="C57" s="5">
        <v>44</v>
      </c>
      <c r="D57" s="5"/>
      <c r="E57" s="5" t="s">
        <v>138</v>
      </c>
      <c r="F57" s="5" t="s">
        <v>14232</v>
      </c>
      <c r="G57" s="5" t="s">
        <v>173</v>
      </c>
      <c r="H57" s="5"/>
      <c r="I57" s="5"/>
      <c r="J57" s="5" t="s">
        <v>14232</v>
      </c>
      <c r="M57" s="1"/>
      <c r="N57"/>
      <c r="O57"/>
      <c r="P57"/>
      <c r="Q57"/>
      <c r="R57"/>
      <c r="S57"/>
      <c r="T57"/>
      <c r="U57"/>
      <c r="V57"/>
      <c r="W57"/>
      <c r="X57"/>
      <c r="Y57"/>
    </row>
    <row r="58" spans="1:25" s="2" customFormat="1" x14ac:dyDescent="0.2">
      <c r="A58" s="5" t="s">
        <v>14231</v>
      </c>
      <c r="B58" s="5" t="s">
        <v>8584</v>
      </c>
      <c r="C58" s="5">
        <v>45</v>
      </c>
      <c r="D58" s="5"/>
      <c r="E58" s="5" t="s">
        <v>368</v>
      </c>
      <c r="F58" s="5" t="s">
        <v>14230</v>
      </c>
      <c r="G58" s="5" t="s">
        <v>173</v>
      </c>
      <c r="H58" s="5"/>
      <c r="I58" s="5"/>
      <c r="J58" s="5" t="s">
        <v>14230</v>
      </c>
      <c r="M58" s="1"/>
      <c r="N58"/>
      <c r="O58"/>
      <c r="P58"/>
      <c r="Q58"/>
      <c r="R58"/>
      <c r="S58"/>
      <c r="T58"/>
      <c r="U58"/>
      <c r="V58"/>
      <c r="W58"/>
      <c r="X58"/>
      <c r="Y58"/>
    </row>
    <row r="59" spans="1:25" s="2" customFormat="1" x14ac:dyDescent="0.2">
      <c r="A59" s="5" t="s">
        <v>11515</v>
      </c>
      <c r="B59" s="5" t="s">
        <v>8584</v>
      </c>
      <c r="C59" s="5">
        <v>47</v>
      </c>
      <c r="D59" s="5"/>
      <c r="E59" s="5" t="s">
        <v>11304</v>
      </c>
      <c r="F59" s="5" t="s">
        <v>11104</v>
      </c>
      <c r="G59" s="5" t="s">
        <v>315</v>
      </c>
      <c r="H59" s="5" t="s">
        <v>3</v>
      </c>
      <c r="I59" s="5"/>
      <c r="J59" s="5" t="s">
        <v>11514</v>
      </c>
      <c r="M59" s="1"/>
      <c r="N59"/>
      <c r="O59"/>
      <c r="P59"/>
      <c r="Q59"/>
      <c r="R59"/>
      <c r="S59"/>
      <c r="T59"/>
      <c r="U59"/>
      <c r="V59"/>
      <c r="W59"/>
      <c r="X59"/>
      <c r="Y59"/>
    </row>
    <row r="60" spans="1:25" s="2" customFormat="1" x14ac:dyDescent="0.2">
      <c r="A60" s="5" t="s">
        <v>11408</v>
      </c>
      <c r="B60" s="5" t="s">
        <v>8584</v>
      </c>
      <c r="C60" s="5">
        <v>48</v>
      </c>
      <c r="D60" s="5"/>
      <c r="E60" s="5"/>
      <c r="F60" s="5" t="s">
        <v>14153</v>
      </c>
      <c r="G60" s="5" t="s">
        <v>80</v>
      </c>
      <c r="H60" s="5" t="s">
        <v>3</v>
      </c>
      <c r="I60" s="5"/>
      <c r="J60" s="5" t="s">
        <v>14153</v>
      </c>
      <c r="M60" s="1"/>
      <c r="N60"/>
      <c r="O60"/>
      <c r="P60"/>
      <c r="Q60"/>
      <c r="R60"/>
      <c r="S60"/>
      <c r="T60"/>
      <c r="U60"/>
      <c r="V60"/>
      <c r="W60"/>
      <c r="X60"/>
      <c r="Y60"/>
    </row>
    <row r="61" spans="1:25" s="2" customFormat="1" x14ac:dyDescent="0.2">
      <c r="A61" s="5" t="s">
        <v>14229</v>
      </c>
      <c r="B61" s="5" t="s">
        <v>8584</v>
      </c>
      <c r="C61" s="5">
        <v>48</v>
      </c>
      <c r="D61" s="5"/>
      <c r="E61" s="5"/>
      <c r="F61" s="5" t="s">
        <v>14153</v>
      </c>
      <c r="G61" s="5" t="s">
        <v>80</v>
      </c>
      <c r="H61" s="5" t="s">
        <v>3</v>
      </c>
      <c r="I61" s="5"/>
      <c r="J61" s="5" t="s">
        <v>14153</v>
      </c>
      <c r="M61" s="1"/>
      <c r="N61"/>
      <c r="O61"/>
      <c r="P61"/>
      <c r="Q61"/>
      <c r="R61"/>
      <c r="S61"/>
      <c r="T61"/>
      <c r="U61"/>
      <c r="V61"/>
      <c r="W61"/>
      <c r="X61"/>
      <c r="Y61"/>
    </row>
    <row r="62" spans="1:25" s="2" customFormat="1" ht="25.5" x14ac:dyDescent="0.2">
      <c r="A62" s="5" t="s">
        <v>11268</v>
      </c>
      <c r="B62" s="5" t="s">
        <v>8584</v>
      </c>
      <c r="C62" s="5">
        <v>49</v>
      </c>
      <c r="D62" s="5"/>
      <c r="E62" s="5"/>
      <c r="F62" s="5" t="s">
        <v>11267</v>
      </c>
      <c r="G62" s="5" t="s">
        <v>105</v>
      </c>
      <c r="H62" s="5" t="s">
        <v>3</v>
      </c>
      <c r="I62" s="5"/>
      <c r="J62" s="5" t="s">
        <v>14228</v>
      </c>
      <c r="M62" s="1"/>
      <c r="N62"/>
      <c r="O62"/>
      <c r="P62"/>
      <c r="Q62"/>
      <c r="R62"/>
      <c r="S62"/>
      <c r="T62"/>
      <c r="U62"/>
      <c r="V62"/>
      <c r="W62"/>
      <c r="X62"/>
      <c r="Y62"/>
    </row>
    <row r="63" spans="1:25" s="2" customFormat="1" x14ac:dyDescent="0.2">
      <c r="A63" s="5" t="s">
        <v>14227</v>
      </c>
      <c r="B63" s="5" t="s">
        <v>8584</v>
      </c>
      <c r="C63" s="5">
        <v>50</v>
      </c>
      <c r="D63" s="5"/>
      <c r="E63" s="5"/>
      <c r="F63" s="5" t="s">
        <v>8479</v>
      </c>
      <c r="G63" s="5" t="s">
        <v>148</v>
      </c>
      <c r="H63" s="5" t="s">
        <v>3</v>
      </c>
      <c r="I63" s="5"/>
      <c r="J63" s="5" t="s">
        <v>14226</v>
      </c>
      <c r="M63" s="1"/>
      <c r="N63"/>
      <c r="O63"/>
      <c r="P63"/>
      <c r="Q63"/>
      <c r="R63"/>
      <c r="S63"/>
      <c r="T63"/>
      <c r="U63"/>
      <c r="V63"/>
      <c r="W63"/>
      <c r="X63"/>
      <c r="Y63"/>
    </row>
    <row r="64" spans="1:25" s="2" customFormat="1" x14ac:dyDescent="0.2">
      <c r="A64" s="5" t="s">
        <v>14225</v>
      </c>
      <c r="B64" s="5" t="s">
        <v>8584</v>
      </c>
      <c r="C64" s="5">
        <v>51</v>
      </c>
      <c r="D64" s="5"/>
      <c r="E64" s="5" t="s">
        <v>288</v>
      </c>
      <c r="F64" s="5" t="s">
        <v>14223</v>
      </c>
      <c r="G64" s="5" t="s">
        <v>91</v>
      </c>
      <c r="H64" s="5"/>
      <c r="I64" s="5"/>
      <c r="J64" s="5" t="s">
        <v>14222</v>
      </c>
      <c r="M64" s="1"/>
      <c r="N64"/>
      <c r="O64"/>
      <c r="P64"/>
      <c r="Q64"/>
      <c r="R64"/>
      <c r="S64"/>
      <c r="T64"/>
      <c r="U64"/>
      <c r="V64"/>
      <c r="W64"/>
      <c r="X64"/>
      <c r="Y64"/>
    </row>
    <row r="65" spans="1:25" s="2" customFormat="1" x14ac:dyDescent="0.2">
      <c r="A65" s="5" t="s">
        <v>14224</v>
      </c>
      <c r="B65" s="5" t="s">
        <v>8584</v>
      </c>
      <c r="C65" s="5">
        <v>51</v>
      </c>
      <c r="D65" s="5"/>
      <c r="E65" s="5" t="s">
        <v>213</v>
      </c>
      <c r="F65" s="5" t="s">
        <v>14223</v>
      </c>
      <c r="G65" s="5" t="s">
        <v>91</v>
      </c>
      <c r="H65" s="5"/>
      <c r="I65" s="5"/>
      <c r="J65" s="5" t="s">
        <v>14222</v>
      </c>
      <c r="M65" s="1"/>
      <c r="N65"/>
      <c r="O65"/>
      <c r="P65"/>
      <c r="Q65"/>
      <c r="R65"/>
      <c r="S65"/>
      <c r="T65"/>
      <c r="U65"/>
      <c r="V65"/>
      <c r="W65"/>
      <c r="X65"/>
      <c r="Y65"/>
    </row>
    <row r="66" spans="1:25" s="2" customFormat="1" ht="25.5" x14ac:dyDescent="0.2">
      <c r="A66" s="5" t="s">
        <v>14221</v>
      </c>
      <c r="B66" s="5" t="s">
        <v>8584</v>
      </c>
      <c r="C66" s="5">
        <v>52</v>
      </c>
      <c r="D66" s="5"/>
      <c r="E66" s="5"/>
      <c r="F66" s="5" t="s">
        <v>14220</v>
      </c>
      <c r="G66" s="5" t="s">
        <v>315</v>
      </c>
      <c r="H66" s="5" t="s">
        <v>3</v>
      </c>
      <c r="I66" s="5"/>
      <c r="J66" s="5" t="s">
        <v>14219</v>
      </c>
      <c r="M66" s="1"/>
      <c r="N66"/>
      <c r="O66"/>
      <c r="P66"/>
      <c r="Q66"/>
      <c r="R66"/>
      <c r="S66"/>
      <c r="T66"/>
      <c r="U66"/>
      <c r="V66"/>
      <c r="W66"/>
      <c r="X66"/>
      <c r="Y66"/>
    </row>
    <row r="67" spans="1:25" s="2" customFormat="1" x14ac:dyDescent="0.2">
      <c r="A67" s="5" t="s">
        <v>14218</v>
      </c>
      <c r="B67" s="5" t="s">
        <v>8584</v>
      </c>
      <c r="C67" s="5">
        <v>53</v>
      </c>
      <c r="D67" s="5"/>
      <c r="E67" s="5" t="s">
        <v>368</v>
      </c>
      <c r="F67" s="5" t="s">
        <v>14198</v>
      </c>
      <c r="G67" s="5" t="s">
        <v>195</v>
      </c>
      <c r="H67" s="5" t="s">
        <v>3</v>
      </c>
      <c r="I67" s="5"/>
      <c r="J67" s="5" t="s">
        <v>14217</v>
      </c>
      <c r="M67" s="1"/>
      <c r="N67"/>
      <c r="O67"/>
      <c r="P67"/>
      <c r="Q67"/>
      <c r="R67"/>
      <c r="S67"/>
      <c r="T67"/>
      <c r="U67"/>
      <c r="V67"/>
      <c r="W67"/>
      <c r="X67"/>
      <c r="Y67"/>
    </row>
    <row r="68" spans="1:25" s="2" customFormat="1" x14ac:dyDescent="0.2">
      <c r="A68" s="5" t="s">
        <v>14216</v>
      </c>
      <c r="B68" s="5" t="s">
        <v>8584</v>
      </c>
      <c r="C68" s="5">
        <v>54</v>
      </c>
      <c r="D68" s="5"/>
      <c r="E68" s="5"/>
      <c r="F68" s="5" t="s">
        <v>14215</v>
      </c>
      <c r="G68" s="5" t="s">
        <v>114</v>
      </c>
      <c r="H68" s="5" t="s">
        <v>3</v>
      </c>
      <c r="I68" s="5"/>
      <c r="J68" s="5" t="s">
        <v>14214</v>
      </c>
      <c r="M68" s="1"/>
      <c r="N68"/>
      <c r="O68"/>
      <c r="P68"/>
      <c r="Q68"/>
      <c r="R68"/>
      <c r="S68"/>
      <c r="T68"/>
      <c r="U68"/>
      <c r="V68"/>
      <c r="W68"/>
      <c r="X68"/>
      <c r="Y68"/>
    </row>
    <row r="69" spans="1:25" s="2" customFormat="1" x14ac:dyDescent="0.2">
      <c r="A69" s="5" t="s">
        <v>14213</v>
      </c>
      <c r="B69" s="5" t="s">
        <v>8584</v>
      </c>
      <c r="C69" s="5">
        <v>55</v>
      </c>
      <c r="D69" s="5"/>
      <c r="E69" s="5"/>
      <c r="F69" s="5" t="s">
        <v>14212</v>
      </c>
      <c r="G69" s="5" t="s">
        <v>315</v>
      </c>
      <c r="H69" s="5" t="s">
        <v>3</v>
      </c>
      <c r="I69" s="5"/>
      <c r="J69" s="5" t="s">
        <v>14211</v>
      </c>
      <c r="M69" s="1"/>
      <c r="N69"/>
      <c r="O69"/>
      <c r="P69"/>
      <c r="Q69"/>
      <c r="R69"/>
      <c r="S69"/>
      <c r="T69"/>
      <c r="U69"/>
      <c r="V69"/>
      <c r="W69"/>
      <c r="X69"/>
      <c r="Y69"/>
    </row>
    <row r="70" spans="1:25" s="2" customFormat="1" x14ac:dyDescent="0.2">
      <c r="A70" s="5" t="s">
        <v>14210</v>
      </c>
      <c r="B70" s="5" t="s">
        <v>8584</v>
      </c>
      <c r="C70" s="5">
        <v>56</v>
      </c>
      <c r="D70" s="5"/>
      <c r="E70" s="5"/>
      <c r="F70" s="5" t="s">
        <v>14209</v>
      </c>
      <c r="G70" s="5" t="s">
        <v>118</v>
      </c>
      <c r="H70" s="5" t="s">
        <v>3</v>
      </c>
      <c r="I70" s="5"/>
      <c r="J70" s="5" t="s">
        <v>14208</v>
      </c>
      <c r="M70" s="1"/>
      <c r="N70"/>
      <c r="O70"/>
      <c r="P70"/>
      <c r="Q70"/>
      <c r="R70"/>
      <c r="S70"/>
      <c r="T70"/>
      <c r="U70"/>
      <c r="V70"/>
      <c r="W70"/>
      <c r="X70"/>
      <c r="Y70"/>
    </row>
    <row r="71" spans="1:25" s="2" customFormat="1" x14ac:dyDescent="0.2">
      <c r="A71" s="5" t="s">
        <v>14207</v>
      </c>
      <c r="B71" s="5" t="s">
        <v>8584</v>
      </c>
      <c r="C71" s="5">
        <v>57</v>
      </c>
      <c r="D71" s="5"/>
      <c r="E71" s="5"/>
      <c r="F71" s="5" t="s">
        <v>14206</v>
      </c>
      <c r="G71" s="5" t="s">
        <v>114</v>
      </c>
      <c r="H71" s="5" t="s">
        <v>3</v>
      </c>
      <c r="I71" s="5"/>
      <c r="J71" s="5" t="s">
        <v>14205</v>
      </c>
      <c r="M71" s="1"/>
      <c r="N71"/>
      <c r="O71"/>
      <c r="P71"/>
      <c r="Q71"/>
      <c r="R71"/>
      <c r="S71"/>
      <c r="T71"/>
      <c r="U71"/>
      <c r="V71"/>
      <c r="W71"/>
      <c r="X71"/>
      <c r="Y71"/>
    </row>
    <row r="72" spans="1:25" s="2" customFormat="1" x14ac:dyDescent="0.2">
      <c r="A72" s="5" t="s">
        <v>14204</v>
      </c>
      <c r="B72" s="5" t="s">
        <v>8584</v>
      </c>
      <c r="C72" s="5">
        <v>58</v>
      </c>
      <c r="D72" s="5"/>
      <c r="E72" s="5"/>
      <c r="F72" s="5" t="s">
        <v>14203</v>
      </c>
      <c r="G72" s="5" t="s">
        <v>114</v>
      </c>
      <c r="H72" s="5" t="s">
        <v>3</v>
      </c>
      <c r="I72" s="5"/>
      <c r="J72" s="5" t="s">
        <v>14202</v>
      </c>
      <c r="M72" s="1"/>
      <c r="N72"/>
      <c r="O72"/>
      <c r="P72"/>
      <c r="Q72"/>
      <c r="R72"/>
      <c r="S72"/>
      <c r="T72"/>
      <c r="U72"/>
      <c r="V72"/>
      <c r="W72"/>
      <c r="X72"/>
      <c r="Y72"/>
    </row>
    <row r="73" spans="1:25" s="2" customFormat="1" x14ac:dyDescent="0.2">
      <c r="A73" s="5" t="s">
        <v>14201</v>
      </c>
      <c r="B73" s="5" t="s">
        <v>8584</v>
      </c>
      <c r="C73" s="5">
        <v>59</v>
      </c>
      <c r="D73" s="5"/>
      <c r="E73" s="5"/>
      <c r="F73" s="5" t="s">
        <v>14143</v>
      </c>
      <c r="G73" s="5" t="s">
        <v>80</v>
      </c>
      <c r="H73" s="5" t="s">
        <v>3</v>
      </c>
      <c r="I73" s="5"/>
      <c r="J73" s="5" t="s">
        <v>14200</v>
      </c>
      <c r="M73" s="1"/>
      <c r="N73"/>
      <c r="O73"/>
      <c r="P73"/>
      <c r="Q73"/>
      <c r="R73"/>
      <c r="S73"/>
      <c r="T73"/>
      <c r="U73"/>
      <c r="V73"/>
      <c r="W73"/>
      <c r="X73"/>
      <c r="Y73"/>
    </row>
    <row r="74" spans="1:25" s="2" customFormat="1" x14ac:dyDescent="0.2">
      <c r="A74" s="5" t="s">
        <v>14199</v>
      </c>
      <c r="B74" s="5" t="s">
        <v>8584</v>
      </c>
      <c r="C74" s="5">
        <v>60</v>
      </c>
      <c r="D74" s="5"/>
      <c r="E74" s="5" t="s">
        <v>368</v>
      </c>
      <c r="F74" s="5" t="s">
        <v>14198</v>
      </c>
      <c r="G74" s="5" t="s">
        <v>207</v>
      </c>
      <c r="H74" s="5" t="s">
        <v>3</v>
      </c>
      <c r="I74" s="5"/>
      <c r="J74" s="5" t="s">
        <v>14197</v>
      </c>
      <c r="M74" s="1"/>
      <c r="N74"/>
      <c r="O74"/>
      <c r="P74"/>
      <c r="Q74"/>
      <c r="R74"/>
      <c r="S74"/>
      <c r="T74"/>
      <c r="U74"/>
      <c r="V74"/>
      <c r="W74"/>
      <c r="X74"/>
      <c r="Y74"/>
    </row>
    <row r="75" spans="1:25" s="2" customFormat="1" ht="25.5" x14ac:dyDescent="0.2">
      <c r="A75" s="5" t="s">
        <v>11936</v>
      </c>
      <c r="B75" s="5" t="s">
        <v>8584</v>
      </c>
      <c r="C75" s="5">
        <v>61</v>
      </c>
      <c r="D75" s="5"/>
      <c r="E75" s="5"/>
      <c r="F75" s="5" t="s">
        <v>14196</v>
      </c>
      <c r="G75" s="5" t="s">
        <v>114</v>
      </c>
      <c r="H75" s="5" t="s">
        <v>3</v>
      </c>
      <c r="I75" s="5"/>
      <c r="J75" s="5" t="s">
        <v>14196</v>
      </c>
      <c r="M75" s="1"/>
      <c r="N75"/>
      <c r="O75"/>
      <c r="P75"/>
      <c r="Q75"/>
      <c r="R75"/>
      <c r="S75"/>
      <c r="T75"/>
      <c r="U75"/>
      <c r="V75"/>
      <c r="W75"/>
      <c r="X75"/>
      <c r="Y75"/>
    </row>
    <row r="76" spans="1:25" s="2" customFormat="1" ht="25.5" x14ac:dyDescent="0.2">
      <c r="A76" s="5" t="s">
        <v>13630</v>
      </c>
      <c r="B76" s="5" t="s">
        <v>8584</v>
      </c>
      <c r="C76" s="5">
        <v>62</v>
      </c>
      <c r="D76" s="5"/>
      <c r="E76" s="5"/>
      <c r="F76" s="5" t="s">
        <v>13629</v>
      </c>
      <c r="G76" s="5" t="s">
        <v>105</v>
      </c>
      <c r="H76" s="5" t="s">
        <v>3</v>
      </c>
      <c r="I76" s="5"/>
      <c r="J76" s="5" t="s">
        <v>14195</v>
      </c>
      <c r="M76" s="1"/>
      <c r="N76"/>
      <c r="O76"/>
      <c r="P76"/>
      <c r="Q76"/>
      <c r="R76"/>
      <c r="S76"/>
      <c r="T76"/>
      <c r="U76"/>
      <c r="V76"/>
      <c r="W76"/>
      <c r="X76"/>
      <c r="Y76"/>
    </row>
    <row r="77" spans="1:25" s="2" customFormat="1" ht="38.25" x14ac:dyDescent="0.2">
      <c r="A77" s="5" t="s">
        <v>11893</v>
      </c>
      <c r="B77" s="5" t="s">
        <v>8584</v>
      </c>
      <c r="C77" s="5">
        <v>63</v>
      </c>
      <c r="D77" s="5"/>
      <c r="E77" s="5"/>
      <c r="F77" s="5" t="s">
        <v>11267</v>
      </c>
      <c r="G77" s="5" t="s">
        <v>105</v>
      </c>
      <c r="H77" s="5" t="s">
        <v>3</v>
      </c>
      <c r="I77" s="5"/>
      <c r="J77" s="5" t="s">
        <v>14194</v>
      </c>
      <c r="M77" s="1"/>
      <c r="N77"/>
      <c r="O77"/>
      <c r="P77"/>
      <c r="Q77"/>
      <c r="R77"/>
      <c r="S77"/>
      <c r="T77"/>
      <c r="U77"/>
      <c r="V77"/>
      <c r="W77"/>
      <c r="X77"/>
      <c r="Y77"/>
    </row>
    <row r="78" spans="1:25" s="2" customFormat="1" ht="25.5" x14ac:dyDescent="0.2">
      <c r="A78" s="5" t="s">
        <v>10629</v>
      </c>
      <c r="B78" s="5" t="s">
        <v>8584</v>
      </c>
      <c r="C78" s="5">
        <v>64</v>
      </c>
      <c r="D78" s="5"/>
      <c r="E78" s="5" t="s">
        <v>6367</v>
      </c>
      <c r="F78" s="5"/>
      <c r="G78" s="5" t="s">
        <v>105</v>
      </c>
      <c r="H78" s="5" t="s">
        <v>3</v>
      </c>
      <c r="I78" s="5"/>
      <c r="J78" s="5" t="s">
        <v>14193</v>
      </c>
      <c r="M78" s="1"/>
      <c r="N78"/>
      <c r="O78"/>
      <c r="P78"/>
      <c r="Q78"/>
      <c r="R78"/>
      <c r="S78"/>
      <c r="T78"/>
      <c r="U78"/>
      <c r="V78"/>
      <c r="W78"/>
      <c r="X78"/>
      <c r="Y78"/>
    </row>
    <row r="79" spans="1:25" s="2" customFormat="1" ht="25.5" x14ac:dyDescent="0.2">
      <c r="A79" s="5" t="s">
        <v>14192</v>
      </c>
      <c r="B79" s="5" t="s">
        <v>8584</v>
      </c>
      <c r="C79" s="5">
        <v>65</v>
      </c>
      <c r="D79" s="5"/>
      <c r="E79" s="5"/>
      <c r="F79" s="5"/>
      <c r="G79" s="5" t="s">
        <v>118</v>
      </c>
      <c r="H79" s="5" t="s">
        <v>3</v>
      </c>
      <c r="I79" s="5"/>
      <c r="J79" s="5" t="s">
        <v>14191</v>
      </c>
      <c r="M79" s="1"/>
      <c r="N79"/>
      <c r="O79"/>
      <c r="P79"/>
      <c r="Q79"/>
      <c r="R79"/>
      <c r="S79"/>
      <c r="T79"/>
      <c r="U79"/>
      <c r="V79"/>
      <c r="W79"/>
      <c r="X79"/>
      <c r="Y79"/>
    </row>
    <row r="80" spans="1:25" s="2" customFormat="1" x14ac:dyDescent="0.2">
      <c r="A80" s="5" t="s">
        <v>8578</v>
      </c>
      <c r="B80" s="5" t="s">
        <v>83</v>
      </c>
      <c r="C80" s="5"/>
      <c r="D80" s="5" t="s">
        <v>8577</v>
      </c>
      <c r="E80" s="5" t="s">
        <v>288</v>
      </c>
      <c r="F80" s="5" t="s">
        <v>7832</v>
      </c>
      <c r="G80" s="5" t="s">
        <v>91</v>
      </c>
      <c r="H80" s="5" t="s">
        <v>3</v>
      </c>
      <c r="I80" s="5"/>
      <c r="J80" s="5"/>
      <c r="M80" s="1"/>
      <c r="N80"/>
      <c r="O80"/>
      <c r="P80"/>
      <c r="Q80"/>
      <c r="R80"/>
      <c r="S80"/>
      <c r="T80"/>
      <c r="U80"/>
      <c r="V80"/>
      <c r="W80"/>
      <c r="X80"/>
      <c r="Y80"/>
    </row>
    <row r="81" spans="1:25" s="2" customFormat="1" x14ac:dyDescent="0.2">
      <c r="A81" s="5" t="s">
        <v>14190</v>
      </c>
      <c r="B81" s="5" t="s">
        <v>83</v>
      </c>
      <c r="C81" s="5"/>
      <c r="D81" s="5" t="s">
        <v>14189</v>
      </c>
      <c r="E81" s="5"/>
      <c r="F81" s="5" t="s">
        <v>11781</v>
      </c>
      <c r="G81" s="5" t="s">
        <v>224</v>
      </c>
      <c r="H81" s="5" t="s">
        <v>3</v>
      </c>
      <c r="I81" s="5"/>
      <c r="J81" s="5" t="s">
        <v>14188</v>
      </c>
      <c r="M81" s="1"/>
      <c r="N81"/>
      <c r="O81"/>
      <c r="P81"/>
      <c r="Q81"/>
      <c r="R81"/>
      <c r="S81"/>
      <c r="T81"/>
      <c r="U81"/>
      <c r="V81"/>
      <c r="W81"/>
      <c r="X81"/>
      <c r="Y81"/>
    </row>
    <row r="82" spans="1:25" s="2" customFormat="1" ht="25.5" x14ac:dyDescent="0.2">
      <c r="A82" s="5" t="s">
        <v>14187</v>
      </c>
      <c r="B82" s="5" t="s">
        <v>83</v>
      </c>
      <c r="C82" s="5"/>
      <c r="D82" s="5" t="s">
        <v>14186</v>
      </c>
      <c r="E82" s="5"/>
      <c r="F82" s="5" t="s">
        <v>5777</v>
      </c>
      <c r="G82" s="5" t="s">
        <v>229</v>
      </c>
      <c r="H82" s="5" t="s">
        <v>3</v>
      </c>
      <c r="I82" s="5"/>
      <c r="J82" s="5" t="s">
        <v>14185</v>
      </c>
      <c r="M82" s="1"/>
      <c r="N82"/>
      <c r="O82"/>
      <c r="P82"/>
      <c r="Q82"/>
      <c r="R82"/>
      <c r="S82"/>
      <c r="T82"/>
      <c r="U82"/>
      <c r="V82"/>
      <c r="W82"/>
      <c r="X82"/>
      <c r="Y82"/>
    </row>
    <row r="83" spans="1:25" s="2" customFormat="1" x14ac:dyDescent="0.2">
      <c r="A83" s="5" t="s">
        <v>8534</v>
      </c>
      <c r="B83" s="5" t="s">
        <v>83</v>
      </c>
      <c r="C83" s="5"/>
      <c r="D83" s="5" t="s">
        <v>14184</v>
      </c>
      <c r="E83" s="5"/>
      <c r="F83" s="5"/>
      <c r="G83" s="5" t="s">
        <v>105</v>
      </c>
      <c r="H83" s="5" t="s">
        <v>3</v>
      </c>
      <c r="I83" s="5"/>
      <c r="J83" s="5"/>
      <c r="M83" s="1"/>
      <c r="N83"/>
      <c r="O83"/>
      <c r="P83"/>
      <c r="Q83"/>
      <c r="R83"/>
      <c r="S83"/>
      <c r="T83"/>
      <c r="U83"/>
      <c r="V83"/>
      <c r="W83"/>
      <c r="X83"/>
      <c r="Y83"/>
    </row>
    <row r="84" spans="1:25" s="2" customFormat="1" x14ac:dyDescent="0.2">
      <c r="A84" s="5" t="s">
        <v>14183</v>
      </c>
      <c r="B84" s="5" t="s">
        <v>83</v>
      </c>
      <c r="C84" s="5"/>
      <c r="D84" s="5">
        <v>1</v>
      </c>
      <c r="E84" s="5"/>
      <c r="F84" s="5"/>
      <c r="G84" s="5" t="s">
        <v>207</v>
      </c>
      <c r="H84" s="5" t="s">
        <v>3</v>
      </c>
      <c r="I84" s="5"/>
      <c r="J84" s="5"/>
      <c r="M84" s="1"/>
      <c r="N84"/>
      <c r="O84"/>
      <c r="P84"/>
      <c r="Q84"/>
      <c r="R84"/>
      <c r="S84"/>
      <c r="T84"/>
      <c r="U84"/>
      <c r="V84"/>
      <c r="W84"/>
      <c r="X84"/>
      <c r="Y84"/>
    </row>
    <row r="85" spans="1:25" s="2" customFormat="1" ht="25.5" x14ac:dyDescent="0.2">
      <c r="A85" s="5" t="s">
        <v>12029</v>
      </c>
      <c r="B85" s="5" t="s">
        <v>83</v>
      </c>
      <c r="C85" s="5"/>
      <c r="D85" s="5" t="s">
        <v>13560</v>
      </c>
      <c r="E85" s="5"/>
      <c r="F85" s="5" t="s">
        <v>11204</v>
      </c>
      <c r="G85" s="5" t="s">
        <v>105</v>
      </c>
      <c r="H85" s="5" t="s">
        <v>3</v>
      </c>
      <c r="I85" s="5"/>
      <c r="J85" s="5" t="s">
        <v>12028</v>
      </c>
      <c r="M85" s="1"/>
      <c r="N85"/>
      <c r="O85"/>
      <c r="P85"/>
      <c r="Q85"/>
      <c r="R85"/>
      <c r="S85"/>
      <c r="T85"/>
      <c r="U85"/>
      <c r="V85"/>
      <c r="W85"/>
      <c r="X85"/>
      <c r="Y85"/>
    </row>
    <row r="86" spans="1:25" s="2" customFormat="1" ht="25.5" x14ac:dyDescent="0.2">
      <c r="A86" s="5" t="s">
        <v>14182</v>
      </c>
      <c r="B86" s="5" t="s">
        <v>83</v>
      </c>
      <c r="C86" s="5"/>
      <c r="D86" s="5" t="s">
        <v>14181</v>
      </c>
      <c r="E86" s="5"/>
      <c r="F86" s="5" t="s">
        <v>11204</v>
      </c>
      <c r="G86" s="5" t="s">
        <v>105</v>
      </c>
      <c r="H86" s="5" t="s">
        <v>3</v>
      </c>
      <c r="I86" s="5"/>
      <c r="J86" s="5"/>
      <c r="M86" s="1"/>
      <c r="N86"/>
      <c r="O86"/>
      <c r="P86"/>
      <c r="Q86"/>
      <c r="R86"/>
      <c r="S86"/>
      <c r="T86"/>
      <c r="U86"/>
      <c r="V86"/>
      <c r="W86"/>
      <c r="X86"/>
      <c r="Y86"/>
    </row>
    <row r="87" spans="1:25" s="2" customFormat="1" x14ac:dyDescent="0.2">
      <c r="A87" s="5" t="s">
        <v>11206</v>
      </c>
      <c r="B87" s="5" t="s">
        <v>83</v>
      </c>
      <c r="C87" s="5"/>
      <c r="D87" s="5" t="s">
        <v>11205</v>
      </c>
      <c r="E87" s="5"/>
      <c r="F87" s="5" t="s">
        <v>11204</v>
      </c>
      <c r="G87" s="5" t="s">
        <v>224</v>
      </c>
      <c r="H87" s="5" t="s">
        <v>3</v>
      </c>
      <c r="I87" s="5"/>
      <c r="J87" s="5"/>
      <c r="M87" s="1"/>
      <c r="N87"/>
      <c r="O87"/>
      <c r="P87"/>
      <c r="Q87"/>
      <c r="R87"/>
      <c r="S87"/>
      <c r="T87"/>
      <c r="U87"/>
      <c r="V87"/>
      <c r="W87"/>
      <c r="X87"/>
      <c r="Y87"/>
    </row>
    <row r="88" spans="1:25" s="2" customFormat="1" ht="25.5" x14ac:dyDescent="0.2">
      <c r="A88" s="5" t="s">
        <v>13559</v>
      </c>
      <c r="B88" s="5" t="s">
        <v>83</v>
      </c>
      <c r="C88" s="5"/>
      <c r="D88" s="5" t="s">
        <v>13558</v>
      </c>
      <c r="E88" s="5"/>
      <c r="F88" s="5" t="s">
        <v>11204</v>
      </c>
      <c r="G88" s="5" t="s">
        <v>173</v>
      </c>
      <c r="H88" s="5" t="s">
        <v>3</v>
      </c>
      <c r="I88" s="5"/>
      <c r="J88" s="5" t="s">
        <v>13557</v>
      </c>
      <c r="M88" s="1"/>
      <c r="N88"/>
      <c r="O88"/>
      <c r="P88"/>
      <c r="Q88"/>
      <c r="R88"/>
      <c r="S88"/>
      <c r="T88"/>
      <c r="U88"/>
      <c r="V88"/>
      <c r="W88"/>
      <c r="X88"/>
      <c r="Y88"/>
    </row>
    <row r="89" spans="1:25" s="2" customFormat="1" x14ac:dyDescent="0.2">
      <c r="A89" s="5" t="s">
        <v>11192</v>
      </c>
      <c r="B89" s="5" t="s">
        <v>83</v>
      </c>
      <c r="C89" s="5"/>
      <c r="D89" s="5" t="s">
        <v>11191</v>
      </c>
      <c r="E89" s="5"/>
      <c r="F89" s="5" t="s">
        <v>11190</v>
      </c>
      <c r="G89" s="5" t="s">
        <v>105</v>
      </c>
      <c r="H89" s="5" t="s">
        <v>3</v>
      </c>
      <c r="I89" s="5"/>
      <c r="J89" s="5" t="s">
        <v>11189</v>
      </c>
      <c r="M89" s="1"/>
      <c r="N89"/>
      <c r="O89"/>
      <c r="P89"/>
      <c r="Q89"/>
      <c r="R89"/>
      <c r="S89"/>
      <c r="T89"/>
      <c r="U89"/>
      <c r="V89"/>
      <c r="W89"/>
      <c r="X89"/>
      <c r="Y89"/>
    </row>
    <row r="90" spans="1:25" s="2" customFormat="1" ht="25.5" x14ac:dyDescent="0.2">
      <c r="A90" s="5" t="s">
        <v>8404</v>
      </c>
      <c r="B90" s="5" t="s">
        <v>83</v>
      </c>
      <c r="C90" s="5"/>
      <c r="D90" s="5" t="s">
        <v>8403</v>
      </c>
      <c r="E90" s="5"/>
      <c r="F90" s="5"/>
      <c r="G90" s="5" t="s">
        <v>105</v>
      </c>
      <c r="H90" s="5" t="s">
        <v>3</v>
      </c>
      <c r="I90" s="5"/>
      <c r="J90" s="5" t="s">
        <v>8402</v>
      </c>
      <c r="M90" s="1"/>
      <c r="N90"/>
      <c r="O90"/>
      <c r="P90"/>
      <c r="Q90"/>
      <c r="R90"/>
      <c r="S90"/>
      <c r="T90"/>
      <c r="U90"/>
      <c r="V90"/>
      <c r="W90"/>
      <c r="X90"/>
      <c r="Y90"/>
    </row>
    <row r="91" spans="1:25" s="2" customFormat="1" x14ac:dyDescent="0.2">
      <c r="A91" s="5" t="s">
        <v>8401</v>
      </c>
      <c r="B91" s="5" t="s">
        <v>83</v>
      </c>
      <c r="C91" s="5"/>
      <c r="D91" s="5" t="s">
        <v>8382</v>
      </c>
      <c r="E91" s="5"/>
      <c r="F91" s="5" t="s">
        <v>8385</v>
      </c>
      <c r="G91" s="5" t="s">
        <v>105</v>
      </c>
      <c r="H91" s="5" t="s">
        <v>3</v>
      </c>
      <c r="I91" s="5"/>
      <c r="J91" s="5" t="s">
        <v>8400</v>
      </c>
      <c r="M91" s="1"/>
      <c r="N91"/>
      <c r="O91"/>
      <c r="P91"/>
      <c r="Q91"/>
      <c r="R91"/>
      <c r="S91"/>
      <c r="T91"/>
      <c r="U91"/>
      <c r="V91"/>
      <c r="W91"/>
      <c r="X91"/>
      <c r="Y91"/>
    </row>
    <row r="92" spans="1:25" s="2" customFormat="1" x14ac:dyDescent="0.2">
      <c r="A92" s="5" t="s">
        <v>8399</v>
      </c>
      <c r="B92" s="5" t="s">
        <v>83</v>
      </c>
      <c r="C92" s="5"/>
      <c r="D92" s="5" t="s">
        <v>6390</v>
      </c>
      <c r="E92" s="5" t="s">
        <v>150</v>
      </c>
      <c r="F92" s="5" t="s">
        <v>8385</v>
      </c>
      <c r="G92" s="5" t="s">
        <v>148</v>
      </c>
      <c r="H92" s="5" t="s">
        <v>3</v>
      </c>
      <c r="I92" s="5"/>
      <c r="J92" s="5" t="s">
        <v>8398</v>
      </c>
      <c r="M92" s="1"/>
      <c r="N92"/>
      <c r="O92"/>
      <c r="P92"/>
      <c r="Q92"/>
      <c r="R92"/>
      <c r="S92"/>
      <c r="T92"/>
      <c r="U92"/>
      <c r="V92"/>
      <c r="W92"/>
      <c r="X92"/>
      <c r="Y92"/>
    </row>
    <row r="93" spans="1:25" s="2" customFormat="1" x14ac:dyDescent="0.2">
      <c r="A93" s="5" t="s">
        <v>8397</v>
      </c>
      <c r="B93" s="5" t="s">
        <v>83</v>
      </c>
      <c r="C93" s="5"/>
      <c r="D93" s="5" t="s">
        <v>8396</v>
      </c>
      <c r="E93" s="5"/>
      <c r="F93" s="5" t="s">
        <v>8385</v>
      </c>
      <c r="G93" s="5" t="s">
        <v>283</v>
      </c>
      <c r="H93" s="5" t="s">
        <v>3</v>
      </c>
      <c r="I93" s="5"/>
      <c r="J93" s="5" t="s">
        <v>8394</v>
      </c>
      <c r="M93" s="1"/>
      <c r="N93"/>
      <c r="O93"/>
      <c r="P93"/>
      <c r="Q93"/>
      <c r="R93"/>
      <c r="S93"/>
      <c r="T93"/>
      <c r="U93"/>
      <c r="V93"/>
      <c r="W93"/>
      <c r="X93"/>
      <c r="Y93"/>
    </row>
    <row r="94" spans="1:25" s="2" customFormat="1" x14ac:dyDescent="0.2">
      <c r="A94" s="5" t="s">
        <v>8393</v>
      </c>
      <c r="B94" s="5" t="s">
        <v>83</v>
      </c>
      <c r="C94" s="5"/>
      <c r="D94" s="5" t="s">
        <v>8392</v>
      </c>
      <c r="E94" s="5"/>
      <c r="F94" s="5" t="s">
        <v>8385</v>
      </c>
      <c r="G94" s="5" t="s">
        <v>283</v>
      </c>
      <c r="H94" s="5" t="s">
        <v>3</v>
      </c>
      <c r="I94" s="5"/>
      <c r="J94" s="5" t="s">
        <v>8390</v>
      </c>
      <c r="M94" s="1"/>
      <c r="N94"/>
      <c r="O94"/>
      <c r="P94"/>
      <c r="Q94"/>
      <c r="R94"/>
      <c r="S94"/>
      <c r="T94"/>
      <c r="U94"/>
      <c r="V94"/>
      <c r="W94"/>
      <c r="X94"/>
      <c r="Y94"/>
    </row>
    <row r="95" spans="1:25" s="2" customFormat="1" x14ac:dyDescent="0.2">
      <c r="A95" s="5" t="s">
        <v>8389</v>
      </c>
      <c r="B95" s="5" t="s">
        <v>83</v>
      </c>
      <c r="C95" s="5"/>
      <c r="D95" s="5" t="s">
        <v>5533</v>
      </c>
      <c r="E95" s="5"/>
      <c r="F95" s="5" t="s">
        <v>8385</v>
      </c>
      <c r="G95" s="5" t="s">
        <v>382</v>
      </c>
      <c r="H95" s="5" t="s">
        <v>3</v>
      </c>
      <c r="I95" s="5"/>
      <c r="J95" s="5" t="s">
        <v>8388</v>
      </c>
      <c r="M95" s="1"/>
      <c r="N95"/>
      <c r="O95"/>
      <c r="P95"/>
      <c r="Q95"/>
      <c r="R95"/>
      <c r="S95"/>
      <c r="T95"/>
      <c r="U95"/>
      <c r="V95"/>
      <c r="W95"/>
      <c r="X95"/>
      <c r="Y95"/>
    </row>
    <row r="96" spans="1:25" s="2" customFormat="1" x14ac:dyDescent="0.2">
      <c r="A96" s="5" t="s">
        <v>8387</v>
      </c>
      <c r="B96" s="5" t="s">
        <v>83</v>
      </c>
      <c r="C96" s="5"/>
      <c r="D96" s="5" t="s">
        <v>8386</v>
      </c>
      <c r="E96" s="5" t="s">
        <v>5520</v>
      </c>
      <c r="F96" s="5" t="s">
        <v>8385</v>
      </c>
      <c r="G96" s="5" t="s">
        <v>148</v>
      </c>
      <c r="H96" s="5" t="s">
        <v>3</v>
      </c>
      <c r="I96" s="5"/>
      <c r="J96" s="5" t="s">
        <v>8384</v>
      </c>
      <c r="M96" s="1"/>
      <c r="N96"/>
      <c r="O96"/>
      <c r="P96"/>
      <c r="Q96"/>
      <c r="R96"/>
      <c r="S96"/>
      <c r="T96"/>
      <c r="U96"/>
      <c r="V96"/>
      <c r="W96"/>
      <c r="X96"/>
      <c r="Y96"/>
    </row>
    <row r="97" spans="1:25" s="2" customFormat="1" x14ac:dyDescent="0.2">
      <c r="A97" s="5" t="s">
        <v>8380</v>
      </c>
      <c r="B97" s="5" t="s">
        <v>83</v>
      </c>
      <c r="C97" s="5"/>
      <c r="D97" s="5" t="s">
        <v>8379</v>
      </c>
      <c r="E97" s="5"/>
      <c r="F97" s="5" t="s">
        <v>8378</v>
      </c>
      <c r="G97" s="5" t="s">
        <v>3059</v>
      </c>
      <c r="H97" s="5" t="s">
        <v>3</v>
      </c>
      <c r="I97" s="5"/>
      <c r="J97" s="5" t="s">
        <v>7462</v>
      </c>
      <c r="M97" s="1"/>
      <c r="N97"/>
      <c r="O97"/>
      <c r="P97"/>
      <c r="Q97"/>
      <c r="R97"/>
      <c r="S97"/>
      <c r="T97"/>
      <c r="U97"/>
      <c r="V97"/>
      <c r="W97"/>
      <c r="X97"/>
      <c r="Y97"/>
    </row>
    <row r="98" spans="1:25" s="2" customFormat="1" ht="25.5" x14ac:dyDescent="0.2">
      <c r="A98" s="5" t="s">
        <v>14180</v>
      </c>
      <c r="B98" s="5" t="s">
        <v>83</v>
      </c>
      <c r="C98" s="5"/>
      <c r="D98" s="5" t="s">
        <v>14179</v>
      </c>
      <c r="E98" s="5" t="s">
        <v>3057</v>
      </c>
      <c r="F98" s="5" t="s">
        <v>8135</v>
      </c>
      <c r="G98" s="5" t="s">
        <v>148</v>
      </c>
      <c r="H98" s="5" t="s">
        <v>3</v>
      </c>
      <c r="I98" s="5"/>
      <c r="J98" s="5" t="s">
        <v>13037</v>
      </c>
      <c r="M98" s="1"/>
      <c r="N98"/>
      <c r="O98"/>
      <c r="P98"/>
      <c r="Q98"/>
      <c r="R98"/>
      <c r="S98"/>
      <c r="T98"/>
      <c r="U98"/>
      <c r="V98"/>
      <c r="W98"/>
      <c r="X98"/>
      <c r="Y98"/>
    </row>
    <row r="99" spans="1:25" s="2" customFormat="1" ht="25.5" x14ac:dyDescent="0.2">
      <c r="A99" s="5" t="s">
        <v>14178</v>
      </c>
      <c r="B99" s="5" t="s">
        <v>83</v>
      </c>
      <c r="C99" s="5"/>
      <c r="D99" s="5" t="s">
        <v>14177</v>
      </c>
      <c r="E99" s="5"/>
      <c r="F99" s="5" t="s">
        <v>14176</v>
      </c>
      <c r="G99" s="5" t="s">
        <v>229</v>
      </c>
      <c r="H99" s="5"/>
      <c r="I99" s="5"/>
      <c r="J99" s="5" t="s">
        <v>14175</v>
      </c>
      <c r="M99" s="1"/>
      <c r="N99"/>
      <c r="O99"/>
      <c r="P99"/>
      <c r="Q99"/>
      <c r="R99"/>
      <c r="S99"/>
      <c r="T99"/>
      <c r="U99"/>
      <c r="V99"/>
      <c r="W99"/>
      <c r="X99"/>
      <c r="Y99"/>
    </row>
    <row r="100" spans="1:25" s="2" customFormat="1" ht="25.5" x14ac:dyDescent="0.2">
      <c r="A100" s="5" t="s">
        <v>11153</v>
      </c>
      <c r="B100" s="5" t="s">
        <v>83</v>
      </c>
      <c r="C100" s="5"/>
      <c r="D100" s="5" t="s">
        <v>14174</v>
      </c>
      <c r="E100" s="5"/>
      <c r="F100" s="5" t="s">
        <v>11151</v>
      </c>
      <c r="G100" s="5" t="s">
        <v>224</v>
      </c>
      <c r="H100" s="5" t="s">
        <v>3</v>
      </c>
      <c r="I100" s="5"/>
      <c r="J100" s="5" t="s">
        <v>11150</v>
      </c>
      <c r="M100" s="1"/>
      <c r="N100"/>
      <c r="O100"/>
      <c r="P100"/>
      <c r="Q100"/>
      <c r="R100"/>
      <c r="S100"/>
      <c r="T100"/>
      <c r="U100"/>
      <c r="V100"/>
      <c r="W100"/>
      <c r="X100"/>
      <c r="Y100"/>
    </row>
    <row r="101" spans="1:25" s="2" customFormat="1" ht="38.25" x14ac:dyDescent="0.2">
      <c r="A101" s="5" t="s">
        <v>14173</v>
      </c>
      <c r="B101" s="5" t="s">
        <v>83</v>
      </c>
      <c r="C101" s="5"/>
      <c r="D101" s="5" t="s">
        <v>14172</v>
      </c>
      <c r="E101" s="5"/>
      <c r="F101" s="5" t="s">
        <v>7980</v>
      </c>
      <c r="G101" s="5" t="s">
        <v>207</v>
      </c>
      <c r="H101" s="5" t="s">
        <v>3</v>
      </c>
      <c r="I101" s="5"/>
      <c r="J101" s="5" t="s">
        <v>14171</v>
      </c>
      <c r="M101" s="1"/>
      <c r="N101"/>
      <c r="O101"/>
      <c r="P101"/>
      <c r="Q101"/>
      <c r="R101"/>
      <c r="S101"/>
      <c r="T101"/>
      <c r="U101"/>
      <c r="V101"/>
      <c r="W101"/>
      <c r="X101"/>
      <c r="Y101"/>
    </row>
    <row r="102" spans="1:25" s="2" customFormat="1" x14ac:dyDescent="0.2">
      <c r="A102" s="5" t="s">
        <v>14170</v>
      </c>
      <c r="B102" s="5" t="s">
        <v>83</v>
      </c>
      <c r="C102" s="5"/>
      <c r="D102" s="5" t="s">
        <v>14169</v>
      </c>
      <c r="E102" s="5"/>
      <c r="F102" s="5" t="s">
        <v>7980</v>
      </c>
      <c r="G102" s="5" t="s">
        <v>315</v>
      </c>
      <c r="H102" s="5" t="s">
        <v>3</v>
      </c>
      <c r="I102" s="5"/>
      <c r="J102" s="5" t="s">
        <v>14168</v>
      </c>
      <c r="M102" s="1"/>
      <c r="N102"/>
      <c r="O102"/>
      <c r="P102"/>
      <c r="Q102"/>
      <c r="R102"/>
      <c r="S102"/>
      <c r="T102"/>
      <c r="U102"/>
      <c r="V102"/>
      <c r="W102"/>
      <c r="X102"/>
      <c r="Y102"/>
    </row>
    <row r="103" spans="1:25" s="2" customFormat="1" ht="25.5" x14ac:dyDescent="0.2">
      <c r="A103" s="5" t="s">
        <v>11126</v>
      </c>
      <c r="B103" s="5" t="s">
        <v>83</v>
      </c>
      <c r="C103" s="5"/>
      <c r="D103" s="5" t="s">
        <v>14009</v>
      </c>
      <c r="E103" s="5"/>
      <c r="F103" s="5" t="s">
        <v>8135</v>
      </c>
      <c r="G103" s="5" t="s">
        <v>173</v>
      </c>
      <c r="H103" s="5" t="s">
        <v>3</v>
      </c>
      <c r="I103" s="5"/>
      <c r="J103" s="5" t="s">
        <v>14008</v>
      </c>
      <c r="M103" s="1"/>
      <c r="N103"/>
      <c r="O103"/>
      <c r="P103"/>
      <c r="Q103"/>
      <c r="R103"/>
      <c r="S103"/>
      <c r="T103"/>
      <c r="U103"/>
      <c r="V103"/>
      <c r="W103"/>
      <c r="X103"/>
      <c r="Y103"/>
    </row>
    <row r="104" spans="1:25" s="2" customFormat="1" ht="25.5" x14ac:dyDescent="0.2">
      <c r="A104" s="5" t="s">
        <v>11121</v>
      </c>
      <c r="B104" s="5" t="s">
        <v>83</v>
      </c>
      <c r="C104" s="5"/>
      <c r="D104" s="5" t="s">
        <v>14167</v>
      </c>
      <c r="E104" s="5"/>
      <c r="F104" s="5" t="s">
        <v>11671</v>
      </c>
      <c r="G104" s="5" t="s">
        <v>224</v>
      </c>
      <c r="H104" s="5" t="s">
        <v>3</v>
      </c>
      <c r="I104" s="5"/>
      <c r="J104" s="5" t="s">
        <v>12091</v>
      </c>
      <c r="M104" s="1"/>
      <c r="N104"/>
      <c r="O104"/>
      <c r="P104"/>
      <c r="Q104"/>
      <c r="R104"/>
      <c r="S104"/>
      <c r="T104"/>
      <c r="U104"/>
      <c r="V104"/>
      <c r="W104"/>
      <c r="X104"/>
      <c r="Y104"/>
    </row>
    <row r="105" spans="1:25" s="2" customFormat="1" ht="38.25" x14ac:dyDescent="0.2">
      <c r="A105" s="5" t="s">
        <v>12087</v>
      </c>
      <c r="B105" s="5" t="s">
        <v>83</v>
      </c>
      <c r="C105" s="5"/>
      <c r="D105" s="5" t="s">
        <v>14166</v>
      </c>
      <c r="E105" s="5"/>
      <c r="F105" s="5" t="s">
        <v>12086</v>
      </c>
      <c r="G105" s="5" t="s">
        <v>122</v>
      </c>
      <c r="H105" s="5" t="s">
        <v>3</v>
      </c>
      <c r="I105" s="5"/>
      <c r="J105" s="5" t="s">
        <v>12085</v>
      </c>
      <c r="M105" s="1"/>
      <c r="N105"/>
      <c r="O105"/>
      <c r="P105"/>
      <c r="Q105"/>
      <c r="R105"/>
      <c r="S105"/>
      <c r="T105"/>
      <c r="U105"/>
      <c r="V105"/>
      <c r="W105"/>
      <c r="X105"/>
      <c r="Y105"/>
    </row>
    <row r="106" spans="1:25" s="2" customFormat="1" ht="25.5" x14ac:dyDescent="0.2">
      <c r="A106" s="5" t="s">
        <v>11110</v>
      </c>
      <c r="B106" s="5" t="s">
        <v>83</v>
      </c>
      <c r="C106" s="5"/>
      <c r="D106" s="5" t="s">
        <v>11102</v>
      </c>
      <c r="E106" s="5"/>
      <c r="F106" s="5" t="s">
        <v>14165</v>
      </c>
      <c r="G106" s="5" t="s">
        <v>10733</v>
      </c>
      <c r="H106" s="5" t="s">
        <v>3</v>
      </c>
      <c r="I106" s="5"/>
      <c r="J106" s="5" t="s">
        <v>14165</v>
      </c>
      <c r="M106" s="1"/>
      <c r="N106"/>
      <c r="O106"/>
      <c r="P106"/>
      <c r="Q106"/>
      <c r="R106"/>
      <c r="S106"/>
      <c r="T106"/>
      <c r="U106"/>
      <c r="V106"/>
      <c r="W106"/>
      <c r="X106"/>
      <c r="Y106"/>
    </row>
    <row r="107" spans="1:25" s="2" customFormat="1" x14ac:dyDescent="0.2">
      <c r="A107" s="5" t="s">
        <v>10337</v>
      </c>
      <c r="B107" s="5" t="s">
        <v>83</v>
      </c>
      <c r="C107" s="5"/>
      <c r="D107" s="5" t="s">
        <v>14164</v>
      </c>
      <c r="E107" s="5"/>
      <c r="F107" s="5" t="s">
        <v>10333</v>
      </c>
      <c r="G107" s="5" t="s">
        <v>118</v>
      </c>
      <c r="H107" s="5" t="s">
        <v>3</v>
      </c>
      <c r="I107" s="5"/>
      <c r="J107" s="5" t="s">
        <v>10333</v>
      </c>
      <c r="M107" s="1"/>
      <c r="N107"/>
      <c r="O107"/>
      <c r="P107"/>
      <c r="Q107"/>
      <c r="R107"/>
      <c r="S107"/>
      <c r="T107"/>
      <c r="U107"/>
      <c r="V107"/>
      <c r="W107"/>
      <c r="X107"/>
      <c r="Y107"/>
    </row>
    <row r="108" spans="1:25" s="2" customFormat="1" ht="25.5" x14ac:dyDescent="0.2">
      <c r="A108" s="5" t="s">
        <v>10335</v>
      </c>
      <c r="B108" s="5" t="s">
        <v>83</v>
      </c>
      <c r="C108" s="5"/>
      <c r="D108" s="5" t="s">
        <v>14163</v>
      </c>
      <c r="E108" s="5"/>
      <c r="F108" s="5" t="s">
        <v>14162</v>
      </c>
      <c r="G108" s="5" t="s">
        <v>224</v>
      </c>
      <c r="H108" s="5" t="s">
        <v>3</v>
      </c>
      <c r="I108" s="5"/>
      <c r="J108" s="5" t="s">
        <v>14162</v>
      </c>
      <c r="M108" s="1"/>
      <c r="N108"/>
      <c r="O108"/>
      <c r="P108"/>
      <c r="Q108"/>
      <c r="R108"/>
      <c r="S108"/>
      <c r="T108"/>
      <c r="U108"/>
      <c r="V108"/>
      <c r="W108"/>
      <c r="X108"/>
      <c r="Y108"/>
    </row>
    <row r="109" spans="1:25" s="2" customFormat="1" x14ac:dyDescent="0.2">
      <c r="A109" s="5" t="s">
        <v>12237</v>
      </c>
      <c r="B109" s="5" t="s">
        <v>83</v>
      </c>
      <c r="C109" s="5"/>
      <c r="D109" s="5" t="s">
        <v>13445</v>
      </c>
      <c r="E109" s="5" t="s">
        <v>150</v>
      </c>
      <c r="F109" s="5" t="s">
        <v>10568</v>
      </c>
      <c r="G109" s="5" t="s">
        <v>148</v>
      </c>
      <c r="H109" s="5" t="s">
        <v>3</v>
      </c>
      <c r="I109" s="5"/>
      <c r="J109" s="5" t="s">
        <v>12235</v>
      </c>
      <c r="M109" s="1"/>
      <c r="N109"/>
      <c r="O109"/>
      <c r="P109"/>
      <c r="Q109"/>
      <c r="R109"/>
      <c r="S109"/>
      <c r="T109"/>
      <c r="U109"/>
      <c r="V109"/>
      <c r="W109"/>
      <c r="X109"/>
      <c r="Y109"/>
    </row>
    <row r="110" spans="1:25" s="2" customFormat="1" x14ac:dyDescent="0.2">
      <c r="A110" s="5" t="s">
        <v>12240</v>
      </c>
      <c r="B110" s="5" t="s">
        <v>83</v>
      </c>
      <c r="C110" s="5"/>
      <c r="D110" s="5" t="s">
        <v>13443</v>
      </c>
      <c r="E110" s="5" t="s">
        <v>150</v>
      </c>
      <c r="F110" s="5" t="s">
        <v>10568</v>
      </c>
      <c r="G110" s="5" t="s">
        <v>148</v>
      </c>
      <c r="H110" s="5" t="s">
        <v>3</v>
      </c>
      <c r="I110" s="5"/>
      <c r="J110" s="5" t="s">
        <v>12238</v>
      </c>
      <c r="M110" s="1"/>
      <c r="N110"/>
      <c r="O110"/>
      <c r="P110"/>
      <c r="Q110"/>
      <c r="R110"/>
      <c r="S110"/>
      <c r="T110"/>
      <c r="U110"/>
      <c r="V110"/>
      <c r="W110"/>
      <c r="X110"/>
      <c r="Y110"/>
    </row>
    <row r="111" spans="1:25" s="2" customFormat="1" ht="25.5" x14ac:dyDescent="0.2">
      <c r="A111" s="5" t="s">
        <v>11058</v>
      </c>
      <c r="B111" s="5" t="s">
        <v>83</v>
      </c>
      <c r="C111" s="5"/>
      <c r="D111" s="5" t="s">
        <v>11057</v>
      </c>
      <c r="E111" s="5"/>
      <c r="F111" s="5" t="s">
        <v>4389</v>
      </c>
      <c r="G111" s="5" t="s">
        <v>170</v>
      </c>
      <c r="H111" s="5" t="s">
        <v>3</v>
      </c>
      <c r="I111" s="5"/>
      <c r="J111" s="5"/>
      <c r="M111" s="1"/>
      <c r="N111"/>
      <c r="O111"/>
      <c r="P111"/>
      <c r="Q111"/>
      <c r="R111"/>
      <c r="S111"/>
      <c r="T111"/>
      <c r="U111"/>
      <c r="V111"/>
      <c r="W111"/>
      <c r="X111"/>
      <c r="Y111"/>
    </row>
    <row r="112" spans="1:25" s="2" customFormat="1" x14ac:dyDescent="0.2">
      <c r="A112" s="5" t="s">
        <v>11047</v>
      </c>
      <c r="B112" s="5" t="s">
        <v>83</v>
      </c>
      <c r="C112" s="5"/>
      <c r="D112" s="5" t="s">
        <v>14161</v>
      </c>
      <c r="E112" s="5"/>
      <c r="F112" s="5" t="s">
        <v>10568</v>
      </c>
      <c r="G112" s="5" t="s">
        <v>80</v>
      </c>
      <c r="H112" s="5" t="s">
        <v>3</v>
      </c>
      <c r="I112" s="5"/>
      <c r="J112" s="5"/>
      <c r="M112" s="1"/>
      <c r="N112"/>
      <c r="O112"/>
      <c r="P112"/>
      <c r="Q112"/>
      <c r="R112"/>
      <c r="S112"/>
      <c r="T112"/>
      <c r="U112"/>
      <c r="V112"/>
      <c r="W112"/>
      <c r="X112"/>
      <c r="Y112"/>
    </row>
    <row r="113" spans="1:25" s="2" customFormat="1" ht="25.5" x14ac:dyDescent="0.2">
      <c r="A113" s="5" t="s">
        <v>13322</v>
      </c>
      <c r="B113" s="5" t="s">
        <v>83</v>
      </c>
      <c r="C113" s="5"/>
      <c r="D113" s="5" t="s">
        <v>14160</v>
      </c>
      <c r="E113" s="5"/>
      <c r="F113" s="5" t="s">
        <v>10998</v>
      </c>
      <c r="G113" s="5" t="s">
        <v>80</v>
      </c>
      <c r="H113" s="5" t="s">
        <v>3</v>
      </c>
      <c r="I113" s="5"/>
      <c r="J113" s="5" t="s">
        <v>10499</v>
      </c>
      <c r="M113" s="1"/>
      <c r="N113"/>
      <c r="O113"/>
      <c r="P113"/>
      <c r="Q113"/>
      <c r="R113"/>
      <c r="S113"/>
      <c r="T113"/>
      <c r="U113"/>
      <c r="V113"/>
      <c r="W113"/>
      <c r="X113"/>
      <c r="Y113"/>
    </row>
    <row r="114" spans="1:25" s="2" customFormat="1" x14ac:dyDescent="0.2">
      <c r="A114" s="5" t="s">
        <v>14159</v>
      </c>
      <c r="B114" s="5" t="s">
        <v>83</v>
      </c>
      <c r="C114" s="5"/>
      <c r="D114" s="5" t="s">
        <v>14158</v>
      </c>
      <c r="E114" s="5"/>
      <c r="F114" s="5" t="s">
        <v>14157</v>
      </c>
      <c r="G114" s="5" t="s">
        <v>224</v>
      </c>
      <c r="H114" s="5" t="s">
        <v>3</v>
      </c>
      <c r="I114" s="5"/>
      <c r="J114" s="5" t="s">
        <v>14156</v>
      </c>
      <c r="M114" s="1"/>
      <c r="N114"/>
      <c r="O114"/>
      <c r="P114"/>
      <c r="Q114"/>
      <c r="R114"/>
      <c r="S114"/>
      <c r="T114"/>
      <c r="U114"/>
      <c r="V114"/>
      <c r="W114"/>
      <c r="X114"/>
      <c r="Y114"/>
    </row>
    <row r="115" spans="1:25" s="2" customFormat="1" x14ac:dyDescent="0.2">
      <c r="A115" s="5" t="s">
        <v>14155</v>
      </c>
      <c r="B115" s="5" t="s">
        <v>83</v>
      </c>
      <c r="C115" s="5"/>
      <c r="D115" s="5" t="s">
        <v>14154</v>
      </c>
      <c r="E115" s="5"/>
      <c r="F115" s="5" t="s">
        <v>14153</v>
      </c>
      <c r="G115" s="5" t="s">
        <v>105</v>
      </c>
      <c r="H115" s="5" t="s">
        <v>3</v>
      </c>
      <c r="I115" s="5"/>
      <c r="J115" s="5" t="s">
        <v>14152</v>
      </c>
      <c r="M115" s="1"/>
      <c r="N115"/>
      <c r="O115"/>
      <c r="P115"/>
      <c r="Q115"/>
      <c r="R115"/>
      <c r="S115"/>
      <c r="T115"/>
      <c r="U115"/>
      <c r="V115"/>
      <c r="W115"/>
      <c r="X115"/>
      <c r="Y115"/>
    </row>
    <row r="116" spans="1:25" s="2" customFormat="1" ht="25.5" x14ac:dyDescent="0.2">
      <c r="A116" s="5" t="s">
        <v>14151</v>
      </c>
      <c r="B116" s="5" t="s">
        <v>83</v>
      </c>
      <c r="C116" s="5"/>
      <c r="D116" s="5" t="s">
        <v>14150</v>
      </c>
      <c r="E116" s="5"/>
      <c r="F116" s="5" t="s">
        <v>8135</v>
      </c>
      <c r="G116" s="5" t="s">
        <v>105</v>
      </c>
      <c r="H116" s="5" t="s">
        <v>3</v>
      </c>
      <c r="I116" s="5"/>
      <c r="J116" s="5" t="s">
        <v>14149</v>
      </c>
      <c r="M116" s="1"/>
      <c r="N116"/>
      <c r="O116"/>
      <c r="P116"/>
      <c r="Q116"/>
      <c r="R116"/>
      <c r="S116"/>
      <c r="T116"/>
      <c r="U116"/>
      <c r="V116"/>
      <c r="W116"/>
      <c r="X116"/>
      <c r="Y116"/>
    </row>
    <row r="117" spans="1:25" s="2" customFormat="1" ht="25.5" x14ac:dyDescent="0.2">
      <c r="A117" s="5" t="s">
        <v>14148</v>
      </c>
      <c r="B117" s="5" t="s">
        <v>83</v>
      </c>
      <c r="C117" s="5"/>
      <c r="D117" s="5" t="s">
        <v>14147</v>
      </c>
      <c r="E117" s="5"/>
      <c r="F117" s="5" t="s">
        <v>11151</v>
      </c>
      <c r="G117" s="5" t="s">
        <v>224</v>
      </c>
      <c r="H117" s="5" t="s">
        <v>3</v>
      </c>
      <c r="I117" s="5"/>
      <c r="J117" s="5" t="s">
        <v>14146</v>
      </c>
      <c r="M117" s="1"/>
      <c r="N117"/>
      <c r="O117"/>
      <c r="P117"/>
      <c r="Q117"/>
      <c r="R117"/>
      <c r="S117"/>
      <c r="T117"/>
      <c r="U117"/>
      <c r="V117"/>
      <c r="W117"/>
      <c r="X117"/>
      <c r="Y117"/>
    </row>
    <row r="118" spans="1:25" s="2" customFormat="1" x14ac:dyDescent="0.2">
      <c r="A118" s="5" t="s">
        <v>14145</v>
      </c>
      <c r="B118" s="5" t="s">
        <v>83</v>
      </c>
      <c r="C118" s="5"/>
      <c r="D118" s="5" t="s">
        <v>14144</v>
      </c>
      <c r="E118" s="5"/>
      <c r="F118" s="5" t="s">
        <v>14143</v>
      </c>
      <c r="G118" s="5" t="s">
        <v>3059</v>
      </c>
      <c r="H118" s="5" t="s">
        <v>3</v>
      </c>
      <c r="I118" s="5"/>
      <c r="J118" s="5" t="s">
        <v>14142</v>
      </c>
      <c r="M118" s="1"/>
      <c r="N118"/>
      <c r="O118"/>
      <c r="P118"/>
      <c r="Q118"/>
      <c r="R118"/>
      <c r="S118"/>
      <c r="T118"/>
      <c r="U118"/>
      <c r="V118"/>
      <c r="W118"/>
      <c r="X118"/>
      <c r="Y118"/>
    </row>
    <row r="119" spans="1:25" s="2" customFormat="1" ht="25.5" x14ac:dyDescent="0.2">
      <c r="A119" s="5" t="s">
        <v>7909</v>
      </c>
      <c r="B119" s="5" t="s">
        <v>83</v>
      </c>
      <c r="C119" s="5"/>
      <c r="D119" s="5" t="s">
        <v>14141</v>
      </c>
      <c r="E119" s="5"/>
      <c r="F119" s="5" t="s">
        <v>7906</v>
      </c>
      <c r="G119" s="5" t="s">
        <v>118</v>
      </c>
      <c r="H119" s="5" t="s">
        <v>3</v>
      </c>
      <c r="I119" s="5"/>
      <c r="J119" s="5" t="s">
        <v>14140</v>
      </c>
      <c r="M119" s="1"/>
      <c r="N119"/>
      <c r="O119"/>
      <c r="P119"/>
      <c r="Q119"/>
      <c r="R119"/>
      <c r="S119"/>
      <c r="T119"/>
      <c r="U119"/>
      <c r="V119"/>
      <c r="W119"/>
      <c r="X119"/>
      <c r="Y119"/>
    </row>
    <row r="120" spans="1:25" s="2" customFormat="1" x14ac:dyDescent="0.2">
      <c r="A120" s="5" t="s">
        <v>14139</v>
      </c>
      <c r="B120" s="5" t="s">
        <v>83</v>
      </c>
      <c r="C120" s="5"/>
      <c r="D120" s="5" t="s">
        <v>14138</v>
      </c>
      <c r="E120" s="5"/>
      <c r="F120" s="5" t="s">
        <v>14137</v>
      </c>
      <c r="G120" s="5" t="s">
        <v>105</v>
      </c>
      <c r="H120" s="5" t="s">
        <v>137</v>
      </c>
      <c r="I120" s="5" t="s">
        <v>10893</v>
      </c>
      <c r="J120" s="5" t="s">
        <v>14137</v>
      </c>
      <c r="M120" s="1"/>
      <c r="N120"/>
      <c r="O120"/>
      <c r="P120"/>
      <c r="Q120"/>
      <c r="R120"/>
      <c r="S120"/>
      <c r="T120"/>
      <c r="U120"/>
      <c r="V120"/>
      <c r="W120"/>
      <c r="X120"/>
      <c r="Y120"/>
    </row>
    <row r="121" spans="1:25" s="2" customFormat="1" x14ac:dyDescent="0.2">
      <c r="A121" s="5" t="s">
        <v>14136</v>
      </c>
      <c r="B121" s="5" t="s">
        <v>83</v>
      </c>
      <c r="C121" s="5"/>
      <c r="D121" s="5" t="s">
        <v>14135</v>
      </c>
      <c r="E121" s="5"/>
      <c r="F121" s="5"/>
      <c r="G121" s="5" t="s">
        <v>2308</v>
      </c>
      <c r="H121" s="5" t="s">
        <v>3</v>
      </c>
      <c r="I121" s="5"/>
      <c r="J121" s="5" t="s">
        <v>14134</v>
      </c>
      <c r="M121" s="1"/>
      <c r="N121"/>
      <c r="O121"/>
      <c r="P121"/>
      <c r="Q121"/>
      <c r="R121"/>
      <c r="S121"/>
      <c r="T121"/>
      <c r="U121"/>
      <c r="V121"/>
      <c r="W121"/>
      <c r="X121"/>
      <c r="Y121"/>
    </row>
    <row r="122" spans="1:25" s="2" customFormat="1" x14ac:dyDescent="0.2">
      <c r="A122" s="5" t="s">
        <v>10303</v>
      </c>
      <c r="B122" s="5" t="s">
        <v>83</v>
      </c>
      <c r="C122" s="5"/>
      <c r="D122" s="5" t="s">
        <v>14133</v>
      </c>
      <c r="E122" s="5"/>
      <c r="F122" s="5" t="s">
        <v>10893</v>
      </c>
      <c r="G122" s="5" t="s">
        <v>118</v>
      </c>
      <c r="H122" s="5" t="s">
        <v>3</v>
      </c>
      <c r="I122" s="5"/>
      <c r="J122" s="5" t="s">
        <v>14132</v>
      </c>
      <c r="M122" s="1"/>
      <c r="N122"/>
      <c r="O122"/>
      <c r="P122"/>
      <c r="Q122"/>
      <c r="R122"/>
      <c r="S122"/>
      <c r="T122"/>
      <c r="U122"/>
      <c r="V122"/>
      <c r="W122"/>
      <c r="X122"/>
      <c r="Y122"/>
    </row>
    <row r="123" spans="1:25" s="2" customFormat="1" x14ac:dyDescent="0.2">
      <c r="A123" s="5" t="s">
        <v>14131</v>
      </c>
      <c r="B123" s="5" t="s">
        <v>83</v>
      </c>
      <c r="C123" s="5"/>
      <c r="D123" s="5" t="s">
        <v>14130</v>
      </c>
      <c r="E123" s="5"/>
      <c r="F123" s="5"/>
      <c r="G123" s="5" t="s">
        <v>3059</v>
      </c>
      <c r="H123" s="5" t="s">
        <v>3</v>
      </c>
      <c r="I123" s="5"/>
      <c r="J123" s="5" t="s">
        <v>14129</v>
      </c>
      <c r="M123" s="1"/>
      <c r="N123"/>
      <c r="O123"/>
      <c r="P123"/>
      <c r="Q123"/>
      <c r="R123"/>
      <c r="S123"/>
      <c r="T123"/>
      <c r="U123"/>
      <c r="V123"/>
      <c r="W123"/>
      <c r="X123"/>
      <c r="Y123"/>
    </row>
    <row r="124" spans="1:25" s="2" customFormat="1" x14ac:dyDescent="0.2">
      <c r="A124" s="5" t="s">
        <v>10297</v>
      </c>
      <c r="B124" s="5" t="s">
        <v>83</v>
      </c>
      <c r="C124" s="5"/>
      <c r="D124" s="5" t="s">
        <v>14128</v>
      </c>
      <c r="E124" s="5"/>
      <c r="F124" s="5" t="s">
        <v>10295</v>
      </c>
      <c r="G124" s="5" t="s">
        <v>3059</v>
      </c>
      <c r="H124" s="5" t="s">
        <v>137</v>
      </c>
      <c r="I124" s="5" t="s">
        <v>10893</v>
      </c>
      <c r="J124" s="5" t="s">
        <v>10294</v>
      </c>
      <c r="M124" s="1"/>
      <c r="N124"/>
      <c r="O124"/>
      <c r="P124"/>
      <c r="Q124"/>
      <c r="R124"/>
      <c r="S124"/>
      <c r="T124"/>
      <c r="U124"/>
      <c r="V124"/>
      <c r="W124"/>
      <c r="X124"/>
      <c r="Y124"/>
    </row>
    <row r="125" spans="1:25" s="2" customFormat="1" x14ac:dyDescent="0.2">
      <c r="A125" s="5" t="s">
        <v>10287</v>
      </c>
      <c r="B125" s="5" t="s">
        <v>83</v>
      </c>
      <c r="C125" s="5"/>
      <c r="D125" s="5" t="s">
        <v>14127</v>
      </c>
      <c r="E125" s="5"/>
      <c r="F125" s="5" t="s">
        <v>10893</v>
      </c>
      <c r="G125" s="5" t="s">
        <v>118</v>
      </c>
      <c r="H125" s="5" t="s">
        <v>3</v>
      </c>
      <c r="I125" s="5"/>
      <c r="J125" s="5" t="s">
        <v>14126</v>
      </c>
      <c r="M125" s="1"/>
      <c r="N125"/>
      <c r="O125"/>
      <c r="P125"/>
      <c r="Q125"/>
      <c r="R125"/>
      <c r="S125"/>
      <c r="T125"/>
      <c r="U125"/>
      <c r="V125"/>
      <c r="W125"/>
      <c r="X125"/>
      <c r="Y125"/>
    </row>
    <row r="126" spans="1:25" s="2" customFormat="1" x14ac:dyDescent="0.2">
      <c r="A126" s="5" t="s">
        <v>14125</v>
      </c>
      <c r="B126" s="5" t="s">
        <v>83</v>
      </c>
      <c r="C126" s="5"/>
      <c r="D126" s="5" t="s">
        <v>14124</v>
      </c>
      <c r="E126" s="5"/>
      <c r="F126" s="5"/>
      <c r="G126" s="5" t="s">
        <v>3059</v>
      </c>
      <c r="H126" s="5" t="s">
        <v>3</v>
      </c>
      <c r="I126" s="5"/>
      <c r="J126" s="5" t="s">
        <v>14123</v>
      </c>
      <c r="M126" s="1"/>
      <c r="N126"/>
      <c r="O126"/>
      <c r="P126"/>
      <c r="Q126"/>
      <c r="R126"/>
      <c r="S126"/>
      <c r="T126"/>
      <c r="U126"/>
      <c r="V126"/>
      <c r="W126"/>
      <c r="X126"/>
      <c r="Y126"/>
    </row>
    <row r="127" spans="1:25" s="2" customFormat="1" x14ac:dyDescent="0.2">
      <c r="A127" s="5" t="s">
        <v>10281</v>
      </c>
      <c r="B127" s="5" t="s">
        <v>83</v>
      </c>
      <c r="C127" s="5"/>
      <c r="D127" s="5" t="s">
        <v>14122</v>
      </c>
      <c r="E127" s="5"/>
      <c r="F127" s="5" t="s">
        <v>10893</v>
      </c>
      <c r="G127" s="5" t="s">
        <v>118</v>
      </c>
      <c r="H127" s="5" t="s">
        <v>3</v>
      </c>
      <c r="I127" s="5"/>
      <c r="J127" s="5" t="s">
        <v>14121</v>
      </c>
      <c r="M127" s="1"/>
      <c r="N127"/>
      <c r="O127"/>
      <c r="P127"/>
      <c r="Q127"/>
      <c r="R127"/>
      <c r="S127"/>
      <c r="T127"/>
      <c r="U127"/>
      <c r="V127"/>
      <c r="W127"/>
      <c r="X127"/>
      <c r="Y127"/>
    </row>
    <row r="128" spans="1:25" s="2" customFormat="1" x14ac:dyDescent="0.2">
      <c r="A128" s="5" t="s">
        <v>14120</v>
      </c>
      <c r="B128" s="5" t="s">
        <v>83</v>
      </c>
      <c r="C128" s="5"/>
      <c r="D128" s="5" t="s">
        <v>14119</v>
      </c>
      <c r="E128" s="5"/>
      <c r="F128" s="5"/>
      <c r="G128" s="5" t="s">
        <v>3059</v>
      </c>
      <c r="H128" s="5" t="s">
        <v>3</v>
      </c>
      <c r="I128" s="5"/>
      <c r="J128" s="5" t="s">
        <v>14118</v>
      </c>
      <c r="M128" s="1"/>
      <c r="N128"/>
      <c r="O128"/>
      <c r="P128"/>
      <c r="Q128"/>
      <c r="R128"/>
      <c r="S128"/>
      <c r="T128"/>
      <c r="U128"/>
      <c r="V128"/>
      <c r="W128"/>
      <c r="X128"/>
      <c r="Y128"/>
    </row>
    <row r="129" spans="1:25" s="2" customFormat="1" x14ac:dyDescent="0.2">
      <c r="A129" s="5" t="s">
        <v>10274</v>
      </c>
      <c r="B129" s="5" t="s">
        <v>83</v>
      </c>
      <c r="C129" s="5"/>
      <c r="D129" s="5" t="s">
        <v>10894</v>
      </c>
      <c r="E129" s="5"/>
      <c r="F129" s="5" t="s">
        <v>10893</v>
      </c>
      <c r="G129" s="5" t="s">
        <v>118</v>
      </c>
      <c r="H129" s="5" t="s">
        <v>3</v>
      </c>
      <c r="I129" s="5"/>
      <c r="J129" s="5" t="s">
        <v>10892</v>
      </c>
      <c r="M129" s="1"/>
      <c r="N129"/>
      <c r="O129"/>
      <c r="P129"/>
      <c r="Q129"/>
      <c r="R129"/>
      <c r="S129"/>
      <c r="T129"/>
      <c r="U129"/>
      <c r="V129"/>
      <c r="W129"/>
      <c r="X129"/>
      <c r="Y129"/>
    </row>
    <row r="130" spans="1:25" s="2" customFormat="1" x14ac:dyDescent="0.2">
      <c r="A130" s="5" t="s">
        <v>10891</v>
      </c>
      <c r="B130" s="5" t="s">
        <v>83</v>
      </c>
      <c r="C130" s="5"/>
      <c r="D130" s="5" t="s">
        <v>11764</v>
      </c>
      <c r="E130" s="5"/>
      <c r="F130" s="5"/>
      <c r="G130" s="5" t="s">
        <v>3059</v>
      </c>
      <c r="H130" s="5" t="s">
        <v>3</v>
      </c>
      <c r="I130" s="5"/>
      <c r="J130" s="5" t="s">
        <v>11763</v>
      </c>
      <c r="M130" s="1"/>
      <c r="N130"/>
      <c r="O130"/>
      <c r="P130"/>
      <c r="Q130"/>
      <c r="R130"/>
      <c r="S130"/>
      <c r="T130"/>
      <c r="U130"/>
      <c r="V130"/>
      <c r="W130"/>
      <c r="X130"/>
      <c r="Y130"/>
    </row>
    <row r="131" spans="1:25" s="2" customFormat="1" ht="25.5" x14ac:dyDescent="0.2">
      <c r="A131" s="5" t="s">
        <v>12078</v>
      </c>
      <c r="B131" s="5" t="s">
        <v>83</v>
      </c>
      <c r="C131" s="5"/>
      <c r="D131" s="5" t="s">
        <v>14117</v>
      </c>
      <c r="E131" s="5"/>
      <c r="F131" s="5" t="s">
        <v>11760</v>
      </c>
      <c r="G131" s="5" t="s">
        <v>283</v>
      </c>
      <c r="H131" s="5" t="s">
        <v>3</v>
      </c>
      <c r="I131" s="5"/>
      <c r="J131" s="5" t="s">
        <v>12076</v>
      </c>
      <c r="M131" s="1"/>
      <c r="N131"/>
      <c r="O131"/>
      <c r="P131"/>
      <c r="Q131"/>
      <c r="R131"/>
      <c r="S131"/>
      <c r="T131"/>
      <c r="U131"/>
      <c r="V131"/>
      <c r="W131"/>
      <c r="X131"/>
      <c r="Y131"/>
    </row>
    <row r="132" spans="1:25" s="2" customFormat="1" ht="25.5" x14ac:dyDescent="0.2">
      <c r="A132" s="5" t="s">
        <v>11758</v>
      </c>
      <c r="B132" s="5" t="s">
        <v>83</v>
      </c>
      <c r="C132" s="5"/>
      <c r="D132" s="5" t="s">
        <v>11757</v>
      </c>
      <c r="E132" s="5"/>
      <c r="F132" s="5" t="s">
        <v>11753</v>
      </c>
      <c r="G132" s="5" t="s">
        <v>224</v>
      </c>
      <c r="H132" s="5" t="s">
        <v>3</v>
      </c>
      <c r="I132" s="5"/>
      <c r="J132" s="5" t="s">
        <v>11756</v>
      </c>
      <c r="M132" s="1"/>
      <c r="N132"/>
      <c r="O132"/>
      <c r="P132"/>
      <c r="Q132"/>
      <c r="R132"/>
      <c r="S132"/>
      <c r="T132"/>
      <c r="U132"/>
      <c r="V132"/>
      <c r="W132"/>
      <c r="X132"/>
      <c r="Y132"/>
    </row>
    <row r="133" spans="1:25" s="2" customFormat="1" x14ac:dyDescent="0.2">
      <c r="A133" s="5" t="s">
        <v>14116</v>
      </c>
      <c r="B133" s="5" t="s">
        <v>83</v>
      </c>
      <c r="C133" s="5"/>
      <c r="D133" s="5" t="s">
        <v>14115</v>
      </c>
      <c r="E133" s="5"/>
      <c r="F133" s="5" t="s">
        <v>7974</v>
      </c>
      <c r="G133" s="5" t="s">
        <v>105</v>
      </c>
      <c r="H133" s="5" t="s">
        <v>3</v>
      </c>
      <c r="I133" s="5"/>
      <c r="J133" s="5" t="s">
        <v>14114</v>
      </c>
      <c r="M133" s="1"/>
      <c r="N133"/>
      <c r="O133"/>
      <c r="P133"/>
      <c r="Q133"/>
      <c r="R133"/>
      <c r="S133"/>
      <c r="T133"/>
      <c r="U133"/>
      <c r="V133"/>
      <c r="W133"/>
      <c r="X133"/>
      <c r="Y133"/>
    </row>
    <row r="134" spans="1:25" s="2" customFormat="1" x14ac:dyDescent="0.2">
      <c r="A134" s="5" t="s">
        <v>14113</v>
      </c>
      <c r="B134" s="5" t="s">
        <v>83</v>
      </c>
      <c r="C134" s="5"/>
      <c r="D134" s="5" t="s">
        <v>14112</v>
      </c>
      <c r="E134" s="5"/>
      <c r="F134" s="5" t="s">
        <v>12291</v>
      </c>
      <c r="G134" s="5" t="s">
        <v>224</v>
      </c>
      <c r="H134" s="5" t="s">
        <v>3</v>
      </c>
      <c r="I134" s="5"/>
      <c r="J134" s="5" t="s">
        <v>12290</v>
      </c>
      <c r="M134" s="1"/>
      <c r="N134"/>
      <c r="O134"/>
      <c r="P134"/>
      <c r="Q134"/>
      <c r="R134"/>
      <c r="S134"/>
      <c r="T134"/>
      <c r="U134"/>
      <c r="V134"/>
      <c r="W134"/>
      <c r="X134"/>
      <c r="Y134"/>
    </row>
    <row r="135" spans="1:25" s="2" customFormat="1" x14ac:dyDescent="0.2">
      <c r="A135" s="5" t="s">
        <v>14111</v>
      </c>
      <c r="B135" s="5" t="s">
        <v>83</v>
      </c>
      <c r="C135" s="5"/>
      <c r="D135" s="5" t="s">
        <v>14110</v>
      </c>
      <c r="E135" s="5"/>
      <c r="F135" s="5" t="s">
        <v>12291</v>
      </c>
      <c r="G135" s="5" t="s">
        <v>224</v>
      </c>
      <c r="H135" s="5" t="s">
        <v>3</v>
      </c>
      <c r="I135" s="5"/>
      <c r="J135" s="5" t="s">
        <v>12290</v>
      </c>
      <c r="M135" s="1"/>
      <c r="N135"/>
      <c r="O135"/>
      <c r="P135"/>
      <c r="Q135"/>
      <c r="R135"/>
      <c r="S135"/>
      <c r="T135"/>
      <c r="U135"/>
      <c r="V135"/>
      <c r="W135"/>
      <c r="X135"/>
      <c r="Y135"/>
    </row>
    <row r="136" spans="1:25" s="2" customFormat="1" x14ac:dyDescent="0.2">
      <c r="A136" s="5" t="s">
        <v>12084</v>
      </c>
      <c r="B136" s="5" t="s">
        <v>83</v>
      </c>
      <c r="C136" s="5"/>
      <c r="D136" s="5" t="s">
        <v>14109</v>
      </c>
      <c r="E136" s="5"/>
      <c r="F136" s="5" t="s">
        <v>12083</v>
      </c>
      <c r="G136" s="5" t="s">
        <v>224</v>
      </c>
      <c r="H136" s="5" t="s">
        <v>3</v>
      </c>
      <c r="I136" s="5"/>
      <c r="J136" s="5" t="s">
        <v>12082</v>
      </c>
      <c r="M136" s="1"/>
      <c r="N136"/>
      <c r="O136"/>
      <c r="P136"/>
      <c r="Q136"/>
      <c r="R136"/>
      <c r="S136"/>
      <c r="T136"/>
      <c r="U136"/>
      <c r="V136"/>
      <c r="W136"/>
      <c r="X136"/>
      <c r="Y136"/>
    </row>
    <row r="137" spans="1:25" ht="25.5" x14ac:dyDescent="0.2">
      <c r="A137" s="5" t="s">
        <v>12081</v>
      </c>
      <c r="B137" s="5" t="s">
        <v>83</v>
      </c>
      <c r="C137" s="5"/>
      <c r="D137" s="5" t="s">
        <v>14108</v>
      </c>
      <c r="E137" s="5"/>
      <c r="F137" s="5" t="s">
        <v>12080</v>
      </c>
      <c r="G137" s="5" t="s">
        <v>122</v>
      </c>
      <c r="H137" s="5" t="s">
        <v>3</v>
      </c>
      <c r="I137" s="5"/>
      <c r="J137" s="5" t="s">
        <v>12079</v>
      </c>
    </row>
    <row r="138" spans="1:25" ht="25.5" x14ac:dyDescent="0.2">
      <c r="A138" s="5" t="s">
        <v>14107</v>
      </c>
      <c r="B138" s="5" t="s">
        <v>83</v>
      </c>
      <c r="C138" s="5"/>
      <c r="D138" s="5" t="s">
        <v>14106</v>
      </c>
      <c r="E138" s="5"/>
      <c r="F138" s="5" t="s">
        <v>11204</v>
      </c>
      <c r="G138" s="5" t="s">
        <v>105</v>
      </c>
      <c r="H138" s="5" t="s">
        <v>3</v>
      </c>
      <c r="I138" s="5"/>
      <c r="J138" s="5" t="s">
        <v>14105</v>
      </c>
    </row>
    <row r="139" spans="1:25" ht="25.5" x14ac:dyDescent="0.2">
      <c r="A139" s="5" t="s">
        <v>14104</v>
      </c>
      <c r="B139" s="5" t="s">
        <v>83</v>
      </c>
      <c r="C139" s="5"/>
      <c r="D139" s="5" t="s">
        <v>14103</v>
      </c>
      <c r="E139" s="5"/>
      <c r="F139" s="5" t="s">
        <v>14102</v>
      </c>
      <c r="G139" s="5" t="s">
        <v>224</v>
      </c>
      <c r="H139" s="5" t="s">
        <v>3</v>
      </c>
      <c r="I139" s="5"/>
      <c r="J139" s="5" t="s">
        <v>14101</v>
      </c>
    </row>
    <row r="140" spans="1:25" ht="25.5" x14ac:dyDescent="0.2">
      <c r="A140" s="5" t="s">
        <v>10835</v>
      </c>
      <c r="B140" s="5" t="s">
        <v>83</v>
      </c>
      <c r="C140" s="5"/>
      <c r="D140" s="5" t="s">
        <v>14100</v>
      </c>
      <c r="E140" s="5"/>
      <c r="F140" s="5" t="s">
        <v>10833</v>
      </c>
      <c r="G140" s="5" t="s">
        <v>229</v>
      </c>
      <c r="H140" s="5" t="s">
        <v>3</v>
      </c>
      <c r="I140" s="5"/>
      <c r="J140" s="5" t="s">
        <v>10832</v>
      </c>
    </row>
    <row r="141" spans="1:25" ht="25.5" x14ac:dyDescent="0.2">
      <c r="A141" s="5" t="s">
        <v>10831</v>
      </c>
      <c r="B141" s="5" t="s">
        <v>83</v>
      </c>
      <c r="C141" s="5"/>
      <c r="D141" s="5" t="s">
        <v>10830</v>
      </c>
      <c r="E141" s="5"/>
      <c r="F141" s="5" t="s">
        <v>10829</v>
      </c>
      <c r="G141" s="5" t="s">
        <v>224</v>
      </c>
      <c r="H141" s="5" t="s">
        <v>3</v>
      </c>
      <c r="I141" s="5"/>
      <c r="J141" s="5" t="s">
        <v>10828</v>
      </c>
    </row>
    <row r="142" spans="1:25" x14ac:dyDescent="0.2">
      <c r="A142" s="5" t="s">
        <v>7665</v>
      </c>
      <c r="B142" s="5" t="s">
        <v>83</v>
      </c>
      <c r="C142" s="5"/>
      <c r="D142" s="5" t="s">
        <v>7664</v>
      </c>
      <c r="E142" s="5" t="s">
        <v>288</v>
      </c>
      <c r="F142" s="5" t="s">
        <v>7663</v>
      </c>
      <c r="G142" s="5" t="s">
        <v>91</v>
      </c>
      <c r="H142" s="5" t="s">
        <v>3</v>
      </c>
      <c r="I142" s="5"/>
      <c r="J142" s="5"/>
    </row>
    <row r="143" spans="1:25" x14ac:dyDescent="0.2">
      <c r="A143" s="5" t="s">
        <v>11736</v>
      </c>
      <c r="B143" s="5" t="s">
        <v>83</v>
      </c>
      <c r="C143" s="5"/>
      <c r="D143" s="5" t="s">
        <v>14099</v>
      </c>
      <c r="E143" s="5"/>
      <c r="F143" s="5" t="s">
        <v>11736</v>
      </c>
      <c r="G143" s="5" t="s">
        <v>283</v>
      </c>
      <c r="H143" s="5" t="s">
        <v>3</v>
      </c>
      <c r="I143" s="5"/>
      <c r="J143" s="5" t="s">
        <v>11735</v>
      </c>
    </row>
    <row r="144" spans="1:25" ht="25.5" x14ac:dyDescent="0.2">
      <c r="A144" s="5" t="s">
        <v>14098</v>
      </c>
      <c r="B144" s="5" t="s">
        <v>83</v>
      </c>
      <c r="C144" s="5"/>
      <c r="D144" s="5" t="s">
        <v>14097</v>
      </c>
      <c r="E144" s="5"/>
      <c r="F144" s="5" t="s">
        <v>14096</v>
      </c>
      <c r="G144" s="5" t="s">
        <v>4028</v>
      </c>
      <c r="H144" s="5" t="s">
        <v>3</v>
      </c>
      <c r="I144" s="5"/>
      <c r="J144" s="5"/>
    </row>
    <row r="145" spans="1:10" ht="25.5" x14ac:dyDescent="0.2">
      <c r="A145" s="5" t="s">
        <v>14095</v>
      </c>
      <c r="B145" s="5" t="s">
        <v>83</v>
      </c>
      <c r="C145" s="5"/>
      <c r="D145" s="5" t="s">
        <v>14094</v>
      </c>
      <c r="E145" s="5"/>
      <c r="F145" s="5"/>
      <c r="G145" s="5"/>
      <c r="H145" s="5" t="s">
        <v>3</v>
      </c>
      <c r="I145" s="5"/>
      <c r="J145" s="5" t="s">
        <v>14093</v>
      </c>
    </row>
    <row r="146" spans="1:10" x14ac:dyDescent="0.2">
      <c r="A146" s="5" t="s">
        <v>14092</v>
      </c>
      <c r="B146" s="5" t="s">
        <v>83</v>
      </c>
      <c r="C146" s="5"/>
      <c r="D146" s="5" t="s">
        <v>14091</v>
      </c>
      <c r="E146" s="5"/>
      <c r="F146" s="5" t="s">
        <v>10799</v>
      </c>
      <c r="G146" s="5" t="s">
        <v>6584</v>
      </c>
      <c r="H146" s="5" t="s">
        <v>3</v>
      </c>
      <c r="I146" s="5"/>
      <c r="J146" s="5" t="s">
        <v>11729</v>
      </c>
    </row>
    <row r="147" spans="1:10" x14ac:dyDescent="0.2">
      <c r="A147" s="5" t="s">
        <v>14090</v>
      </c>
      <c r="B147" s="5" t="s">
        <v>83</v>
      </c>
      <c r="C147" s="5"/>
      <c r="D147" s="5" t="s">
        <v>14089</v>
      </c>
      <c r="E147" s="5"/>
      <c r="F147" s="5" t="s">
        <v>188</v>
      </c>
      <c r="G147" s="5" t="s">
        <v>328</v>
      </c>
      <c r="H147" s="5" t="s">
        <v>3</v>
      </c>
      <c r="I147" s="5"/>
      <c r="J147" s="5" t="s">
        <v>14088</v>
      </c>
    </row>
    <row r="148" spans="1:10" x14ac:dyDescent="0.2">
      <c r="A148" s="5" t="s">
        <v>14087</v>
      </c>
      <c r="B148" s="5" t="s">
        <v>83</v>
      </c>
      <c r="C148" s="5"/>
      <c r="D148" s="5" t="s">
        <v>14086</v>
      </c>
      <c r="E148" s="5"/>
      <c r="F148" s="5"/>
      <c r="G148" s="5" t="s">
        <v>207</v>
      </c>
      <c r="H148" s="5" t="s">
        <v>3</v>
      </c>
      <c r="I148" s="5"/>
      <c r="J148" s="5"/>
    </row>
    <row r="149" spans="1:10" x14ac:dyDescent="0.2">
      <c r="A149" s="5" t="s">
        <v>7340</v>
      </c>
      <c r="B149" s="5" t="s">
        <v>83</v>
      </c>
      <c r="C149" s="5"/>
      <c r="D149" s="5" t="s">
        <v>10771</v>
      </c>
      <c r="E149" s="5"/>
      <c r="F149" s="5"/>
      <c r="G149" s="5" t="s">
        <v>118</v>
      </c>
      <c r="H149" s="5" t="s">
        <v>3</v>
      </c>
      <c r="I149" s="5"/>
      <c r="J149" s="5" t="s">
        <v>10222</v>
      </c>
    </row>
    <row r="150" spans="1:10" ht="25.5" x14ac:dyDescent="0.2">
      <c r="A150" s="5" t="s">
        <v>10224</v>
      </c>
      <c r="B150" s="5" t="s">
        <v>83</v>
      </c>
      <c r="C150" s="5"/>
      <c r="D150" s="5" t="s">
        <v>14085</v>
      </c>
      <c r="E150" s="5"/>
      <c r="F150" s="5" t="s">
        <v>14084</v>
      </c>
      <c r="G150" s="5" t="s">
        <v>224</v>
      </c>
      <c r="H150" s="5" t="s">
        <v>3</v>
      </c>
      <c r="I150" s="5"/>
      <c r="J150" s="5" t="s">
        <v>14084</v>
      </c>
    </row>
    <row r="151" spans="1:10" x14ac:dyDescent="0.2">
      <c r="A151" s="5" t="s">
        <v>10769</v>
      </c>
      <c r="B151" s="5" t="s">
        <v>83</v>
      </c>
      <c r="C151" s="5"/>
      <c r="D151" s="5" t="s">
        <v>14083</v>
      </c>
      <c r="E151" s="5"/>
      <c r="F151" s="5" t="s">
        <v>10767</v>
      </c>
      <c r="G151" s="5" t="s">
        <v>105</v>
      </c>
      <c r="H151" s="5" t="s">
        <v>3</v>
      </c>
      <c r="I151" s="5"/>
      <c r="J151" s="5"/>
    </row>
    <row r="152" spans="1:10" x14ac:dyDescent="0.2">
      <c r="A152" s="5" t="s">
        <v>14082</v>
      </c>
      <c r="B152" s="5" t="s">
        <v>83</v>
      </c>
      <c r="C152" s="5"/>
      <c r="D152" s="5" t="s">
        <v>14081</v>
      </c>
      <c r="E152" s="5"/>
      <c r="F152" s="5"/>
      <c r="G152" s="5" t="s">
        <v>283</v>
      </c>
      <c r="H152" s="5" t="s">
        <v>3</v>
      </c>
      <c r="I152" s="5"/>
      <c r="J152" s="5"/>
    </row>
    <row r="153" spans="1:10" ht="25.5" x14ac:dyDescent="0.2">
      <c r="A153" s="5" t="s">
        <v>12027</v>
      </c>
      <c r="B153" s="5" t="s">
        <v>83</v>
      </c>
      <c r="C153" s="5"/>
      <c r="D153" s="5" t="s">
        <v>14080</v>
      </c>
      <c r="E153" s="5"/>
      <c r="F153" s="5"/>
      <c r="G153" s="5" t="s">
        <v>105</v>
      </c>
      <c r="H153" s="5" t="s">
        <v>3</v>
      </c>
      <c r="I153" s="5"/>
      <c r="J153" s="5" t="s">
        <v>12025</v>
      </c>
    </row>
    <row r="154" spans="1:10" ht="25.5" x14ac:dyDescent="0.2">
      <c r="A154" s="5" t="s">
        <v>14079</v>
      </c>
      <c r="B154" s="5" t="s">
        <v>83</v>
      </c>
      <c r="C154" s="5"/>
      <c r="D154" s="5" t="s">
        <v>14078</v>
      </c>
      <c r="E154" s="5"/>
      <c r="F154" s="5"/>
      <c r="G154" s="5" t="s">
        <v>4028</v>
      </c>
      <c r="H154" s="5" t="s">
        <v>3</v>
      </c>
      <c r="I154" s="5"/>
      <c r="J154" s="5"/>
    </row>
    <row r="155" spans="1:10" ht="25.5" x14ac:dyDescent="0.2">
      <c r="A155" s="5" t="s">
        <v>14077</v>
      </c>
      <c r="B155" s="5" t="s">
        <v>83</v>
      </c>
      <c r="C155" s="5"/>
      <c r="D155" s="5" t="s">
        <v>14076</v>
      </c>
      <c r="E155" s="5"/>
      <c r="F155" s="5"/>
      <c r="G155" s="5" t="s">
        <v>105</v>
      </c>
      <c r="H155" s="5" t="s">
        <v>3</v>
      </c>
      <c r="I155" s="5"/>
      <c r="J155" s="5"/>
    </row>
    <row r="156" spans="1:10" ht="25.5" x14ac:dyDescent="0.2">
      <c r="A156" s="5" t="s">
        <v>14075</v>
      </c>
      <c r="B156" s="5" t="s">
        <v>83</v>
      </c>
      <c r="C156" s="5"/>
      <c r="D156" s="5" t="s">
        <v>14074</v>
      </c>
      <c r="E156" s="5"/>
      <c r="F156" s="5" t="s">
        <v>14073</v>
      </c>
      <c r="G156" s="5" t="s">
        <v>4028</v>
      </c>
      <c r="H156" s="5" t="s">
        <v>3</v>
      </c>
      <c r="I156" s="5"/>
      <c r="J156" s="5" t="s">
        <v>14072</v>
      </c>
    </row>
    <row r="157" spans="1:10" x14ac:dyDescent="0.2">
      <c r="A157" s="5" t="s">
        <v>10760</v>
      </c>
      <c r="B157" s="5" t="s">
        <v>83</v>
      </c>
      <c r="C157" s="5"/>
      <c r="D157" s="5" t="s">
        <v>12798</v>
      </c>
      <c r="E157" s="5"/>
      <c r="F157" s="5" t="s">
        <v>10758</v>
      </c>
      <c r="G157" s="5" t="s">
        <v>118</v>
      </c>
      <c r="H157" s="5" t="s">
        <v>3</v>
      </c>
      <c r="I157" s="5"/>
      <c r="J157" s="5" t="s">
        <v>10757</v>
      </c>
    </row>
    <row r="158" spans="1:10" ht="25.5" x14ac:dyDescent="0.2">
      <c r="A158" s="5" t="s">
        <v>12272</v>
      </c>
      <c r="B158" s="5" t="s">
        <v>83</v>
      </c>
      <c r="C158" s="5"/>
      <c r="D158" s="5" t="s">
        <v>14071</v>
      </c>
      <c r="E158" s="5"/>
      <c r="F158" s="5" t="s">
        <v>10758</v>
      </c>
      <c r="G158" s="5" t="s">
        <v>4</v>
      </c>
      <c r="H158" s="5" t="s">
        <v>3</v>
      </c>
      <c r="I158" s="5"/>
      <c r="J158" s="5" t="s">
        <v>12271</v>
      </c>
    </row>
    <row r="159" spans="1:10" ht="38.25" x14ac:dyDescent="0.2">
      <c r="A159" s="5" t="s">
        <v>14070</v>
      </c>
      <c r="B159" s="5" t="s">
        <v>83</v>
      </c>
      <c r="C159" s="5"/>
      <c r="D159" s="5" t="s">
        <v>14069</v>
      </c>
      <c r="E159" s="5"/>
      <c r="F159" s="5" t="s">
        <v>14068</v>
      </c>
      <c r="G159" s="5" t="s">
        <v>7296</v>
      </c>
      <c r="H159" s="5" t="s">
        <v>3</v>
      </c>
      <c r="I159" s="5"/>
      <c r="J159" s="5" t="s">
        <v>14067</v>
      </c>
    </row>
    <row r="160" spans="1:10" ht="25.5" x14ac:dyDescent="0.2">
      <c r="A160" s="5" t="s">
        <v>11697</v>
      </c>
      <c r="B160" s="5" t="s">
        <v>83</v>
      </c>
      <c r="C160" s="5"/>
      <c r="D160" s="5" t="s">
        <v>11696</v>
      </c>
      <c r="E160" s="5"/>
      <c r="F160" s="5" t="s">
        <v>11695</v>
      </c>
      <c r="G160" s="5" t="s">
        <v>105</v>
      </c>
      <c r="H160" s="5" t="s">
        <v>3</v>
      </c>
      <c r="I160" s="5"/>
      <c r="J160" s="5" t="s">
        <v>11694</v>
      </c>
    </row>
    <row r="161" spans="1:10" ht="25.5" x14ac:dyDescent="0.2">
      <c r="A161" s="5" t="s">
        <v>12704</v>
      </c>
      <c r="B161" s="5" t="s">
        <v>83</v>
      </c>
      <c r="C161" s="5"/>
      <c r="D161" s="5" t="s">
        <v>14066</v>
      </c>
      <c r="E161" s="5"/>
      <c r="F161" s="5" t="s">
        <v>14065</v>
      </c>
      <c r="G161" s="5" t="s">
        <v>4028</v>
      </c>
      <c r="H161" s="5" t="s">
        <v>137</v>
      </c>
      <c r="I161" s="5" t="s">
        <v>12708</v>
      </c>
      <c r="J161" s="5" t="s">
        <v>12701</v>
      </c>
    </row>
    <row r="162" spans="1:10" x14ac:dyDescent="0.2">
      <c r="A162" s="5" t="s">
        <v>9755</v>
      </c>
      <c r="B162" s="5" t="s">
        <v>83</v>
      </c>
      <c r="C162" s="5"/>
      <c r="D162" s="5" t="s">
        <v>14064</v>
      </c>
      <c r="E162" s="5"/>
      <c r="F162" s="5" t="s">
        <v>9751</v>
      </c>
      <c r="G162" s="5" t="s">
        <v>118</v>
      </c>
      <c r="H162" s="5" t="s">
        <v>3</v>
      </c>
      <c r="I162" s="5"/>
      <c r="J162" s="5" t="s">
        <v>14063</v>
      </c>
    </row>
    <row r="163" spans="1:10" ht="25.5" x14ac:dyDescent="0.2">
      <c r="A163" s="5" t="s">
        <v>9753</v>
      </c>
      <c r="B163" s="5" t="s">
        <v>83</v>
      </c>
      <c r="C163" s="5"/>
      <c r="D163" s="5" t="s">
        <v>14062</v>
      </c>
      <c r="E163" s="5"/>
      <c r="F163" s="5" t="s">
        <v>14061</v>
      </c>
      <c r="G163" s="5" t="s">
        <v>224</v>
      </c>
      <c r="H163" s="5" t="s">
        <v>3</v>
      </c>
      <c r="I163" s="5"/>
      <c r="J163" s="5" t="s">
        <v>14061</v>
      </c>
    </row>
    <row r="164" spans="1:10" ht="38.25" x14ac:dyDescent="0.2">
      <c r="A164" s="5" t="s">
        <v>11691</v>
      </c>
      <c r="B164" s="5" t="s">
        <v>83</v>
      </c>
      <c r="C164" s="5"/>
      <c r="D164" s="5" t="s">
        <v>14060</v>
      </c>
      <c r="E164" s="5"/>
      <c r="F164" s="5" t="s">
        <v>11689</v>
      </c>
      <c r="G164" s="5" t="s">
        <v>105</v>
      </c>
      <c r="H164" s="5" t="s">
        <v>3</v>
      </c>
      <c r="I164" s="5"/>
      <c r="J164" s="5" t="s">
        <v>11688</v>
      </c>
    </row>
    <row r="165" spans="1:10" x14ac:dyDescent="0.2">
      <c r="A165" s="5" t="s">
        <v>14059</v>
      </c>
      <c r="B165" s="5" t="s">
        <v>83</v>
      </c>
      <c r="C165" s="5"/>
      <c r="D165" s="5" t="s">
        <v>14058</v>
      </c>
      <c r="E165" s="5"/>
      <c r="F165" s="5" t="s">
        <v>11134</v>
      </c>
      <c r="G165" s="5" t="s">
        <v>3059</v>
      </c>
      <c r="H165" s="5" t="s">
        <v>3</v>
      </c>
      <c r="I165" s="5"/>
      <c r="J165" s="5" t="s">
        <v>14057</v>
      </c>
    </row>
    <row r="166" spans="1:10" ht="25.5" x14ac:dyDescent="0.2">
      <c r="A166" s="5" t="s">
        <v>14056</v>
      </c>
      <c r="B166" s="5" t="s">
        <v>83</v>
      </c>
      <c r="C166" s="5"/>
      <c r="D166" s="5" t="s">
        <v>14055</v>
      </c>
      <c r="E166" s="5"/>
      <c r="F166" s="5" t="s">
        <v>14054</v>
      </c>
      <c r="G166" s="5" t="s">
        <v>7296</v>
      </c>
      <c r="H166" s="5" t="s">
        <v>3</v>
      </c>
      <c r="I166" s="5"/>
      <c r="J166" s="5" t="s">
        <v>14053</v>
      </c>
    </row>
    <row r="167" spans="1:10" x14ac:dyDescent="0.2">
      <c r="A167" s="5" t="s">
        <v>10670</v>
      </c>
      <c r="B167" s="5" t="s">
        <v>83</v>
      </c>
      <c r="C167" s="5"/>
      <c r="D167" s="5" t="s">
        <v>14052</v>
      </c>
      <c r="E167" s="5"/>
      <c r="F167" s="5" t="s">
        <v>10668</v>
      </c>
      <c r="G167" s="5" t="s">
        <v>170</v>
      </c>
      <c r="H167" s="5" t="s">
        <v>3</v>
      </c>
      <c r="I167" s="5"/>
      <c r="J167" s="5" t="s">
        <v>14051</v>
      </c>
    </row>
    <row r="168" spans="1:10" x14ac:dyDescent="0.2">
      <c r="A168" s="5" t="s">
        <v>14050</v>
      </c>
      <c r="B168" s="5" t="s">
        <v>83</v>
      </c>
      <c r="C168" s="5"/>
      <c r="D168" s="5" t="s">
        <v>14049</v>
      </c>
      <c r="E168" s="5"/>
      <c r="F168" s="5" t="s">
        <v>10668</v>
      </c>
      <c r="G168" s="5" t="s">
        <v>170</v>
      </c>
      <c r="H168" s="5" t="s">
        <v>3</v>
      </c>
      <c r="I168" s="5"/>
      <c r="J168" s="5"/>
    </row>
    <row r="169" spans="1:10" x14ac:dyDescent="0.2">
      <c r="A169" s="5" t="s">
        <v>2219</v>
      </c>
      <c r="B169" s="5" t="s">
        <v>83</v>
      </c>
      <c r="C169" s="5"/>
      <c r="D169" s="5" t="s">
        <v>14046</v>
      </c>
      <c r="E169" s="5"/>
      <c r="F169" s="5" t="s">
        <v>11684</v>
      </c>
      <c r="G169" s="5" t="s">
        <v>118</v>
      </c>
      <c r="H169" s="5" t="s">
        <v>3</v>
      </c>
      <c r="I169" s="5"/>
      <c r="J169" s="5" t="s">
        <v>14048</v>
      </c>
    </row>
    <row r="170" spans="1:10" ht="25.5" x14ac:dyDescent="0.2">
      <c r="A170" s="5" t="s">
        <v>14047</v>
      </c>
      <c r="B170" s="5" t="s">
        <v>83</v>
      </c>
      <c r="C170" s="5"/>
      <c r="D170" s="5" t="s">
        <v>14046</v>
      </c>
      <c r="E170" s="5"/>
      <c r="F170" s="5" t="s">
        <v>12680</v>
      </c>
      <c r="G170" s="5" t="s">
        <v>118</v>
      </c>
      <c r="H170" s="5" t="s">
        <v>3</v>
      </c>
      <c r="I170" s="5"/>
      <c r="J170" s="5" t="s">
        <v>14045</v>
      </c>
    </row>
    <row r="171" spans="1:10" x14ac:dyDescent="0.2">
      <c r="A171" s="5" t="s">
        <v>9749</v>
      </c>
      <c r="B171" s="5" t="s">
        <v>83</v>
      </c>
      <c r="C171" s="5"/>
      <c r="D171" s="5" t="s">
        <v>14044</v>
      </c>
      <c r="E171" s="5"/>
      <c r="F171" s="5" t="s">
        <v>7970</v>
      </c>
      <c r="G171" s="5" t="s">
        <v>3059</v>
      </c>
      <c r="H171" s="5" t="s">
        <v>3</v>
      </c>
      <c r="I171" s="5"/>
      <c r="J171" s="5" t="s">
        <v>9747</v>
      </c>
    </row>
    <row r="172" spans="1:10" ht="25.5" x14ac:dyDescent="0.2">
      <c r="A172" s="5" t="s">
        <v>14043</v>
      </c>
      <c r="B172" s="5" t="s">
        <v>83</v>
      </c>
      <c r="C172" s="5"/>
      <c r="D172" s="5" t="s">
        <v>14042</v>
      </c>
      <c r="E172" s="5"/>
      <c r="F172" s="5" t="s">
        <v>14041</v>
      </c>
      <c r="G172" s="5" t="s">
        <v>224</v>
      </c>
      <c r="H172" s="5" t="s">
        <v>3</v>
      </c>
      <c r="I172" s="5"/>
      <c r="J172" s="5" t="s">
        <v>14041</v>
      </c>
    </row>
    <row r="173" spans="1:10" x14ac:dyDescent="0.2">
      <c r="A173" s="5" t="s">
        <v>9742</v>
      </c>
      <c r="B173" s="5" t="s">
        <v>83</v>
      </c>
      <c r="C173" s="5"/>
      <c r="D173" s="5" t="s">
        <v>9741</v>
      </c>
      <c r="E173" s="5"/>
      <c r="F173" s="5" t="s">
        <v>9740</v>
      </c>
      <c r="G173" s="5" t="s">
        <v>118</v>
      </c>
      <c r="H173" s="5" t="s">
        <v>3</v>
      </c>
      <c r="I173" s="5"/>
      <c r="J173" s="5" t="s">
        <v>9739</v>
      </c>
    </row>
    <row r="174" spans="1:10" x14ac:dyDescent="0.2">
      <c r="A174" s="5" t="s">
        <v>14040</v>
      </c>
      <c r="B174" s="5" t="s">
        <v>83</v>
      </c>
      <c r="C174" s="5"/>
      <c r="D174" s="5" t="s">
        <v>14039</v>
      </c>
      <c r="E174" s="5"/>
      <c r="F174" s="5"/>
      <c r="G174" s="5" t="s">
        <v>3059</v>
      </c>
      <c r="H174" s="5" t="s">
        <v>3</v>
      </c>
      <c r="I174" s="5"/>
      <c r="J174" s="5" t="s">
        <v>14038</v>
      </c>
    </row>
    <row r="175" spans="1:10" ht="38.25" x14ac:dyDescent="0.2">
      <c r="A175" s="5" t="s">
        <v>9127</v>
      </c>
      <c r="B175" s="5" t="s">
        <v>83</v>
      </c>
      <c r="C175" s="5"/>
      <c r="D175" s="5" t="s">
        <v>14037</v>
      </c>
      <c r="E175" s="5"/>
      <c r="F175" s="5" t="s">
        <v>14036</v>
      </c>
      <c r="G175" s="5" t="s">
        <v>105</v>
      </c>
      <c r="H175" s="5" t="s">
        <v>3</v>
      </c>
      <c r="I175" s="5"/>
      <c r="J175" s="5" t="s">
        <v>14035</v>
      </c>
    </row>
    <row r="176" spans="1:10" ht="25.5" x14ac:dyDescent="0.2">
      <c r="A176" s="5" t="s">
        <v>14034</v>
      </c>
      <c r="B176" s="5" t="s">
        <v>83</v>
      </c>
      <c r="C176" s="5"/>
      <c r="D176" s="5" t="s">
        <v>14033</v>
      </c>
      <c r="E176" s="5"/>
      <c r="F176" s="5" t="s">
        <v>6487</v>
      </c>
      <c r="G176" s="5" t="s">
        <v>114</v>
      </c>
      <c r="H176" s="5" t="s">
        <v>3</v>
      </c>
      <c r="I176" s="5"/>
      <c r="J176" s="5" t="s">
        <v>14032</v>
      </c>
    </row>
    <row r="177" spans="1:10" ht="25.5" x14ac:dyDescent="0.2">
      <c r="A177" s="5" t="s">
        <v>14031</v>
      </c>
      <c r="B177" s="5" t="s">
        <v>83</v>
      </c>
      <c r="C177" s="5"/>
      <c r="D177" s="5" t="s">
        <v>14030</v>
      </c>
      <c r="E177" s="5"/>
      <c r="F177" s="5" t="s">
        <v>14029</v>
      </c>
      <c r="G177" s="5" t="s">
        <v>229</v>
      </c>
      <c r="H177" s="5" t="s">
        <v>3</v>
      </c>
      <c r="I177" s="5"/>
      <c r="J177" s="5" t="s">
        <v>14028</v>
      </c>
    </row>
    <row r="178" spans="1:10" x14ac:dyDescent="0.2">
      <c r="A178" s="5" t="s">
        <v>12663</v>
      </c>
      <c r="B178" s="5" t="s">
        <v>83</v>
      </c>
      <c r="C178" s="5"/>
      <c r="D178" s="5" t="s">
        <v>14027</v>
      </c>
      <c r="E178" s="5"/>
      <c r="F178" s="5" t="s">
        <v>12661</v>
      </c>
      <c r="G178" s="5" t="s">
        <v>4028</v>
      </c>
      <c r="H178" s="5"/>
      <c r="I178" s="5"/>
      <c r="J178" s="5" t="s">
        <v>14026</v>
      </c>
    </row>
    <row r="179" spans="1:10" ht="25.5" x14ac:dyDescent="0.2">
      <c r="A179" s="5" t="s">
        <v>14025</v>
      </c>
      <c r="B179" s="5" t="s">
        <v>83</v>
      </c>
      <c r="C179" s="5"/>
      <c r="D179" s="5" t="s">
        <v>14024</v>
      </c>
      <c r="E179" s="5" t="s">
        <v>138</v>
      </c>
      <c r="F179" s="5" t="s">
        <v>2215</v>
      </c>
      <c r="G179" s="5" t="s">
        <v>91</v>
      </c>
      <c r="H179" s="5" t="s">
        <v>3</v>
      </c>
      <c r="I179" s="5"/>
      <c r="J179" s="5" t="s">
        <v>14023</v>
      </c>
    </row>
    <row r="180" spans="1:10" ht="25.5" x14ac:dyDescent="0.2">
      <c r="A180" s="5" t="s">
        <v>12288</v>
      </c>
      <c r="B180" s="5" t="s">
        <v>83</v>
      </c>
      <c r="C180" s="5"/>
      <c r="D180" s="5" t="s">
        <v>14022</v>
      </c>
      <c r="E180" s="5"/>
      <c r="F180" s="5" t="s">
        <v>14021</v>
      </c>
      <c r="G180" s="5" t="s">
        <v>12286</v>
      </c>
      <c r="H180" s="5" t="s">
        <v>3</v>
      </c>
      <c r="I180" s="5"/>
      <c r="J180" s="5" t="s">
        <v>12285</v>
      </c>
    </row>
    <row r="181" spans="1:10" ht="25.5" x14ac:dyDescent="0.2">
      <c r="A181" s="5" t="s">
        <v>14020</v>
      </c>
      <c r="B181" s="5" t="s">
        <v>83</v>
      </c>
      <c r="C181" s="5"/>
      <c r="D181" s="5" t="s">
        <v>14019</v>
      </c>
      <c r="E181" s="5"/>
      <c r="F181" s="5" t="s">
        <v>14018</v>
      </c>
      <c r="G181" s="5" t="s">
        <v>224</v>
      </c>
      <c r="H181" s="5" t="s">
        <v>3</v>
      </c>
      <c r="I181" s="5"/>
      <c r="J181" s="5" t="s">
        <v>14017</v>
      </c>
    </row>
    <row r="182" spans="1:10" x14ac:dyDescent="0.2">
      <c r="A182" s="5" t="s">
        <v>14016</v>
      </c>
      <c r="B182" s="5" t="s">
        <v>83</v>
      </c>
      <c r="C182" s="5"/>
      <c r="D182" s="5" t="s">
        <v>11059</v>
      </c>
      <c r="E182" s="5"/>
      <c r="F182" s="5" t="s">
        <v>12419</v>
      </c>
      <c r="G182" s="5" t="s">
        <v>105</v>
      </c>
      <c r="H182" s="5" t="s">
        <v>3</v>
      </c>
      <c r="I182" s="5"/>
      <c r="J182" s="5" t="s">
        <v>12419</v>
      </c>
    </row>
    <row r="183" spans="1:10" ht="25.5" x14ac:dyDescent="0.2">
      <c r="A183" s="5" t="s">
        <v>14015</v>
      </c>
      <c r="B183" s="5" t="s">
        <v>83</v>
      </c>
      <c r="C183" s="5"/>
      <c r="D183" s="5" t="s">
        <v>10579</v>
      </c>
      <c r="E183" s="5"/>
      <c r="F183" s="5" t="s">
        <v>14014</v>
      </c>
      <c r="G183" s="5" t="s">
        <v>4028</v>
      </c>
      <c r="H183" s="5" t="s">
        <v>3</v>
      </c>
      <c r="I183" s="5"/>
      <c r="J183" s="5" t="s">
        <v>9698</v>
      </c>
    </row>
    <row r="184" spans="1:10" ht="25.5" x14ac:dyDescent="0.2">
      <c r="A184" s="5" t="s">
        <v>14013</v>
      </c>
      <c r="B184" s="5" t="s">
        <v>83</v>
      </c>
      <c r="C184" s="5"/>
      <c r="D184" s="5" t="s">
        <v>13991</v>
      </c>
      <c r="E184" s="5"/>
      <c r="F184" s="5" t="s">
        <v>8135</v>
      </c>
      <c r="G184" s="5" t="s">
        <v>105</v>
      </c>
      <c r="H184" s="5" t="s">
        <v>3</v>
      </c>
      <c r="I184" s="5"/>
      <c r="J184" s="5" t="s">
        <v>13990</v>
      </c>
    </row>
    <row r="185" spans="1:10" ht="25.5" x14ac:dyDescent="0.2">
      <c r="A185" s="5" t="s">
        <v>14012</v>
      </c>
      <c r="B185" s="5" t="s">
        <v>83</v>
      </c>
      <c r="C185" s="5"/>
      <c r="D185" s="5" t="s">
        <v>14011</v>
      </c>
      <c r="E185" s="5"/>
      <c r="F185" s="5" t="s">
        <v>8135</v>
      </c>
      <c r="G185" s="5" t="s">
        <v>173</v>
      </c>
      <c r="H185" s="5" t="s">
        <v>3</v>
      </c>
      <c r="I185" s="5"/>
      <c r="J185" s="5" t="s">
        <v>14010</v>
      </c>
    </row>
    <row r="186" spans="1:10" ht="25.5" x14ac:dyDescent="0.2">
      <c r="A186" s="5" t="s">
        <v>10574</v>
      </c>
      <c r="B186" s="5" t="s">
        <v>83</v>
      </c>
      <c r="C186" s="5"/>
      <c r="D186" s="5" t="s">
        <v>14009</v>
      </c>
      <c r="E186" s="5"/>
      <c r="F186" s="5" t="s">
        <v>8135</v>
      </c>
      <c r="G186" s="5" t="s">
        <v>173</v>
      </c>
      <c r="H186" s="5" t="s">
        <v>3</v>
      </c>
      <c r="I186" s="5"/>
      <c r="J186" s="5" t="s">
        <v>14008</v>
      </c>
    </row>
    <row r="187" spans="1:10" ht="25.5" x14ac:dyDescent="0.2">
      <c r="A187" s="5" t="s">
        <v>14007</v>
      </c>
      <c r="B187" s="5" t="s">
        <v>83</v>
      </c>
      <c r="C187" s="5"/>
      <c r="D187" s="5" t="s">
        <v>14006</v>
      </c>
      <c r="E187" s="5"/>
      <c r="F187" s="5" t="s">
        <v>8135</v>
      </c>
      <c r="G187" s="5" t="s">
        <v>80</v>
      </c>
      <c r="H187" s="5" t="s">
        <v>3</v>
      </c>
      <c r="I187" s="5"/>
      <c r="J187" s="5" t="s">
        <v>14005</v>
      </c>
    </row>
    <row r="188" spans="1:10" ht="25.5" x14ac:dyDescent="0.2">
      <c r="A188" s="5" t="s">
        <v>14004</v>
      </c>
      <c r="B188" s="5" t="s">
        <v>83</v>
      </c>
      <c r="C188" s="5"/>
      <c r="D188" s="5" t="s">
        <v>14003</v>
      </c>
      <c r="E188" s="5"/>
      <c r="F188" s="5" t="s">
        <v>8135</v>
      </c>
      <c r="G188" s="5" t="s">
        <v>173</v>
      </c>
      <c r="H188" s="5" t="s">
        <v>3</v>
      </c>
      <c r="I188" s="5"/>
      <c r="J188" s="5" t="s">
        <v>14002</v>
      </c>
    </row>
    <row r="189" spans="1:10" ht="25.5" x14ac:dyDescent="0.2">
      <c r="A189" s="5" t="s">
        <v>10570</v>
      </c>
      <c r="B189" s="5" t="s">
        <v>83</v>
      </c>
      <c r="C189" s="5"/>
      <c r="D189" s="5" t="s">
        <v>14001</v>
      </c>
      <c r="E189" s="5"/>
      <c r="F189" s="5" t="s">
        <v>10568</v>
      </c>
      <c r="G189" s="5" t="s">
        <v>173</v>
      </c>
      <c r="H189" s="5" t="s">
        <v>3</v>
      </c>
      <c r="I189" s="5"/>
      <c r="J189" s="5" t="s">
        <v>10567</v>
      </c>
    </row>
    <row r="190" spans="1:10" ht="25.5" x14ac:dyDescent="0.2">
      <c r="A190" s="5" t="s">
        <v>14000</v>
      </c>
      <c r="B190" s="5" t="s">
        <v>83</v>
      </c>
      <c r="C190" s="5"/>
      <c r="D190" s="5" t="s">
        <v>13999</v>
      </c>
      <c r="E190" s="5"/>
      <c r="F190" s="5" t="s">
        <v>8135</v>
      </c>
      <c r="G190" s="5" t="s">
        <v>173</v>
      </c>
      <c r="H190" s="5" t="s">
        <v>3</v>
      </c>
      <c r="I190" s="5"/>
      <c r="J190" s="5" t="s">
        <v>13998</v>
      </c>
    </row>
    <row r="191" spans="1:10" ht="25.5" x14ac:dyDescent="0.2">
      <c r="A191" s="5" t="s">
        <v>13997</v>
      </c>
      <c r="B191" s="5" t="s">
        <v>83</v>
      </c>
      <c r="C191" s="5"/>
      <c r="D191" s="5" t="s">
        <v>13996</v>
      </c>
      <c r="E191" s="5"/>
      <c r="F191" s="5" t="s">
        <v>8135</v>
      </c>
      <c r="G191" s="5" t="s">
        <v>80</v>
      </c>
      <c r="H191" s="5" t="s">
        <v>3</v>
      </c>
      <c r="I191" s="5"/>
      <c r="J191" s="5" t="s">
        <v>13995</v>
      </c>
    </row>
    <row r="192" spans="1:10" ht="25.5" x14ac:dyDescent="0.2">
      <c r="A192" s="5" t="s">
        <v>10566</v>
      </c>
      <c r="B192" s="5" t="s">
        <v>83</v>
      </c>
      <c r="C192" s="5"/>
      <c r="D192" s="5" t="s">
        <v>13994</v>
      </c>
      <c r="E192" s="5"/>
      <c r="F192" s="5" t="s">
        <v>8135</v>
      </c>
      <c r="G192" s="5" t="s">
        <v>173</v>
      </c>
      <c r="H192" s="5" t="s">
        <v>3</v>
      </c>
      <c r="I192" s="5"/>
      <c r="J192" s="5" t="s">
        <v>13993</v>
      </c>
    </row>
    <row r="193" spans="1:10" ht="25.5" x14ac:dyDescent="0.2">
      <c r="A193" s="5" t="s">
        <v>13992</v>
      </c>
      <c r="B193" s="5" t="s">
        <v>83</v>
      </c>
      <c r="C193" s="5"/>
      <c r="D193" s="5" t="s">
        <v>13991</v>
      </c>
      <c r="E193" s="5"/>
      <c r="F193" s="5" t="s">
        <v>8135</v>
      </c>
      <c r="G193" s="5" t="s">
        <v>105</v>
      </c>
      <c r="H193" s="5" t="s">
        <v>3</v>
      </c>
      <c r="I193" s="5"/>
      <c r="J193" s="5" t="s">
        <v>13990</v>
      </c>
    </row>
    <row r="194" spans="1:10" ht="25.5" x14ac:dyDescent="0.2">
      <c r="A194" s="5" t="s">
        <v>13989</v>
      </c>
      <c r="B194" s="5" t="s">
        <v>83</v>
      </c>
      <c r="C194" s="5"/>
      <c r="D194" s="5" t="s">
        <v>13988</v>
      </c>
      <c r="E194" s="5"/>
      <c r="F194" s="5" t="s">
        <v>8135</v>
      </c>
      <c r="G194" s="5" t="s">
        <v>105</v>
      </c>
      <c r="H194" s="5" t="s">
        <v>3</v>
      </c>
      <c r="I194" s="5"/>
      <c r="J194" s="5" t="s">
        <v>13987</v>
      </c>
    </row>
    <row r="195" spans="1:10" ht="25.5" x14ac:dyDescent="0.2">
      <c r="A195" s="5" t="s">
        <v>13986</v>
      </c>
      <c r="B195" s="5" t="s">
        <v>83</v>
      </c>
      <c r="C195" s="5"/>
      <c r="D195" s="5" t="s">
        <v>13985</v>
      </c>
      <c r="E195" s="5"/>
      <c r="F195" s="5" t="s">
        <v>8135</v>
      </c>
      <c r="G195" s="5" t="s">
        <v>105</v>
      </c>
      <c r="H195" s="5" t="s">
        <v>3</v>
      </c>
      <c r="I195" s="5"/>
      <c r="J195" s="5" t="s">
        <v>13984</v>
      </c>
    </row>
    <row r="196" spans="1:10" ht="25.5" x14ac:dyDescent="0.2">
      <c r="A196" s="5" t="s">
        <v>10565</v>
      </c>
      <c r="B196" s="5" t="s">
        <v>83</v>
      </c>
      <c r="C196" s="5"/>
      <c r="D196" s="5" t="s">
        <v>13983</v>
      </c>
      <c r="E196" s="5"/>
      <c r="F196" s="5"/>
      <c r="G196" s="5" t="s">
        <v>173</v>
      </c>
      <c r="H196" s="5" t="s">
        <v>3</v>
      </c>
      <c r="I196" s="5"/>
      <c r="J196" s="5" t="s">
        <v>10563</v>
      </c>
    </row>
    <row r="197" spans="1:10" x14ac:dyDescent="0.2">
      <c r="A197" s="5" t="s">
        <v>10562</v>
      </c>
      <c r="B197" s="5" t="s">
        <v>83</v>
      </c>
      <c r="C197" s="5"/>
      <c r="D197" s="5" t="s">
        <v>10574</v>
      </c>
      <c r="E197" s="5"/>
      <c r="F197" s="5" t="s">
        <v>13982</v>
      </c>
      <c r="G197" s="5" t="s">
        <v>173</v>
      </c>
      <c r="H197" s="5" t="s">
        <v>3</v>
      </c>
      <c r="I197" s="5"/>
      <c r="J197" s="5" t="s">
        <v>13981</v>
      </c>
    </row>
    <row r="198" spans="1:10" ht="25.5" x14ac:dyDescent="0.2">
      <c r="A198" s="5" t="s">
        <v>13980</v>
      </c>
      <c r="B198" s="5" t="s">
        <v>83</v>
      </c>
      <c r="C198" s="5"/>
      <c r="D198" s="5" t="s">
        <v>13979</v>
      </c>
      <c r="E198" s="5"/>
      <c r="F198" s="5" t="s">
        <v>8135</v>
      </c>
      <c r="G198" s="5" t="s">
        <v>173</v>
      </c>
      <c r="H198" s="5" t="s">
        <v>3</v>
      </c>
      <c r="I198" s="5"/>
      <c r="J198" s="5" t="s">
        <v>13978</v>
      </c>
    </row>
    <row r="199" spans="1:10" ht="25.5" x14ac:dyDescent="0.2">
      <c r="A199" s="5" t="s">
        <v>13977</v>
      </c>
      <c r="B199" s="5" t="s">
        <v>83</v>
      </c>
      <c r="C199" s="5"/>
      <c r="D199" s="5" t="s">
        <v>13976</v>
      </c>
      <c r="E199" s="5"/>
      <c r="F199" s="5" t="s">
        <v>8135</v>
      </c>
      <c r="G199" s="5" t="s">
        <v>105</v>
      </c>
      <c r="H199" s="5" t="s">
        <v>3</v>
      </c>
      <c r="I199" s="5"/>
      <c r="J199" s="5" t="s">
        <v>13975</v>
      </c>
    </row>
    <row r="200" spans="1:10" x14ac:dyDescent="0.2">
      <c r="A200" s="5" t="s">
        <v>10559</v>
      </c>
      <c r="B200" s="5" t="s">
        <v>83</v>
      </c>
      <c r="C200" s="5"/>
      <c r="D200" s="5" t="s">
        <v>13974</v>
      </c>
      <c r="E200" s="5"/>
      <c r="F200" s="5" t="s">
        <v>13973</v>
      </c>
      <c r="G200" s="5" t="s">
        <v>173</v>
      </c>
      <c r="H200" s="5" t="s">
        <v>3</v>
      </c>
      <c r="I200" s="5"/>
      <c r="J200" s="5" t="s">
        <v>13972</v>
      </c>
    </row>
    <row r="201" spans="1:10" ht="25.5" x14ac:dyDescent="0.2">
      <c r="A201" s="5" t="s">
        <v>10556</v>
      </c>
      <c r="B201" s="5" t="s">
        <v>83</v>
      </c>
      <c r="C201" s="5"/>
      <c r="D201" s="5" t="s">
        <v>13971</v>
      </c>
      <c r="E201" s="5"/>
      <c r="F201" s="5" t="s">
        <v>10554</v>
      </c>
      <c r="G201" s="5" t="s">
        <v>173</v>
      </c>
      <c r="H201" s="5" t="s">
        <v>3</v>
      </c>
      <c r="I201" s="5"/>
      <c r="J201" s="5" t="s">
        <v>10553</v>
      </c>
    </row>
    <row r="202" spans="1:10" x14ac:dyDescent="0.2">
      <c r="A202" s="5" t="s">
        <v>13970</v>
      </c>
      <c r="B202" s="5" t="s">
        <v>83</v>
      </c>
      <c r="C202" s="5"/>
      <c r="D202" s="5" t="s">
        <v>13969</v>
      </c>
      <c r="E202" s="5"/>
      <c r="F202" s="5" t="s">
        <v>8844</v>
      </c>
      <c r="G202" s="5" t="s">
        <v>224</v>
      </c>
      <c r="H202" s="5" t="s">
        <v>3</v>
      </c>
      <c r="I202" s="5"/>
      <c r="J202" s="5" t="s">
        <v>8844</v>
      </c>
    </row>
    <row r="203" spans="1:10" ht="25.5" x14ac:dyDescent="0.2">
      <c r="A203" s="5" t="s">
        <v>10532</v>
      </c>
      <c r="B203" s="5" t="s">
        <v>83</v>
      </c>
      <c r="C203" s="5"/>
      <c r="D203" s="5" t="s">
        <v>10531</v>
      </c>
      <c r="E203" s="5"/>
      <c r="F203" s="5" t="s">
        <v>10530</v>
      </c>
      <c r="G203" s="5" t="s">
        <v>80</v>
      </c>
      <c r="H203" s="5" t="s">
        <v>3</v>
      </c>
      <c r="I203" s="5"/>
      <c r="J203" s="5" t="s">
        <v>13968</v>
      </c>
    </row>
    <row r="204" spans="1:10" ht="25.5" x14ac:dyDescent="0.2">
      <c r="A204" s="5" t="s">
        <v>12403</v>
      </c>
      <c r="B204" s="5" t="s">
        <v>83</v>
      </c>
      <c r="C204" s="5"/>
      <c r="D204" s="5" t="s">
        <v>13967</v>
      </c>
      <c r="E204" s="5"/>
      <c r="F204" s="5" t="s">
        <v>12401</v>
      </c>
      <c r="G204" s="5" t="s">
        <v>224</v>
      </c>
      <c r="H204" s="5" t="s">
        <v>3</v>
      </c>
      <c r="I204" s="5"/>
      <c r="J204" s="5" t="s">
        <v>13966</v>
      </c>
    </row>
    <row r="205" spans="1:10" x14ac:dyDescent="0.2">
      <c r="A205" s="5" t="s">
        <v>13965</v>
      </c>
      <c r="B205" s="5" t="s">
        <v>83</v>
      </c>
      <c r="C205" s="5"/>
      <c r="D205" s="5" t="s">
        <v>13964</v>
      </c>
      <c r="E205" s="5"/>
      <c r="F205" s="5" t="s">
        <v>8844</v>
      </c>
      <c r="G205" s="5" t="s">
        <v>229</v>
      </c>
      <c r="H205" s="5" t="s">
        <v>3</v>
      </c>
      <c r="I205" s="5"/>
      <c r="J205" s="5" t="s">
        <v>13963</v>
      </c>
    </row>
    <row r="206" spans="1:10" ht="25.5" x14ac:dyDescent="0.2">
      <c r="A206" s="5" t="s">
        <v>13962</v>
      </c>
      <c r="B206" s="5" t="s">
        <v>83</v>
      </c>
      <c r="C206" s="5"/>
      <c r="D206" s="5" t="s">
        <v>13961</v>
      </c>
      <c r="E206" s="5"/>
      <c r="F206" s="5" t="s">
        <v>13960</v>
      </c>
      <c r="G206" s="5" t="s">
        <v>105</v>
      </c>
      <c r="H206" s="5" t="s">
        <v>3</v>
      </c>
      <c r="I206" s="5"/>
      <c r="J206" s="5" t="s">
        <v>13959</v>
      </c>
    </row>
    <row r="207" spans="1:10" x14ac:dyDescent="0.2">
      <c r="A207" s="5" t="s">
        <v>11607</v>
      </c>
      <c r="B207" s="5" t="s">
        <v>83</v>
      </c>
      <c r="C207" s="5"/>
      <c r="D207" s="5" t="s">
        <v>10504</v>
      </c>
      <c r="E207" s="5"/>
      <c r="F207" s="5" t="s">
        <v>259</v>
      </c>
      <c r="G207" s="5" t="s">
        <v>114</v>
      </c>
      <c r="H207" s="5" t="s">
        <v>3</v>
      </c>
      <c r="I207" s="5"/>
      <c r="J207" s="5" t="s">
        <v>11606</v>
      </c>
    </row>
    <row r="208" spans="1:10" x14ac:dyDescent="0.2">
      <c r="A208" s="5" t="s">
        <v>13958</v>
      </c>
      <c r="B208" s="5" t="s">
        <v>83</v>
      </c>
      <c r="C208" s="5"/>
      <c r="D208" s="5" t="s">
        <v>11597</v>
      </c>
      <c r="E208" s="5"/>
      <c r="F208" s="5" t="s">
        <v>7980</v>
      </c>
      <c r="G208" s="5" t="s">
        <v>105</v>
      </c>
      <c r="H208" s="5" t="s">
        <v>3</v>
      </c>
      <c r="I208" s="5"/>
      <c r="J208" s="5" t="s">
        <v>13957</v>
      </c>
    </row>
    <row r="209" spans="1:10" ht="25.5" x14ac:dyDescent="0.2">
      <c r="A209" s="5" t="s">
        <v>13956</v>
      </c>
      <c r="B209" s="5" t="s">
        <v>83</v>
      </c>
      <c r="C209" s="5"/>
      <c r="D209" s="5" t="s">
        <v>12385</v>
      </c>
      <c r="E209" s="5"/>
      <c r="F209" s="5" t="s">
        <v>259</v>
      </c>
      <c r="G209" s="5" t="s">
        <v>229</v>
      </c>
      <c r="H209" s="5" t="s">
        <v>3</v>
      </c>
      <c r="I209" s="5"/>
      <c r="J209" s="5" t="s">
        <v>13955</v>
      </c>
    </row>
    <row r="210" spans="1:10" x14ac:dyDescent="0.2">
      <c r="A210" s="5" t="s">
        <v>13954</v>
      </c>
      <c r="B210" s="5" t="s">
        <v>83</v>
      </c>
      <c r="C210" s="5"/>
      <c r="D210" s="5" t="s">
        <v>12382</v>
      </c>
      <c r="E210" s="5"/>
      <c r="F210" s="5" t="s">
        <v>259</v>
      </c>
      <c r="G210" s="5" t="s">
        <v>229</v>
      </c>
      <c r="H210" s="5" t="s">
        <v>3</v>
      </c>
      <c r="I210" s="5"/>
      <c r="J210" s="5" t="s">
        <v>13953</v>
      </c>
    </row>
    <row r="211" spans="1:10" x14ac:dyDescent="0.2">
      <c r="A211" s="5" t="s">
        <v>11601</v>
      </c>
      <c r="B211" s="5" t="s">
        <v>83</v>
      </c>
      <c r="C211" s="5"/>
      <c r="D211" s="5" t="s">
        <v>11600</v>
      </c>
      <c r="E211" s="5"/>
      <c r="F211" s="5" t="s">
        <v>259</v>
      </c>
      <c r="G211" s="5" t="s">
        <v>283</v>
      </c>
      <c r="H211" s="5" t="s">
        <v>3</v>
      </c>
      <c r="I211" s="5"/>
      <c r="J211" s="5" t="s">
        <v>13952</v>
      </c>
    </row>
    <row r="212" spans="1:10" x14ac:dyDescent="0.2">
      <c r="A212" s="5" t="s">
        <v>12379</v>
      </c>
      <c r="B212" s="5" t="s">
        <v>83</v>
      </c>
      <c r="C212" s="5"/>
      <c r="D212" s="5" t="s">
        <v>11594</v>
      </c>
      <c r="E212" s="5"/>
      <c r="F212" s="5" t="s">
        <v>259</v>
      </c>
      <c r="G212" s="5" t="s">
        <v>114</v>
      </c>
      <c r="H212" s="5" t="s">
        <v>3</v>
      </c>
      <c r="I212" s="5"/>
      <c r="J212" s="5" t="s">
        <v>13951</v>
      </c>
    </row>
    <row r="213" spans="1:10" ht="25.5" x14ac:dyDescent="0.2">
      <c r="A213" s="5" t="s">
        <v>12044</v>
      </c>
      <c r="B213" s="5" t="s">
        <v>83</v>
      </c>
      <c r="C213" s="5"/>
      <c r="D213" s="5" t="s">
        <v>12377</v>
      </c>
      <c r="E213" s="5"/>
      <c r="F213" s="5" t="s">
        <v>259</v>
      </c>
      <c r="G213" s="5" t="s">
        <v>382</v>
      </c>
      <c r="H213" s="5" t="s">
        <v>3</v>
      </c>
      <c r="I213" s="5"/>
      <c r="J213" s="5" t="s">
        <v>12043</v>
      </c>
    </row>
    <row r="214" spans="1:10" x14ac:dyDescent="0.2">
      <c r="A214" s="5" t="s">
        <v>12376</v>
      </c>
      <c r="B214" s="5" t="s">
        <v>83</v>
      </c>
      <c r="C214" s="5"/>
      <c r="D214" s="5" t="s">
        <v>12375</v>
      </c>
      <c r="E214" s="5"/>
      <c r="F214" s="5" t="s">
        <v>259</v>
      </c>
      <c r="G214" s="5" t="s">
        <v>229</v>
      </c>
      <c r="H214" s="5" t="s">
        <v>3</v>
      </c>
      <c r="I214" s="5"/>
      <c r="J214" s="5" t="s">
        <v>12374</v>
      </c>
    </row>
    <row r="215" spans="1:10" x14ac:dyDescent="0.2">
      <c r="A215" s="5" t="s">
        <v>13950</v>
      </c>
      <c r="B215" s="5" t="s">
        <v>83</v>
      </c>
      <c r="C215" s="5"/>
      <c r="D215" s="5" t="s">
        <v>13949</v>
      </c>
      <c r="E215" s="5"/>
      <c r="F215" s="5" t="s">
        <v>259</v>
      </c>
      <c r="G215" s="5" t="s">
        <v>229</v>
      </c>
      <c r="H215" s="5" t="s">
        <v>3</v>
      </c>
      <c r="I215" s="5"/>
      <c r="J215" s="5" t="s">
        <v>13948</v>
      </c>
    </row>
    <row r="216" spans="1:10" x14ac:dyDescent="0.2">
      <c r="A216" s="5" t="s">
        <v>13947</v>
      </c>
      <c r="B216" s="5" t="s">
        <v>83</v>
      </c>
      <c r="C216" s="5"/>
      <c r="D216" s="5" t="s">
        <v>13946</v>
      </c>
      <c r="E216" s="5"/>
      <c r="F216" s="5" t="s">
        <v>259</v>
      </c>
      <c r="G216" s="5" t="s">
        <v>229</v>
      </c>
      <c r="H216" s="5" t="s">
        <v>3</v>
      </c>
      <c r="I216" s="5"/>
      <c r="J216" s="5" t="s">
        <v>13945</v>
      </c>
    </row>
    <row r="217" spans="1:10" x14ac:dyDescent="0.2">
      <c r="A217" s="5" t="s">
        <v>11589</v>
      </c>
      <c r="B217" s="5" t="s">
        <v>83</v>
      </c>
      <c r="C217" s="5"/>
      <c r="D217" s="5" t="s">
        <v>11588</v>
      </c>
      <c r="E217" s="5" t="s">
        <v>288</v>
      </c>
      <c r="F217" s="5" t="s">
        <v>259</v>
      </c>
      <c r="G217" s="5" t="s">
        <v>229</v>
      </c>
      <c r="H217" s="5" t="s">
        <v>3</v>
      </c>
      <c r="I217" s="5"/>
      <c r="J217" s="5" t="s">
        <v>11587</v>
      </c>
    </row>
    <row r="218" spans="1:10" x14ac:dyDescent="0.2">
      <c r="A218" s="5" t="s">
        <v>265</v>
      </c>
      <c r="B218" s="5" t="s">
        <v>83</v>
      </c>
      <c r="C218" s="5"/>
      <c r="D218" s="5" t="s">
        <v>10503</v>
      </c>
      <c r="E218" s="5"/>
      <c r="F218" s="5" t="s">
        <v>259</v>
      </c>
      <c r="G218" s="5" t="s">
        <v>118</v>
      </c>
      <c r="H218" s="5" t="s">
        <v>3</v>
      </c>
      <c r="I218" s="5"/>
      <c r="J218" s="5" t="s">
        <v>262</v>
      </c>
    </row>
    <row r="219" spans="1:10" ht="25.5" x14ac:dyDescent="0.2">
      <c r="A219" s="5" t="s">
        <v>12039</v>
      </c>
      <c r="B219" s="5" t="s">
        <v>83</v>
      </c>
      <c r="C219" s="5"/>
      <c r="D219" s="5" t="s">
        <v>12370</v>
      </c>
      <c r="E219" s="5"/>
      <c r="F219" s="5" t="s">
        <v>259</v>
      </c>
      <c r="G219" s="5" t="s">
        <v>382</v>
      </c>
      <c r="H219" s="5" t="s">
        <v>3</v>
      </c>
      <c r="I219" s="5"/>
      <c r="J219" s="5" t="s">
        <v>13944</v>
      </c>
    </row>
    <row r="220" spans="1:10" ht="25.5" x14ac:dyDescent="0.2">
      <c r="A220" s="5" t="s">
        <v>11582</v>
      </c>
      <c r="B220" s="5" t="s">
        <v>83</v>
      </c>
      <c r="C220" s="5"/>
      <c r="D220" s="5" t="s">
        <v>11581</v>
      </c>
      <c r="E220" s="5"/>
      <c r="F220" s="5" t="s">
        <v>259</v>
      </c>
      <c r="G220" s="5" t="s">
        <v>80</v>
      </c>
      <c r="H220" s="5" t="s">
        <v>3</v>
      </c>
      <c r="I220" s="5"/>
      <c r="J220" s="5" t="s">
        <v>12364</v>
      </c>
    </row>
    <row r="221" spans="1:10" ht="25.5" x14ac:dyDescent="0.2">
      <c r="A221" s="5" t="s">
        <v>12042</v>
      </c>
      <c r="B221" s="5" t="s">
        <v>83</v>
      </c>
      <c r="C221" s="5"/>
      <c r="D221" s="5" t="s">
        <v>12363</v>
      </c>
      <c r="E221" s="5"/>
      <c r="F221" s="5" t="s">
        <v>259</v>
      </c>
      <c r="G221" s="5" t="s">
        <v>382</v>
      </c>
      <c r="H221" s="5" t="s">
        <v>3</v>
      </c>
      <c r="I221" s="5"/>
      <c r="J221" s="5" t="s">
        <v>12040</v>
      </c>
    </row>
    <row r="222" spans="1:10" ht="25.5" x14ac:dyDescent="0.2">
      <c r="A222" s="5" t="s">
        <v>11576</v>
      </c>
      <c r="B222" s="5" t="s">
        <v>83</v>
      </c>
      <c r="C222" s="5"/>
      <c r="D222" s="5" t="s">
        <v>13943</v>
      </c>
      <c r="E222" s="5"/>
      <c r="F222" s="5" t="s">
        <v>11574</v>
      </c>
      <c r="G222" s="5" t="s">
        <v>283</v>
      </c>
      <c r="H222" s="5" t="s">
        <v>3</v>
      </c>
      <c r="I222" s="5"/>
      <c r="J222" s="5" t="s">
        <v>13942</v>
      </c>
    </row>
    <row r="223" spans="1:10" x14ac:dyDescent="0.2">
      <c r="A223" s="5" t="s">
        <v>13941</v>
      </c>
      <c r="B223" s="5" t="s">
        <v>83</v>
      </c>
      <c r="C223" s="5"/>
      <c r="D223" s="5" t="s">
        <v>13940</v>
      </c>
      <c r="E223" s="5"/>
      <c r="F223" s="5" t="s">
        <v>13939</v>
      </c>
      <c r="G223" s="5" t="s">
        <v>224</v>
      </c>
      <c r="H223" s="5" t="s">
        <v>3</v>
      </c>
      <c r="I223" s="5"/>
      <c r="J223" s="5" t="s">
        <v>13938</v>
      </c>
    </row>
    <row r="224" spans="1:10" ht="25.5" x14ac:dyDescent="0.2">
      <c r="A224" s="5" t="s">
        <v>53</v>
      </c>
      <c r="B224" s="5" t="s">
        <v>8</v>
      </c>
      <c r="C224" s="5"/>
      <c r="D224" s="5" t="s">
        <v>52</v>
      </c>
      <c r="E224" s="5"/>
      <c r="F224" s="5"/>
      <c r="G224" s="5"/>
      <c r="H224" s="5"/>
      <c r="I224" s="5"/>
      <c r="J224" s="5" t="s">
        <v>51</v>
      </c>
    </row>
    <row r="225" spans="1:10" ht="25.5" x14ac:dyDescent="0.2">
      <c r="A225" s="5" t="s">
        <v>13937</v>
      </c>
      <c r="B225" s="5" t="s">
        <v>8</v>
      </c>
      <c r="C225" s="5"/>
      <c r="D225" s="5" t="s">
        <v>13936</v>
      </c>
      <c r="E225" s="5"/>
      <c r="F225" s="5"/>
      <c r="G225" s="5"/>
      <c r="H225" s="5"/>
      <c r="I225" s="5"/>
      <c r="J225" s="5" t="s">
        <v>13935</v>
      </c>
    </row>
    <row r="226" spans="1:10" ht="280.5" x14ac:dyDescent="0.2">
      <c r="A226" s="5" t="s">
        <v>6</v>
      </c>
      <c r="B226" s="5" t="s">
        <v>0</v>
      </c>
      <c r="C226" s="5"/>
      <c r="D226" s="5" t="s">
        <v>17184</v>
      </c>
      <c r="E226" s="5" t="s">
        <v>17185</v>
      </c>
      <c r="F226" s="5" t="s">
        <v>17186</v>
      </c>
      <c r="G226" s="5" t="s">
        <v>17187</v>
      </c>
      <c r="H226" s="5"/>
      <c r="I226" s="5"/>
      <c r="J226" s="5" t="s">
        <v>2</v>
      </c>
    </row>
    <row r="227" spans="1:10" x14ac:dyDescent="0.2">
      <c r="A227" s="5" t="s">
        <v>1</v>
      </c>
      <c r="B227" s="5" t="s">
        <v>0</v>
      </c>
      <c r="C227" s="5"/>
      <c r="D227" s="5">
        <v>66</v>
      </c>
      <c r="E227" s="5"/>
      <c r="F227" s="5"/>
      <c r="G227" s="5"/>
      <c r="H227" s="5"/>
      <c r="I227" s="5"/>
      <c r="J227" s="5"/>
    </row>
  </sheetData>
  <autoFilter ref="A3:M3" xr:uid="{B2F118FD-E5B2-4E44-9BD3-D0682A1C8D44}"/>
  <mergeCells count="1">
    <mergeCell ref="G1:I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B07D-0F2C-4CAF-95F2-FC86E6959F30}">
  <sheetPr codeName="Sheet28"/>
  <dimension ref="A1:Y217"/>
  <sheetViews>
    <sheetView workbookViewId="0">
      <pane ySplit="6585" topLeftCell="A210"/>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14920</v>
      </c>
      <c r="C1" s="14"/>
      <c r="D1" s="14"/>
      <c r="E1" s="14"/>
      <c r="F1" s="13" t="s">
        <v>8892</v>
      </c>
      <c r="G1" s="16">
        <v>45538</v>
      </c>
      <c r="H1" s="16"/>
      <c r="I1" s="16"/>
      <c r="J1" s="11"/>
    </row>
    <row r="2" spans="1:25" ht="18" x14ac:dyDescent="0.2">
      <c r="A2" s="14">
        <f ca="1">COUNTA(OFFSET(A3,1,0,2222,1))</f>
        <v>214</v>
      </c>
      <c r="B2" s="15"/>
      <c r="C2" s="14">
        <f ca="1">MAX(OFFSET(C3,1,0,2222,1))</f>
        <v>55</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14920</v>
      </c>
      <c r="G4" s="5" t="s">
        <v>229</v>
      </c>
      <c r="H4" s="5" t="s">
        <v>3</v>
      </c>
      <c r="I4" s="5"/>
      <c r="J4" s="5" t="s">
        <v>8874</v>
      </c>
    </row>
    <row r="5" spans="1:25" ht="25.5" x14ac:dyDescent="0.2">
      <c r="A5" s="5" t="s">
        <v>14920</v>
      </c>
      <c r="B5" s="5" t="s">
        <v>8584</v>
      </c>
      <c r="C5" s="5">
        <v>0</v>
      </c>
      <c r="D5" s="5"/>
      <c r="E5" s="5"/>
      <c r="F5" s="5" t="s">
        <v>14919</v>
      </c>
      <c r="G5" s="5" t="s">
        <v>229</v>
      </c>
      <c r="H5" s="5" t="s">
        <v>3</v>
      </c>
      <c r="I5" s="5"/>
      <c r="J5" s="5" t="s">
        <v>14918</v>
      </c>
    </row>
    <row r="6" spans="1:25" x14ac:dyDescent="0.2">
      <c r="A6" s="5" t="s">
        <v>8766</v>
      </c>
      <c r="B6" s="5" t="s">
        <v>8584</v>
      </c>
      <c r="C6" s="5">
        <v>1</v>
      </c>
      <c r="D6" s="5"/>
      <c r="E6" s="5"/>
      <c r="F6" s="5" t="s">
        <v>8766</v>
      </c>
      <c r="G6" s="5" t="s">
        <v>3059</v>
      </c>
      <c r="H6" s="5" t="s">
        <v>3</v>
      </c>
      <c r="I6" s="5"/>
      <c r="J6" s="5" t="s">
        <v>7591</v>
      </c>
    </row>
    <row r="7" spans="1:25" x14ac:dyDescent="0.2">
      <c r="A7" s="5" t="s">
        <v>7513</v>
      </c>
      <c r="B7" s="5" t="s">
        <v>8584</v>
      </c>
      <c r="C7" s="5">
        <v>2</v>
      </c>
      <c r="D7" s="5"/>
      <c r="E7" s="5" t="s">
        <v>150</v>
      </c>
      <c r="F7" s="5" t="s">
        <v>7513</v>
      </c>
      <c r="G7" s="5" t="s">
        <v>148</v>
      </c>
      <c r="H7" s="5" t="s">
        <v>3</v>
      </c>
      <c r="I7" s="5"/>
      <c r="J7" s="5" t="s">
        <v>14917</v>
      </c>
    </row>
    <row r="8" spans="1:25" x14ac:dyDescent="0.2">
      <c r="A8" s="5" t="s">
        <v>14916</v>
      </c>
      <c r="B8" s="5" t="s">
        <v>8584</v>
      </c>
      <c r="C8" s="5">
        <v>3</v>
      </c>
      <c r="D8" s="5"/>
      <c r="E8" s="5" t="s">
        <v>93</v>
      </c>
      <c r="F8" s="5" t="s">
        <v>14915</v>
      </c>
      <c r="G8" s="5" t="s">
        <v>195</v>
      </c>
      <c r="H8" s="5" t="s">
        <v>3</v>
      </c>
      <c r="I8" s="5"/>
      <c r="J8" s="5" t="s">
        <v>14914</v>
      </c>
    </row>
    <row r="9" spans="1:25" x14ac:dyDescent="0.2">
      <c r="A9" s="5" t="s">
        <v>14913</v>
      </c>
      <c r="B9" s="5" t="s">
        <v>8584</v>
      </c>
      <c r="C9" s="5">
        <v>4</v>
      </c>
      <c r="D9" s="5"/>
      <c r="E9" s="5" t="s">
        <v>150</v>
      </c>
      <c r="F9" s="5" t="s">
        <v>14892</v>
      </c>
      <c r="G9" s="5" t="s">
        <v>148</v>
      </c>
      <c r="H9" s="5" t="s">
        <v>3</v>
      </c>
      <c r="I9" s="5"/>
      <c r="J9" s="5" t="s">
        <v>14912</v>
      </c>
    </row>
    <row r="10" spans="1:25" x14ac:dyDescent="0.2">
      <c r="A10" s="5" t="s">
        <v>9127</v>
      </c>
      <c r="B10" s="5" t="s">
        <v>8584</v>
      </c>
      <c r="C10" s="5">
        <v>5</v>
      </c>
      <c r="D10" s="5"/>
      <c r="E10" s="5"/>
      <c r="F10" s="5" t="s">
        <v>8794</v>
      </c>
      <c r="G10" s="5" t="s">
        <v>105</v>
      </c>
      <c r="H10" s="5" t="s">
        <v>3</v>
      </c>
      <c r="I10" s="5"/>
      <c r="J10" s="5" t="s">
        <v>14570</v>
      </c>
    </row>
    <row r="11" spans="1:25" s="2" customFormat="1" ht="25.5" x14ac:dyDescent="0.2">
      <c r="A11" s="5" t="s">
        <v>14911</v>
      </c>
      <c r="B11" s="5" t="s">
        <v>8584</v>
      </c>
      <c r="C11" s="5">
        <v>6</v>
      </c>
      <c r="D11" s="5"/>
      <c r="E11" s="5"/>
      <c r="F11" s="5" t="s">
        <v>14910</v>
      </c>
      <c r="G11" s="5" t="s">
        <v>3059</v>
      </c>
      <c r="H11" s="5" t="s">
        <v>137</v>
      </c>
      <c r="I11" s="5" t="s">
        <v>349</v>
      </c>
      <c r="J11" s="5" t="s">
        <v>14909</v>
      </c>
      <c r="M11" s="1"/>
      <c r="N11"/>
      <c r="O11"/>
      <c r="P11"/>
      <c r="Q11"/>
      <c r="R11"/>
      <c r="S11"/>
      <c r="T11"/>
      <c r="U11"/>
      <c r="V11"/>
      <c r="W11"/>
      <c r="X11"/>
      <c r="Y11"/>
    </row>
    <row r="12" spans="1:25" s="2" customFormat="1" x14ac:dyDescent="0.2">
      <c r="A12" s="5" t="s">
        <v>14908</v>
      </c>
      <c r="B12" s="5" t="s">
        <v>8584</v>
      </c>
      <c r="C12" s="5">
        <v>7</v>
      </c>
      <c r="D12" s="5"/>
      <c r="E12" s="5" t="s">
        <v>93</v>
      </c>
      <c r="F12" s="5" t="s">
        <v>11509</v>
      </c>
      <c r="G12" s="5" t="s">
        <v>6584</v>
      </c>
      <c r="H12" s="5" t="s">
        <v>137</v>
      </c>
      <c r="I12" s="5" t="s">
        <v>349</v>
      </c>
      <c r="J12" s="5" t="s">
        <v>14907</v>
      </c>
      <c r="M12" s="1"/>
      <c r="N12"/>
      <c r="O12"/>
      <c r="P12"/>
      <c r="Q12"/>
      <c r="R12"/>
      <c r="S12"/>
      <c r="T12"/>
      <c r="U12"/>
      <c r="V12"/>
      <c r="W12"/>
      <c r="X12"/>
      <c r="Y12"/>
    </row>
    <row r="13" spans="1:25" s="2" customFormat="1" x14ac:dyDescent="0.2">
      <c r="A13" s="5" t="s">
        <v>14906</v>
      </c>
      <c r="B13" s="5" t="s">
        <v>8584</v>
      </c>
      <c r="C13" s="5">
        <v>8</v>
      </c>
      <c r="D13" s="5"/>
      <c r="E13" s="5" t="s">
        <v>150</v>
      </c>
      <c r="F13" s="5" t="s">
        <v>14905</v>
      </c>
      <c r="G13" s="5" t="s">
        <v>148</v>
      </c>
      <c r="H13" s="5" t="s">
        <v>3</v>
      </c>
      <c r="I13" s="5"/>
      <c r="J13" s="5" t="s">
        <v>14904</v>
      </c>
      <c r="M13" s="1"/>
      <c r="N13"/>
      <c r="O13"/>
      <c r="P13"/>
      <c r="Q13"/>
      <c r="R13"/>
      <c r="S13"/>
      <c r="T13"/>
      <c r="U13"/>
      <c r="V13"/>
      <c r="W13"/>
      <c r="X13"/>
      <c r="Y13"/>
    </row>
    <row r="14" spans="1:25" s="2" customFormat="1" x14ac:dyDescent="0.2">
      <c r="A14" s="5" t="s">
        <v>14903</v>
      </c>
      <c r="B14" s="5" t="s">
        <v>8584</v>
      </c>
      <c r="C14" s="5">
        <v>9</v>
      </c>
      <c r="D14" s="5"/>
      <c r="E14" s="5" t="s">
        <v>150</v>
      </c>
      <c r="F14" s="5" t="s">
        <v>14902</v>
      </c>
      <c r="G14" s="5" t="s">
        <v>148</v>
      </c>
      <c r="H14" s="5" t="s">
        <v>3</v>
      </c>
      <c r="I14" s="5"/>
      <c r="J14" s="5" t="s">
        <v>14901</v>
      </c>
      <c r="M14" s="1"/>
      <c r="N14"/>
      <c r="O14"/>
      <c r="P14"/>
      <c r="Q14"/>
      <c r="R14"/>
      <c r="S14"/>
      <c r="T14"/>
      <c r="U14"/>
      <c r="V14"/>
      <c r="W14"/>
      <c r="X14"/>
      <c r="Y14"/>
    </row>
    <row r="15" spans="1:25" s="2" customFormat="1" x14ac:dyDescent="0.2">
      <c r="A15" s="5" t="s">
        <v>14900</v>
      </c>
      <c r="B15" s="5" t="s">
        <v>8584</v>
      </c>
      <c r="C15" s="5">
        <v>10</v>
      </c>
      <c r="D15" s="5"/>
      <c r="E15" s="5"/>
      <c r="F15" s="5" t="s">
        <v>14899</v>
      </c>
      <c r="G15" s="5" t="s">
        <v>229</v>
      </c>
      <c r="H15" s="5" t="s">
        <v>3</v>
      </c>
      <c r="I15" s="5" t="s">
        <v>2756</v>
      </c>
      <c r="J15" s="5" t="s">
        <v>14898</v>
      </c>
      <c r="M15" s="1"/>
      <c r="N15"/>
      <c r="O15"/>
      <c r="P15"/>
      <c r="Q15"/>
      <c r="R15"/>
      <c r="S15"/>
      <c r="T15"/>
      <c r="U15"/>
      <c r="V15"/>
      <c r="W15"/>
      <c r="X15"/>
      <c r="Y15"/>
    </row>
    <row r="16" spans="1:25" s="2" customFormat="1" x14ac:dyDescent="0.2">
      <c r="A16" s="5" t="s">
        <v>14897</v>
      </c>
      <c r="B16" s="5" t="s">
        <v>8584</v>
      </c>
      <c r="C16" s="5">
        <v>11</v>
      </c>
      <c r="D16" s="5"/>
      <c r="E16" s="5" t="s">
        <v>93</v>
      </c>
      <c r="F16" s="5" t="s">
        <v>2756</v>
      </c>
      <c r="G16" s="5" t="s">
        <v>6584</v>
      </c>
      <c r="H16" s="5" t="s">
        <v>137</v>
      </c>
      <c r="I16" s="5" t="s">
        <v>2756</v>
      </c>
      <c r="J16" s="5" t="s">
        <v>14333</v>
      </c>
      <c r="M16" s="1"/>
      <c r="N16"/>
      <c r="O16"/>
      <c r="P16"/>
      <c r="Q16"/>
      <c r="R16"/>
      <c r="S16"/>
      <c r="T16"/>
      <c r="U16"/>
      <c r="V16"/>
      <c r="W16"/>
      <c r="X16"/>
      <c r="Y16"/>
    </row>
    <row r="17" spans="1:25" s="2" customFormat="1" x14ac:dyDescent="0.2">
      <c r="A17" s="5" t="s">
        <v>14896</v>
      </c>
      <c r="B17" s="5" t="s">
        <v>8584</v>
      </c>
      <c r="C17" s="5">
        <v>12</v>
      </c>
      <c r="D17" s="5"/>
      <c r="E17" s="5" t="s">
        <v>93</v>
      </c>
      <c r="F17" s="5" t="s">
        <v>2756</v>
      </c>
      <c r="G17" s="5" t="s">
        <v>328</v>
      </c>
      <c r="H17" s="5" t="s">
        <v>137</v>
      </c>
      <c r="I17" s="5" t="s">
        <v>2756</v>
      </c>
      <c r="J17" s="5" t="s">
        <v>14343</v>
      </c>
      <c r="M17" s="1"/>
      <c r="N17"/>
      <c r="O17"/>
      <c r="P17"/>
      <c r="Q17"/>
      <c r="R17"/>
      <c r="S17"/>
      <c r="T17"/>
      <c r="U17"/>
      <c r="V17"/>
      <c r="W17"/>
      <c r="X17"/>
      <c r="Y17"/>
    </row>
    <row r="18" spans="1:25" s="2" customFormat="1" x14ac:dyDescent="0.2">
      <c r="A18" s="5" t="s">
        <v>14895</v>
      </c>
      <c r="B18" s="5" t="s">
        <v>8584</v>
      </c>
      <c r="C18" s="5">
        <v>13</v>
      </c>
      <c r="D18" s="5"/>
      <c r="E18" s="5"/>
      <c r="F18" s="5" t="s">
        <v>2756</v>
      </c>
      <c r="G18" s="5" t="s">
        <v>3059</v>
      </c>
      <c r="H18" s="5" t="s">
        <v>3</v>
      </c>
      <c r="I18" s="5" t="s">
        <v>2756</v>
      </c>
      <c r="J18" s="5" t="s">
        <v>14894</v>
      </c>
      <c r="M18" s="1"/>
      <c r="N18"/>
      <c r="O18"/>
      <c r="P18"/>
      <c r="Q18"/>
      <c r="R18"/>
      <c r="S18"/>
      <c r="T18"/>
      <c r="U18"/>
      <c r="V18"/>
      <c r="W18"/>
      <c r="X18"/>
      <c r="Y18"/>
    </row>
    <row r="19" spans="1:25" s="2" customFormat="1" x14ac:dyDescent="0.2">
      <c r="A19" s="5" t="s">
        <v>14893</v>
      </c>
      <c r="B19" s="5" t="s">
        <v>8584</v>
      </c>
      <c r="C19" s="5">
        <v>14</v>
      </c>
      <c r="D19" s="5"/>
      <c r="E19" s="5"/>
      <c r="F19" s="5" t="s">
        <v>14892</v>
      </c>
      <c r="G19" s="5" t="s">
        <v>229</v>
      </c>
      <c r="H19" s="5" t="s">
        <v>3</v>
      </c>
      <c r="I19" s="5"/>
      <c r="J19" s="5" t="s">
        <v>14891</v>
      </c>
      <c r="M19" s="1"/>
      <c r="N19"/>
      <c r="O19"/>
      <c r="P19"/>
      <c r="Q19"/>
      <c r="R19"/>
      <c r="S19"/>
      <c r="T19"/>
      <c r="U19"/>
      <c r="V19"/>
      <c r="W19"/>
      <c r="X19"/>
      <c r="Y19"/>
    </row>
    <row r="20" spans="1:25" s="2" customFormat="1" x14ac:dyDescent="0.2">
      <c r="A20" s="5" t="s">
        <v>14890</v>
      </c>
      <c r="B20" s="5" t="s">
        <v>8584</v>
      </c>
      <c r="C20" s="5">
        <v>15</v>
      </c>
      <c r="D20" s="5"/>
      <c r="E20" s="5"/>
      <c r="F20" s="5" t="s">
        <v>784</v>
      </c>
      <c r="G20" s="5" t="s">
        <v>3059</v>
      </c>
      <c r="H20" s="5" t="s">
        <v>137</v>
      </c>
      <c r="I20" s="5"/>
      <c r="J20" s="5" t="s">
        <v>14889</v>
      </c>
      <c r="M20" s="1"/>
      <c r="N20"/>
      <c r="O20"/>
      <c r="P20"/>
      <c r="Q20"/>
      <c r="R20"/>
      <c r="S20"/>
      <c r="T20"/>
      <c r="U20"/>
      <c r="V20"/>
      <c r="W20"/>
      <c r="X20"/>
      <c r="Y20"/>
    </row>
    <row r="21" spans="1:25" s="2" customFormat="1" x14ac:dyDescent="0.2">
      <c r="A21" s="5" t="s">
        <v>12041</v>
      </c>
      <c r="B21" s="5" t="s">
        <v>8584</v>
      </c>
      <c r="C21" s="5">
        <v>16</v>
      </c>
      <c r="D21" s="5"/>
      <c r="E21" s="5"/>
      <c r="F21" s="5" t="s">
        <v>12041</v>
      </c>
      <c r="G21" s="5" t="s">
        <v>3059</v>
      </c>
      <c r="H21" s="5" t="s">
        <v>137</v>
      </c>
      <c r="I21" s="5"/>
      <c r="J21" s="5" t="s">
        <v>14888</v>
      </c>
      <c r="M21" s="1"/>
      <c r="N21"/>
      <c r="O21"/>
      <c r="P21"/>
      <c r="Q21"/>
      <c r="R21"/>
      <c r="S21"/>
      <c r="T21"/>
      <c r="U21"/>
      <c r="V21"/>
      <c r="W21"/>
      <c r="X21"/>
      <c r="Y21"/>
    </row>
    <row r="22" spans="1:25" s="2" customFormat="1" x14ac:dyDescent="0.2">
      <c r="A22" s="5" t="s">
        <v>14887</v>
      </c>
      <c r="B22" s="5" t="s">
        <v>8584</v>
      </c>
      <c r="C22" s="5">
        <v>17</v>
      </c>
      <c r="D22" s="5"/>
      <c r="E22" s="5" t="s">
        <v>138</v>
      </c>
      <c r="F22" s="5" t="s">
        <v>14886</v>
      </c>
      <c r="G22" s="5" t="s">
        <v>207</v>
      </c>
      <c r="H22" s="5" t="s">
        <v>137</v>
      </c>
      <c r="I22" s="5"/>
      <c r="J22" s="5" t="s">
        <v>14885</v>
      </c>
      <c r="M22" s="1"/>
      <c r="N22"/>
      <c r="O22"/>
      <c r="P22"/>
      <c r="Q22"/>
      <c r="R22"/>
      <c r="S22"/>
      <c r="T22"/>
      <c r="U22"/>
      <c r="V22"/>
      <c r="W22"/>
      <c r="X22"/>
      <c r="Y22"/>
    </row>
    <row r="23" spans="1:25" s="2" customFormat="1" ht="25.5" x14ac:dyDescent="0.2">
      <c r="A23" s="5" t="s">
        <v>8758</v>
      </c>
      <c r="B23" s="5" t="s">
        <v>8584</v>
      </c>
      <c r="C23" s="5">
        <v>18</v>
      </c>
      <c r="D23" s="5"/>
      <c r="E23" s="5"/>
      <c r="F23" s="5" t="s">
        <v>14884</v>
      </c>
      <c r="G23" s="5" t="s">
        <v>14883</v>
      </c>
      <c r="H23" s="5" t="s">
        <v>137</v>
      </c>
      <c r="I23" s="5"/>
      <c r="J23" s="5" t="s">
        <v>14882</v>
      </c>
      <c r="M23" s="1"/>
      <c r="N23"/>
      <c r="O23"/>
      <c r="P23"/>
      <c r="Q23"/>
      <c r="R23"/>
      <c r="S23"/>
      <c r="T23"/>
      <c r="U23"/>
      <c r="V23"/>
      <c r="W23"/>
      <c r="X23"/>
      <c r="Y23"/>
    </row>
    <row r="24" spans="1:25" s="2" customFormat="1" ht="25.5" x14ac:dyDescent="0.2">
      <c r="A24" s="5" t="s">
        <v>14881</v>
      </c>
      <c r="B24" s="5" t="s">
        <v>8584</v>
      </c>
      <c r="C24" s="5">
        <v>19</v>
      </c>
      <c r="D24" s="5"/>
      <c r="E24" s="5"/>
      <c r="F24" s="5" t="s">
        <v>14880</v>
      </c>
      <c r="G24" s="5" t="s">
        <v>4028</v>
      </c>
      <c r="H24" s="5" t="s">
        <v>137</v>
      </c>
      <c r="I24" s="5" t="s">
        <v>14303</v>
      </c>
      <c r="J24" s="5" t="s">
        <v>14879</v>
      </c>
      <c r="M24" s="1"/>
      <c r="N24"/>
      <c r="O24"/>
      <c r="P24"/>
      <c r="Q24"/>
      <c r="R24"/>
      <c r="S24"/>
      <c r="T24"/>
      <c r="U24"/>
      <c r="V24"/>
      <c r="W24"/>
      <c r="X24"/>
      <c r="Y24"/>
    </row>
    <row r="25" spans="1:25" s="2" customFormat="1" x14ac:dyDescent="0.2">
      <c r="A25" s="5" t="s">
        <v>14878</v>
      </c>
      <c r="B25" s="5" t="s">
        <v>8584</v>
      </c>
      <c r="C25" s="5">
        <v>20</v>
      </c>
      <c r="D25" s="5"/>
      <c r="E25" s="5"/>
      <c r="F25" s="5" t="s">
        <v>14877</v>
      </c>
      <c r="G25" s="5" t="s">
        <v>170</v>
      </c>
      <c r="H25" s="5" t="s">
        <v>137</v>
      </c>
      <c r="I25" s="5" t="s">
        <v>14303</v>
      </c>
      <c r="J25" s="5" t="s">
        <v>14876</v>
      </c>
      <c r="M25" s="1"/>
      <c r="N25"/>
      <c r="O25"/>
      <c r="P25"/>
      <c r="Q25"/>
      <c r="R25"/>
      <c r="S25"/>
      <c r="T25"/>
      <c r="U25"/>
      <c r="V25"/>
      <c r="W25"/>
      <c r="X25"/>
      <c r="Y25"/>
    </row>
    <row r="26" spans="1:25" s="2" customFormat="1" x14ac:dyDescent="0.2">
      <c r="A26" s="5" t="s">
        <v>14875</v>
      </c>
      <c r="B26" s="5" t="s">
        <v>8584</v>
      </c>
      <c r="C26" s="5">
        <v>21</v>
      </c>
      <c r="D26" s="5"/>
      <c r="E26" s="5"/>
      <c r="F26" s="5" t="s">
        <v>14874</v>
      </c>
      <c r="G26" s="5" t="s">
        <v>3059</v>
      </c>
      <c r="H26" s="5" t="s">
        <v>3</v>
      </c>
      <c r="I26" s="5" t="s">
        <v>14299</v>
      </c>
      <c r="J26" s="5" t="s">
        <v>14873</v>
      </c>
      <c r="M26" s="1"/>
      <c r="N26"/>
      <c r="O26"/>
      <c r="P26"/>
      <c r="Q26"/>
      <c r="R26"/>
      <c r="S26"/>
      <c r="T26"/>
      <c r="U26"/>
      <c r="V26"/>
      <c r="W26"/>
      <c r="X26"/>
      <c r="Y26"/>
    </row>
    <row r="27" spans="1:25" s="2" customFormat="1" x14ac:dyDescent="0.2">
      <c r="A27" s="5" t="s">
        <v>14872</v>
      </c>
      <c r="B27" s="5" t="s">
        <v>8584</v>
      </c>
      <c r="C27" s="5">
        <v>22</v>
      </c>
      <c r="D27" s="5"/>
      <c r="E27" s="5"/>
      <c r="F27" s="5" t="s">
        <v>14872</v>
      </c>
      <c r="G27" s="5" t="s">
        <v>3059</v>
      </c>
      <c r="H27" s="5" t="s">
        <v>137</v>
      </c>
      <c r="I27" s="5"/>
      <c r="J27" s="5" t="s">
        <v>14871</v>
      </c>
      <c r="M27" s="1"/>
      <c r="N27"/>
      <c r="O27"/>
      <c r="P27"/>
      <c r="Q27"/>
      <c r="R27"/>
      <c r="S27"/>
      <c r="T27"/>
      <c r="U27"/>
      <c r="V27"/>
      <c r="W27"/>
      <c r="X27"/>
      <c r="Y27"/>
    </row>
    <row r="28" spans="1:25" s="2" customFormat="1" ht="25.5" x14ac:dyDescent="0.2">
      <c r="A28" s="5" t="s">
        <v>14870</v>
      </c>
      <c r="B28" s="5" t="s">
        <v>8584</v>
      </c>
      <c r="C28" s="5">
        <v>23</v>
      </c>
      <c r="D28" s="5"/>
      <c r="E28" s="5"/>
      <c r="F28" s="5" t="s">
        <v>14869</v>
      </c>
      <c r="G28" s="5" t="s">
        <v>315</v>
      </c>
      <c r="H28" s="5" t="s">
        <v>137</v>
      </c>
      <c r="I28" s="5" t="s">
        <v>14297</v>
      </c>
      <c r="J28" s="5" t="s">
        <v>14868</v>
      </c>
      <c r="M28" s="1"/>
      <c r="N28"/>
      <c r="O28"/>
      <c r="P28"/>
      <c r="Q28"/>
      <c r="R28"/>
      <c r="S28"/>
      <c r="T28"/>
      <c r="U28"/>
      <c r="V28"/>
      <c r="W28"/>
      <c r="X28"/>
      <c r="Y28"/>
    </row>
    <row r="29" spans="1:25" s="2" customFormat="1" ht="25.5" x14ac:dyDescent="0.2">
      <c r="A29" s="5" t="s">
        <v>14867</v>
      </c>
      <c r="B29" s="5" t="s">
        <v>8584</v>
      </c>
      <c r="C29" s="5">
        <v>24</v>
      </c>
      <c r="D29" s="5"/>
      <c r="E29" s="5"/>
      <c r="F29" s="5" t="s">
        <v>9148</v>
      </c>
      <c r="G29" s="5" t="s">
        <v>173</v>
      </c>
      <c r="H29" s="5" t="s">
        <v>137</v>
      </c>
      <c r="I29" s="5" t="s">
        <v>14297</v>
      </c>
      <c r="J29" s="5" t="s">
        <v>14866</v>
      </c>
      <c r="M29" s="1"/>
      <c r="N29"/>
      <c r="O29"/>
      <c r="P29"/>
      <c r="Q29"/>
      <c r="R29"/>
      <c r="S29"/>
      <c r="T29"/>
      <c r="U29"/>
      <c r="V29"/>
      <c r="W29"/>
      <c r="X29"/>
      <c r="Y29"/>
    </row>
    <row r="30" spans="1:25" s="2" customFormat="1" ht="25.5" x14ac:dyDescent="0.2">
      <c r="A30" s="5" t="s">
        <v>14865</v>
      </c>
      <c r="B30" s="5" t="s">
        <v>8584</v>
      </c>
      <c r="C30" s="5">
        <v>25</v>
      </c>
      <c r="D30" s="5"/>
      <c r="E30" s="5"/>
      <c r="F30" s="5" t="s">
        <v>14864</v>
      </c>
      <c r="G30" s="5" t="s">
        <v>315</v>
      </c>
      <c r="H30" s="5" t="s">
        <v>137</v>
      </c>
      <c r="I30" s="5" t="s">
        <v>14297</v>
      </c>
      <c r="J30" s="5" t="s">
        <v>14863</v>
      </c>
      <c r="M30" s="1"/>
      <c r="N30"/>
      <c r="O30"/>
      <c r="P30"/>
      <c r="Q30"/>
      <c r="R30"/>
      <c r="S30"/>
      <c r="T30"/>
      <c r="U30"/>
      <c r="V30"/>
      <c r="W30"/>
      <c r="X30"/>
      <c r="Y30"/>
    </row>
    <row r="31" spans="1:25" s="2" customFormat="1" ht="25.5" x14ac:dyDescent="0.2">
      <c r="A31" s="5" t="s">
        <v>14862</v>
      </c>
      <c r="B31" s="5" t="s">
        <v>8584</v>
      </c>
      <c r="C31" s="5">
        <v>26</v>
      </c>
      <c r="D31" s="5"/>
      <c r="E31" s="5"/>
      <c r="F31" s="5" t="s">
        <v>14861</v>
      </c>
      <c r="G31" s="5" t="s">
        <v>229</v>
      </c>
      <c r="H31" s="5" t="s">
        <v>137</v>
      </c>
      <c r="I31" s="5" t="s">
        <v>14297</v>
      </c>
      <c r="J31" s="5" t="s">
        <v>14860</v>
      </c>
      <c r="M31" s="1"/>
      <c r="N31"/>
      <c r="O31"/>
      <c r="P31"/>
      <c r="Q31"/>
      <c r="R31"/>
      <c r="S31"/>
      <c r="T31"/>
      <c r="U31"/>
      <c r="V31"/>
      <c r="W31"/>
      <c r="X31"/>
      <c r="Y31"/>
    </row>
    <row r="32" spans="1:25" s="2" customFormat="1" ht="25.5" x14ac:dyDescent="0.2">
      <c r="A32" s="5" t="s">
        <v>14859</v>
      </c>
      <c r="B32" s="5" t="s">
        <v>8584</v>
      </c>
      <c r="C32" s="5">
        <v>28</v>
      </c>
      <c r="D32" s="5"/>
      <c r="E32" s="5"/>
      <c r="F32" s="5" t="s">
        <v>14857</v>
      </c>
      <c r="G32" s="5" t="s">
        <v>14854</v>
      </c>
      <c r="H32" s="5" t="s">
        <v>137</v>
      </c>
      <c r="I32" s="5" t="s">
        <v>14297</v>
      </c>
      <c r="J32" s="5" t="s">
        <v>14856</v>
      </c>
      <c r="M32" s="1"/>
      <c r="N32"/>
      <c r="O32"/>
      <c r="P32"/>
      <c r="Q32"/>
      <c r="R32"/>
      <c r="S32"/>
      <c r="T32"/>
      <c r="U32"/>
      <c r="V32"/>
      <c r="W32"/>
      <c r="X32"/>
      <c r="Y32"/>
    </row>
    <row r="33" spans="1:25" s="2" customFormat="1" ht="25.5" x14ac:dyDescent="0.2">
      <c r="A33" s="5" t="s">
        <v>14858</v>
      </c>
      <c r="B33" s="5" t="s">
        <v>8584</v>
      </c>
      <c r="C33" s="5">
        <v>28</v>
      </c>
      <c r="D33" s="5"/>
      <c r="E33" s="5"/>
      <c r="F33" s="5" t="s">
        <v>14857</v>
      </c>
      <c r="G33" s="5" t="s">
        <v>224</v>
      </c>
      <c r="H33" s="5" t="s">
        <v>137</v>
      </c>
      <c r="I33" s="5" t="s">
        <v>14297</v>
      </c>
      <c r="J33" s="5" t="s">
        <v>14856</v>
      </c>
      <c r="M33" s="1"/>
      <c r="N33"/>
      <c r="O33"/>
      <c r="P33"/>
      <c r="Q33"/>
      <c r="R33"/>
      <c r="S33"/>
      <c r="T33"/>
      <c r="U33"/>
      <c r="V33"/>
      <c r="W33"/>
      <c r="X33"/>
      <c r="Y33"/>
    </row>
    <row r="34" spans="1:25" s="2" customFormat="1" ht="25.5" x14ac:dyDescent="0.2">
      <c r="A34" s="5" t="s">
        <v>14855</v>
      </c>
      <c r="B34" s="5" t="s">
        <v>8584</v>
      </c>
      <c r="C34" s="5">
        <v>29</v>
      </c>
      <c r="D34" s="5"/>
      <c r="E34" s="5"/>
      <c r="F34" s="5" t="s">
        <v>8758</v>
      </c>
      <c r="G34" s="5" t="s">
        <v>14854</v>
      </c>
      <c r="H34" s="5" t="s">
        <v>137</v>
      </c>
      <c r="I34" s="5" t="s">
        <v>14297</v>
      </c>
      <c r="J34" s="5" t="s">
        <v>14852</v>
      </c>
      <c r="M34" s="1"/>
      <c r="N34"/>
      <c r="O34"/>
      <c r="P34"/>
      <c r="Q34"/>
      <c r="R34"/>
      <c r="S34"/>
      <c r="T34"/>
      <c r="U34"/>
      <c r="V34"/>
      <c r="W34"/>
      <c r="X34"/>
      <c r="Y34"/>
    </row>
    <row r="35" spans="1:25" s="2" customFormat="1" ht="25.5" x14ac:dyDescent="0.2">
      <c r="A35" s="5" t="s">
        <v>14853</v>
      </c>
      <c r="B35" s="5" t="s">
        <v>8584</v>
      </c>
      <c r="C35" s="5">
        <v>29</v>
      </c>
      <c r="D35" s="5"/>
      <c r="E35" s="5"/>
      <c r="F35" s="5" t="s">
        <v>8758</v>
      </c>
      <c r="G35" s="5" t="s">
        <v>224</v>
      </c>
      <c r="H35" s="5" t="s">
        <v>137</v>
      </c>
      <c r="I35" s="5" t="s">
        <v>14297</v>
      </c>
      <c r="J35" s="5" t="s">
        <v>14852</v>
      </c>
      <c r="M35" s="1"/>
      <c r="N35"/>
      <c r="O35"/>
      <c r="P35"/>
      <c r="Q35"/>
      <c r="R35"/>
      <c r="S35"/>
      <c r="T35"/>
      <c r="U35"/>
      <c r="V35"/>
      <c r="W35"/>
      <c r="X35"/>
      <c r="Y35"/>
    </row>
    <row r="36" spans="1:25" s="2" customFormat="1" x14ac:dyDescent="0.2">
      <c r="A36" s="5" t="s">
        <v>1554</v>
      </c>
      <c r="B36" s="5" t="s">
        <v>8584</v>
      </c>
      <c r="C36" s="5">
        <v>30</v>
      </c>
      <c r="D36" s="5"/>
      <c r="E36" s="5"/>
      <c r="F36" s="5" t="s">
        <v>1554</v>
      </c>
      <c r="G36" s="5" t="s">
        <v>122</v>
      </c>
      <c r="H36" s="5" t="s">
        <v>3</v>
      </c>
      <c r="I36" s="5"/>
      <c r="J36" s="5" t="s">
        <v>14851</v>
      </c>
      <c r="M36" s="1"/>
      <c r="N36"/>
      <c r="O36"/>
      <c r="P36"/>
      <c r="Q36"/>
      <c r="R36"/>
      <c r="S36"/>
      <c r="T36"/>
      <c r="U36"/>
      <c r="V36"/>
      <c r="W36"/>
      <c r="X36"/>
      <c r="Y36"/>
    </row>
    <row r="37" spans="1:25" s="2" customFormat="1" x14ac:dyDescent="0.2">
      <c r="A37" s="5" t="s">
        <v>14850</v>
      </c>
      <c r="B37" s="5" t="s">
        <v>8584</v>
      </c>
      <c r="C37" s="5">
        <v>31</v>
      </c>
      <c r="D37" s="5"/>
      <c r="E37" s="5"/>
      <c r="F37" s="5" t="s">
        <v>14850</v>
      </c>
      <c r="G37" s="5" t="s">
        <v>118</v>
      </c>
      <c r="H37" s="5" t="s">
        <v>3</v>
      </c>
      <c r="I37" s="5"/>
      <c r="J37" s="5" t="s">
        <v>14849</v>
      </c>
      <c r="M37" s="1"/>
      <c r="N37"/>
      <c r="O37"/>
      <c r="P37"/>
      <c r="Q37"/>
      <c r="R37"/>
      <c r="S37"/>
      <c r="T37"/>
      <c r="U37"/>
      <c r="V37"/>
      <c r="W37"/>
      <c r="X37"/>
      <c r="Y37"/>
    </row>
    <row r="38" spans="1:25" s="2" customFormat="1" x14ac:dyDescent="0.2">
      <c r="A38" s="5" t="s">
        <v>14848</v>
      </c>
      <c r="B38" s="5" t="s">
        <v>8584</v>
      </c>
      <c r="C38" s="5">
        <v>32</v>
      </c>
      <c r="D38" s="5"/>
      <c r="E38" s="5"/>
      <c r="F38" s="5" t="s">
        <v>14847</v>
      </c>
      <c r="G38" s="5" t="s">
        <v>122</v>
      </c>
      <c r="H38" s="5" t="s">
        <v>3</v>
      </c>
      <c r="I38" s="5"/>
      <c r="J38" s="5" t="s">
        <v>14846</v>
      </c>
      <c r="M38" s="1"/>
      <c r="N38"/>
      <c r="O38"/>
      <c r="P38"/>
      <c r="Q38"/>
      <c r="R38"/>
      <c r="S38"/>
      <c r="T38"/>
      <c r="U38"/>
      <c r="V38"/>
      <c r="W38"/>
      <c r="X38"/>
      <c r="Y38"/>
    </row>
    <row r="39" spans="1:25" s="2" customFormat="1" x14ac:dyDescent="0.2">
      <c r="A39" s="5" t="s">
        <v>14845</v>
      </c>
      <c r="B39" s="5" t="s">
        <v>8584</v>
      </c>
      <c r="C39" s="5">
        <v>34</v>
      </c>
      <c r="D39" s="5"/>
      <c r="E39" s="5"/>
      <c r="F39" s="5" t="s">
        <v>14844</v>
      </c>
      <c r="G39" s="5" t="s">
        <v>122</v>
      </c>
      <c r="H39" s="5" t="s">
        <v>137</v>
      </c>
      <c r="I39" s="5" t="s">
        <v>14299</v>
      </c>
      <c r="J39" s="5" t="s">
        <v>14843</v>
      </c>
      <c r="M39" s="1"/>
      <c r="N39"/>
      <c r="O39"/>
      <c r="P39"/>
      <c r="Q39"/>
      <c r="R39"/>
      <c r="S39"/>
      <c r="T39"/>
      <c r="U39"/>
      <c r="V39"/>
      <c r="W39"/>
      <c r="X39"/>
      <c r="Y39"/>
    </row>
    <row r="40" spans="1:25" s="2" customFormat="1" x14ac:dyDescent="0.2">
      <c r="A40" s="5" t="s">
        <v>14842</v>
      </c>
      <c r="B40" s="5" t="s">
        <v>8584</v>
      </c>
      <c r="C40" s="5">
        <v>35</v>
      </c>
      <c r="D40" s="5"/>
      <c r="E40" s="5" t="s">
        <v>150</v>
      </c>
      <c r="F40" s="5" t="s">
        <v>14841</v>
      </c>
      <c r="G40" s="5" t="s">
        <v>148</v>
      </c>
      <c r="H40" s="5" t="s">
        <v>137</v>
      </c>
      <c r="I40" s="5" t="s">
        <v>14303</v>
      </c>
      <c r="J40" s="5" t="s">
        <v>14840</v>
      </c>
      <c r="M40" s="1"/>
      <c r="N40"/>
      <c r="O40"/>
      <c r="P40"/>
      <c r="Q40"/>
      <c r="R40"/>
      <c r="S40"/>
      <c r="T40"/>
      <c r="U40"/>
      <c r="V40"/>
      <c r="W40"/>
      <c r="X40"/>
      <c r="Y40"/>
    </row>
    <row r="41" spans="1:25" s="2" customFormat="1" x14ac:dyDescent="0.2">
      <c r="A41" s="5" t="s">
        <v>14839</v>
      </c>
      <c r="B41" s="5" t="s">
        <v>8584</v>
      </c>
      <c r="C41" s="5">
        <v>36</v>
      </c>
      <c r="D41" s="5"/>
      <c r="E41" s="5"/>
      <c r="F41" s="5" t="s">
        <v>9301</v>
      </c>
      <c r="G41" s="5" t="s">
        <v>3059</v>
      </c>
      <c r="H41" s="5" t="s">
        <v>3</v>
      </c>
      <c r="I41" s="5"/>
      <c r="J41" s="5" t="s">
        <v>14838</v>
      </c>
      <c r="M41" s="1"/>
      <c r="N41"/>
      <c r="O41"/>
      <c r="P41"/>
      <c r="Q41"/>
      <c r="R41"/>
      <c r="S41"/>
      <c r="T41"/>
      <c r="U41"/>
      <c r="V41"/>
      <c r="W41"/>
      <c r="X41"/>
      <c r="Y41"/>
    </row>
    <row r="42" spans="1:25" s="2" customFormat="1" x14ac:dyDescent="0.2">
      <c r="A42" s="5" t="s">
        <v>14837</v>
      </c>
      <c r="B42" s="5" t="s">
        <v>8584</v>
      </c>
      <c r="C42" s="5">
        <v>37</v>
      </c>
      <c r="D42" s="5"/>
      <c r="E42" s="5" t="s">
        <v>150</v>
      </c>
      <c r="F42" s="5" t="s">
        <v>11185</v>
      </c>
      <c r="G42" s="5" t="s">
        <v>148</v>
      </c>
      <c r="H42" s="5" t="s">
        <v>3</v>
      </c>
      <c r="I42" s="5"/>
      <c r="J42" s="5" t="s">
        <v>14836</v>
      </c>
      <c r="M42" s="1"/>
      <c r="N42"/>
      <c r="O42"/>
      <c r="P42"/>
      <c r="Q42"/>
      <c r="R42"/>
      <c r="S42"/>
      <c r="T42"/>
      <c r="U42"/>
      <c r="V42"/>
      <c r="W42"/>
      <c r="X42"/>
      <c r="Y42"/>
    </row>
    <row r="43" spans="1:25" s="2" customFormat="1" x14ac:dyDescent="0.2">
      <c r="A43" s="5" t="s">
        <v>14835</v>
      </c>
      <c r="B43" s="5" t="s">
        <v>8584</v>
      </c>
      <c r="C43" s="5">
        <v>38</v>
      </c>
      <c r="D43" s="5"/>
      <c r="E43" s="5" t="s">
        <v>5520</v>
      </c>
      <c r="F43" s="5" t="s">
        <v>11185</v>
      </c>
      <c r="G43" s="5" t="s">
        <v>148</v>
      </c>
      <c r="H43" s="5" t="s">
        <v>3</v>
      </c>
      <c r="I43" s="5"/>
      <c r="J43" s="5" t="s">
        <v>14834</v>
      </c>
      <c r="M43" s="1"/>
      <c r="N43"/>
      <c r="O43"/>
      <c r="P43"/>
      <c r="Q43"/>
      <c r="R43"/>
      <c r="S43"/>
      <c r="T43"/>
      <c r="U43"/>
      <c r="V43"/>
      <c r="W43"/>
      <c r="X43"/>
      <c r="Y43"/>
    </row>
    <row r="44" spans="1:25" s="2" customFormat="1" x14ac:dyDescent="0.2">
      <c r="A44" s="5" t="s">
        <v>14833</v>
      </c>
      <c r="B44" s="5" t="s">
        <v>8584</v>
      </c>
      <c r="C44" s="5">
        <v>39</v>
      </c>
      <c r="D44" s="5"/>
      <c r="E44" s="5"/>
      <c r="F44" s="5" t="s">
        <v>14832</v>
      </c>
      <c r="G44" s="5" t="s">
        <v>328</v>
      </c>
      <c r="H44" s="5" t="s">
        <v>3</v>
      </c>
      <c r="I44" s="5"/>
      <c r="J44" s="5" t="s">
        <v>14831</v>
      </c>
      <c r="M44" s="1"/>
      <c r="N44"/>
      <c r="O44"/>
      <c r="P44"/>
      <c r="Q44"/>
      <c r="R44"/>
      <c r="S44"/>
      <c r="T44"/>
      <c r="U44"/>
      <c r="V44"/>
      <c r="W44"/>
      <c r="X44"/>
      <c r="Y44"/>
    </row>
    <row r="45" spans="1:25" s="2" customFormat="1" ht="25.5" x14ac:dyDescent="0.2">
      <c r="A45" s="5" t="s">
        <v>14830</v>
      </c>
      <c r="B45" s="5" t="s">
        <v>8584</v>
      </c>
      <c r="C45" s="5">
        <v>40</v>
      </c>
      <c r="D45" s="5"/>
      <c r="E45" s="5"/>
      <c r="F45" s="5" t="s">
        <v>14613</v>
      </c>
      <c r="G45" s="5" t="s">
        <v>224</v>
      </c>
      <c r="H45" s="5" t="s">
        <v>137</v>
      </c>
      <c r="I45" s="5" t="s">
        <v>14297</v>
      </c>
      <c r="J45" s="5" t="s">
        <v>14829</v>
      </c>
      <c r="M45" s="1"/>
      <c r="N45"/>
      <c r="O45"/>
      <c r="P45"/>
      <c r="Q45"/>
      <c r="R45"/>
      <c r="S45"/>
      <c r="T45"/>
      <c r="U45"/>
      <c r="V45"/>
      <c r="W45"/>
      <c r="X45"/>
      <c r="Y45"/>
    </row>
    <row r="46" spans="1:25" s="2" customFormat="1" ht="25.5" x14ac:dyDescent="0.2">
      <c r="A46" s="5" t="s">
        <v>14828</v>
      </c>
      <c r="B46" s="5" t="s">
        <v>8584</v>
      </c>
      <c r="C46" s="5">
        <v>41</v>
      </c>
      <c r="D46" s="5"/>
      <c r="E46" s="5"/>
      <c r="F46" s="5" t="s">
        <v>14827</v>
      </c>
      <c r="G46" s="5" t="s">
        <v>328</v>
      </c>
      <c r="H46" s="5" t="s">
        <v>137</v>
      </c>
      <c r="I46" s="5" t="s">
        <v>14310</v>
      </c>
      <c r="J46" s="5" t="s">
        <v>14826</v>
      </c>
      <c r="M46" s="1"/>
      <c r="N46"/>
      <c r="O46"/>
      <c r="P46"/>
      <c r="Q46"/>
      <c r="R46"/>
      <c r="S46"/>
      <c r="T46"/>
      <c r="U46"/>
      <c r="V46"/>
      <c r="W46"/>
      <c r="X46"/>
      <c r="Y46"/>
    </row>
    <row r="47" spans="1:25" s="2" customFormat="1" ht="25.5" x14ac:dyDescent="0.2">
      <c r="A47" s="5" t="s">
        <v>14825</v>
      </c>
      <c r="B47" s="5" t="s">
        <v>8584</v>
      </c>
      <c r="C47" s="5">
        <v>42</v>
      </c>
      <c r="D47" s="5"/>
      <c r="E47" s="5"/>
      <c r="F47" s="5" t="s">
        <v>123</v>
      </c>
      <c r="G47" s="5" t="s">
        <v>148</v>
      </c>
      <c r="H47" s="5" t="s">
        <v>137</v>
      </c>
      <c r="I47" s="5" t="s">
        <v>14310</v>
      </c>
      <c r="J47" s="5" t="s">
        <v>14824</v>
      </c>
      <c r="M47" s="1"/>
      <c r="N47"/>
      <c r="O47"/>
      <c r="P47"/>
      <c r="Q47"/>
      <c r="R47"/>
      <c r="S47"/>
      <c r="T47"/>
      <c r="U47"/>
      <c r="V47"/>
      <c r="W47"/>
      <c r="X47"/>
      <c r="Y47"/>
    </row>
    <row r="48" spans="1:25" s="2" customFormat="1" ht="25.5" x14ac:dyDescent="0.2">
      <c r="A48" s="5" t="s">
        <v>14823</v>
      </c>
      <c r="B48" s="5" t="s">
        <v>8584</v>
      </c>
      <c r="C48" s="5">
        <v>43</v>
      </c>
      <c r="D48" s="5"/>
      <c r="E48" s="5"/>
      <c r="F48" s="5" t="s">
        <v>14036</v>
      </c>
      <c r="G48" s="5" t="s">
        <v>105</v>
      </c>
      <c r="H48" s="5" t="s">
        <v>137</v>
      </c>
      <c r="I48" s="5" t="s">
        <v>14310</v>
      </c>
      <c r="J48" s="5" t="s">
        <v>14822</v>
      </c>
      <c r="M48" s="1"/>
      <c r="N48"/>
      <c r="O48"/>
      <c r="P48"/>
      <c r="Q48"/>
      <c r="R48"/>
      <c r="S48"/>
      <c r="T48"/>
      <c r="U48"/>
      <c r="V48"/>
      <c r="W48"/>
      <c r="X48"/>
      <c r="Y48"/>
    </row>
    <row r="49" spans="1:25" s="2" customFormat="1" x14ac:dyDescent="0.2">
      <c r="A49" s="5" t="s">
        <v>14821</v>
      </c>
      <c r="B49" s="5" t="s">
        <v>8584</v>
      </c>
      <c r="C49" s="5">
        <v>44</v>
      </c>
      <c r="D49" s="5"/>
      <c r="E49" s="5"/>
      <c r="F49" s="5" t="s">
        <v>14820</v>
      </c>
      <c r="G49" s="5" t="s">
        <v>328</v>
      </c>
      <c r="H49" s="5" t="s">
        <v>137</v>
      </c>
      <c r="I49" s="5" t="s">
        <v>14597</v>
      </c>
      <c r="J49" s="5" t="s">
        <v>14819</v>
      </c>
      <c r="M49" s="1"/>
      <c r="N49"/>
      <c r="O49"/>
      <c r="P49"/>
      <c r="Q49"/>
      <c r="R49"/>
      <c r="S49"/>
      <c r="T49"/>
      <c r="U49"/>
      <c r="V49"/>
      <c r="W49"/>
      <c r="X49"/>
      <c r="Y49"/>
    </row>
    <row r="50" spans="1:25" s="2" customFormat="1" x14ac:dyDescent="0.2">
      <c r="A50" s="5" t="s">
        <v>14818</v>
      </c>
      <c r="B50" s="5" t="s">
        <v>8584</v>
      </c>
      <c r="C50" s="5">
        <v>45</v>
      </c>
      <c r="D50" s="5"/>
      <c r="E50" s="5"/>
      <c r="F50" s="5" t="s">
        <v>14817</v>
      </c>
      <c r="G50" s="5" t="s">
        <v>148</v>
      </c>
      <c r="H50" s="5" t="s">
        <v>137</v>
      </c>
      <c r="I50" s="5" t="s">
        <v>14597</v>
      </c>
      <c r="J50" s="5" t="s">
        <v>14816</v>
      </c>
      <c r="M50" s="1"/>
      <c r="N50"/>
      <c r="O50"/>
      <c r="P50"/>
      <c r="Q50"/>
      <c r="R50"/>
      <c r="S50"/>
      <c r="T50"/>
      <c r="U50"/>
      <c r="V50"/>
      <c r="W50"/>
      <c r="X50"/>
      <c r="Y50"/>
    </row>
    <row r="51" spans="1:25" s="2" customFormat="1" x14ac:dyDescent="0.2">
      <c r="A51" s="5" t="s">
        <v>14815</v>
      </c>
      <c r="B51" s="5" t="s">
        <v>8584</v>
      </c>
      <c r="C51" s="5">
        <v>46</v>
      </c>
      <c r="D51" s="5"/>
      <c r="E51" s="5" t="s">
        <v>150</v>
      </c>
      <c r="F51" s="5" t="s">
        <v>212</v>
      </c>
      <c r="G51" s="5" t="s">
        <v>148</v>
      </c>
      <c r="H51" s="5" t="s">
        <v>137</v>
      </c>
      <c r="I51" s="5" t="s">
        <v>14597</v>
      </c>
      <c r="J51" s="5" t="s">
        <v>14814</v>
      </c>
      <c r="M51" s="1"/>
      <c r="N51"/>
      <c r="O51"/>
      <c r="P51"/>
      <c r="Q51"/>
      <c r="R51"/>
      <c r="S51"/>
      <c r="T51"/>
      <c r="U51"/>
      <c r="V51"/>
      <c r="W51"/>
      <c r="X51"/>
      <c r="Y51"/>
    </row>
    <row r="52" spans="1:25" s="2" customFormat="1" ht="25.5" x14ac:dyDescent="0.2">
      <c r="A52" s="5" t="s">
        <v>14813</v>
      </c>
      <c r="B52" s="5" t="s">
        <v>8584</v>
      </c>
      <c r="C52" s="5">
        <v>46</v>
      </c>
      <c r="D52" s="5"/>
      <c r="E52" s="5" t="s">
        <v>213</v>
      </c>
      <c r="F52" s="5" t="s">
        <v>212</v>
      </c>
      <c r="G52" s="5" t="s">
        <v>91</v>
      </c>
      <c r="H52" s="5" t="s">
        <v>137</v>
      </c>
      <c r="I52" s="5" t="s">
        <v>14597</v>
      </c>
      <c r="J52" s="5" t="s">
        <v>14812</v>
      </c>
      <c r="M52" s="1"/>
      <c r="N52"/>
      <c r="O52"/>
      <c r="P52"/>
      <c r="Q52"/>
      <c r="R52"/>
      <c r="S52"/>
      <c r="T52"/>
      <c r="U52"/>
      <c r="V52"/>
      <c r="W52"/>
      <c r="X52"/>
      <c r="Y52"/>
    </row>
    <row r="53" spans="1:25" s="2" customFormat="1" x14ac:dyDescent="0.2">
      <c r="A53" s="5" t="s">
        <v>14811</v>
      </c>
      <c r="B53" s="5" t="s">
        <v>8584</v>
      </c>
      <c r="C53" s="5">
        <v>47</v>
      </c>
      <c r="D53" s="5"/>
      <c r="E53" s="5"/>
      <c r="F53" s="5" t="s">
        <v>6446</v>
      </c>
      <c r="G53" s="5" t="s">
        <v>315</v>
      </c>
      <c r="H53" s="5" t="s">
        <v>137</v>
      </c>
      <c r="I53" s="5" t="s">
        <v>14597</v>
      </c>
      <c r="J53" s="5" t="s">
        <v>14810</v>
      </c>
      <c r="M53" s="1"/>
      <c r="N53"/>
      <c r="O53"/>
      <c r="P53"/>
      <c r="Q53"/>
      <c r="R53"/>
      <c r="S53"/>
      <c r="T53"/>
      <c r="U53"/>
      <c r="V53"/>
      <c r="W53"/>
      <c r="X53"/>
      <c r="Y53"/>
    </row>
    <row r="54" spans="1:25" s="2" customFormat="1" x14ac:dyDescent="0.2">
      <c r="A54" s="5" t="s">
        <v>14809</v>
      </c>
      <c r="B54" s="5" t="s">
        <v>8584</v>
      </c>
      <c r="C54" s="5">
        <v>48</v>
      </c>
      <c r="D54" s="5"/>
      <c r="E54" s="5"/>
      <c r="F54" s="5" t="s">
        <v>7338</v>
      </c>
      <c r="G54" s="5" t="s">
        <v>105</v>
      </c>
      <c r="H54" s="5" t="s">
        <v>137</v>
      </c>
      <c r="I54" s="5" t="s">
        <v>14597</v>
      </c>
      <c r="J54" s="5" t="s">
        <v>14808</v>
      </c>
      <c r="M54" s="1"/>
      <c r="N54"/>
      <c r="O54"/>
      <c r="P54"/>
      <c r="Q54"/>
      <c r="R54"/>
      <c r="S54"/>
      <c r="T54"/>
      <c r="U54"/>
      <c r="V54"/>
      <c r="W54"/>
      <c r="X54"/>
      <c r="Y54"/>
    </row>
    <row r="55" spans="1:25" s="2" customFormat="1" x14ac:dyDescent="0.2">
      <c r="A55" s="5" t="s">
        <v>14807</v>
      </c>
      <c r="B55" s="5" t="s">
        <v>8584</v>
      </c>
      <c r="C55" s="5">
        <v>49</v>
      </c>
      <c r="D55" s="5"/>
      <c r="E55" s="5"/>
      <c r="F55" s="5" t="s">
        <v>14806</v>
      </c>
      <c r="G55" s="5" t="s">
        <v>328</v>
      </c>
      <c r="H55" s="5" t="s">
        <v>137</v>
      </c>
      <c r="I55" s="5" t="s">
        <v>14597</v>
      </c>
      <c r="J55" s="5" t="s">
        <v>14805</v>
      </c>
      <c r="M55" s="1"/>
      <c r="N55"/>
      <c r="O55"/>
      <c r="P55"/>
      <c r="Q55"/>
      <c r="R55"/>
      <c r="S55"/>
      <c r="T55"/>
      <c r="U55"/>
      <c r="V55"/>
      <c r="W55"/>
      <c r="X55"/>
      <c r="Y55"/>
    </row>
    <row r="56" spans="1:25" s="2" customFormat="1" x14ac:dyDescent="0.2">
      <c r="A56" s="5" t="s">
        <v>14804</v>
      </c>
      <c r="B56" s="5" t="s">
        <v>8584</v>
      </c>
      <c r="C56" s="5">
        <v>50</v>
      </c>
      <c r="D56" s="5"/>
      <c r="E56" s="5"/>
      <c r="F56" s="5" t="s">
        <v>9433</v>
      </c>
      <c r="G56" s="5" t="s">
        <v>105</v>
      </c>
      <c r="H56" s="5" t="s">
        <v>137</v>
      </c>
      <c r="I56" s="5" t="s">
        <v>14597</v>
      </c>
      <c r="J56" s="5" t="s">
        <v>14803</v>
      </c>
      <c r="M56" s="1"/>
      <c r="N56"/>
      <c r="O56"/>
      <c r="P56"/>
      <c r="Q56"/>
      <c r="R56"/>
      <c r="S56"/>
      <c r="T56"/>
      <c r="U56"/>
      <c r="V56"/>
      <c r="W56"/>
      <c r="X56"/>
      <c r="Y56"/>
    </row>
    <row r="57" spans="1:25" s="2" customFormat="1" ht="25.5" x14ac:dyDescent="0.2">
      <c r="A57" s="5" t="s">
        <v>14802</v>
      </c>
      <c r="B57" s="5" t="s">
        <v>8584</v>
      </c>
      <c r="C57" s="5">
        <v>51</v>
      </c>
      <c r="D57" s="5"/>
      <c r="E57" s="5"/>
      <c r="F57" s="5" t="s">
        <v>14801</v>
      </c>
      <c r="G57" s="5" t="s">
        <v>207</v>
      </c>
      <c r="H57" s="5" t="s">
        <v>137</v>
      </c>
      <c r="I57" s="5" t="s">
        <v>14597</v>
      </c>
      <c r="J57" s="5" t="s">
        <v>14800</v>
      </c>
      <c r="M57" s="1"/>
      <c r="N57"/>
      <c r="O57"/>
      <c r="P57"/>
      <c r="Q57"/>
      <c r="R57"/>
      <c r="S57"/>
      <c r="T57"/>
      <c r="U57"/>
      <c r="V57"/>
      <c r="W57"/>
      <c r="X57"/>
      <c r="Y57"/>
    </row>
    <row r="58" spans="1:25" s="2" customFormat="1" x14ac:dyDescent="0.2">
      <c r="A58" s="5" t="s">
        <v>14799</v>
      </c>
      <c r="B58" s="5" t="s">
        <v>8584</v>
      </c>
      <c r="C58" s="5">
        <v>52</v>
      </c>
      <c r="D58" s="5"/>
      <c r="E58" s="5"/>
      <c r="F58" s="5" t="s">
        <v>14327</v>
      </c>
      <c r="G58" s="5" t="s">
        <v>229</v>
      </c>
      <c r="H58" s="5" t="s">
        <v>137</v>
      </c>
      <c r="I58" s="5" t="s">
        <v>14597</v>
      </c>
      <c r="J58" s="5" t="s">
        <v>14798</v>
      </c>
      <c r="M58" s="1"/>
      <c r="N58"/>
      <c r="O58"/>
      <c r="P58"/>
      <c r="Q58"/>
      <c r="R58"/>
      <c r="S58"/>
      <c r="T58"/>
      <c r="U58"/>
      <c r="V58"/>
      <c r="W58"/>
      <c r="X58"/>
      <c r="Y58"/>
    </row>
    <row r="59" spans="1:25" s="2" customFormat="1" ht="25.5" x14ac:dyDescent="0.2">
      <c r="A59" s="5" t="s">
        <v>14797</v>
      </c>
      <c r="B59" s="5" t="s">
        <v>8584</v>
      </c>
      <c r="C59" s="5">
        <v>53</v>
      </c>
      <c r="D59" s="5"/>
      <c r="E59" s="5" t="s">
        <v>138</v>
      </c>
      <c r="F59" s="5" t="s">
        <v>14796</v>
      </c>
      <c r="G59" s="5" t="s">
        <v>173</v>
      </c>
      <c r="H59" s="5" t="s">
        <v>137</v>
      </c>
      <c r="I59" s="5" t="s">
        <v>14297</v>
      </c>
      <c r="J59" s="5" t="s">
        <v>14795</v>
      </c>
      <c r="M59" s="1"/>
      <c r="N59"/>
      <c r="O59"/>
      <c r="P59"/>
      <c r="Q59"/>
      <c r="R59"/>
      <c r="S59"/>
      <c r="T59"/>
      <c r="U59"/>
      <c r="V59"/>
      <c r="W59"/>
      <c r="X59"/>
      <c r="Y59"/>
    </row>
    <row r="60" spans="1:25" s="2" customFormat="1" ht="25.5" x14ac:dyDescent="0.2">
      <c r="A60" s="5" t="s">
        <v>14794</v>
      </c>
      <c r="B60" s="5" t="s">
        <v>8584</v>
      </c>
      <c r="C60" s="5">
        <v>54</v>
      </c>
      <c r="D60" s="5"/>
      <c r="E60" s="5"/>
      <c r="F60" s="5" t="s">
        <v>14792</v>
      </c>
      <c r="G60" s="5" t="s">
        <v>8347</v>
      </c>
      <c r="H60" s="5" t="s">
        <v>137</v>
      </c>
      <c r="I60" s="5" t="s">
        <v>14310</v>
      </c>
      <c r="J60" s="5" t="s">
        <v>14791</v>
      </c>
      <c r="M60" s="1"/>
      <c r="N60"/>
      <c r="O60"/>
      <c r="P60"/>
      <c r="Q60"/>
      <c r="R60"/>
      <c r="S60"/>
      <c r="T60"/>
      <c r="U60"/>
      <c r="V60"/>
      <c r="W60"/>
      <c r="X60"/>
      <c r="Y60"/>
    </row>
    <row r="61" spans="1:25" s="2" customFormat="1" ht="25.5" x14ac:dyDescent="0.2">
      <c r="A61" s="5" t="s">
        <v>14793</v>
      </c>
      <c r="B61" s="5" t="s">
        <v>8584</v>
      </c>
      <c r="C61" s="5">
        <v>54</v>
      </c>
      <c r="D61" s="5"/>
      <c r="E61" s="5"/>
      <c r="F61" s="5" t="s">
        <v>14792</v>
      </c>
      <c r="G61" s="5" t="s">
        <v>8347</v>
      </c>
      <c r="H61" s="5" t="s">
        <v>137</v>
      </c>
      <c r="I61" s="5" t="s">
        <v>14310</v>
      </c>
      <c r="J61" s="5" t="s">
        <v>14791</v>
      </c>
      <c r="M61" s="1"/>
      <c r="N61"/>
      <c r="O61"/>
      <c r="P61"/>
      <c r="Q61"/>
      <c r="R61"/>
      <c r="S61"/>
      <c r="T61"/>
      <c r="U61"/>
      <c r="V61"/>
      <c r="W61"/>
      <c r="X61"/>
      <c r="Y61"/>
    </row>
    <row r="62" spans="1:25" s="2" customFormat="1" ht="25.5" x14ac:dyDescent="0.2">
      <c r="A62" s="5" t="s">
        <v>14790</v>
      </c>
      <c r="B62" s="5" t="s">
        <v>8584</v>
      </c>
      <c r="C62" s="5">
        <v>55</v>
      </c>
      <c r="D62" s="5"/>
      <c r="E62" s="5"/>
      <c r="F62" s="5" t="s">
        <v>14327</v>
      </c>
      <c r="G62" s="5" t="s">
        <v>105</v>
      </c>
      <c r="H62" s="5" t="s">
        <v>137</v>
      </c>
      <c r="I62" s="5" t="s">
        <v>14310</v>
      </c>
      <c r="J62" s="5" t="s">
        <v>14789</v>
      </c>
      <c r="M62" s="1"/>
      <c r="N62"/>
      <c r="O62"/>
      <c r="P62"/>
      <c r="Q62"/>
      <c r="R62"/>
      <c r="S62"/>
      <c r="T62"/>
      <c r="U62"/>
      <c r="V62"/>
      <c r="W62"/>
      <c r="X62"/>
      <c r="Y62"/>
    </row>
    <row r="63" spans="1:25" s="2" customFormat="1" x14ac:dyDescent="0.2">
      <c r="A63" s="5" t="s">
        <v>14788</v>
      </c>
      <c r="B63" s="5" t="s">
        <v>83</v>
      </c>
      <c r="C63" s="5"/>
      <c r="D63" s="5" t="s">
        <v>14787</v>
      </c>
      <c r="E63" s="5"/>
      <c r="F63" s="5" t="s">
        <v>14660</v>
      </c>
      <c r="G63" s="5" t="s">
        <v>382</v>
      </c>
      <c r="H63" s="5" t="s">
        <v>137</v>
      </c>
      <c r="I63" s="5" t="s">
        <v>14310</v>
      </c>
      <c r="J63" s="5" t="s">
        <v>14786</v>
      </c>
      <c r="M63" s="1"/>
      <c r="N63"/>
      <c r="O63"/>
      <c r="P63"/>
      <c r="Q63"/>
      <c r="R63"/>
      <c r="S63"/>
      <c r="T63"/>
      <c r="U63"/>
      <c r="V63"/>
      <c r="W63"/>
      <c r="X63"/>
      <c r="Y63"/>
    </row>
    <row r="64" spans="1:25" s="2" customFormat="1" x14ac:dyDescent="0.2">
      <c r="A64" s="5" t="s">
        <v>14785</v>
      </c>
      <c r="B64" s="5" t="s">
        <v>83</v>
      </c>
      <c r="C64" s="5"/>
      <c r="D64" s="5" t="s">
        <v>14784</v>
      </c>
      <c r="E64" s="5"/>
      <c r="F64" s="5" t="s">
        <v>14660</v>
      </c>
      <c r="G64" s="5" t="s">
        <v>382</v>
      </c>
      <c r="H64" s="5" t="s">
        <v>137</v>
      </c>
      <c r="I64" s="5" t="s">
        <v>14310</v>
      </c>
      <c r="J64" s="5" t="s">
        <v>14783</v>
      </c>
      <c r="M64" s="1"/>
      <c r="N64"/>
      <c r="O64"/>
      <c r="P64"/>
      <c r="Q64"/>
      <c r="R64"/>
      <c r="S64"/>
      <c r="T64"/>
      <c r="U64"/>
      <c r="V64"/>
      <c r="W64"/>
      <c r="X64"/>
      <c r="Y64"/>
    </row>
    <row r="65" spans="1:25" s="2" customFormat="1" x14ac:dyDescent="0.2">
      <c r="A65" s="5" t="s">
        <v>14782</v>
      </c>
      <c r="B65" s="5" t="s">
        <v>83</v>
      </c>
      <c r="C65" s="5"/>
      <c r="D65" s="5" t="s">
        <v>14781</v>
      </c>
      <c r="E65" s="5"/>
      <c r="F65" s="5" t="s">
        <v>14660</v>
      </c>
      <c r="G65" s="5" t="s">
        <v>382</v>
      </c>
      <c r="H65" s="5" t="s">
        <v>137</v>
      </c>
      <c r="I65" s="5" t="s">
        <v>14310</v>
      </c>
      <c r="J65" s="5" t="s">
        <v>14780</v>
      </c>
      <c r="M65" s="1"/>
      <c r="N65"/>
      <c r="O65"/>
      <c r="P65"/>
      <c r="Q65"/>
      <c r="R65"/>
      <c r="S65"/>
      <c r="T65"/>
      <c r="U65"/>
      <c r="V65"/>
      <c r="W65"/>
      <c r="X65"/>
      <c r="Y65"/>
    </row>
    <row r="66" spans="1:25" s="2" customFormat="1" x14ac:dyDescent="0.2">
      <c r="A66" s="5" t="s">
        <v>14779</v>
      </c>
      <c r="B66" s="5" t="s">
        <v>83</v>
      </c>
      <c r="C66" s="5"/>
      <c r="D66" s="5" t="s">
        <v>14778</v>
      </c>
      <c r="E66" s="5"/>
      <c r="F66" s="5" t="s">
        <v>14660</v>
      </c>
      <c r="G66" s="5" t="s">
        <v>382</v>
      </c>
      <c r="H66" s="5" t="s">
        <v>137</v>
      </c>
      <c r="I66" s="5" t="s">
        <v>14310</v>
      </c>
      <c r="J66" s="5" t="s">
        <v>14777</v>
      </c>
      <c r="M66" s="1"/>
      <c r="N66"/>
      <c r="O66"/>
      <c r="P66"/>
      <c r="Q66"/>
      <c r="R66"/>
      <c r="S66"/>
      <c r="T66"/>
      <c r="U66"/>
      <c r="V66"/>
      <c r="W66"/>
      <c r="X66"/>
      <c r="Y66"/>
    </row>
    <row r="67" spans="1:25" s="2" customFormat="1" x14ac:dyDescent="0.2">
      <c r="A67" s="5" t="s">
        <v>14776</v>
      </c>
      <c r="B67" s="5" t="s">
        <v>83</v>
      </c>
      <c r="C67" s="5"/>
      <c r="D67" s="5" t="s">
        <v>14775</v>
      </c>
      <c r="E67" s="5" t="s">
        <v>138</v>
      </c>
      <c r="F67" s="5" t="s">
        <v>14774</v>
      </c>
      <c r="G67" s="5" t="s">
        <v>382</v>
      </c>
      <c r="H67" s="5" t="s">
        <v>137</v>
      </c>
      <c r="I67" s="5" t="s">
        <v>14310</v>
      </c>
      <c r="J67" s="5" t="s">
        <v>14773</v>
      </c>
      <c r="M67" s="1"/>
      <c r="N67"/>
      <c r="O67"/>
      <c r="P67"/>
      <c r="Q67"/>
      <c r="R67"/>
      <c r="S67"/>
      <c r="T67"/>
      <c r="U67"/>
      <c r="V67"/>
      <c r="W67"/>
      <c r="X67"/>
      <c r="Y67"/>
    </row>
    <row r="68" spans="1:25" s="2" customFormat="1" x14ac:dyDescent="0.2">
      <c r="A68" s="5" t="s">
        <v>14772</v>
      </c>
      <c r="B68" s="5" t="s">
        <v>83</v>
      </c>
      <c r="C68" s="5"/>
      <c r="D68" s="5" t="s">
        <v>14771</v>
      </c>
      <c r="E68" s="5"/>
      <c r="F68" s="5" t="s">
        <v>14660</v>
      </c>
      <c r="G68" s="5" t="s">
        <v>382</v>
      </c>
      <c r="H68" s="5" t="s">
        <v>137</v>
      </c>
      <c r="I68" s="5" t="s">
        <v>14310</v>
      </c>
      <c r="J68" s="5" t="s">
        <v>14770</v>
      </c>
      <c r="M68" s="1"/>
      <c r="N68"/>
      <c r="O68"/>
      <c r="P68"/>
      <c r="Q68"/>
      <c r="R68"/>
      <c r="S68"/>
      <c r="T68"/>
      <c r="U68"/>
      <c r="V68"/>
      <c r="W68"/>
      <c r="X68"/>
      <c r="Y68"/>
    </row>
    <row r="69" spans="1:25" s="2" customFormat="1" x14ac:dyDescent="0.2">
      <c r="A69" s="5" t="s">
        <v>14769</v>
      </c>
      <c r="B69" s="5" t="s">
        <v>83</v>
      </c>
      <c r="C69" s="5"/>
      <c r="D69" s="5" t="s">
        <v>14768</v>
      </c>
      <c r="E69" s="5"/>
      <c r="F69" s="5" t="s">
        <v>14660</v>
      </c>
      <c r="G69" s="5" t="s">
        <v>382</v>
      </c>
      <c r="H69" s="5" t="s">
        <v>137</v>
      </c>
      <c r="I69" s="5" t="s">
        <v>14310</v>
      </c>
      <c r="J69" s="5" t="s">
        <v>14767</v>
      </c>
      <c r="M69" s="1"/>
      <c r="N69"/>
      <c r="O69"/>
      <c r="P69"/>
      <c r="Q69"/>
      <c r="R69"/>
      <c r="S69"/>
      <c r="T69"/>
      <c r="U69"/>
      <c r="V69"/>
      <c r="W69"/>
      <c r="X69"/>
      <c r="Y69"/>
    </row>
    <row r="70" spans="1:25" s="2" customFormat="1" x14ac:dyDescent="0.2">
      <c r="A70" s="5" t="s">
        <v>14766</v>
      </c>
      <c r="B70" s="5" t="s">
        <v>83</v>
      </c>
      <c r="C70" s="5"/>
      <c r="D70" s="5" t="s">
        <v>14765</v>
      </c>
      <c r="E70" s="5"/>
      <c r="F70" s="5" t="s">
        <v>14764</v>
      </c>
      <c r="G70" s="5" t="s">
        <v>170</v>
      </c>
      <c r="H70" s="5" t="s">
        <v>137</v>
      </c>
      <c r="I70" s="5" t="s">
        <v>14310</v>
      </c>
      <c r="J70" s="5" t="s">
        <v>14763</v>
      </c>
      <c r="M70" s="1"/>
      <c r="N70"/>
      <c r="O70"/>
      <c r="P70"/>
      <c r="Q70"/>
      <c r="R70"/>
      <c r="S70"/>
      <c r="T70"/>
      <c r="U70"/>
      <c r="V70"/>
      <c r="W70"/>
      <c r="X70"/>
      <c r="Y70"/>
    </row>
    <row r="71" spans="1:25" s="2" customFormat="1" x14ac:dyDescent="0.2">
      <c r="A71" s="5" t="s">
        <v>14762</v>
      </c>
      <c r="B71" s="5" t="s">
        <v>83</v>
      </c>
      <c r="C71" s="5"/>
      <c r="D71" s="5" t="s">
        <v>14761</v>
      </c>
      <c r="E71" s="5"/>
      <c r="F71" s="5" t="s">
        <v>14760</v>
      </c>
      <c r="G71" s="5" t="s">
        <v>382</v>
      </c>
      <c r="H71" s="5" t="s">
        <v>137</v>
      </c>
      <c r="I71" s="5" t="s">
        <v>14310</v>
      </c>
      <c r="J71" s="5" t="s">
        <v>14759</v>
      </c>
      <c r="M71" s="1"/>
      <c r="N71"/>
      <c r="O71"/>
      <c r="P71"/>
      <c r="Q71"/>
      <c r="R71"/>
      <c r="S71"/>
      <c r="T71"/>
      <c r="U71"/>
      <c r="V71"/>
      <c r="W71"/>
      <c r="X71"/>
      <c r="Y71"/>
    </row>
    <row r="72" spans="1:25" s="2" customFormat="1" x14ac:dyDescent="0.2">
      <c r="A72" s="5" t="s">
        <v>14758</v>
      </c>
      <c r="B72" s="5" t="s">
        <v>83</v>
      </c>
      <c r="C72" s="5"/>
      <c r="D72" s="5" t="s">
        <v>14757</v>
      </c>
      <c r="E72" s="5"/>
      <c r="F72" s="5" t="s">
        <v>14660</v>
      </c>
      <c r="G72" s="5" t="s">
        <v>382</v>
      </c>
      <c r="H72" s="5" t="s">
        <v>137</v>
      </c>
      <c r="I72" s="5" t="s">
        <v>14310</v>
      </c>
      <c r="J72" s="5" t="s">
        <v>14756</v>
      </c>
      <c r="M72" s="1"/>
      <c r="N72"/>
      <c r="O72"/>
      <c r="P72"/>
      <c r="Q72"/>
      <c r="R72"/>
      <c r="S72"/>
      <c r="T72"/>
      <c r="U72"/>
      <c r="V72"/>
      <c r="W72"/>
      <c r="X72"/>
      <c r="Y72"/>
    </row>
    <row r="73" spans="1:25" s="2" customFormat="1" x14ac:dyDescent="0.2">
      <c r="A73" s="5" t="s">
        <v>14755</v>
      </c>
      <c r="B73" s="5" t="s">
        <v>83</v>
      </c>
      <c r="C73" s="5"/>
      <c r="D73" s="5" t="s">
        <v>14754</v>
      </c>
      <c r="E73" s="5" t="s">
        <v>368</v>
      </c>
      <c r="F73" s="5" t="s">
        <v>4589</v>
      </c>
      <c r="G73" s="5" t="s">
        <v>382</v>
      </c>
      <c r="H73" s="5" t="s">
        <v>137</v>
      </c>
      <c r="I73" s="5" t="s">
        <v>14310</v>
      </c>
      <c r="J73" s="5" t="s">
        <v>14753</v>
      </c>
      <c r="M73" s="1"/>
      <c r="N73"/>
      <c r="O73"/>
      <c r="P73"/>
      <c r="Q73"/>
      <c r="R73"/>
      <c r="S73"/>
      <c r="T73"/>
      <c r="U73"/>
      <c r="V73"/>
      <c r="W73"/>
      <c r="X73"/>
      <c r="Y73"/>
    </row>
    <row r="74" spans="1:25" s="2" customFormat="1" x14ac:dyDescent="0.2">
      <c r="A74" s="5" t="s">
        <v>14752</v>
      </c>
      <c r="B74" s="5" t="s">
        <v>83</v>
      </c>
      <c r="C74" s="5"/>
      <c r="D74" s="5" t="s">
        <v>14751</v>
      </c>
      <c r="E74" s="5" t="s">
        <v>368</v>
      </c>
      <c r="F74" s="5" t="s">
        <v>14660</v>
      </c>
      <c r="G74" s="5" t="s">
        <v>382</v>
      </c>
      <c r="H74" s="5" t="s">
        <v>137</v>
      </c>
      <c r="I74" s="5" t="s">
        <v>14310</v>
      </c>
      <c r="J74" s="5" t="s">
        <v>14750</v>
      </c>
      <c r="M74" s="1"/>
      <c r="N74"/>
      <c r="O74"/>
      <c r="P74"/>
      <c r="Q74"/>
      <c r="R74"/>
      <c r="S74"/>
      <c r="T74"/>
      <c r="U74"/>
      <c r="V74"/>
      <c r="W74"/>
      <c r="X74"/>
      <c r="Y74"/>
    </row>
    <row r="75" spans="1:25" s="2" customFormat="1" x14ac:dyDescent="0.2">
      <c r="A75" s="5" t="s">
        <v>14749</v>
      </c>
      <c r="B75" s="5" t="s">
        <v>83</v>
      </c>
      <c r="C75" s="5"/>
      <c r="D75" s="5" t="s">
        <v>14748</v>
      </c>
      <c r="E75" s="5"/>
      <c r="F75" s="5" t="s">
        <v>14660</v>
      </c>
      <c r="G75" s="5" t="s">
        <v>382</v>
      </c>
      <c r="H75" s="5" t="s">
        <v>137</v>
      </c>
      <c r="I75" s="5" t="s">
        <v>14310</v>
      </c>
      <c r="J75" s="5" t="s">
        <v>14747</v>
      </c>
      <c r="M75" s="1"/>
      <c r="N75"/>
      <c r="O75"/>
      <c r="P75"/>
      <c r="Q75"/>
      <c r="R75"/>
      <c r="S75"/>
      <c r="T75"/>
      <c r="U75"/>
      <c r="V75"/>
      <c r="W75"/>
      <c r="X75"/>
      <c r="Y75"/>
    </row>
    <row r="76" spans="1:25" s="2" customFormat="1" x14ac:dyDescent="0.2">
      <c r="A76" s="5" t="s">
        <v>14746</v>
      </c>
      <c r="B76" s="5" t="s">
        <v>83</v>
      </c>
      <c r="C76" s="5"/>
      <c r="D76" s="5" t="s">
        <v>14745</v>
      </c>
      <c r="E76" s="5"/>
      <c r="F76" s="5" t="s">
        <v>14744</v>
      </c>
      <c r="G76" s="5" t="s">
        <v>6584</v>
      </c>
      <c r="H76" s="5"/>
      <c r="I76" s="5"/>
      <c r="J76" s="5" t="s">
        <v>14743</v>
      </c>
      <c r="M76" s="1"/>
      <c r="N76"/>
      <c r="O76"/>
      <c r="P76"/>
      <c r="Q76"/>
      <c r="R76"/>
      <c r="S76"/>
      <c r="T76"/>
      <c r="U76"/>
      <c r="V76"/>
      <c r="W76"/>
      <c r="X76"/>
      <c r="Y76"/>
    </row>
    <row r="77" spans="1:25" s="2" customFormat="1" x14ac:dyDescent="0.2">
      <c r="A77" s="5" t="s">
        <v>14742</v>
      </c>
      <c r="B77" s="5" t="s">
        <v>83</v>
      </c>
      <c r="C77" s="5"/>
      <c r="D77" s="5" t="s">
        <v>14741</v>
      </c>
      <c r="E77" s="5"/>
      <c r="F77" s="5" t="s">
        <v>14740</v>
      </c>
      <c r="G77" s="5" t="s">
        <v>382</v>
      </c>
      <c r="H77" s="5" t="s">
        <v>137</v>
      </c>
      <c r="I77" s="5" t="s">
        <v>14310</v>
      </c>
      <c r="J77" s="5" t="s">
        <v>14739</v>
      </c>
      <c r="M77" s="1"/>
      <c r="N77"/>
      <c r="O77"/>
      <c r="P77"/>
      <c r="Q77"/>
      <c r="R77"/>
      <c r="S77"/>
      <c r="T77"/>
      <c r="U77"/>
      <c r="V77"/>
      <c r="W77"/>
      <c r="X77"/>
      <c r="Y77"/>
    </row>
    <row r="78" spans="1:25" s="2" customFormat="1" x14ac:dyDescent="0.2">
      <c r="A78" s="5" t="s">
        <v>14738</v>
      </c>
      <c r="B78" s="5" t="s">
        <v>83</v>
      </c>
      <c r="C78" s="5"/>
      <c r="D78" s="5" t="s">
        <v>14737</v>
      </c>
      <c r="E78" s="5"/>
      <c r="F78" s="5" t="s">
        <v>14660</v>
      </c>
      <c r="G78" s="5" t="s">
        <v>382</v>
      </c>
      <c r="H78" s="5" t="s">
        <v>137</v>
      </c>
      <c r="I78" s="5" t="s">
        <v>14310</v>
      </c>
      <c r="J78" s="5" t="s">
        <v>14736</v>
      </c>
      <c r="M78" s="1"/>
      <c r="N78"/>
      <c r="O78"/>
      <c r="P78"/>
      <c r="Q78"/>
      <c r="R78"/>
      <c r="S78"/>
      <c r="T78"/>
      <c r="U78"/>
      <c r="V78"/>
      <c r="W78"/>
      <c r="X78"/>
      <c r="Y78"/>
    </row>
    <row r="79" spans="1:25" s="2" customFormat="1" x14ac:dyDescent="0.2">
      <c r="A79" s="5" t="s">
        <v>8534</v>
      </c>
      <c r="B79" s="5" t="s">
        <v>83</v>
      </c>
      <c r="C79" s="5"/>
      <c r="D79" s="5" t="s">
        <v>14735</v>
      </c>
      <c r="E79" s="5"/>
      <c r="F79" s="5"/>
      <c r="G79" s="5" t="s">
        <v>4028</v>
      </c>
      <c r="H79" s="5" t="s">
        <v>137</v>
      </c>
      <c r="I79" s="5"/>
      <c r="J79" s="5"/>
      <c r="M79" s="1"/>
      <c r="N79"/>
      <c r="O79"/>
      <c r="P79"/>
      <c r="Q79"/>
      <c r="R79"/>
      <c r="S79"/>
      <c r="T79"/>
      <c r="U79"/>
      <c r="V79"/>
      <c r="W79"/>
      <c r="X79"/>
      <c r="Y79"/>
    </row>
    <row r="80" spans="1:25" s="2" customFormat="1" x14ac:dyDescent="0.2">
      <c r="A80" s="5" t="s">
        <v>14734</v>
      </c>
      <c r="B80" s="5" t="s">
        <v>83</v>
      </c>
      <c r="C80" s="5"/>
      <c r="D80" s="5" t="s">
        <v>14733</v>
      </c>
      <c r="E80" s="5"/>
      <c r="F80" s="5" t="s">
        <v>14660</v>
      </c>
      <c r="G80" s="5" t="s">
        <v>382</v>
      </c>
      <c r="H80" s="5" t="s">
        <v>137</v>
      </c>
      <c r="I80" s="5" t="s">
        <v>14310</v>
      </c>
      <c r="J80" s="5" t="s">
        <v>14732</v>
      </c>
      <c r="M80" s="1"/>
      <c r="N80"/>
      <c r="O80"/>
      <c r="P80"/>
      <c r="Q80"/>
      <c r="R80"/>
      <c r="S80"/>
      <c r="T80"/>
      <c r="U80"/>
      <c r="V80"/>
      <c r="W80"/>
      <c r="X80"/>
      <c r="Y80"/>
    </row>
    <row r="81" spans="1:25" s="2" customFormat="1" x14ac:dyDescent="0.2">
      <c r="A81" s="5" t="s">
        <v>14731</v>
      </c>
      <c r="B81" s="5" t="s">
        <v>83</v>
      </c>
      <c r="C81" s="5"/>
      <c r="D81" s="5" t="s">
        <v>14730</v>
      </c>
      <c r="E81" s="5"/>
      <c r="F81" s="5" t="s">
        <v>14729</v>
      </c>
      <c r="G81" s="5" t="s">
        <v>382</v>
      </c>
      <c r="H81" s="5" t="s">
        <v>137</v>
      </c>
      <c r="I81" s="5" t="s">
        <v>14310</v>
      </c>
      <c r="J81" s="5" t="s">
        <v>14728</v>
      </c>
      <c r="M81" s="1"/>
      <c r="N81"/>
      <c r="O81"/>
      <c r="P81"/>
      <c r="Q81"/>
      <c r="R81"/>
      <c r="S81"/>
      <c r="T81"/>
      <c r="U81"/>
      <c r="V81"/>
      <c r="W81"/>
      <c r="X81"/>
      <c r="Y81"/>
    </row>
    <row r="82" spans="1:25" s="2" customFormat="1" x14ac:dyDescent="0.2">
      <c r="A82" s="5" t="s">
        <v>14727</v>
      </c>
      <c r="B82" s="5" t="s">
        <v>83</v>
      </c>
      <c r="C82" s="5"/>
      <c r="D82" s="5" t="s">
        <v>14726</v>
      </c>
      <c r="E82" s="5"/>
      <c r="F82" s="5" t="s">
        <v>14660</v>
      </c>
      <c r="G82" s="5" t="s">
        <v>382</v>
      </c>
      <c r="H82" s="5" t="s">
        <v>137</v>
      </c>
      <c r="I82" s="5" t="s">
        <v>14310</v>
      </c>
      <c r="J82" s="5" t="s">
        <v>14725</v>
      </c>
      <c r="M82" s="1"/>
      <c r="N82"/>
      <c r="O82"/>
      <c r="P82"/>
      <c r="Q82"/>
      <c r="R82"/>
      <c r="S82"/>
      <c r="T82"/>
      <c r="U82"/>
      <c r="V82"/>
      <c r="W82"/>
      <c r="X82"/>
      <c r="Y82"/>
    </row>
    <row r="83" spans="1:25" s="2" customFormat="1" x14ac:dyDescent="0.2">
      <c r="A83" s="5" t="s">
        <v>14724</v>
      </c>
      <c r="B83" s="5" t="s">
        <v>83</v>
      </c>
      <c r="C83" s="5"/>
      <c r="D83" s="5" t="s">
        <v>14723</v>
      </c>
      <c r="E83" s="5"/>
      <c r="F83" s="5" t="s">
        <v>14660</v>
      </c>
      <c r="G83" s="5" t="s">
        <v>382</v>
      </c>
      <c r="H83" s="5" t="s">
        <v>137</v>
      </c>
      <c r="I83" s="5" t="s">
        <v>14310</v>
      </c>
      <c r="J83" s="5" t="s">
        <v>14722</v>
      </c>
      <c r="M83" s="1"/>
      <c r="N83"/>
      <c r="O83"/>
      <c r="P83"/>
      <c r="Q83"/>
      <c r="R83"/>
      <c r="S83"/>
      <c r="T83"/>
      <c r="U83"/>
      <c r="V83"/>
      <c r="W83"/>
      <c r="X83"/>
      <c r="Y83"/>
    </row>
    <row r="84" spans="1:25" s="2" customFormat="1" x14ac:dyDescent="0.2">
      <c r="A84" s="5" t="s">
        <v>14721</v>
      </c>
      <c r="B84" s="5" t="s">
        <v>83</v>
      </c>
      <c r="C84" s="5"/>
      <c r="D84" s="5" t="s">
        <v>14720</v>
      </c>
      <c r="E84" s="5" t="s">
        <v>138</v>
      </c>
      <c r="F84" s="5" t="s">
        <v>14719</v>
      </c>
      <c r="G84" s="5" t="s">
        <v>382</v>
      </c>
      <c r="H84" s="5" t="s">
        <v>137</v>
      </c>
      <c r="I84" s="5" t="s">
        <v>14310</v>
      </c>
      <c r="J84" s="5" t="s">
        <v>14718</v>
      </c>
      <c r="M84" s="1"/>
      <c r="N84"/>
      <c r="O84"/>
      <c r="P84"/>
      <c r="Q84"/>
      <c r="R84"/>
      <c r="S84"/>
      <c r="T84"/>
      <c r="U84"/>
      <c r="V84"/>
      <c r="W84"/>
      <c r="X84"/>
      <c r="Y84"/>
    </row>
    <row r="85" spans="1:25" s="2" customFormat="1" x14ac:dyDescent="0.2">
      <c r="A85" s="5" t="s">
        <v>14717</v>
      </c>
      <c r="B85" s="5" t="s">
        <v>83</v>
      </c>
      <c r="C85" s="5"/>
      <c r="D85" s="5" t="s">
        <v>14716</v>
      </c>
      <c r="E85" s="5"/>
      <c r="F85" s="5" t="s">
        <v>14715</v>
      </c>
      <c r="G85" s="5" t="s">
        <v>170</v>
      </c>
      <c r="H85" s="5" t="s">
        <v>137</v>
      </c>
      <c r="I85" s="5" t="s">
        <v>14310</v>
      </c>
      <c r="J85" s="5" t="s">
        <v>14714</v>
      </c>
      <c r="M85" s="1"/>
      <c r="N85"/>
      <c r="O85"/>
      <c r="P85"/>
      <c r="Q85"/>
      <c r="R85"/>
      <c r="S85"/>
      <c r="T85"/>
      <c r="U85"/>
      <c r="V85"/>
      <c r="W85"/>
      <c r="X85"/>
      <c r="Y85"/>
    </row>
    <row r="86" spans="1:25" s="2" customFormat="1" x14ac:dyDescent="0.2">
      <c r="A86" s="5" t="s">
        <v>14713</v>
      </c>
      <c r="B86" s="5" t="s">
        <v>83</v>
      </c>
      <c r="C86" s="5"/>
      <c r="D86" s="5" t="s">
        <v>14712</v>
      </c>
      <c r="E86" s="5"/>
      <c r="F86" s="5"/>
      <c r="G86" s="5" t="s">
        <v>382</v>
      </c>
      <c r="H86" s="5" t="s">
        <v>137</v>
      </c>
      <c r="I86" s="5" t="s">
        <v>14310</v>
      </c>
      <c r="J86" s="5" t="s">
        <v>14711</v>
      </c>
      <c r="M86" s="1"/>
      <c r="N86"/>
      <c r="O86"/>
      <c r="P86"/>
      <c r="Q86"/>
      <c r="R86"/>
      <c r="S86"/>
      <c r="T86"/>
      <c r="U86"/>
      <c r="V86"/>
      <c r="W86"/>
      <c r="X86"/>
      <c r="Y86"/>
    </row>
    <row r="87" spans="1:25" s="2" customFormat="1" x14ac:dyDescent="0.2">
      <c r="A87" s="5" t="s">
        <v>14710</v>
      </c>
      <c r="B87" s="5" t="s">
        <v>83</v>
      </c>
      <c r="C87" s="5"/>
      <c r="D87" s="5" t="s">
        <v>14709</v>
      </c>
      <c r="E87" s="5" t="s">
        <v>368</v>
      </c>
      <c r="F87" s="5" t="s">
        <v>14708</v>
      </c>
      <c r="G87" s="5" t="s">
        <v>382</v>
      </c>
      <c r="H87" s="5" t="s">
        <v>137</v>
      </c>
      <c r="I87" s="5" t="s">
        <v>14310</v>
      </c>
      <c r="J87" s="5" t="s">
        <v>14707</v>
      </c>
      <c r="M87" s="1"/>
      <c r="N87"/>
      <c r="O87"/>
      <c r="P87"/>
      <c r="Q87"/>
      <c r="R87"/>
      <c r="S87"/>
      <c r="T87"/>
      <c r="U87"/>
      <c r="V87"/>
      <c r="W87"/>
      <c r="X87"/>
      <c r="Y87"/>
    </row>
    <row r="88" spans="1:25" s="2" customFormat="1" x14ac:dyDescent="0.2">
      <c r="A88" s="5" t="s">
        <v>14706</v>
      </c>
      <c r="B88" s="5" t="s">
        <v>83</v>
      </c>
      <c r="C88" s="5"/>
      <c r="D88" s="5" t="s">
        <v>14705</v>
      </c>
      <c r="E88" s="5"/>
      <c r="F88" s="5" t="s">
        <v>14660</v>
      </c>
      <c r="G88" s="5" t="s">
        <v>382</v>
      </c>
      <c r="H88" s="5" t="s">
        <v>137</v>
      </c>
      <c r="I88" s="5" t="s">
        <v>14310</v>
      </c>
      <c r="J88" s="5" t="s">
        <v>14704</v>
      </c>
      <c r="M88" s="1"/>
      <c r="N88"/>
      <c r="O88"/>
      <c r="P88"/>
      <c r="Q88"/>
      <c r="R88"/>
      <c r="S88"/>
      <c r="T88"/>
      <c r="U88"/>
      <c r="V88"/>
      <c r="W88"/>
      <c r="X88"/>
      <c r="Y88"/>
    </row>
    <row r="89" spans="1:25" s="2" customFormat="1" x14ac:dyDescent="0.2">
      <c r="A89" s="5" t="s">
        <v>14703</v>
      </c>
      <c r="B89" s="5" t="s">
        <v>83</v>
      </c>
      <c r="C89" s="5"/>
      <c r="D89" s="5" t="s">
        <v>14685</v>
      </c>
      <c r="E89" s="5" t="s">
        <v>93</v>
      </c>
      <c r="F89" s="5" t="s">
        <v>14660</v>
      </c>
      <c r="G89" s="5" t="s">
        <v>382</v>
      </c>
      <c r="H89" s="5" t="s">
        <v>137</v>
      </c>
      <c r="I89" s="5" t="s">
        <v>14310</v>
      </c>
      <c r="J89" s="5" t="s">
        <v>14684</v>
      </c>
      <c r="M89" s="1"/>
      <c r="N89"/>
      <c r="O89"/>
      <c r="P89"/>
      <c r="Q89"/>
      <c r="R89"/>
      <c r="S89"/>
      <c r="T89"/>
      <c r="U89"/>
      <c r="V89"/>
      <c r="W89"/>
      <c r="X89"/>
      <c r="Y89"/>
    </row>
    <row r="90" spans="1:25" s="2" customFormat="1" x14ac:dyDescent="0.2">
      <c r="A90" s="5" t="s">
        <v>14702</v>
      </c>
      <c r="B90" s="5" t="s">
        <v>83</v>
      </c>
      <c r="C90" s="5"/>
      <c r="D90" s="5" t="s">
        <v>14701</v>
      </c>
      <c r="E90" s="5"/>
      <c r="F90" s="5" t="s">
        <v>14700</v>
      </c>
      <c r="G90" s="5" t="s">
        <v>6584</v>
      </c>
      <c r="H90" s="5" t="s">
        <v>3</v>
      </c>
      <c r="I90" s="5"/>
      <c r="J90" s="5" t="s">
        <v>14699</v>
      </c>
      <c r="M90" s="1"/>
      <c r="N90"/>
      <c r="O90"/>
      <c r="P90"/>
      <c r="Q90"/>
      <c r="R90"/>
      <c r="S90"/>
      <c r="T90"/>
      <c r="U90"/>
      <c r="V90"/>
      <c r="W90"/>
      <c r="X90"/>
      <c r="Y90"/>
    </row>
    <row r="91" spans="1:25" s="2" customFormat="1" x14ac:dyDescent="0.2">
      <c r="A91" s="5" t="s">
        <v>14698</v>
      </c>
      <c r="B91" s="5" t="s">
        <v>83</v>
      </c>
      <c r="C91" s="5"/>
      <c r="D91" s="5" t="s">
        <v>14697</v>
      </c>
      <c r="E91" s="5" t="s">
        <v>368</v>
      </c>
      <c r="F91" s="5" t="s">
        <v>14696</v>
      </c>
      <c r="G91" s="5" t="s">
        <v>382</v>
      </c>
      <c r="H91" s="5" t="s">
        <v>137</v>
      </c>
      <c r="I91" s="5" t="s">
        <v>14310</v>
      </c>
      <c r="J91" s="5" t="s">
        <v>14695</v>
      </c>
      <c r="M91" s="1"/>
      <c r="N91"/>
      <c r="O91"/>
      <c r="P91"/>
      <c r="Q91"/>
      <c r="R91"/>
      <c r="S91"/>
      <c r="T91"/>
      <c r="U91"/>
      <c r="V91"/>
      <c r="W91"/>
      <c r="X91"/>
      <c r="Y91"/>
    </row>
    <row r="92" spans="1:25" s="2" customFormat="1" x14ac:dyDescent="0.2">
      <c r="A92" s="5" t="s">
        <v>14694</v>
      </c>
      <c r="B92" s="5" t="s">
        <v>83</v>
      </c>
      <c r="C92" s="5"/>
      <c r="D92" s="5" t="s">
        <v>14693</v>
      </c>
      <c r="E92" s="5" t="s">
        <v>138</v>
      </c>
      <c r="F92" s="5" t="s">
        <v>14692</v>
      </c>
      <c r="G92" s="5" t="s">
        <v>382</v>
      </c>
      <c r="H92" s="5" t="s">
        <v>137</v>
      </c>
      <c r="I92" s="5" t="s">
        <v>14310</v>
      </c>
      <c r="J92" s="5" t="s">
        <v>14691</v>
      </c>
      <c r="M92" s="1"/>
      <c r="N92"/>
      <c r="O92"/>
      <c r="P92"/>
      <c r="Q92"/>
      <c r="R92"/>
      <c r="S92"/>
      <c r="T92"/>
      <c r="U92"/>
      <c r="V92"/>
      <c r="W92"/>
      <c r="X92"/>
      <c r="Y92"/>
    </row>
    <row r="93" spans="1:25" s="2" customFormat="1" x14ac:dyDescent="0.2">
      <c r="A93" s="5" t="s">
        <v>14690</v>
      </c>
      <c r="B93" s="5" t="s">
        <v>83</v>
      </c>
      <c r="C93" s="5"/>
      <c r="D93" s="5" t="s">
        <v>14689</v>
      </c>
      <c r="E93" s="5" t="s">
        <v>299</v>
      </c>
      <c r="F93" s="5" t="s">
        <v>14688</v>
      </c>
      <c r="G93" s="5" t="s">
        <v>382</v>
      </c>
      <c r="H93" s="5" t="s">
        <v>137</v>
      </c>
      <c r="I93" s="5" t="s">
        <v>14310</v>
      </c>
      <c r="J93" s="5" t="s">
        <v>14687</v>
      </c>
      <c r="M93" s="1"/>
      <c r="N93"/>
      <c r="O93"/>
      <c r="P93"/>
      <c r="Q93"/>
      <c r="R93"/>
      <c r="S93"/>
      <c r="T93"/>
      <c r="U93"/>
      <c r="V93"/>
      <c r="W93"/>
      <c r="X93"/>
      <c r="Y93"/>
    </row>
    <row r="94" spans="1:25" s="2" customFormat="1" x14ac:dyDescent="0.2">
      <c r="A94" s="5" t="s">
        <v>14686</v>
      </c>
      <c r="B94" s="5" t="s">
        <v>83</v>
      </c>
      <c r="C94" s="5"/>
      <c r="D94" s="5" t="s">
        <v>14685</v>
      </c>
      <c r="E94" s="5" t="s">
        <v>93</v>
      </c>
      <c r="F94" s="5" t="s">
        <v>14660</v>
      </c>
      <c r="G94" s="5" t="s">
        <v>382</v>
      </c>
      <c r="H94" s="5" t="s">
        <v>137</v>
      </c>
      <c r="I94" s="5" t="s">
        <v>14310</v>
      </c>
      <c r="J94" s="5" t="s">
        <v>14684</v>
      </c>
      <c r="M94" s="1"/>
      <c r="N94"/>
      <c r="O94"/>
      <c r="P94"/>
      <c r="Q94"/>
      <c r="R94"/>
      <c r="S94"/>
      <c r="T94"/>
      <c r="U94"/>
      <c r="V94"/>
      <c r="W94"/>
      <c r="X94"/>
      <c r="Y94"/>
    </row>
    <row r="95" spans="1:25" s="2" customFormat="1" x14ac:dyDescent="0.2">
      <c r="A95" s="5" t="s">
        <v>14683</v>
      </c>
      <c r="B95" s="5" t="s">
        <v>83</v>
      </c>
      <c r="C95" s="5"/>
      <c r="D95" s="5" t="s">
        <v>14682</v>
      </c>
      <c r="E95" s="5"/>
      <c r="F95" s="5" t="s">
        <v>14660</v>
      </c>
      <c r="G95" s="5" t="s">
        <v>382</v>
      </c>
      <c r="H95" s="5" t="s">
        <v>137</v>
      </c>
      <c r="I95" s="5" t="s">
        <v>14310</v>
      </c>
      <c r="J95" s="5" t="s">
        <v>14681</v>
      </c>
      <c r="M95" s="1"/>
      <c r="N95"/>
      <c r="O95"/>
      <c r="P95"/>
      <c r="Q95"/>
      <c r="R95"/>
      <c r="S95"/>
      <c r="T95"/>
      <c r="U95"/>
      <c r="V95"/>
      <c r="W95"/>
      <c r="X95"/>
      <c r="Y95"/>
    </row>
    <row r="96" spans="1:25" s="2" customFormat="1" x14ac:dyDescent="0.2">
      <c r="A96" s="5" t="s">
        <v>14680</v>
      </c>
      <c r="B96" s="5" t="s">
        <v>83</v>
      </c>
      <c r="C96" s="5"/>
      <c r="D96" s="5" t="s">
        <v>14679</v>
      </c>
      <c r="E96" s="5" t="s">
        <v>368</v>
      </c>
      <c r="F96" s="5" t="s">
        <v>14678</v>
      </c>
      <c r="G96" s="5" t="s">
        <v>382</v>
      </c>
      <c r="H96" s="5" t="s">
        <v>137</v>
      </c>
      <c r="I96" s="5" t="s">
        <v>14310</v>
      </c>
      <c r="J96" s="5" t="s">
        <v>14677</v>
      </c>
      <c r="M96" s="1"/>
      <c r="N96"/>
      <c r="O96"/>
      <c r="P96"/>
      <c r="Q96"/>
      <c r="R96"/>
      <c r="S96"/>
      <c r="T96"/>
      <c r="U96"/>
      <c r="V96"/>
      <c r="W96"/>
      <c r="X96"/>
      <c r="Y96"/>
    </row>
    <row r="97" spans="1:25" s="2" customFormat="1" x14ac:dyDescent="0.2">
      <c r="A97" s="5" t="s">
        <v>14676</v>
      </c>
      <c r="B97" s="5" t="s">
        <v>83</v>
      </c>
      <c r="C97" s="5"/>
      <c r="D97" s="5" t="s">
        <v>14675</v>
      </c>
      <c r="E97" s="5" t="s">
        <v>138</v>
      </c>
      <c r="F97" s="5" t="s">
        <v>14674</v>
      </c>
      <c r="G97" s="5" t="s">
        <v>382</v>
      </c>
      <c r="H97" s="5" t="s">
        <v>137</v>
      </c>
      <c r="I97" s="5" t="s">
        <v>14310</v>
      </c>
      <c r="J97" s="5" t="s">
        <v>14673</v>
      </c>
      <c r="M97" s="1"/>
      <c r="N97"/>
      <c r="O97"/>
      <c r="P97"/>
      <c r="Q97"/>
      <c r="R97"/>
      <c r="S97"/>
      <c r="T97"/>
      <c r="U97"/>
      <c r="V97"/>
      <c r="W97"/>
      <c r="X97"/>
      <c r="Y97"/>
    </row>
    <row r="98" spans="1:25" s="2" customFormat="1" x14ac:dyDescent="0.2">
      <c r="A98" s="5" t="s">
        <v>14672</v>
      </c>
      <c r="B98" s="5" t="s">
        <v>83</v>
      </c>
      <c r="C98" s="5"/>
      <c r="D98" s="5" t="s">
        <v>14671</v>
      </c>
      <c r="E98" s="5"/>
      <c r="F98" s="5" t="s">
        <v>14660</v>
      </c>
      <c r="G98" s="5" t="s">
        <v>382</v>
      </c>
      <c r="H98" s="5" t="s">
        <v>137</v>
      </c>
      <c r="I98" s="5" t="s">
        <v>14310</v>
      </c>
      <c r="J98" s="5" t="s">
        <v>14670</v>
      </c>
      <c r="M98" s="1"/>
      <c r="N98"/>
      <c r="O98"/>
      <c r="P98"/>
      <c r="Q98"/>
      <c r="R98"/>
      <c r="S98"/>
      <c r="T98"/>
      <c r="U98"/>
      <c r="V98"/>
      <c r="W98"/>
      <c r="X98"/>
      <c r="Y98"/>
    </row>
    <row r="99" spans="1:25" s="2" customFormat="1" x14ac:dyDescent="0.2">
      <c r="A99" s="5" t="s">
        <v>14669</v>
      </c>
      <c r="B99" s="5" t="s">
        <v>83</v>
      </c>
      <c r="C99" s="5"/>
      <c r="D99" s="5" t="s">
        <v>14668</v>
      </c>
      <c r="E99" s="5"/>
      <c r="F99" s="5" t="s">
        <v>14660</v>
      </c>
      <c r="G99" s="5" t="s">
        <v>382</v>
      </c>
      <c r="H99" s="5" t="s">
        <v>137</v>
      </c>
      <c r="I99" s="5" t="s">
        <v>14310</v>
      </c>
      <c r="J99" s="5" t="s">
        <v>14667</v>
      </c>
      <c r="M99" s="1"/>
      <c r="N99"/>
      <c r="O99"/>
      <c r="P99"/>
      <c r="Q99"/>
      <c r="R99"/>
      <c r="S99"/>
      <c r="T99"/>
      <c r="U99"/>
      <c r="V99"/>
      <c r="W99"/>
      <c r="X99"/>
      <c r="Y99"/>
    </row>
    <row r="100" spans="1:25" s="2" customFormat="1" x14ac:dyDescent="0.2">
      <c r="A100" s="5" t="s">
        <v>14666</v>
      </c>
      <c r="B100" s="5" t="s">
        <v>83</v>
      </c>
      <c r="C100" s="5"/>
      <c r="D100" s="5" t="s">
        <v>14665</v>
      </c>
      <c r="E100" s="5" t="s">
        <v>138</v>
      </c>
      <c r="F100" s="5" t="s">
        <v>14664</v>
      </c>
      <c r="G100" s="5" t="s">
        <v>382</v>
      </c>
      <c r="H100" s="5" t="s">
        <v>137</v>
      </c>
      <c r="I100" s="5" t="s">
        <v>14310</v>
      </c>
      <c r="J100" s="5" t="s">
        <v>14663</v>
      </c>
      <c r="M100" s="1"/>
      <c r="N100"/>
      <c r="O100"/>
      <c r="P100"/>
      <c r="Q100"/>
      <c r="R100"/>
      <c r="S100"/>
      <c r="T100"/>
      <c r="U100"/>
      <c r="V100"/>
      <c r="W100"/>
      <c r="X100"/>
      <c r="Y100"/>
    </row>
    <row r="101" spans="1:25" s="2" customFormat="1" x14ac:dyDescent="0.2">
      <c r="A101" s="5" t="s">
        <v>14662</v>
      </c>
      <c r="B101" s="5" t="s">
        <v>83</v>
      </c>
      <c r="C101" s="5"/>
      <c r="D101" s="5" t="s">
        <v>14661</v>
      </c>
      <c r="E101" s="5"/>
      <c r="F101" s="5" t="s">
        <v>14660</v>
      </c>
      <c r="G101" s="5" t="s">
        <v>382</v>
      </c>
      <c r="H101" s="5" t="s">
        <v>137</v>
      </c>
      <c r="I101" s="5" t="s">
        <v>14310</v>
      </c>
      <c r="J101" s="5" t="s">
        <v>14659</v>
      </c>
      <c r="M101" s="1"/>
      <c r="N101"/>
      <c r="O101"/>
      <c r="P101"/>
      <c r="Q101"/>
      <c r="R101"/>
      <c r="S101"/>
      <c r="T101"/>
      <c r="U101"/>
      <c r="V101"/>
      <c r="W101"/>
      <c r="X101"/>
      <c r="Y101"/>
    </row>
    <row r="102" spans="1:25" s="2" customFormat="1" x14ac:dyDescent="0.2">
      <c r="A102" s="5" t="s">
        <v>14658</v>
      </c>
      <c r="B102" s="5" t="s">
        <v>83</v>
      </c>
      <c r="C102" s="5"/>
      <c r="D102" s="5" t="s">
        <v>14657</v>
      </c>
      <c r="E102" s="5" t="s">
        <v>138</v>
      </c>
      <c r="F102" s="5" t="s">
        <v>14656</v>
      </c>
      <c r="G102" s="5" t="s">
        <v>382</v>
      </c>
      <c r="H102" s="5" t="s">
        <v>137</v>
      </c>
      <c r="I102" s="5" t="s">
        <v>14310</v>
      </c>
      <c r="J102" s="5" t="s">
        <v>14655</v>
      </c>
      <c r="M102" s="1"/>
      <c r="N102"/>
      <c r="O102"/>
      <c r="P102"/>
      <c r="Q102"/>
      <c r="R102"/>
      <c r="S102"/>
      <c r="T102"/>
      <c r="U102"/>
      <c r="V102"/>
      <c r="W102"/>
      <c r="X102"/>
      <c r="Y102"/>
    </row>
    <row r="103" spans="1:25" s="2" customFormat="1" ht="25.5" x14ac:dyDescent="0.2">
      <c r="A103" s="5" t="s">
        <v>14654</v>
      </c>
      <c r="B103" s="5" t="s">
        <v>83</v>
      </c>
      <c r="C103" s="5"/>
      <c r="D103" s="5" t="s">
        <v>14653</v>
      </c>
      <c r="E103" s="5"/>
      <c r="F103" s="5" t="s">
        <v>14652</v>
      </c>
      <c r="G103" s="5" t="s">
        <v>224</v>
      </c>
      <c r="H103" s="5" t="s">
        <v>137</v>
      </c>
      <c r="I103" s="5" t="s">
        <v>14297</v>
      </c>
      <c r="J103" s="5" t="s">
        <v>14651</v>
      </c>
      <c r="M103" s="1"/>
      <c r="N103"/>
      <c r="O103"/>
      <c r="P103"/>
      <c r="Q103"/>
      <c r="R103"/>
      <c r="S103"/>
      <c r="T103"/>
      <c r="U103"/>
      <c r="V103"/>
      <c r="W103"/>
      <c r="X103"/>
      <c r="Y103"/>
    </row>
    <row r="104" spans="1:25" s="2" customFormat="1" x14ac:dyDescent="0.2">
      <c r="A104" s="5" t="s">
        <v>14650</v>
      </c>
      <c r="B104" s="5" t="s">
        <v>83</v>
      </c>
      <c r="C104" s="5"/>
      <c r="D104" s="5" t="s">
        <v>14649</v>
      </c>
      <c r="E104" s="5"/>
      <c r="F104" s="5" t="s">
        <v>8305</v>
      </c>
      <c r="G104" s="5" t="s">
        <v>122</v>
      </c>
      <c r="H104" s="5" t="s">
        <v>137</v>
      </c>
      <c r="I104" s="5" t="s">
        <v>14310</v>
      </c>
      <c r="J104" s="5" t="s">
        <v>8305</v>
      </c>
      <c r="M104" s="1"/>
      <c r="N104"/>
      <c r="O104"/>
      <c r="P104"/>
      <c r="Q104"/>
      <c r="R104"/>
      <c r="S104"/>
      <c r="T104"/>
      <c r="U104"/>
      <c r="V104"/>
      <c r="W104"/>
      <c r="X104"/>
      <c r="Y104"/>
    </row>
    <row r="105" spans="1:25" s="2" customFormat="1" x14ac:dyDescent="0.2">
      <c r="A105" s="5" t="s">
        <v>14648</v>
      </c>
      <c r="B105" s="5" t="s">
        <v>83</v>
      </c>
      <c r="C105" s="5"/>
      <c r="D105" s="5" t="s">
        <v>14645</v>
      </c>
      <c r="E105" s="5" t="s">
        <v>150</v>
      </c>
      <c r="F105" s="5" t="s">
        <v>212</v>
      </c>
      <c r="G105" s="5" t="s">
        <v>148</v>
      </c>
      <c r="H105" s="5" t="s">
        <v>137</v>
      </c>
      <c r="I105" s="5" t="s">
        <v>14310</v>
      </c>
      <c r="J105" s="5" t="s">
        <v>14647</v>
      </c>
      <c r="M105" s="1"/>
      <c r="N105"/>
      <c r="O105"/>
      <c r="P105"/>
      <c r="Q105"/>
      <c r="R105"/>
      <c r="S105"/>
      <c r="T105"/>
      <c r="U105"/>
      <c r="V105"/>
      <c r="W105"/>
      <c r="X105"/>
      <c r="Y105"/>
    </row>
    <row r="106" spans="1:25" s="2" customFormat="1" ht="25.5" x14ac:dyDescent="0.2">
      <c r="A106" s="5" t="s">
        <v>14646</v>
      </c>
      <c r="B106" s="5" t="s">
        <v>83</v>
      </c>
      <c r="C106" s="5"/>
      <c r="D106" s="5" t="s">
        <v>14645</v>
      </c>
      <c r="E106" s="5" t="s">
        <v>213</v>
      </c>
      <c r="F106" s="5" t="s">
        <v>212</v>
      </c>
      <c r="G106" s="5" t="s">
        <v>91</v>
      </c>
      <c r="H106" s="5" t="s">
        <v>137</v>
      </c>
      <c r="I106" s="5" t="s">
        <v>14310</v>
      </c>
      <c r="J106" s="5" t="s">
        <v>14644</v>
      </c>
      <c r="M106" s="1"/>
      <c r="N106"/>
      <c r="O106"/>
      <c r="P106"/>
      <c r="Q106"/>
      <c r="R106"/>
      <c r="S106"/>
      <c r="T106"/>
      <c r="U106"/>
      <c r="V106"/>
      <c r="W106"/>
      <c r="X106"/>
      <c r="Y106"/>
    </row>
    <row r="107" spans="1:25" s="2" customFormat="1" ht="25.5" x14ac:dyDescent="0.2">
      <c r="A107" s="5" t="s">
        <v>14643</v>
      </c>
      <c r="B107" s="5" t="s">
        <v>83</v>
      </c>
      <c r="C107" s="5"/>
      <c r="D107" s="5" t="s">
        <v>14642</v>
      </c>
      <c r="E107" s="5"/>
      <c r="F107" s="5" t="s">
        <v>14641</v>
      </c>
      <c r="G107" s="5" t="s">
        <v>80</v>
      </c>
      <c r="H107" s="5" t="s">
        <v>137</v>
      </c>
      <c r="I107" s="5" t="s">
        <v>14310</v>
      </c>
      <c r="J107" s="5" t="s">
        <v>14640</v>
      </c>
      <c r="M107" s="1"/>
      <c r="N107"/>
      <c r="O107"/>
      <c r="P107"/>
      <c r="Q107"/>
      <c r="R107"/>
      <c r="S107"/>
      <c r="T107"/>
      <c r="U107"/>
      <c r="V107"/>
      <c r="W107"/>
      <c r="X107"/>
      <c r="Y107"/>
    </row>
    <row r="108" spans="1:25" s="2" customFormat="1" x14ac:dyDescent="0.2">
      <c r="A108" s="5" t="s">
        <v>14639</v>
      </c>
      <c r="B108" s="5" t="s">
        <v>83</v>
      </c>
      <c r="C108" s="5"/>
      <c r="D108" s="5" t="s">
        <v>14638</v>
      </c>
      <c r="E108" s="5"/>
      <c r="F108" s="5" t="s">
        <v>7591</v>
      </c>
      <c r="G108" s="5" t="s">
        <v>3059</v>
      </c>
      <c r="H108" s="5" t="s">
        <v>137</v>
      </c>
      <c r="I108" s="5" t="s">
        <v>14310</v>
      </c>
      <c r="J108" s="5" t="s">
        <v>14637</v>
      </c>
      <c r="M108" s="1"/>
      <c r="N108"/>
      <c r="O108"/>
      <c r="P108"/>
      <c r="Q108"/>
      <c r="R108"/>
      <c r="S108"/>
      <c r="T108"/>
      <c r="U108"/>
      <c r="V108"/>
      <c r="W108"/>
      <c r="X108"/>
      <c r="Y108"/>
    </row>
    <row r="109" spans="1:25" s="2" customFormat="1" ht="25.5" x14ac:dyDescent="0.2">
      <c r="A109" s="5" t="s">
        <v>14636</v>
      </c>
      <c r="B109" s="5" t="s">
        <v>83</v>
      </c>
      <c r="C109" s="5"/>
      <c r="D109" s="5" t="s">
        <v>14635</v>
      </c>
      <c r="E109" s="5"/>
      <c r="F109" s="5" t="s">
        <v>1533</v>
      </c>
      <c r="G109" s="5" t="s">
        <v>3059</v>
      </c>
      <c r="H109" s="5" t="s">
        <v>137</v>
      </c>
      <c r="I109" s="5" t="s">
        <v>14310</v>
      </c>
      <c r="J109" s="5" t="s">
        <v>14634</v>
      </c>
      <c r="M109" s="1"/>
      <c r="N109"/>
      <c r="O109"/>
      <c r="P109"/>
      <c r="Q109"/>
      <c r="R109"/>
      <c r="S109"/>
      <c r="T109"/>
      <c r="U109"/>
      <c r="V109"/>
      <c r="W109"/>
      <c r="X109"/>
      <c r="Y109"/>
    </row>
    <row r="110" spans="1:25" s="2" customFormat="1" ht="25.5" x14ac:dyDescent="0.2">
      <c r="A110" s="5" t="s">
        <v>14633</v>
      </c>
      <c r="B110" s="5" t="s">
        <v>83</v>
      </c>
      <c r="C110" s="5"/>
      <c r="D110" s="5" t="s">
        <v>14632</v>
      </c>
      <c r="E110" s="5"/>
      <c r="F110" s="5" t="s">
        <v>14631</v>
      </c>
      <c r="G110" s="5" t="s">
        <v>229</v>
      </c>
      <c r="H110" s="5" t="s">
        <v>137</v>
      </c>
      <c r="I110" s="5" t="s">
        <v>14310</v>
      </c>
      <c r="J110" s="5" t="s">
        <v>14630</v>
      </c>
      <c r="M110" s="1"/>
      <c r="N110"/>
      <c r="O110"/>
      <c r="P110"/>
      <c r="Q110"/>
      <c r="R110"/>
      <c r="S110"/>
      <c r="T110"/>
      <c r="U110"/>
      <c r="V110"/>
      <c r="W110"/>
      <c r="X110"/>
      <c r="Y110"/>
    </row>
    <row r="111" spans="1:25" s="2" customFormat="1" ht="25.5" x14ac:dyDescent="0.2">
      <c r="A111" s="5" t="s">
        <v>8318</v>
      </c>
      <c r="B111" s="5" t="s">
        <v>83</v>
      </c>
      <c r="C111" s="5"/>
      <c r="D111" s="5" t="s">
        <v>14629</v>
      </c>
      <c r="E111" s="5" t="s">
        <v>1783</v>
      </c>
      <c r="F111" s="5" t="s">
        <v>92</v>
      </c>
      <c r="G111" s="5" t="s">
        <v>148</v>
      </c>
      <c r="H111" s="5" t="s">
        <v>137</v>
      </c>
      <c r="I111" s="5" t="s">
        <v>14310</v>
      </c>
      <c r="J111" s="5" t="s">
        <v>14628</v>
      </c>
      <c r="M111" s="1"/>
      <c r="N111"/>
      <c r="O111"/>
      <c r="P111"/>
      <c r="Q111"/>
      <c r="R111"/>
      <c r="S111"/>
      <c r="T111"/>
      <c r="U111"/>
      <c r="V111"/>
      <c r="W111"/>
      <c r="X111"/>
      <c r="Y111"/>
    </row>
    <row r="112" spans="1:25" s="2" customFormat="1" ht="25.5" x14ac:dyDescent="0.2">
      <c r="A112" s="5" t="s">
        <v>14627</v>
      </c>
      <c r="B112" s="5" t="s">
        <v>83</v>
      </c>
      <c r="C112" s="5"/>
      <c r="D112" s="5" t="s">
        <v>14626</v>
      </c>
      <c r="E112" s="5"/>
      <c r="F112" s="5" t="s">
        <v>14311</v>
      </c>
      <c r="G112" s="5" t="s">
        <v>229</v>
      </c>
      <c r="H112" s="5" t="s">
        <v>137</v>
      </c>
      <c r="I112" s="5" t="s">
        <v>14310</v>
      </c>
      <c r="J112" s="5" t="s">
        <v>14625</v>
      </c>
      <c r="M112" s="1"/>
      <c r="N112"/>
      <c r="O112"/>
      <c r="P112"/>
      <c r="Q112"/>
      <c r="R112"/>
      <c r="S112"/>
      <c r="T112"/>
      <c r="U112"/>
      <c r="V112"/>
      <c r="W112"/>
      <c r="X112"/>
      <c r="Y112"/>
    </row>
    <row r="113" spans="1:25" s="2" customFormat="1" x14ac:dyDescent="0.2">
      <c r="A113" s="5" t="s">
        <v>14624</v>
      </c>
      <c r="B113" s="5" t="s">
        <v>83</v>
      </c>
      <c r="C113" s="5"/>
      <c r="D113" s="5" t="s">
        <v>14623</v>
      </c>
      <c r="E113" s="5"/>
      <c r="F113" s="5" t="s">
        <v>14619</v>
      </c>
      <c r="G113" s="5" t="s">
        <v>105</v>
      </c>
      <c r="H113" s="5" t="s">
        <v>3</v>
      </c>
      <c r="I113" s="5"/>
      <c r="J113" s="5" t="s">
        <v>14622</v>
      </c>
      <c r="M113" s="1"/>
      <c r="N113"/>
      <c r="O113"/>
      <c r="P113"/>
      <c r="Q113"/>
      <c r="R113"/>
      <c r="S113"/>
      <c r="T113"/>
      <c r="U113"/>
      <c r="V113"/>
      <c r="W113"/>
      <c r="X113"/>
      <c r="Y113"/>
    </row>
    <row r="114" spans="1:25" s="2" customFormat="1" ht="25.5" x14ac:dyDescent="0.2">
      <c r="A114" s="5" t="s">
        <v>14621</v>
      </c>
      <c r="B114" s="5" t="s">
        <v>83</v>
      </c>
      <c r="C114" s="5"/>
      <c r="D114" s="5" t="s">
        <v>14620</v>
      </c>
      <c r="E114" s="5"/>
      <c r="F114" s="5" t="s">
        <v>14619</v>
      </c>
      <c r="G114" s="5" t="s">
        <v>4028</v>
      </c>
      <c r="H114" s="5" t="s">
        <v>3</v>
      </c>
      <c r="I114" s="5"/>
      <c r="J114" s="5" t="s">
        <v>14618</v>
      </c>
      <c r="M114" s="1"/>
      <c r="N114"/>
      <c r="O114"/>
      <c r="P114"/>
      <c r="Q114"/>
      <c r="R114"/>
      <c r="S114"/>
      <c r="T114"/>
      <c r="U114"/>
      <c r="V114"/>
      <c r="W114"/>
      <c r="X114"/>
      <c r="Y114"/>
    </row>
    <row r="115" spans="1:25" s="2" customFormat="1" x14ac:dyDescent="0.2">
      <c r="A115" s="5" t="s">
        <v>9527</v>
      </c>
      <c r="B115" s="5" t="s">
        <v>83</v>
      </c>
      <c r="C115" s="5"/>
      <c r="D115" s="5" t="s">
        <v>14617</v>
      </c>
      <c r="E115" s="5"/>
      <c r="F115" s="5" t="s">
        <v>9527</v>
      </c>
      <c r="G115" s="5" t="s">
        <v>80</v>
      </c>
      <c r="H115" s="5" t="s">
        <v>3</v>
      </c>
      <c r="I115" s="5"/>
      <c r="J115" s="5" t="s">
        <v>14616</v>
      </c>
      <c r="M115" s="1"/>
      <c r="N115"/>
      <c r="O115"/>
      <c r="P115"/>
      <c r="Q115"/>
      <c r="R115"/>
      <c r="S115"/>
      <c r="T115"/>
      <c r="U115"/>
      <c r="V115"/>
      <c r="W115"/>
      <c r="X115"/>
      <c r="Y115"/>
    </row>
    <row r="116" spans="1:25" s="2" customFormat="1" ht="25.5" x14ac:dyDescent="0.2">
      <c r="A116" s="5" t="s">
        <v>14615</v>
      </c>
      <c r="B116" s="5" t="s">
        <v>83</v>
      </c>
      <c r="C116" s="5"/>
      <c r="D116" s="5" t="s">
        <v>14614</v>
      </c>
      <c r="E116" s="5"/>
      <c r="F116" s="5" t="s">
        <v>14613</v>
      </c>
      <c r="G116" s="5" t="s">
        <v>7296</v>
      </c>
      <c r="H116" s="5" t="s">
        <v>137</v>
      </c>
      <c r="I116" s="5" t="s">
        <v>14297</v>
      </c>
      <c r="J116" s="5" t="s">
        <v>14612</v>
      </c>
      <c r="M116" s="1"/>
      <c r="N116"/>
      <c r="O116"/>
      <c r="P116"/>
      <c r="Q116"/>
      <c r="R116"/>
      <c r="S116"/>
      <c r="T116"/>
      <c r="U116"/>
      <c r="V116"/>
      <c r="W116"/>
      <c r="X116"/>
      <c r="Y116"/>
    </row>
    <row r="117" spans="1:25" s="2" customFormat="1" x14ac:dyDescent="0.2">
      <c r="A117" s="5" t="s">
        <v>358</v>
      </c>
      <c r="B117" s="5" t="s">
        <v>83</v>
      </c>
      <c r="C117" s="5"/>
      <c r="D117" s="5" t="s">
        <v>14591</v>
      </c>
      <c r="E117" s="5"/>
      <c r="F117" s="5" t="s">
        <v>358</v>
      </c>
      <c r="G117" s="5" t="s">
        <v>224</v>
      </c>
      <c r="H117" s="5" t="s">
        <v>3</v>
      </c>
      <c r="I117" s="5"/>
      <c r="J117" s="5" t="s">
        <v>14611</v>
      </c>
      <c r="M117" s="1"/>
      <c r="N117"/>
      <c r="O117"/>
      <c r="P117"/>
      <c r="Q117"/>
      <c r="R117"/>
      <c r="S117"/>
      <c r="T117"/>
      <c r="U117"/>
      <c r="V117"/>
      <c r="W117"/>
      <c r="X117"/>
      <c r="Y117"/>
    </row>
    <row r="118" spans="1:25" s="2" customFormat="1" x14ac:dyDescent="0.2">
      <c r="A118" s="5" t="s">
        <v>14610</v>
      </c>
      <c r="B118" s="5" t="s">
        <v>83</v>
      </c>
      <c r="C118" s="5"/>
      <c r="D118" s="5" t="s">
        <v>14609</v>
      </c>
      <c r="E118" s="5"/>
      <c r="F118" s="5" t="s">
        <v>14240</v>
      </c>
      <c r="G118" s="5" t="s">
        <v>229</v>
      </c>
      <c r="H118" s="5" t="s">
        <v>137</v>
      </c>
      <c r="I118" s="5" t="s">
        <v>14597</v>
      </c>
      <c r="J118" s="5" t="s">
        <v>14608</v>
      </c>
      <c r="M118" s="1"/>
      <c r="N118"/>
      <c r="O118"/>
      <c r="P118"/>
      <c r="Q118"/>
      <c r="R118"/>
      <c r="S118"/>
      <c r="T118"/>
      <c r="U118"/>
      <c r="V118"/>
      <c r="W118"/>
      <c r="X118"/>
      <c r="Y118"/>
    </row>
    <row r="119" spans="1:25" s="2" customFormat="1" x14ac:dyDescent="0.2">
      <c r="A119" s="5" t="s">
        <v>14607</v>
      </c>
      <c r="B119" s="5" t="s">
        <v>83</v>
      </c>
      <c r="C119" s="5"/>
      <c r="D119" s="5" t="s">
        <v>14606</v>
      </c>
      <c r="E119" s="5"/>
      <c r="F119" s="5" t="s">
        <v>9433</v>
      </c>
      <c r="G119" s="5" t="s">
        <v>315</v>
      </c>
      <c r="H119" s="5" t="s">
        <v>137</v>
      </c>
      <c r="I119" s="5" t="s">
        <v>14597</v>
      </c>
      <c r="J119" s="5" t="s">
        <v>14605</v>
      </c>
      <c r="M119" s="1"/>
      <c r="N119"/>
      <c r="O119"/>
      <c r="P119"/>
      <c r="Q119"/>
      <c r="R119"/>
      <c r="S119"/>
      <c r="T119"/>
      <c r="U119"/>
      <c r="V119"/>
      <c r="W119"/>
      <c r="X119"/>
      <c r="Y119"/>
    </row>
    <row r="120" spans="1:25" s="2" customFormat="1" ht="25.5" x14ac:dyDescent="0.2">
      <c r="A120" s="5" t="s">
        <v>14604</v>
      </c>
      <c r="B120" s="5" t="s">
        <v>83</v>
      </c>
      <c r="C120" s="5"/>
      <c r="D120" s="5" t="s">
        <v>14603</v>
      </c>
      <c r="E120" s="5"/>
      <c r="F120" s="5" t="s">
        <v>14602</v>
      </c>
      <c r="G120" s="5" t="s">
        <v>3059</v>
      </c>
      <c r="H120" s="5" t="s">
        <v>137</v>
      </c>
      <c r="I120" s="5" t="s">
        <v>14597</v>
      </c>
      <c r="J120" s="5" t="s">
        <v>14601</v>
      </c>
      <c r="M120" s="1"/>
      <c r="N120"/>
      <c r="O120"/>
      <c r="P120"/>
      <c r="Q120"/>
      <c r="R120"/>
      <c r="S120"/>
      <c r="T120"/>
      <c r="U120"/>
      <c r="V120"/>
      <c r="W120"/>
      <c r="X120"/>
      <c r="Y120"/>
    </row>
    <row r="121" spans="1:25" s="2" customFormat="1" ht="25.5" x14ac:dyDescent="0.2">
      <c r="A121" s="5" t="s">
        <v>14600</v>
      </c>
      <c r="B121" s="5" t="s">
        <v>83</v>
      </c>
      <c r="C121" s="5"/>
      <c r="D121" s="5" t="s">
        <v>14599</v>
      </c>
      <c r="E121" s="5"/>
      <c r="F121" s="5" t="s">
        <v>14598</v>
      </c>
      <c r="G121" s="5" t="s">
        <v>234</v>
      </c>
      <c r="H121" s="5" t="s">
        <v>137</v>
      </c>
      <c r="I121" s="5" t="s">
        <v>14597</v>
      </c>
      <c r="J121" s="5" t="s">
        <v>14596</v>
      </c>
      <c r="M121" s="1"/>
      <c r="N121"/>
      <c r="O121"/>
      <c r="P121"/>
      <c r="Q121"/>
      <c r="R121"/>
      <c r="S121"/>
      <c r="T121"/>
      <c r="U121"/>
      <c r="V121"/>
      <c r="W121"/>
      <c r="X121"/>
      <c r="Y121"/>
    </row>
    <row r="122" spans="1:25" s="2" customFormat="1" x14ac:dyDescent="0.2">
      <c r="A122" s="5" t="s">
        <v>14595</v>
      </c>
      <c r="B122" s="5" t="s">
        <v>83</v>
      </c>
      <c r="C122" s="5"/>
      <c r="D122" s="5" t="s">
        <v>14594</v>
      </c>
      <c r="E122" s="5"/>
      <c r="F122" s="5" t="s">
        <v>7909</v>
      </c>
      <c r="G122" s="5" t="s">
        <v>105</v>
      </c>
      <c r="H122" s="5" t="s">
        <v>3</v>
      </c>
      <c r="I122" s="5"/>
      <c r="J122" s="5" t="s">
        <v>14593</v>
      </c>
      <c r="M122" s="1"/>
      <c r="N122"/>
      <c r="O122"/>
      <c r="P122"/>
      <c r="Q122"/>
      <c r="R122"/>
      <c r="S122"/>
      <c r="T122"/>
      <c r="U122"/>
      <c r="V122"/>
      <c r="W122"/>
      <c r="X122"/>
      <c r="Y122"/>
    </row>
    <row r="123" spans="1:25" s="2" customFormat="1" x14ac:dyDescent="0.2">
      <c r="A123" s="5" t="s">
        <v>14592</v>
      </c>
      <c r="B123" s="5" t="s">
        <v>83</v>
      </c>
      <c r="C123" s="5"/>
      <c r="D123" s="5" t="s">
        <v>14591</v>
      </c>
      <c r="E123" s="5"/>
      <c r="F123" s="5" t="s">
        <v>7909</v>
      </c>
      <c r="G123" s="5" t="s">
        <v>224</v>
      </c>
      <c r="H123" s="5" t="s">
        <v>3</v>
      </c>
      <c r="I123" s="5"/>
      <c r="J123" s="5" t="s">
        <v>9443</v>
      </c>
      <c r="M123" s="1"/>
      <c r="N123"/>
      <c r="O123"/>
      <c r="P123"/>
      <c r="Q123"/>
      <c r="R123"/>
      <c r="S123"/>
      <c r="T123"/>
      <c r="U123"/>
      <c r="V123"/>
      <c r="W123"/>
      <c r="X123"/>
      <c r="Y123"/>
    </row>
    <row r="124" spans="1:25" s="2" customFormat="1" x14ac:dyDescent="0.2">
      <c r="A124" s="5" t="s">
        <v>14590</v>
      </c>
      <c r="B124" s="5" t="s">
        <v>83</v>
      </c>
      <c r="C124" s="5"/>
      <c r="D124" s="5" t="s">
        <v>14589</v>
      </c>
      <c r="E124" s="5"/>
      <c r="F124" s="5" t="s">
        <v>7909</v>
      </c>
      <c r="G124" s="5" t="s">
        <v>105</v>
      </c>
      <c r="H124" s="5" t="s">
        <v>3</v>
      </c>
      <c r="I124" s="5"/>
      <c r="J124" s="5" t="s">
        <v>14588</v>
      </c>
      <c r="M124" s="1"/>
      <c r="N124"/>
      <c r="O124"/>
      <c r="P124"/>
      <c r="Q124"/>
      <c r="R124"/>
      <c r="S124"/>
      <c r="T124"/>
      <c r="U124"/>
      <c r="V124"/>
      <c r="W124"/>
      <c r="X124"/>
      <c r="Y124"/>
    </row>
    <row r="125" spans="1:25" s="2" customFormat="1" x14ac:dyDescent="0.2">
      <c r="A125" s="5" t="s">
        <v>7908</v>
      </c>
      <c r="B125" s="5" t="s">
        <v>83</v>
      </c>
      <c r="C125" s="5"/>
      <c r="D125" s="5" t="s">
        <v>6390</v>
      </c>
      <c r="E125" s="5"/>
      <c r="F125" s="5" t="s">
        <v>9218</v>
      </c>
      <c r="G125" s="5" t="s">
        <v>118</v>
      </c>
      <c r="H125" s="5" t="s">
        <v>3</v>
      </c>
      <c r="I125" s="5"/>
      <c r="J125" s="5" t="s">
        <v>13674</v>
      </c>
      <c r="M125" s="1"/>
      <c r="N125"/>
      <c r="O125"/>
      <c r="P125"/>
      <c r="Q125"/>
      <c r="R125"/>
      <c r="S125"/>
      <c r="T125"/>
      <c r="U125"/>
      <c r="V125"/>
      <c r="W125"/>
      <c r="X125"/>
      <c r="Y125"/>
    </row>
    <row r="126" spans="1:25" s="2" customFormat="1" x14ac:dyDescent="0.2">
      <c r="A126" s="5" t="s">
        <v>14587</v>
      </c>
      <c r="B126" s="5" t="s">
        <v>83</v>
      </c>
      <c r="C126" s="5"/>
      <c r="D126" s="5" t="s">
        <v>14586</v>
      </c>
      <c r="E126" s="5"/>
      <c r="F126" s="5" t="s">
        <v>7895</v>
      </c>
      <c r="G126" s="5" t="s">
        <v>80</v>
      </c>
      <c r="H126" s="5"/>
      <c r="I126" s="5"/>
      <c r="J126" s="5" t="s">
        <v>14585</v>
      </c>
      <c r="M126" s="1"/>
      <c r="N126"/>
      <c r="O126"/>
      <c r="P126"/>
      <c r="Q126"/>
      <c r="R126"/>
      <c r="S126"/>
      <c r="T126"/>
      <c r="U126"/>
      <c r="V126"/>
      <c r="W126"/>
      <c r="X126"/>
      <c r="Y126"/>
    </row>
    <row r="127" spans="1:25" s="2" customFormat="1" x14ac:dyDescent="0.2">
      <c r="A127" s="5" t="s">
        <v>14584</v>
      </c>
      <c r="B127" s="5" t="s">
        <v>83</v>
      </c>
      <c r="C127" s="5"/>
      <c r="D127" s="5" t="s">
        <v>14583</v>
      </c>
      <c r="E127" s="5" t="s">
        <v>93</v>
      </c>
      <c r="F127" s="5" t="s">
        <v>14582</v>
      </c>
      <c r="G127" s="5" t="s">
        <v>6584</v>
      </c>
      <c r="H127" s="5" t="s">
        <v>3</v>
      </c>
      <c r="I127" s="5"/>
      <c r="J127" s="5"/>
      <c r="M127" s="1"/>
      <c r="N127"/>
      <c r="O127"/>
      <c r="P127"/>
      <c r="Q127"/>
      <c r="R127"/>
      <c r="S127"/>
      <c r="T127"/>
      <c r="U127"/>
      <c r="V127"/>
      <c r="W127"/>
      <c r="X127"/>
      <c r="Y127"/>
    </row>
    <row r="128" spans="1:25" s="2" customFormat="1" x14ac:dyDescent="0.2">
      <c r="A128" s="5" t="s">
        <v>7630</v>
      </c>
      <c r="B128" s="5" t="s">
        <v>83</v>
      </c>
      <c r="C128" s="5"/>
      <c r="D128" s="5" t="s">
        <v>14581</v>
      </c>
      <c r="E128" s="5"/>
      <c r="F128" s="5" t="s">
        <v>14580</v>
      </c>
      <c r="G128" s="5" t="s">
        <v>148</v>
      </c>
      <c r="H128" s="5" t="s">
        <v>137</v>
      </c>
      <c r="I128" s="5" t="s">
        <v>14310</v>
      </c>
      <c r="J128" s="5" t="s">
        <v>14579</v>
      </c>
      <c r="M128" s="1"/>
      <c r="N128"/>
      <c r="O128"/>
      <c r="P128"/>
      <c r="Q128"/>
      <c r="R128"/>
      <c r="S128"/>
      <c r="T128"/>
      <c r="U128"/>
      <c r="V128"/>
      <c r="W128"/>
      <c r="X128"/>
      <c r="Y128"/>
    </row>
    <row r="129" spans="1:25" s="2" customFormat="1" x14ac:dyDescent="0.2">
      <c r="A129" s="5" t="s">
        <v>316</v>
      </c>
      <c r="B129" s="5" t="s">
        <v>83</v>
      </c>
      <c r="C129" s="5"/>
      <c r="D129" s="5" t="s">
        <v>6390</v>
      </c>
      <c r="E129" s="5"/>
      <c r="F129" s="5" t="s">
        <v>316</v>
      </c>
      <c r="G129" s="5" t="s">
        <v>118</v>
      </c>
      <c r="H129" s="5" t="s">
        <v>3</v>
      </c>
      <c r="I129" s="5"/>
      <c r="J129" s="5" t="s">
        <v>316</v>
      </c>
      <c r="M129" s="1"/>
      <c r="N129"/>
      <c r="O129"/>
      <c r="P129"/>
      <c r="Q129"/>
      <c r="R129"/>
      <c r="S129"/>
      <c r="T129"/>
      <c r="U129"/>
      <c r="V129"/>
      <c r="W129"/>
      <c r="X129"/>
      <c r="Y129"/>
    </row>
    <row r="130" spans="1:25" s="2" customFormat="1" ht="25.5" x14ac:dyDescent="0.2">
      <c r="A130" s="5" t="s">
        <v>14578</v>
      </c>
      <c r="B130" s="5" t="s">
        <v>83</v>
      </c>
      <c r="C130" s="5"/>
      <c r="D130" s="5" t="s">
        <v>14577</v>
      </c>
      <c r="E130" s="5"/>
      <c r="F130" s="5" t="s">
        <v>14576</v>
      </c>
      <c r="G130" s="5" t="s">
        <v>105</v>
      </c>
      <c r="H130" s="5" t="s">
        <v>3</v>
      </c>
      <c r="I130" s="5"/>
      <c r="J130" s="5"/>
      <c r="M130" s="1"/>
      <c r="N130"/>
      <c r="O130"/>
      <c r="P130"/>
      <c r="Q130"/>
      <c r="R130"/>
      <c r="S130"/>
      <c r="T130"/>
      <c r="U130"/>
      <c r="V130"/>
      <c r="W130"/>
      <c r="X130"/>
      <c r="Y130"/>
    </row>
    <row r="131" spans="1:25" s="2" customFormat="1" x14ac:dyDescent="0.2">
      <c r="A131" s="5" t="s">
        <v>14574</v>
      </c>
      <c r="B131" s="5" t="s">
        <v>83</v>
      </c>
      <c r="C131" s="5"/>
      <c r="D131" s="5" t="s">
        <v>14575</v>
      </c>
      <c r="E131" s="5"/>
      <c r="F131" s="5" t="s">
        <v>14574</v>
      </c>
      <c r="G131" s="5" t="s">
        <v>105</v>
      </c>
      <c r="H131" s="5" t="s">
        <v>3</v>
      </c>
      <c r="I131" s="5"/>
      <c r="J131" s="5" t="s">
        <v>14573</v>
      </c>
      <c r="M131" s="1"/>
      <c r="N131"/>
      <c r="O131"/>
      <c r="P131"/>
      <c r="Q131"/>
      <c r="R131"/>
      <c r="S131"/>
      <c r="T131"/>
      <c r="U131"/>
      <c r="V131"/>
      <c r="W131"/>
      <c r="X131"/>
      <c r="Y131"/>
    </row>
    <row r="132" spans="1:25" s="2" customFormat="1" ht="25.5" x14ac:dyDescent="0.2">
      <c r="A132" s="5" t="s">
        <v>14572</v>
      </c>
      <c r="B132" s="5" t="s">
        <v>83</v>
      </c>
      <c r="C132" s="5"/>
      <c r="D132" s="5" t="s">
        <v>14571</v>
      </c>
      <c r="E132" s="5"/>
      <c r="F132" s="5" t="s">
        <v>9127</v>
      </c>
      <c r="G132" s="5" t="s">
        <v>155</v>
      </c>
      <c r="H132" s="5"/>
      <c r="I132" s="5"/>
      <c r="J132" s="5" t="s">
        <v>14570</v>
      </c>
      <c r="M132" s="1"/>
      <c r="N132"/>
      <c r="O132"/>
      <c r="P132"/>
      <c r="Q132"/>
      <c r="R132"/>
      <c r="S132"/>
      <c r="T132"/>
      <c r="U132"/>
      <c r="V132"/>
      <c r="W132"/>
      <c r="X132"/>
      <c r="Y132"/>
    </row>
    <row r="133" spans="1:25" s="2" customFormat="1" x14ac:dyDescent="0.2">
      <c r="A133" s="5" t="s">
        <v>14569</v>
      </c>
      <c r="B133" s="5" t="s">
        <v>83</v>
      </c>
      <c r="C133" s="5"/>
      <c r="D133" s="5" t="s">
        <v>14568</v>
      </c>
      <c r="E133" s="5"/>
      <c r="F133" s="5" t="s">
        <v>14567</v>
      </c>
      <c r="G133" s="5" t="s">
        <v>148</v>
      </c>
      <c r="H133" s="5" t="s">
        <v>137</v>
      </c>
      <c r="I133" s="5" t="s">
        <v>14310</v>
      </c>
      <c r="J133" s="5"/>
      <c r="M133" s="1"/>
      <c r="N133"/>
      <c r="O133"/>
      <c r="P133"/>
      <c r="Q133"/>
      <c r="R133"/>
      <c r="S133"/>
      <c r="T133"/>
      <c r="U133"/>
      <c r="V133"/>
      <c r="W133"/>
      <c r="X133"/>
      <c r="Y133"/>
    </row>
    <row r="134" spans="1:25" s="2" customFormat="1" x14ac:dyDescent="0.2">
      <c r="A134" s="5" t="s">
        <v>14566</v>
      </c>
      <c r="B134" s="5" t="s">
        <v>83</v>
      </c>
      <c r="C134" s="5"/>
      <c r="D134" s="5" t="s">
        <v>14565</v>
      </c>
      <c r="E134" s="5"/>
      <c r="F134" s="5" t="s">
        <v>13548</v>
      </c>
      <c r="G134" s="5" t="s">
        <v>118</v>
      </c>
      <c r="H134" s="5" t="s">
        <v>137</v>
      </c>
      <c r="I134" s="5" t="s">
        <v>14310</v>
      </c>
      <c r="J134" s="5" t="s">
        <v>14564</v>
      </c>
      <c r="M134" s="1"/>
      <c r="N134"/>
      <c r="O134"/>
      <c r="P134"/>
      <c r="Q134"/>
      <c r="R134"/>
      <c r="S134"/>
      <c r="T134"/>
      <c r="U134"/>
      <c r="V134"/>
      <c r="W134"/>
      <c r="X134"/>
      <c r="Y134"/>
    </row>
    <row r="135" spans="1:25" s="2" customFormat="1" ht="25.5" x14ac:dyDescent="0.2">
      <c r="A135" s="5" t="s">
        <v>14563</v>
      </c>
      <c r="B135" s="5" t="s">
        <v>83</v>
      </c>
      <c r="C135" s="5"/>
      <c r="D135" s="5" t="s">
        <v>14562</v>
      </c>
      <c r="E135" s="5"/>
      <c r="F135" s="5" t="s">
        <v>7569</v>
      </c>
      <c r="G135" s="5" t="s">
        <v>148</v>
      </c>
      <c r="H135" s="5" t="s">
        <v>137</v>
      </c>
      <c r="I135" s="5" t="s">
        <v>14310</v>
      </c>
      <c r="J135" s="5" t="s">
        <v>14561</v>
      </c>
      <c r="M135" s="1"/>
      <c r="N135"/>
      <c r="O135"/>
      <c r="P135"/>
      <c r="Q135"/>
      <c r="R135"/>
      <c r="S135"/>
      <c r="T135"/>
      <c r="U135"/>
      <c r="V135"/>
      <c r="W135"/>
      <c r="X135"/>
      <c r="Y135"/>
    </row>
    <row r="136" spans="1:25" s="2" customFormat="1" x14ac:dyDescent="0.2">
      <c r="A136" s="5" t="s">
        <v>14560</v>
      </c>
      <c r="B136" s="5" t="s">
        <v>83</v>
      </c>
      <c r="C136" s="5"/>
      <c r="D136" s="5" t="s">
        <v>14559</v>
      </c>
      <c r="E136" s="5" t="s">
        <v>138</v>
      </c>
      <c r="F136" s="5"/>
      <c r="G136" s="5" t="s">
        <v>207</v>
      </c>
      <c r="H136" s="5" t="s">
        <v>137</v>
      </c>
      <c r="I136" s="5" t="s">
        <v>14310</v>
      </c>
      <c r="J136" s="5" t="s">
        <v>14558</v>
      </c>
      <c r="M136" s="1"/>
      <c r="N136"/>
      <c r="O136"/>
      <c r="P136"/>
      <c r="Q136"/>
      <c r="R136"/>
      <c r="S136"/>
      <c r="T136"/>
      <c r="U136"/>
      <c r="V136"/>
      <c r="W136"/>
      <c r="X136"/>
      <c r="Y136"/>
    </row>
    <row r="137" spans="1:25" s="2" customFormat="1" ht="25.5" x14ac:dyDescent="0.2">
      <c r="A137" s="5" t="s">
        <v>14557</v>
      </c>
      <c r="B137" s="5" t="s">
        <v>83</v>
      </c>
      <c r="C137" s="5"/>
      <c r="D137" s="5" t="s">
        <v>14556</v>
      </c>
      <c r="E137" s="5"/>
      <c r="F137" s="5" t="s">
        <v>14555</v>
      </c>
      <c r="G137" s="5" t="s">
        <v>224</v>
      </c>
      <c r="H137" s="5" t="s">
        <v>137</v>
      </c>
      <c r="I137" s="5" t="s">
        <v>14297</v>
      </c>
      <c r="J137" s="5" t="s">
        <v>14554</v>
      </c>
      <c r="M137" s="1"/>
      <c r="N137"/>
      <c r="O137"/>
      <c r="P137"/>
      <c r="Q137"/>
      <c r="R137"/>
      <c r="S137"/>
      <c r="T137"/>
      <c r="U137"/>
      <c r="V137"/>
      <c r="W137"/>
      <c r="X137"/>
      <c r="Y137"/>
    </row>
    <row r="138" spans="1:25" s="2" customFormat="1" ht="25.5" x14ac:dyDescent="0.2">
      <c r="A138" s="5" t="s">
        <v>14553</v>
      </c>
      <c r="B138" s="5" t="s">
        <v>83</v>
      </c>
      <c r="C138" s="5"/>
      <c r="D138" s="5" t="s">
        <v>14552</v>
      </c>
      <c r="E138" s="5"/>
      <c r="F138" s="5"/>
      <c r="G138" s="5" t="s">
        <v>105</v>
      </c>
      <c r="H138" s="5" t="s">
        <v>3</v>
      </c>
      <c r="I138" s="5"/>
      <c r="J138" s="5" t="s">
        <v>14551</v>
      </c>
      <c r="M138" s="1"/>
      <c r="N138"/>
      <c r="O138"/>
      <c r="P138"/>
      <c r="Q138"/>
      <c r="R138"/>
      <c r="S138"/>
      <c r="T138"/>
      <c r="U138"/>
      <c r="V138"/>
      <c r="W138"/>
      <c r="X138"/>
      <c r="Y138"/>
    </row>
    <row r="139" spans="1:25" s="2" customFormat="1" x14ac:dyDescent="0.2">
      <c r="A139" s="5" t="s">
        <v>9749</v>
      </c>
      <c r="B139" s="5" t="s">
        <v>83</v>
      </c>
      <c r="C139" s="5"/>
      <c r="D139" s="5" t="s">
        <v>14550</v>
      </c>
      <c r="E139" s="5"/>
      <c r="F139" s="5" t="s">
        <v>7970</v>
      </c>
      <c r="G139" s="5" t="s">
        <v>3059</v>
      </c>
      <c r="H139" s="5" t="s">
        <v>137</v>
      </c>
      <c r="I139" s="5" t="s">
        <v>14310</v>
      </c>
      <c r="J139" s="5" t="s">
        <v>9747</v>
      </c>
      <c r="M139" s="1"/>
      <c r="N139"/>
      <c r="O139"/>
      <c r="P139"/>
      <c r="Q139"/>
      <c r="R139"/>
      <c r="S139"/>
      <c r="T139"/>
      <c r="U139"/>
      <c r="V139"/>
      <c r="W139"/>
      <c r="X139"/>
      <c r="Y139"/>
    </row>
    <row r="140" spans="1:25" s="2" customFormat="1" x14ac:dyDescent="0.2">
      <c r="A140" s="5" t="s">
        <v>14549</v>
      </c>
      <c r="B140" s="5" t="s">
        <v>83</v>
      </c>
      <c r="C140" s="5"/>
      <c r="D140" s="5" t="s">
        <v>14548</v>
      </c>
      <c r="E140" s="5"/>
      <c r="F140" s="5" t="s">
        <v>8685</v>
      </c>
      <c r="G140" s="5" t="s">
        <v>173</v>
      </c>
      <c r="H140" s="5" t="s">
        <v>137</v>
      </c>
      <c r="I140" s="5" t="s">
        <v>14310</v>
      </c>
      <c r="J140" s="5" t="s">
        <v>14547</v>
      </c>
      <c r="M140" s="1"/>
      <c r="N140"/>
      <c r="O140"/>
      <c r="P140"/>
      <c r="Q140"/>
      <c r="R140"/>
      <c r="S140"/>
      <c r="T140"/>
      <c r="U140"/>
      <c r="V140"/>
      <c r="W140"/>
      <c r="X140"/>
      <c r="Y140"/>
    </row>
    <row r="141" spans="1:25" s="2" customFormat="1" ht="25.5" x14ac:dyDescent="0.2">
      <c r="A141" s="5" t="s">
        <v>14546</v>
      </c>
      <c r="B141" s="5" t="s">
        <v>83</v>
      </c>
      <c r="C141" s="5"/>
      <c r="D141" s="5" t="s">
        <v>14545</v>
      </c>
      <c r="E141" s="5"/>
      <c r="F141" s="5" t="s">
        <v>8685</v>
      </c>
      <c r="G141" s="5" t="s">
        <v>148</v>
      </c>
      <c r="H141" s="5" t="s">
        <v>137</v>
      </c>
      <c r="I141" s="5" t="s">
        <v>14310</v>
      </c>
      <c r="J141" s="5" t="s">
        <v>14544</v>
      </c>
      <c r="M141" s="1"/>
      <c r="N141"/>
      <c r="O141"/>
      <c r="P141"/>
      <c r="Q141"/>
      <c r="R141"/>
      <c r="S141"/>
      <c r="T141"/>
      <c r="U141"/>
      <c r="V141"/>
      <c r="W141"/>
      <c r="X141"/>
      <c r="Y141"/>
    </row>
    <row r="142" spans="1:25" s="2" customFormat="1" x14ac:dyDescent="0.2">
      <c r="A142" s="5" t="s">
        <v>14543</v>
      </c>
      <c r="B142" s="5" t="s">
        <v>83</v>
      </c>
      <c r="C142" s="5"/>
      <c r="D142" s="5" t="s">
        <v>14542</v>
      </c>
      <c r="E142" s="5" t="s">
        <v>138</v>
      </c>
      <c r="F142" s="5"/>
      <c r="G142" s="5" t="s">
        <v>207</v>
      </c>
      <c r="H142" s="5" t="s">
        <v>137</v>
      </c>
      <c r="I142" s="5" t="s">
        <v>14310</v>
      </c>
      <c r="J142" s="5" t="s">
        <v>14541</v>
      </c>
      <c r="M142" s="1"/>
      <c r="N142"/>
      <c r="O142"/>
      <c r="P142"/>
      <c r="Q142"/>
      <c r="R142"/>
      <c r="S142"/>
      <c r="T142"/>
      <c r="U142"/>
      <c r="V142"/>
      <c r="W142"/>
      <c r="X142"/>
      <c r="Y142"/>
    </row>
    <row r="143" spans="1:25" s="2" customFormat="1" x14ac:dyDescent="0.2">
      <c r="A143" s="5" t="s">
        <v>14540</v>
      </c>
      <c r="B143" s="5" t="s">
        <v>83</v>
      </c>
      <c r="C143" s="5"/>
      <c r="D143" s="5" t="s">
        <v>14539</v>
      </c>
      <c r="E143" s="5" t="s">
        <v>14538</v>
      </c>
      <c r="F143" s="5" t="s">
        <v>14537</v>
      </c>
      <c r="G143" s="5" t="s">
        <v>148</v>
      </c>
      <c r="H143" s="5" t="s">
        <v>137</v>
      </c>
      <c r="I143" s="5" t="s">
        <v>14310</v>
      </c>
      <c r="J143" s="5" t="s">
        <v>14536</v>
      </c>
      <c r="M143" s="1"/>
      <c r="N143"/>
      <c r="O143"/>
      <c r="P143"/>
      <c r="Q143"/>
      <c r="R143"/>
      <c r="S143"/>
      <c r="T143"/>
      <c r="U143"/>
      <c r="V143"/>
      <c r="W143"/>
      <c r="X143"/>
      <c r="Y143"/>
    </row>
    <row r="144" spans="1:25" s="2" customFormat="1" ht="25.5" x14ac:dyDescent="0.2">
      <c r="A144" s="5" t="s">
        <v>14535</v>
      </c>
      <c r="B144" s="5" t="s">
        <v>83</v>
      </c>
      <c r="C144" s="5"/>
      <c r="D144" s="5" t="s">
        <v>14534</v>
      </c>
      <c r="E144" s="5"/>
      <c r="F144" s="5"/>
      <c r="G144" s="5" t="s">
        <v>91</v>
      </c>
      <c r="H144" s="5" t="s">
        <v>137</v>
      </c>
      <c r="I144" s="5" t="s">
        <v>14310</v>
      </c>
      <c r="J144" s="5" t="s">
        <v>14533</v>
      </c>
      <c r="M144" s="1"/>
      <c r="N144"/>
      <c r="O144"/>
      <c r="P144"/>
      <c r="Q144"/>
      <c r="R144"/>
      <c r="S144"/>
      <c r="T144"/>
      <c r="U144"/>
      <c r="V144"/>
      <c r="W144"/>
      <c r="X144"/>
      <c r="Y144"/>
    </row>
    <row r="145" spans="1:25" s="2" customFormat="1" x14ac:dyDescent="0.2">
      <c r="A145" s="5" t="s">
        <v>14532</v>
      </c>
      <c r="B145" s="5" t="s">
        <v>83</v>
      </c>
      <c r="C145" s="5"/>
      <c r="D145" s="5" t="s">
        <v>14531</v>
      </c>
      <c r="E145" s="5" t="s">
        <v>138</v>
      </c>
      <c r="F145" s="5"/>
      <c r="G145" s="5" t="s">
        <v>382</v>
      </c>
      <c r="H145" s="5" t="s">
        <v>137</v>
      </c>
      <c r="I145" s="5" t="s">
        <v>14310</v>
      </c>
      <c r="J145" s="5"/>
      <c r="M145" s="1"/>
      <c r="N145"/>
      <c r="O145"/>
      <c r="P145"/>
      <c r="Q145"/>
      <c r="R145"/>
      <c r="S145"/>
      <c r="T145"/>
      <c r="U145"/>
      <c r="V145"/>
      <c r="W145"/>
      <c r="X145"/>
      <c r="Y145"/>
    </row>
    <row r="146" spans="1:25" s="2" customFormat="1" x14ac:dyDescent="0.2">
      <c r="A146" s="5" t="s">
        <v>14530</v>
      </c>
      <c r="B146" s="5" t="s">
        <v>83</v>
      </c>
      <c r="C146" s="5"/>
      <c r="D146" s="5" t="s">
        <v>5533</v>
      </c>
      <c r="E146" s="5"/>
      <c r="F146" s="5" t="s">
        <v>349</v>
      </c>
      <c r="G146" s="5" t="s">
        <v>173</v>
      </c>
      <c r="H146" s="5" t="s">
        <v>3</v>
      </c>
      <c r="I146" s="5"/>
      <c r="J146" s="5" t="s">
        <v>14529</v>
      </c>
      <c r="M146" s="1"/>
      <c r="N146"/>
      <c r="O146"/>
      <c r="P146"/>
      <c r="Q146"/>
      <c r="R146"/>
      <c r="S146"/>
      <c r="T146"/>
      <c r="U146"/>
      <c r="V146"/>
      <c r="W146"/>
      <c r="X146"/>
      <c r="Y146"/>
    </row>
    <row r="147" spans="1:25" s="2" customFormat="1" x14ac:dyDescent="0.2">
      <c r="A147" s="5" t="s">
        <v>14528</v>
      </c>
      <c r="B147" s="5" t="s">
        <v>83</v>
      </c>
      <c r="C147" s="5"/>
      <c r="D147" s="5" t="s">
        <v>14527</v>
      </c>
      <c r="E147" s="5"/>
      <c r="F147" s="5" t="s">
        <v>354</v>
      </c>
      <c r="G147" s="5" t="s">
        <v>105</v>
      </c>
      <c r="H147" s="5" t="s">
        <v>3</v>
      </c>
      <c r="I147" s="5"/>
      <c r="J147" s="5" t="s">
        <v>14526</v>
      </c>
      <c r="M147" s="1"/>
      <c r="N147"/>
      <c r="O147"/>
      <c r="P147"/>
      <c r="Q147"/>
      <c r="R147"/>
      <c r="S147"/>
      <c r="T147"/>
      <c r="U147"/>
      <c r="V147"/>
      <c r="W147"/>
      <c r="X147"/>
      <c r="Y147"/>
    </row>
    <row r="148" spans="1:25" s="2" customFormat="1" x14ac:dyDescent="0.2">
      <c r="A148" s="5" t="s">
        <v>14525</v>
      </c>
      <c r="B148" s="5" t="s">
        <v>83</v>
      </c>
      <c r="C148" s="5"/>
      <c r="D148" s="5" t="s">
        <v>14524</v>
      </c>
      <c r="E148" s="5"/>
      <c r="F148" s="5" t="s">
        <v>14451</v>
      </c>
      <c r="G148" s="5" t="s">
        <v>118</v>
      </c>
      <c r="H148" s="5" t="s">
        <v>137</v>
      </c>
      <c r="I148" s="5" t="s">
        <v>14310</v>
      </c>
      <c r="J148" s="5" t="s">
        <v>14523</v>
      </c>
      <c r="M148" s="1"/>
      <c r="N148"/>
      <c r="O148"/>
      <c r="P148"/>
      <c r="Q148"/>
      <c r="R148"/>
      <c r="S148"/>
      <c r="T148"/>
      <c r="U148"/>
      <c r="V148"/>
      <c r="W148"/>
      <c r="X148"/>
      <c r="Y148"/>
    </row>
    <row r="149" spans="1:25" s="2" customFormat="1" x14ac:dyDescent="0.2">
      <c r="A149" s="5" t="s">
        <v>14522</v>
      </c>
      <c r="B149" s="5" t="s">
        <v>83</v>
      </c>
      <c r="C149" s="5"/>
      <c r="D149" s="5" t="s">
        <v>14521</v>
      </c>
      <c r="E149" s="5"/>
      <c r="F149" s="5" t="s">
        <v>10305</v>
      </c>
      <c r="G149" s="5" t="s">
        <v>3059</v>
      </c>
      <c r="H149" s="5" t="s">
        <v>137</v>
      </c>
      <c r="I149" s="5" t="s">
        <v>14310</v>
      </c>
      <c r="J149" s="5" t="s">
        <v>10294</v>
      </c>
      <c r="M149" s="1"/>
      <c r="N149"/>
      <c r="O149"/>
      <c r="P149"/>
      <c r="Q149"/>
      <c r="R149"/>
      <c r="S149"/>
      <c r="T149"/>
      <c r="U149"/>
      <c r="V149"/>
      <c r="W149"/>
      <c r="X149"/>
      <c r="Y149"/>
    </row>
    <row r="150" spans="1:25" s="2" customFormat="1" ht="25.5" x14ac:dyDescent="0.2">
      <c r="A150" s="5" t="s">
        <v>14520</v>
      </c>
      <c r="B150" s="5" t="s">
        <v>83</v>
      </c>
      <c r="C150" s="5"/>
      <c r="D150" s="5" t="s">
        <v>14519</v>
      </c>
      <c r="E150" s="5"/>
      <c r="F150" s="5" t="s">
        <v>14518</v>
      </c>
      <c r="G150" s="5" t="s">
        <v>3059</v>
      </c>
      <c r="H150" s="5" t="s">
        <v>137</v>
      </c>
      <c r="I150" s="5" t="s">
        <v>14310</v>
      </c>
      <c r="J150" s="5" t="s">
        <v>14517</v>
      </c>
      <c r="M150" s="1"/>
      <c r="N150"/>
      <c r="O150"/>
      <c r="P150"/>
      <c r="Q150"/>
      <c r="R150"/>
      <c r="S150"/>
      <c r="T150"/>
      <c r="U150"/>
      <c r="V150"/>
      <c r="W150"/>
      <c r="X150"/>
      <c r="Y150"/>
    </row>
    <row r="151" spans="1:25" s="2" customFormat="1" ht="25.5" x14ac:dyDescent="0.2">
      <c r="A151" s="5" t="s">
        <v>14516</v>
      </c>
      <c r="B151" s="5" t="s">
        <v>83</v>
      </c>
      <c r="C151" s="5"/>
      <c r="D151" s="5" t="s">
        <v>14515</v>
      </c>
      <c r="E151" s="5"/>
      <c r="F151" s="5" t="s">
        <v>14514</v>
      </c>
      <c r="G151" s="5" t="s">
        <v>3059</v>
      </c>
      <c r="H151" s="5" t="s">
        <v>137</v>
      </c>
      <c r="I151" s="5" t="s">
        <v>14310</v>
      </c>
      <c r="J151" s="5" t="s">
        <v>14513</v>
      </c>
      <c r="M151" s="1"/>
      <c r="N151"/>
      <c r="O151"/>
      <c r="P151"/>
      <c r="Q151"/>
      <c r="R151"/>
      <c r="S151"/>
      <c r="T151"/>
      <c r="U151"/>
      <c r="V151"/>
      <c r="W151"/>
      <c r="X151"/>
      <c r="Y151"/>
    </row>
    <row r="152" spans="1:25" s="2" customFormat="1" ht="25.5" x14ac:dyDescent="0.2">
      <c r="A152" s="5" t="s">
        <v>14512</v>
      </c>
      <c r="B152" s="5" t="s">
        <v>83</v>
      </c>
      <c r="C152" s="5"/>
      <c r="D152" s="5" t="s">
        <v>14511</v>
      </c>
      <c r="E152" s="5"/>
      <c r="F152" s="5" t="s">
        <v>14510</v>
      </c>
      <c r="G152" s="5" t="s">
        <v>3059</v>
      </c>
      <c r="H152" s="5" t="s">
        <v>137</v>
      </c>
      <c r="I152" s="5" t="s">
        <v>14310</v>
      </c>
      <c r="J152" s="5" t="s">
        <v>14509</v>
      </c>
      <c r="M152" s="1"/>
      <c r="N152"/>
      <c r="O152"/>
      <c r="P152"/>
      <c r="Q152"/>
      <c r="R152"/>
      <c r="S152"/>
      <c r="T152"/>
      <c r="U152"/>
      <c r="V152"/>
      <c r="W152"/>
      <c r="X152"/>
      <c r="Y152"/>
    </row>
    <row r="153" spans="1:25" s="2" customFormat="1" ht="25.5" x14ac:dyDescent="0.2">
      <c r="A153" s="5" t="s">
        <v>14508</v>
      </c>
      <c r="B153" s="5" t="s">
        <v>83</v>
      </c>
      <c r="C153" s="5"/>
      <c r="D153" s="5" t="s">
        <v>14507</v>
      </c>
      <c r="E153" s="5"/>
      <c r="F153" s="5" t="s">
        <v>14506</v>
      </c>
      <c r="G153" s="5" t="s">
        <v>3059</v>
      </c>
      <c r="H153" s="5" t="s">
        <v>137</v>
      </c>
      <c r="I153" s="5" t="s">
        <v>14310</v>
      </c>
      <c r="J153" s="5" t="s">
        <v>14505</v>
      </c>
      <c r="M153" s="1"/>
      <c r="N153"/>
      <c r="O153"/>
      <c r="P153"/>
      <c r="Q153"/>
      <c r="R153"/>
      <c r="S153"/>
      <c r="T153"/>
      <c r="U153"/>
      <c r="V153"/>
      <c r="W153"/>
      <c r="X153"/>
      <c r="Y153"/>
    </row>
    <row r="154" spans="1:25" s="2" customFormat="1" ht="25.5" x14ac:dyDescent="0.2">
      <c r="A154" s="5" t="s">
        <v>14504</v>
      </c>
      <c r="B154" s="5" t="s">
        <v>83</v>
      </c>
      <c r="C154" s="5"/>
      <c r="D154" s="5" t="s">
        <v>14503</v>
      </c>
      <c r="E154" s="5"/>
      <c r="F154" s="5" t="s">
        <v>14502</v>
      </c>
      <c r="G154" s="5" t="s">
        <v>3059</v>
      </c>
      <c r="H154" s="5" t="s">
        <v>137</v>
      </c>
      <c r="I154" s="5" t="s">
        <v>14310</v>
      </c>
      <c r="J154" s="5" t="s">
        <v>14501</v>
      </c>
      <c r="M154" s="1"/>
      <c r="N154"/>
      <c r="O154"/>
      <c r="P154"/>
      <c r="Q154"/>
      <c r="R154"/>
      <c r="S154"/>
      <c r="T154"/>
      <c r="U154"/>
      <c r="V154"/>
      <c r="W154"/>
      <c r="X154"/>
      <c r="Y154"/>
    </row>
    <row r="155" spans="1:25" s="2" customFormat="1" ht="25.5" x14ac:dyDescent="0.2">
      <c r="A155" s="5" t="s">
        <v>14500</v>
      </c>
      <c r="B155" s="5" t="s">
        <v>83</v>
      </c>
      <c r="C155" s="5"/>
      <c r="D155" s="5" t="s">
        <v>14499</v>
      </c>
      <c r="E155" s="5"/>
      <c r="F155" s="5" t="s">
        <v>14498</v>
      </c>
      <c r="G155" s="5" t="s">
        <v>148</v>
      </c>
      <c r="H155" s="5" t="s">
        <v>137</v>
      </c>
      <c r="I155" s="5" t="s">
        <v>14310</v>
      </c>
      <c r="J155" s="5" t="s">
        <v>14497</v>
      </c>
      <c r="M155" s="1"/>
      <c r="N155"/>
      <c r="O155"/>
      <c r="P155"/>
      <c r="Q155"/>
      <c r="R155"/>
      <c r="S155"/>
      <c r="T155"/>
      <c r="U155"/>
      <c r="V155"/>
      <c r="W155"/>
      <c r="X155"/>
      <c r="Y155"/>
    </row>
    <row r="156" spans="1:25" s="2" customFormat="1" x14ac:dyDescent="0.2">
      <c r="A156" s="5" t="s">
        <v>14496</v>
      </c>
      <c r="B156" s="5" t="s">
        <v>83</v>
      </c>
      <c r="C156" s="5"/>
      <c r="D156" s="5" t="s">
        <v>14495</v>
      </c>
      <c r="E156" s="5"/>
      <c r="F156" s="5" t="s">
        <v>14494</v>
      </c>
      <c r="G156" s="5" t="s">
        <v>118</v>
      </c>
      <c r="H156" s="5" t="s">
        <v>137</v>
      </c>
      <c r="I156" s="5" t="s">
        <v>14310</v>
      </c>
      <c r="J156" s="5" t="s">
        <v>14493</v>
      </c>
      <c r="M156" s="1"/>
      <c r="N156"/>
      <c r="O156"/>
      <c r="P156"/>
      <c r="Q156"/>
      <c r="R156"/>
      <c r="S156"/>
      <c r="T156"/>
      <c r="U156"/>
      <c r="V156"/>
      <c r="W156"/>
      <c r="X156"/>
      <c r="Y156"/>
    </row>
    <row r="157" spans="1:25" s="2" customFormat="1" x14ac:dyDescent="0.2">
      <c r="A157" s="5" t="s">
        <v>14492</v>
      </c>
      <c r="B157" s="5" t="s">
        <v>83</v>
      </c>
      <c r="C157" s="5"/>
      <c r="D157" s="5" t="s">
        <v>14491</v>
      </c>
      <c r="E157" s="5"/>
      <c r="F157" s="5" t="s">
        <v>14490</v>
      </c>
      <c r="G157" s="5" t="s">
        <v>118</v>
      </c>
      <c r="H157" s="5" t="s">
        <v>137</v>
      </c>
      <c r="I157" s="5" t="s">
        <v>14310</v>
      </c>
      <c r="J157" s="5" t="s">
        <v>14489</v>
      </c>
      <c r="M157" s="1"/>
      <c r="N157"/>
      <c r="O157"/>
      <c r="P157"/>
      <c r="Q157"/>
      <c r="R157"/>
      <c r="S157"/>
      <c r="T157"/>
      <c r="U157"/>
      <c r="V157"/>
      <c r="W157"/>
      <c r="X157"/>
      <c r="Y157"/>
    </row>
    <row r="158" spans="1:25" s="2" customFormat="1" x14ac:dyDescent="0.2">
      <c r="A158" s="5" t="s">
        <v>14488</v>
      </c>
      <c r="B158" s="5" t="s">
        <v>83</v>
      </c>
      <c r="C158" s="5"/>
      <c r="D158" s="5" t="s">
        <v>14487</v>
      </c>
      <c r="E158" s="5"/>
      <c r="F158" s="5" t="s">
        <v>14486</v>
      </c>
      <c r="G158" s="5" t="s">
        <v>118</v>
      </c>
      <c r="H158" s="5" t="s">
        <v>137</v>
      </c>
      <c r="I158" s="5" t="s">
        <v>14310</v>
      </c>
      <c r="J158" s="5" t="s">
        <v>14485</v>
      </c>
      <c r="M158" s="1"/>
      <c r="N158"/>
      <c r="O158"/>
      <c r="P158"/>
      <c r="Q158"/>
      <c r="R158"/>
      <c r="S158"/>
      <c r="T158"/>
      <c r="U158"/>
      <c r="V158"/>
      <c r="W158"/>
      <c r="X158"/>
      <c r="Y158"/>
    </row>
    <row r="159" spans="1:25" s="2" customFormat="1" x14ac:dyDescent="0.2">
      <c r="A159" s="5" t="s">
        <v>14484</v>
      </c>
      <c r="B159" s="5" t="s">
        <v>83</v>
      </c>
      <c r="C159" s="5"/>
      <c r="D159" s="5" t="s">
        <v>14483</v>
      </c>
      <c r="E159" s="5"/>
      <c r="F159" s="5" t="s">
        <v>14482</v>
      </c>
      <c r="G159" s="5" t="s">
        <v>118</v>
      </c>
      <c r="H159" s="5" t="s">
        <v>137</v>
      </c>
      <c r="I159" s="5" t="s">
        <v>14310</v>
      </c>
      <c r="J159" s="5" t="s">
        <v>14481</v>
      </c>
      <c r="M159" s="1"/>
      <c r="N159"/>
      <c r="O159"/>
      <c r="P159"/>
      <c r="Q159"/>
      <c r="R159"/>
      <c r="S159"/>
      <c r="T159"/>
      <c r="U159"/>
      <c r="V159"/>
      <c r="W159"/>
      <c r="X159"/>
      <c r="Y159"/>
    </row>
    <row r="160" spans="1:25" s="2" customFormat="1" x14ac:dyDescent="0.2">
      <c r="A160" s="5" t="s">
        <v>14480</v>
      </c>
      <c r="B160" s="5" t="s">
        <v>83</v>
      </c>
      <c r="C160" s="5"/>
      <c r="D160" s="5" t="s">
        <v>14479</v>
      </c>
      <c r="E160" s="5"/>
      <c r="F160" s="5" t="s">
        <v>14478</v>
      </c>
      <c r="G160" s="5" t="s">
        <v>118</v>
      </c>
      <c r="H160" s="5" t="s">
        <v>137</v>
      </c>
      <c r="I160" s="5" t="s">
        <v>14310</v>
      </c>
      <c r="J160" s="5" t="s">
        <v>14477</v>
      </c>
      <c r="M160" s="1"/>
      <c r="N160"/>
      <c r="O160"/>
      <c r="P160"/>
      <c r="Q160"/>
      <c r="R160"/>
      <c r="S160"/>
      <c r="T160"/>
      <c r="U160"/>
      <c r="V160"/>
      <c r="W160"/>
      <c r="X160"/>
      <c r="Y160"/>
    </row>
    <row r="161" spans="1:25" s="2" customFormat="1" x14ac:dyDescent="0.2">
      <c r="A161" s="5" t="s">
        <v>14476</v>
      </c>
      <c r="B161" s="5" t="s">
        <v>83</v>
      </c>
      <c r="C161" s="5"/>
      <c r="D161" s="5" t="s">
        <v>14475</v>
      </c>
      <c r="E161" s="5" t="s">
        <v>138</v>
      </c>
      <c r="F161" s="5" t="s">
        <v>11509</v>
      </c>
      <c r="G161" s="5" t="s">
        <v>207</v>
      </c>
      <c r="H161" s="5" t="s">
        <v>137</v>
      </c>
      <c r="I161" s="5" t="s">
        <v>14310</v>
      </c>
      <c r="J161" s="5" t="s">
        <v>14474</v>
      </c>
      <c r="M161" s="1"/>
      <c r="N161"/>
      <c r="O161"/>
      <c r="P161"/>
      <c r="Q161"/>
      <c r="R161"/>
      <c r="S161"/>
      <c r="T161"/>
      <c r="U161"/>
      <c r="V161"/>
      <c r="W161"/>
      <c r="X161"/>
      <c r="Y161"/>
    </row>
    <row r="162" spans="1:25" s="2" customFormat="1" ht="25.5" x14ac:dyDescent="0.2">
      <c r="A162" s="5" t="s">
        <v>14473</v>
      </c>
      <c r="B162" s="5" t="s">
        <v>83</v>
      </c>
      <c r="C162" s="5"/>
      <c r="D162" s="5" t="s">
        <v>14472</v>
      </c>
      <c r="E162" s="5" t="s">
        <v>138</v>
      </c>
      <c r="F162" s="5" t="s">
        <v>14471</v>
      </c>
      <c r="G162" s="5" t="s">
        <v>207</v>
      </c>
      <c r="H162" s="5" t="s">
        <v>137</v>
      </c>
      <c r="I162" s="5" t="s">
        <v>14310</v>
      </c>
      <c r="J162" s="5" t="s">
        <v>14470</v>
      </c>
      <c r="M162" s="1"/>
      <c r="N162"/>
      <c r="O162"/>
      <c r="P162"/>
      <c r="Q162"/>
      <c r="R162"/>
      <c r="S162"/>
      <c r="T162"/>
      <c r="U162"/>
      <c r="V162"/>
      <c r="W162"/>
      <c r="X162"/>
      <c r="Y162"/>
    </row>
    <row r="163" spans="1:25" s="2" customFormat="1" ht="25.5" x14ac:dyDescent="0.2">
      <c r="A163" s="5" t="s">
        <v>14469</v>
      </c>
      <c r="B163" s="5" t="s">
        <v>83</v>
      </c>
      <c r="C163" s="5"/>
      <c r="D163" s="5" t="s">
        <v>14468</v>
      </c>
      <c r="E163" s="5" t="s">
        <v>138</v>
      </c>
      <c r="F163" s="5" t="s">
        <v>14467</v>
      </c>
      <c r="G163" s="5" t="s">
        <v>207</v>
      </c>
      <c r="H163" s="5" t="s">
        <v>137</v>
      </c>
      <c r="I163" s="5" t="s">
        <v>14310</v>
      </c>
      <c r="J163" s="5" t="s">
        <v>14466</v>
      </c>
      <c r="M163" s="1"/>
      <c r="N163"/>
      <c r="O163"/>
      <c r="P163"/>
      <c r="Q163"/>
      <c r="R163"/>
      <c r="S163"/>
      <c r="T163"/>
      <c r="U163"/>
      <c r="V163"/>
      <c r="W163"/>
      <c r="X163"/>
      <c r="Y163"/>
    </row>
    <row r="164" spans="1:25" s="2" customFormat="1" ht="25.5" x14ac:dyDescent="0.2">
      <c r="A164" s="5" t="s">
        <v>14465</v>
      </c>
      <c r="B164" s="5" t="s">
        <v>83</v>
      </c>
      <c r="C164" s="5"/>
      <c r="D164" s="5" t="s">
        <v>14464</v>
      </c>
      <c r="E164" s="5" t="s">
        <v>138</v>
      </c>
      <c r="F164" s="5" t="s">
        <v>14463</v>
      </c>
      <c r="G164" s="5" t="s">
        <v>207</v>
      </c>
      <c r="H164" s="5" t="s">
        <v>137</v>
      </c>
      <c r="I164" s="5" t="s">
        <v>14310</v>
      </c>
      <c r="J164" s="5" t="s">
        <v>14462</v>
      </c>
      <c r="M164" s="1"/>
      <c r="N164"/>
      <c r="O164"/>
      <c r="P164"/>
      <c r="Q164"/>
      <c r="R164"/>
      <c r="S164"/>
      <c r="T164"/>
      <c r="U164"/>
      <c r="V164"/>
      <c r="W164"/>
      <c r="X164"/>
      <c r="Y164"/>
    </row>
    <row r="165" spans="1:25" s="2" customFormat="1" ht="25.5" x14ac:dyDescent="0.2">
      <c r="A165" s="5" t="s">
        <v>14461</v>
      </c>
      <c r="B165" s="5" t="s">
        <v>83</v>
      </c>
      <c r="C165" s="5"/>
      <c r="D165" s="5" t="s">
        <v>14460</v>
      </c>
      <c r="E165" s="5" t="s">
        <v>138</v>
      </c>
      <c r="F165" s="5" t="s">
        <v>14459</v>
      </c>
      <c r="G165" s="5" t="s">
        <v>207</v>
      </c>
      <c r="H165" s="5" t="s">
        <v>137</v>
      </c>
      <c r="I165" s="5" t="s">
        <v>14310</v>
      </c>
      <c r="J165" s="5" t="s">
        <v>14458</v>
      </c>
      <c r="M165" s="1"/>
      <c r="N165"/>
      <c r="O165"/>
      <c r="P165"/>
      <c r="Q165"/>
      <c r="R165"/>
      <c r="S165"/>
      <c r="T165"/>
      <c r="U165"/>
      <c r="V165"/>
      <c r="W165"/>
      <c r="X165"/>
      <c r="Y165"/>
    </row>
    <row r="166" spans="1:25" s="2" customFormat="1" ht="25.5" x14ac:dyDescent="0.2">
      <c r="A166" s="5" t="s">
        <v>14457</v>
      </c>
      <c r="B166" s="5" t="s">
        <v>83</v>
      </c>
      <c r="C166" s="5"/>
      <c r="D166" s="5" t="s">
        <v>14456</v>
      </c>
      <c r="E166" s="5" t="s">
        <v>138</v>
      </c>
      <c r="F166" s="5" t="s">
        <v>14455</v>
      </c>
      <c r="G166" s="5" t="s">
        <v>207</v>
      </c>
      <c r="H166" s="5" t="s">
        <v>137</v>
      </c>
      <c r="I166" s="5" t="s">
        <v>14310</v>
      </c>
      <c r="J166" s="5" t="s">
        <v>14454</v>
      </c>
      <c r="M166" s="1"/>
      <c r="N166"/>
      <c r="O166"/>
      <c r="P166"/>
      <c r="Q166"/>
      <c r="R166"/>
      <c r="S166"/>
      <c r="T166"/>
      <c r="U166"/>
      <c r="V166"/>
      <c r="W166"/>
      <c r="X166"/>
      <c r="Y166"/>
    </row>
    <row r="167" spans="1:25" s="2" customFormat="1" ht="25.5" x14ac:dyDescent="0.2">
      <c r="A167" s="5" t="s">
        <v>14453</v>
      </c>
      <c r="B167" s="5" t="s">
        <v>83</v>
      </c>
      <c r="C167" s="5"/>
      <c r="D167" s="5" t="s">
        <v>14452</v>
      </c>
      <c r="E167" s="5"/>
      <c r="F167" s="5" t="s">
        <v>14451</v>
      </c>
      <c r="G167" s="5" t="s">
        <v>105</v>
      </c>
      <c r="H167" s="5" t="s">
        <v>137</v>
      </c>
      <c r="I167" s="5" t="s">
        <v>14310</v>
      </c>
      <c r="J167" s="5" t="s">
        <v>14450</v>
      </c>
      <c r="M167" s="1"/>
      <c r="N167"/>
      <c r="O167"/>
      <c r="P167"/>
      <c r="Q167"/>
      <c r="R167"/>
      <c r="S167"/>
      <c r="T167"/>
      <c r="U167"/>
      <c r="V167"/>
      <c r="W167"/>
      <c r="X167"/>
      <c r="Y167"/>
    </row>
    <row r="168" spans="1:25" s="2" customFormat="1" ht="25.5" x14ac:dyDescent="0.2">
      <c r="A168" s="5" t="s">
        <v>14449</v>
      </c>
      <c r="B168" s="5" t="s">
        <v>83</v>
      </c>
      <c r="C168" s="5"/>
      <c r="D168" s="5" t="s">
        <v>14448</v>
      </c>
      <c r="E168" s="5"/>
      <c r="F168" s="5" t="s">
        <v>14447</v>
      </c>
      <c r="G168" s="5" t="s">
        <v>229</v>
      </c>
      <c r="H168" s="5" t="s">
        <v>137</v>
      </c>
      <c r="I168" s="5" t="s">
        <v>14310</v>
      </c>
      <c r="J168" s="5" t="s">
        <v>14446</v>
      </c>
      <c r="M168" s="1"/>
      <c r="N168"/>
      <c r="O168"/>
      <c r="P168"/>
      <c r="Q168"/>
      <c r="R168"/>
      <c r="S168"/>
      <c r="T168"/>
      <c r="U168"/>
      <c r="V168"/>
      <c r="W168"/>
      <c r="X168"/>
      <c r="Y168"/>
    </row>
    <row r="169" spans="1:25" s="2" customFormat="1" ht="25.5" x14ac:dyDescent="0.2">
      <c r="A169" s="5" t="s">
        <v>14445</v>
      </c>
      <c r="B169" s="5" t="s">
        <v>83</v>
      </c>
      <c r="C169" s="5"/>
      <c r="D169" s="5" t="s">
        <v>14444</v>
      </c>
      <c r="E169" s="5"/>
      <c r="F169" s="5" t="s">
        <v>14443</v>
      </c>
      <c r="G169" s="5" t="s">
        <v>229</v>
      </c>
      <c r="H169" s="5" t="s">
        <v>137</v>
      </c>
      <c r="I169" s="5" t="s">
        <v>14310</v>
      </c>
      <c r="J169" s="5" t="s">
        <v>14442</v>
      </c>
      <c r="M169" s="1"/>
      <c r="N169"/>
      <c r="O169"/>
      <c r="P169"/>
      <c r="Q169"/>
      <c r="R169"/>
      <c r="S169"/>
      <c r="T169"/>
      <c r="U169"/>
      <c r="V169"/>
      <c r="W169"/>
      <c r="X169"/>
      <c r="Y169"/>
    </row>
    <row r="170" spans="1:25" s="2" customFormat="1" ht="25.5" x14ac:dyDescent="0.2">
      <c r="A170" s="5" t="s">
        <v>14441</v>
      </c>
      <c r="B170" s="5" t="s">
        <v>83</v>
      </c>
      <c r="C170" s="5"/>
      <c r="D170" s="5" t="s">
        <v>14440</v>
      </c>
      <c r="E170" s="5"/>
      <c r="F170" s="5" t="s">
        <v>14439</v>
      </c>
      <c r="G170" s="5" t="s">
        <v>229</v>
      </c>
      <c r="H170" s="5" t="s">
        <v>137</v>
      </c>
      <c r="I170" s="5" t="s">
        <v>14310</v>
      </c>
      <c r="J170" s="5" t="s">
        <v>14438</v>
      </c>
      <c r="M170" s="1"/>
      <c r="N170"/>
      <c r="O170"/>
      <c r="P170"/>
      <c r="Q170"/>
      <c r="R170"/>
      <c r="S170"/>
      <c r="T170"/>
      <c r="U170"/>
      <c r="V170"/>
      <c r="W170"/>
      <c r="X170"/>
      <c r="Y170"/>
    </row>
    <row r="171" spans="1:25" s="2" customFormat="1" ht="25.5" x14ac:dyDescent="0.2">
      <c r="A171" s="5" t="s">
        <v>14437</v>
      </c>
      <c r="B171" s="5" t="s">
        <v>83</v>
      </c>
      <c r="C171" s="5"/>
      <c r="D171" s="5" t="s">
        <v>14436</v>
      </c>
      <c r="E171" s="5"/>
      <c r="F171" s="5" t="s">
        <v>14435</v>
      </c>
      <c r="G171" s="5" t="s">
        <v>229</v>
      </c>
      <c r="H171" s="5" t="s">
        <v>137</v>
      </c>
      <c r="I171" s="5" t="s">
        <v>14310</v>
      </c>
      <c r="J171" s="5" t="s">
        <v>14434</v>
      </c>
      <c r="M171" s="1"/>
      <c r="N171"/>
      <c r="O171"/>
      <c r="P171"/>
      <c r="Q171"/>
      <c r="R171"/>
      <c r="S171"/>
      <c r="T171"/>
      <c r="U171"/>
      <c r="V171"/>
      <c r="W171"/>
      <c r="X171"/>
      <c r="Y171"/>
    </row>
    <row r="172" spans="1:25" ht="25.5" x14ac:dyDescent="0.2">
      <c r="A172" s="5" t="s">
        <v>14433</v>
      </c>
      <c r="B172" s="5" t="s">
        <v>83</v>
      </c>
      <c r="C172" s="5"/>
      <c r="D172" s="5" t="s">
        <v>14432</v>
      </c>
      <c r="E172" s="5"/>
      <c r="F172" s="5" t="s">
        <v>14431</v>
      </c>
      <c r="G172" s="5" t="s">
        <v>229</v>
      </c>
      <c r="H172" s="5" t="s">
        <v>137</v>
      </c>
      <c r="I172" s="5" t="s">
        <v>14310</v>
      </c>
      <c r="J172" s="5" t="s">
        <v>14430</v>
      </c>
    </row>
    <row r="173" spans="1:25" ht="25.5" x14ac:dyDescent="0.2">
      <c r="A173" s="5" t="s">
        <v>14429</v>
      </c>
      <c r="B173" s="5" t="s">
        <v>83</v>
      </c>
      <c r="C173" s="5"/>
      <c r="D173" s="5" t="s">
        <v>14428</v>
      </c>
      <c r="E173" s="5"/>
      <c r="F173" s="5" t="s">
        <v>14427</v>
      </c>
      <c r="G173" s="5" t="s">
        <v>148</v>
      </c>
      <c r="H173" s="5" t="s">
        <v>137</v>
      </c>
      <c r="I173" s="5" t="s">
        <v>14310</v>
      </c>
      <c r="J173" s="5" t="s">
        <v>14426</v>
      </c>
    </row>
    <row r="174" spans="1:25" ht="25.5" x14ac:dyDescent="0.2">
      <c r="A174" s="5" t="s">
        <v>14425</v>
      </c>
      <c r="B174" s="5" t="s">
        <v>83</v>
      </c>
      <c r="C174" s="5"/>
      <c r="D174" s="5" t="s">
        <v>14398</v>
      </c>
      <c r="E174" s="5"/>
      <c r="F174" s="5" t="s">
        <v>14014</v>
      </c>
      <c r="G174" s="5" t="s">
        <v>229</v>
      </c>
      <c r="H174" s="5" t="s">
        <v>137</v>
      </c>
      <c r="I174" s="5" t="s">
        <v>14310</v>
      </c>
      <c r="J174" s="5" t="s">
        <v>14397</v>
      </c>
    </row>
    <row r="175" spans="1:25" ht="25.5" x14ac:dyDescent="0.2">
      <c r="A175" s="5" t="s">
        <v>14424</v>
      </c>
      <c r="B175" s="5" t="s">
        <v>83</v>
      </c>
      <c r="C175" s="5"/>
      <c r="D175" s="5" t="s">
        <v>14423</v>
      </c>
      <c r="E175" s="5"/>
      <c r="F175" s="5" t="s">
        <v>14422</v>
      </c>
      <c r="G175" s="5" t="s">
        <v>118</v>
      </c>
      <c r="H175" s="5" t="s">
        <v>137</v>
      </c>
      <c r="I175" s="5" t="s">
        <v>14310</v>
      </c>
      <c r="J175" s="5" t="s">
        <v>14421</v>
      </c>
    </row>
    <row r="176" spans="1:25" ht="25.5" x14ac:dyDescent="0.2">
      <c r="A176" s="5" t="s">
        <v>14420</v>
      </c>
      <c r="B176" s="5" t="s">
        <v>83</v>
      </c>
      <c r="C176" s="5"/>
      <c r="D176" s="5" t="s">
        <v>14419</v>
      </c>
      <c r="E176" s="5"/>
      <c r="F176" s="5" t="s">
        <v>14418</v>
      </c>
      <c r="G176" s="5" t="s">
        <v>118</v>
      </c>
      <c r="H176" s="5" t="s">
        <v>137</v>
      </c>
      <c r="I176" s="5" t="s">
        <v>14310</v>
      </c>
      <c r="J176" s="5" t="s">
        <v>14417</v>
      </c>
    </row>
    <row r="177" spans="1:10" ht="25.5" x14ac:dyDescent="0.2">
      <c r="A177" s="5" t="s">
        <v>14416</v>
      </c>
      <c r="B177" s="5" t="s">
        <v>83</v>
      </c>
      <c r="C177" s="5"/>
      <c r="D177" s="5" t="s">
        <v>14415</v>
      </c>
      <c r="E177" s="5"/>
      <c r="F177" s="5" t="s">
        <v>14414</v>
      </c>
      <c r="G177" s="5" t="s">
        <v>118</v>
      </c>
      <c r="H177" s="5" t="s">
        <v>137</v>
      </c>
      <c r="I177" s="5" t="s">
        <v>14310</v>
      </c>
      <c r="J177" s="5" t="s">
        <v>14413</v>
      </c>
    </row>
    <row r="178" spans="1:10" ht="25.5" x14ac:dyDescent="0.2">
      <c r="A178" s="5" t="s">
        <v>14412</v>
      </c>
      <c r="B178" s="5" t="s">
        <v>83</v>
      </c>
      <c r="C178" s="5"/>
      <c r="D178" s="5" t="s">
        <v>14411</v>
      </c>
      <c r="E178" s="5"/>
      <c r="F178" s="5" t="s">
        <v>14410</v>
      </c>
      <c r="G178" s="5" t="s">
        <v>118</v>
      </c>
      <c r="H178" s="5" t="s">
        <v>137</v>
      </c>
      <c r="I178" s="5" t="s">
        <v>14310</v>
      </c>
      <c r="J178" s="5" t="s">
        <v>14409</v>
      </c>
    </row>
    <row r="179" spans="1:10" ht="25.5" x14ac:dyDescent="0.2">
      <c r="A179" s="5" t="s">
        <v>14408</v>
      </c>
      <c r="B179" s="5" t="s">
        <v>83</v>
      </c>
      <c r="C179" s="5"/>
      <c r="D179" s="5" t="s">
        <v>14407</v>
      </c>
      <c r="E179" s="5"/>
      <c r="F179" s="5" t="s">
        <v>14406</v>
      </c>
      <c r="G179" s="5" t="s">
        <v>118</v>
      </c>
      <c r="H179" s="5" t="s">
        <v>137</v>
      </c>
      <c r="I179" s="5" t="s">
        <v>14310</v>
      </c>
      <c r="J179" s="5" t="s">
        <v>14405</v>
      </c>
    </row>
    <row r="180" spans="1:10" x14ac:dyDescent="0.2">
      <c r="A180" s="5" t="s">
        <v>14404</v>
      </c>
      <c r="B180" s="5" t="s">
        <v>83</v>
      </c>
      <c r="C180" s="5"/>
      <c r="D180" s="5" t="s">
        <v>14403</v>
      </c>
      <c r="E180" s="5"/>
      <c r="F180" s="5" t="s">
        <v>14402</v>
      </c>
      <c r="G180" s="5" t="s">
        <v>118</v>
      </c>
      <c r="H180" s="5" t="s">
        <v>137</v>
      </c>
      <c r="I180" s="5" t="s">
        <v>14310</v>
      </c>
      <c r="J180" s="5" t="s">
        <v>14402</v>
      </c>
    </row>
    <row r="181" spans="1:10" ht="25.5" x14ac:dyDescent="0.2">
      <c r="A181" s="5" t="s">
        <v>14401</v>
      </c>
      <c r="B181" s="5" t="s">
        <v>83</v>
      </c>
      <c r="C181" s="5"/>
      <c r="D181" s="5" t="s">
        <v>14400</v>
      </c>
      <c r="E181" s="5"/>
      <c r="F181" s="5" t="s">
        <v>14397</v>
      </c>
      <c r="G181" s="5" t="s">
        <v>1527</v>
      </c>
      <c r="H181" s="5" t="s">
        <v>137</v>
      </c>
      <c r="I181" s="5" t="s">
        <v>14310</v>
      </c>
      <c r="J181" s="5" t="s">
        <v>14397</v>
      </c>
    </row>
    <row r="182" spans="1:10" ht="25.5" x14ac:dyDescent="0.2">
      <c r="A182" s="5" t="s">
        <v>14399</v>
      </c>
      <c r="B182" s="5" t="s">
        <v>83</v>
      </c>
      <c r="C182" s="5"/>
      <c r="D182" s="5" t="s">
        <v>14398</v>
      </c>
      <c r="E182" s="5"/>
      <c r="F182" s="5" t="s">
        <v>14397</v>
      </c>
      <c r="G182" s="5" t="s">
        <v>229</v>
      </c>
      <c r="H182" s="5" t="s">
        <v>137</v>
      </c>
      <c r="I182" s="5" t="s">
        <v>14310</v>
      </c>
      <c r="J182" s="5" t="s">
        <v>14397</v>
      </c>
    </row>
    <row r="183" spans="1:10" ht="25.5" x14ac:dyDescent="0.2">
      <c r="A183" s="5" t="s">
        <v>14396</v>
      </c>
      <c r="B183" s="5" t="s">
        <v>83</v>
      </c>
      <c r="C183" s="5"/>
      <c r="D183" s="5" t="s">
        <v>14395</v>
      </c>
      <c r="E183" s="5" t="s">
        <v>138</v>
      </c>
      <c r="F183" s="5" t="s">
        <v>14394</v>
      </c>
      <c r="G183" s="5" t="s">
        <v>207</v>
      </c>
      <c r="H183" s="5" t="s">
        <v>137</v>
      </c>
      <c r="I183" s="5" t="s">
        <v>14310</v>
      </c>
      <c r="J183" s="5" t="s">
        <v>14393</v>
      </c>
    </row>
    <row r="184" spans="1:10" ht="25.5" x14ac:dyDescent="0.2">
      <c r="A184" s="5" t="s">
        <v>14392</v>
      </c>
      <c r="B184" s="5" t="s">
        <v>83</v>
      </c>
      <c r="C184" s="5"/>
      <c r="D184" s="5" t="s">
        <v>14391</v>
      </c>
      <c r="E184" s="5" t="s">
        <v>138</v>
      </c>
      <c r="F184" s="5" t="s">
        <v>14390</v>
      </c>
      <c r="G184" s="5" t="s">
        <v>207</v>
      </c>
      <c r="H184" s="5" t="s">
        <v>137</v>
      </c>
      <c r="I184" s="5" t="s">
        <v>14310</v>
      </c>
      <c r="J184" s="5" t="s">
        <v>14389</v>
      </c>
    </row>
    <row r="185" spans="1:10" ht="25.5" x14ac:dyDescent="0.2">
      <c r="A185" s="5" t="s">
        <v>14388</v>
      </c>
      <c r="B185" s="5" t="s">
        <v>83</v>
      </c>
      <c r="C185" s="5"/>
      <c r="D185" s="5" t="s">
        <v>14387</v>
      </c>
      <c r="E185" s="5" t="s">
        <v>138</v>
      </c>
      <c r="F185" s="5" t="s">
        <v>14386</v>
      </c>
      <c r="G185" s="5" t="s">
        <v>207</v>
      </c>
      <c r="H185" s="5" t="s">
        <v>137</v>
      </c>
      <c r="I185" s="5" t="s">
        <v>14310</v>
      </c>
      <c r="J185" s="5" t="s">
        <v>14385</v>
      </c>
    </row>
    <row r="186" spans="1:10" ht="25.5" x14ac:dyDescent="0.2">
      <c r="A186" s="5" t="s">
        <v>14384</v>
      </c>
      <c r="B186" s="5" t="s">
        <v>83</v>
      </c>
      <c r="C186" s="5"/>
      <c r="D186" s="5" t="s">
        <v>14383</v>
      </c>
      <c r="E186" s="5" t="s">
        <v>138</v>
      </c>
      <c r="F186" s="5" t="s">
        <v>14382</v>
      </c>
      <c r="G186" s="5" t="s">
        <v>207</v>
      </c>
      <c r="H186" s="5" t="s">
        <v>137</v>
      </c>
      <c r="I186" s="5" t="s">
        <v>14310</v>
      </c>
      <c r="J186" s="5" t="s">
        <v>14381</v>
      </c>
    </row>
    <row r="187" spans="1:10" ht="25.5" x14ac:dyDescent="0.2">
      <c r="A187" s="5" t="s">
        <v>14380</v>
      </c>
      <c r="B187" s="5" t="s">
        <v>83</v>
      </c>
      <c r="C187" s="5"/>
      <c r="D187" s="5" t="s">
        <v>14379</v>
      </c>
      <c r="E187" s="5" t="s">
        <v>138</v>
      </c>
      <c r="F187" s="5" t="s">
        <v>14378</v>
      </c>
      <c r="G187" s="5" t="s">
        <v>207</v>
      </c>
      <c r="H187" s="5" t="s">
        <v>137</v>
      </c>
      <c r="I187" s="5" t="s">
        <v>14310</v>
      </c>
      <c r="J187" s="5" t="s">
        <v>14377</v>
      </c>
    </row>
    <row r="188" spans="1:10" ht="25.5" x14ac:dyDescent="0.2">
      <c r="A188" s="5" t="s">
        <v>14376</v>
      </c>
      <c r="B188" s="5" t="s">
        <v>83</v>
      </c>
      <c r="C188" s="5"/>
      <c r="D188" s="5" t="s">
        <v>14375</v>
      </c>
      <c r="E188" s="5" t="s">
        <v>138</v>
      </c>
      <c r="F188" s="5" t="s">
        <v>14374</v>
      </c>
      <c r="G188" s="5" t="s">
        <v>207</v>
      </c>
      <c r="H188" s="5" t="s">
        <v>137</v>
      </c>
      <c r="I188" s="5" t="s">
        <v>14310</v>
      </c>
      <c r="J188" s="5" t="s">
        <v>14373</v>
      </c>
    </row>
    <row r="189" spans="1:10" ht="25.5" x14ac:dyDescent="0.2">
      <c r="A189" s="5" t="s">
        <v>14372</v>
      </c>
      <c r="B189" s="5" t="s">
        <v>83</v>
      </c>
      <c r="C189" s="5"/>
      <c r="D189" s="5" t="s">
        <v>14371</v>
      </c>
      <c r="E189" s="5"/>
      <c r="F189" s="5" t="s">
        <v>14370</v>
      </c>
      <c r="G189" s="5" t="s">
        <v>224</v>
      </c>
      <c r="H189" s="5" t="s">
        <v>137</v>
      </c>
      <c r="I189" s="5" t="s">
        <v>14310</v>
      </c>
      <c r="J189" s="5" t="s">
        <v>14369</v>
      </c>
    </row>
    <row r="190" spans="1:10" ht="25.5" x14ac:dyDescent="0.2">
      <c r="A190" s="5" t="s">
        <v>14368</v>
      </c>
      <c r="B190" s="5" t="s">
        <v>83</v>
      </c>
      <c r="C190" s="5"/>
      <c r="D190" s="5" t="s">
        <v>14367</v>
      </c>
      <c r="E190" s="5" t="s">
        <v>299</v>
      </c>
      <c r="F190" s="5" t="s">
        <v>14366</v>
      </c>
      <c r="G190" s="5" t="s">
        <v>91</v>
      </c>
      <c r="H190" s="5" t="s">
        <v>137</v>
      </c>
      <c r="I190" s="5" t="s">
        <v>14310</v>
      </c>
      <c r="J190" s="5" t="s">
        <v>14365</v>
      </c>
    </row>
    <row r="191" spans="1:10" x14ac:dyDescent="0.2">
      <c r="A191" s="5" t="s">
        <v>14364</v>
      </c>
      <c r="B191" s="5" t="s">
        <v>83</v>
      </c>
      <c r="C191" s="5"/>
      <c r="D191" s="5" t="s">
        <v>14363</v>
      </c>
      <c r="E191" s="5"/>
      <c r="F191" s="5" t="s">
        <v>7980</v>
      </c>
      <c r="G191" s="5" t="s">
        <v>315</v>
      </c>
      <c r="H191" s="5" t="s">
        <v>137</v>
      </c>
      <c r="I191" s="5" t="s">
        <v>14310</v>
      </c>
      <c r="J191" s="5" t="s">
        <v>11330</v>
      </c>
    </row>
    <row r="192" spans="1:10" ht="25.5" x14ac:dyDescent="0.2">
      <c r="A192" s="5" t="s">
        <v>14362</v>
      </c>
      <c r="B192" s="5" t="s">
        <v>83</v>
      </c>
      <c r="C192" s="5"/>
      <c r="D192" s="5" t="s">
        <v>14361</v>
      </c>
      <c r="E192" s="5"/>
      <c r="F192" s="5" t="s">
        <v>11225</v>
      </c>
      <c r="G192" s="5" t="s">
        <v>170</v>
      </c>
      <c r="H192" s="5" t="s">
        <v>137</v>
      </c>
      <c r="I192" s="5" t="s">
        <v>14310</v>
      </c>
      <c r="J192" s="5" t="s">
        <v>14360</v>
      </c>
    </row>
    <row r="193" spans="1:10" x14ac:dyDescent="0.2">
      <c r="A193" s="5" t="s">
        <v>14359</v>
      </c>
      <c r="B193" s="5" t="s">
        <v>83</v>
      </c>
      <c r="C193" s="5"/>
      <c r="D193" s="5" t="s">
        <v>14358</v>
      </c>
      <c r="E193" s="5"/>
      <c r="F193" s="5" t="s">
        <v>12291</v>
      </c>
      <c r="G193" s="5" t="s">
        <v>224</v>
      </c>
      <c r="H193" s="5" t="s">
        <v>137</v>
      </c>
      <c r="I193" s="5" t="s">
        <v>14310</v>
      </c>
      <c r="J193" s="5" t="s">
        <v>14357</v>
      </c>
    </row>
    <row r="194" spans="1:10" ht="25.5" x14ac:dyDescent="0.2">
      <c r="A194" s="5" t="s">
        <v>14356</v>
      </c>
      <c r="B194" s="5" t="s">
        <v>83</v>
      </c>
      <c r="C194" s="5"/>
      <c r="D194" s="5" t="s">
        <v>14355</v>
      </c>
      <c r="E194" s="5" t="s">
        <v>1783</v>
      </c>
      <c r="F194" s="5" t="s">
        <v>7980</v>
      </c>
      <c r="G194" s="5" t="s">
        <v>91</v>
      </c>
      <c r="H194" s="5" t="s">
        <v>137</v>
      </c>
      <c r="I194" s="5" t="s">
        <v>14310</v>
      </c>
      <c r="J194" s="5" t="s">
        <v>14354</v>
      </c>
    </row>
    <row r="195" spans="1:10" ht="25.5" x14ac:dyDescent="0.2">
      <c r="A195" s="5" t="s">
        <v>14353</v>
      </c>
      <c r="B195" s="5" t="s">
        <v>83</v>
      </c>
      <c r="C195" s="5"/>
      <c r="D195" s="5" t="s">
        <v>14352</v>
      </c>
      <c r="E195" s="5"/>
      <c r="F195" s="5" t="s">
        <v>11509</v>
      </c>
      <c r="G195" s="5" t="s">
        <v>382</v>
      </c>
      <c r="H195" s="5" t="s">
        <v>137</v>
      </c>
      <c r="I195" s="5" t="s">
        <v>14310</v>
      </c>
      <c r="J195" s="5" t="s">
        <v>14351</v>
      </c>
    </row>
    <row r="196" spans="1:10" ht="25.5" x14ac:dyDescent="0.2">
      <c r="A196" s="5" t="s">
        <v>14350</v>
      </c>
      <c r="B196" s="5" t="s">
        <v>83</v>
      </c>
      <c r="C196" s="5"/>
      <c r="D196" s="5" t="s">
        <v>14349</v>
      </c>
      <c r="E196" s="5" t="s">
        <v>368</v>
      </c>
      <c r="F196" s="5" t="s">
        <v>14348</v>
      </c>
      <c r="G196" s="5" t="s">
        <v>382</v>
      </c>
      <c r="H196" s="5" t="s">
        <v>137</v>
      </c>
      <c r="I196" s="5" t="s">
        <v>14310</v>
      </c>
      <c r="J196" s="5" t="s">
        <v>14347</v>
      </c>
    </row>
    <row r="197" spans="1:10" ht="25.5" x14ac:dyDescent="0.2">
      <c r="A197" s="5" t="s">
        <v>14346</v>
      </c>
      <c r="B197" s="5" t="s">
        <v>83</v>
      </c>
      <c r="C197" s="5"/>
      <c r="D197" s="5" t="s">
        <v>14345</v>
      </c>
      <c r="E197" s="5"/>
      <c r="F197" s="5" t="s">
        <v>14344</v>
      </c>
      <c r="G197" s="5" t="s">
        <v>328</v>
      </c>
      <c r="H197" s="5" t="s">
        <v>137</v>
      </c>
      <c r="I197" s="5" t="s">
        <v>14310</v>
      </c>
      <c r="J197" s="5" t="s">
        <v>14343</v>
      </c>
    </row>
    <row r="198" spans="1:10" ht="25.5" x14ac:dyDescent="0.2">
      <c r="A198" s="5" t="s">
        <v>14342</v>
      </c>
      <c r="B198" s="5" t="s">
        <v>83</v>
      </c>
      <c r="C198" s="5"/>
      <c r="D198" s="5" t="s">
        <v>14341</v>
      </c>
      <c r="E198" s="5" t="s">
        <v>138</v>
      </c>
      <c r="F198" s="5" t="s">
        <v>11509</v>
      </c>
      <c r="G198" s="5" t="s">
        <v>382</v>
      </c>
      <c r="H198" s="5" t="s">
        <v>137</v>
      </c>
      <c r="I198" s="5" t="s">
        <v>14310</v>
      </c>
      <c r="J198" s="5" t="s">
        <v>14340</v>
      </c>
    </row>
    <row r="199" spans="1:10" ht="25.5" x14ac:dyDescent="0.2">
      <c r="A199" s="5" t="s">
        <v>14339</v>
      </c>
      <c r="B199" s="5" t="s">
        <v>83</v>
      </c>
      <c r="C199" s="5"/>
      <c r="D199" s="5" t="s">
        <v>14338</v>
      </c>
      <c r="E199" s="5"/>
      <c r="F199" s="5" t="s">
        <v>14337</v>
      </c>
      <c r="G199" s="5" t="s">
        <v>4028</v>
      </c>
      <c r="H199" s="5" t="s">
        <v>137</v>
      </c>
      <c r="I199" s="5" t="s">
        <v>14310</v>
      </c>
      <c r="J199" s="5" t="s">
        <v>14337</v>
      </c>
    </row>
    <row r="200" spans="1:10" ht="25.5" x14ac:dyDescent="0.2">
      <c r="A200" s="5" t="s">
        <v>14336</v>
      </c>
      <c r="B200" s="5" t="s">
        <v>83</v>
      </c>
      <c r="C200" s="5"/>
      <c r="D200" s="5" t="s">
        <v>14335</v>
      </c>
      <c r="E200" s="5"/>
      <c r="F200" s="5" t="s">
        <v>14334</v>
      </c>
      <c r="G200" s="5" t="s">
        <v>6584</v>
      </c>
      <c r="H200" s="5" t="s">
        <v>137</v>
      </c>
      <c r="I200" s="5" t="s">
        <v>14310</v>
      </c>
      <c r="J200" s="5" t="s">
        <v>14333</v>
      </c>
    </row>
    <row r="201" spans="1:10" ht="25.5" x14ac:dyDescent="0.2">
      <c r="A201" s="5" t="s">
        <v>14332</v>
      </c>
      <c r="B201" s="5" t="s">
        <v>83</v>
      </c>
      <c r="C201" s="5"/>
      <c r="D201" s="5" t="s">
        <v>14331</v>
      </c>
      <c r="E201" s="5" t="s">
        <v>138</v>
      </c>
      <c r="F201" s="5" t="s">
        <v>11509</v>
      </c>
      <c r="G201" s="5" t="s">
        <v>382</v>
      </c>
      <c r="H201" s="5" t="s">
        <v>137</v>
      </c>
      <c r="I201" s="5" t="s">
        <v>14310</v>
      </c>
      <c r="J201" s="5" t="s">
        <v>14330</v>
      </c>
    </row>
    <row r="202" spans="1:10" ht="25.5" x14ac:dyDescent="0.2">
      <c r="A202" s="5" t="s">
        <v>14329</v>
      </c>
      <c r="B202" s="5" t="s">
        <v>83</v>
      </c>
      <c r="C202" s="5"/>
      <c r="D202" s="5" t="s">
        <v>14328</v>
      </c>
      <c r="E202" s="5"/>
      <c r="F202" s="5" t="s">
        <v>14327</v>
      </c>
      <c r="G202" s="5" t="s">
        <v>229</v>
      </c>
      <c r="H202" s="5" t="s">
        <v>137</v>
      </c>
      <c r="I202" s="5" t="s">
        <v>14310</v>
      </c>
      <c r="J202" s="5" t="s">
        <v>14326</v>
      </c>
    </row>
    <row r="203" spans="1:10" x14ac:dyDescent="0.2">
      <c r="A203" s="5" t="s">
        <v>14325</v>
      </c>
      <c r="B203" s="5" t="s">
        <v>83</v>
      </c>
      <c r="C203" s="5"/>
      <c r="D203" s="5" t="s">
        <v>14324</v>
      </c>
      <c r="E203" s="5"/>
      <c r="F203" s="5" t="s">
        <v>8685</v>
      </c>
      <c r="G203" s="5" t="s">
        <v>80</v>
      </c>
      <c r="H203" s="5" t="s">
        <v>137</v>
      </c>
      <c r="I203" s="5" t="s">
        <v>14310</v>
      </c>
      <c r="J203" s="5" t="s">
        <v>14323</v>
      </c>
    </row>
    <row r="204" spans="1:10" ht="25.5" x14ac:dyDescent="0.2">
      <c r="A204" s="5" t="s">
        <v>14322</v>
      </c>
      <c r="B204" s="5" t="s">
        <v>83</v>
      </c>
      <c r="C204" s="5"/>
      <c r="D204" s="5" t="s">
        <v>14321</v>
      </c>
      <c r="E204" s="5"/>
      <c r="F204" s="5" t="s">
        <v>14320</v>
      </c>
      <c r="G204" s="5" t="s">
        <v>224</v>
      </c>
      <c r="H204" s="5" t="s">
        <v>137</v>
      </c>
      <c r="I204" s="5" t="s">
        <v>14310</v>
      </c>
      <c r="J204" s="5" t="s">
        <v>14319</v>
      </c>
    </row>
    <row r="205" spans="1:10" ht="25.5" x14ac:dyDescent="0.2">
      <c r="A205" s="5" t="s">
        <v>14318</v>
      </c>
      <c r="B205" s="5" t="s">
        <v>83</v>
      </c>
      <c r="C205" s="5"/>
      <c r="D205" s="5" t="s">
        <v>14317</v>
      </c>
      <c r="E205" s="5"/>
      <c r="F205" s="5" t="s">
        <v>14313</v>
      </c>
      <c r="G205" s="5" t="s">
        <v>14314</v>
      </c>
      <c r="H205" s="5" t="s">
        <v>137</v>
      </c>
      <c r="I205" s="5" t="s">
        <v>14310</v>
      </c>
      <c r="J205" s="5" t="s">
        <v>14313</v>
      </c>
    </row>
    <row r="206" spans="1:10" ht="25.5" x14ac:dyDescent="0.2">
      <c r="A206" s="5" t="s">
        <v>14316</v>
      </c>
      <c r="B206" s="5" t="s">
        <v>83</v>
      </c>
      <c r="C206" s="5"/>
      <c r="D206" s="5" t="s">
        <v>14315</v>
      </c>
      <c r="E206" s="5"/>
      <c r="F206" s="5" t="s">
        <v>14313</v>
      </c>
      <c r="G206" s="5" t="s">
        <v>14314</v>
      </c>
      <c r="H206" s="5" t="s">
        <v>137</v>
      </c>
      <c r="I206" s="5" t="s">
        <v>14310</v>
      </c>
      <c r="J206" s="5" t="s">
        <v>14313</v>
      </c>
    </row>
    <row r="207" spans="1:10" ht="25.5" x14ac:dyDescent="0.2">
      <c r="A207" s="5" t="s">
        <v>13941</v>
      </c>
      <c r="B207" s="5" t="s">
        <v>83</v>
      </c>
      <c r="C207" s="5"/>
      <c r="D207" s="5" t="s">
        <v>14312</v>
      </c>
      <c r="E207" s="5"/>
      <c r="F207" s="5" t="s">
        <v>14311</v>
      </c>
      <c r="G207" s="5" t="s">
        <v>224</v>
      </c>
      <c r="H207" s="5" t="s">
        <v>137</v>
      </c>
      <c r="I207" s="5" t="s">
        <v>14310</v>
      </c>
      <c r="J207" s="5" t="s">
        <v>14309</v>
      </c>
    </row>
    <row r="208" spans="1:10" x14ac:dyDescent="0.2">
      <c r="A208" s="5" t="s">
        <v>14308</v>
      </c>
      <c r="B208" s="5" t="s">
        <v>83</v>
      </c>
      <c r="C208" s="5"/>
      <c r="D208" s="5" t="s">
        <v>14307</v>
      </c>
      <c r="E208" s="5"/>
      <c r="F208" s="5" t="s">
        <v>244</v>
      </c>
      <c r="G208" s="5" t="s">
        <v>105</v>
      </c>
      <c r="H208" s="5" t="s">
        <v>3</v>
      </c>
      <c r="I208" s="5"/>
      <c r="J208" s="5" t="s">
        <v>14306</v>
      </c>
    </row>
    <row r="209" spans="1:10" ht="38.25" x14ac:dyDescent="0.2">
      <c r="A209" s="5" t="s">
        <v>60</v>
      </c>
      <c r="B209" s="5" t="s">
        <v>8</v>
      </c>
      <c r="C209" s="5"/>
      <c r="D209" s="5" t="s">
        <v>14305</v>
      </c>
      <c r="E209" s="5"/>
      <c r="F209" s="5"/>
      <c r="G209" s="5"/>
      <c r="H209" s="5"/>
      <c r="I209" s="5"/>
      <c r="J209" s="5" t="s">
        <v>14304</v>
      </c>
    </row>
    <row r="210" spans="1:10" x14ac:dyDescent="0.2">
      <c r="A210" s="5" t="s">
        <v>14303</v>
      </c>
      <c r="B210" s="5" t="s">
        <v>8</v>
      </c>
      <c r="C210" s="5"/>
      <c r="D210" s="5" t="s">
        <v>14302</v>
      </c>
      <c r="E210" s="5"/>
      <c r="F210" s="5"/>
      <c r="G210" s="5"/>
      <c r="H210" s="5"/>
      <c r="I210" s="5"/>
      <c r="J210" s="5"/>
    </row>
    <row r="211" spans="1:10" x14ac:dyDescent="0.2">
      <c r="A211" s="5" t="s">
        <v>14301</v>
      </c>
      <c r="B211" s="5" t="s">
        <v>8</v>
      </c>
      <c r="C211" s="5"/>
      <c r="D211" s="5" t="s">
        <v>14294</v>
      </c>
      <c r="E211" s="5"/>
      <c r="F211" s="5"/>
      <c r="G211" s="5"/>
      <c r="H211" s="5"/>
      <c r="I211" s="5"/>
      <c r="J211" s="5"/>
    </row>
    <row r="212" spans="1:10" x14ac:dyDescent="0.2">
      <c r="A212" s="5" t="s">
        <v>2756</v>
      </c>
      <c r="B212" s="5" t="s">
        <v>8</v>
      </c>
      <c r="C212" s="5"/>
      <c r="D212" s="5" t="s">
        <v>14300</v>
      </c>
      <c r="E212" s="5"/>
      <c r="F212" s="5"/>
      <c r="G212" s="5"/>
      <c r="H212" s="5"/>
      <c r="I212" s="5"/>
      <c r="J212" s="5"/>
    </row>
    <row r="213" spans="1:10" x14ac:dyDescent="0.2">
      <c r="A213" s="5" t="s">
        <v>14299</v>
      </c>
      <c r="B213" s="5" t="s">
        <v>8</v>
      </c>
      <c r="C213" s="5"/>
      <c r="D213" s="5" t="s">
        <v>14298</v>
      </c>
      <c r="E213" s="5"/>
      <c r="F213" s="5"/>
      <c r="G213" s="5"/>
      <c r="H213" s="5"/>
      <c r="I213" s="5"/>
      <c r="J213" s="5"/>
    </row>
    <row r="214" spans="1:10" x14ac:dyDescent="0.2">
      <c r="A214" s="5" t="s">
        <v>14297</v>
      </c>
      <c r="B214" s="5" t="s">
        <v>8</v>
      </c>
      <c r="C214" s="5"/>
      <c r="D214" s="5" t="s">
        <v>14296</v>
      </c>
      <c r="E214" s="5"/>
      <c r="F214" s="5"/>
      <c r="G214" s="5"/>
      <c r="H214" s="5"/>
      <c r="I214" s="5"/>
      <c r="J214" s="5"/>
    </row>
    <row r="215" spans="1:10" x14ac:dyDescent="0.2">
      <c r="A215" s="5" t="s">
        <v>14295</v>
      </c>
      <c r="B215" s="5" t="s">
        <v>8</v>
      </c>
      <c r="C215" s="5"/>
      <c r="D215" s="5" t="s">
        <v>14294</v>
      </c>
      <c r="E215" s="5"/>
      <c r="F215" s="5"/>
      <c r="G215" s="5"/>
      <c r="H215" s="5"/>
      <c r="I215" s="5"/>
      <c r="J215" s="5"/>
    </row>
    <row r="216" spans="1:10" x14ac:dyDescent="0.2">
      <c r="A216" s="5" t="s">
        <v>349</v>
      </c>
      <c r="B216" s="5" t="s">
        <v>8</v>
      </c>
      <c r="C216" s="5"/>
      <c r="D216" s="5" t="s">
        <v>14293</v>
      </c>
      <c r="E216" s="5"/>
      <c r="F216" s="5"/>
      <c r="G216" s="5"/>
      <c r="H216" s="5"/>
      <c r="I216" s="5"/>
      <c r="J216" s="5"/>
    </row>
    <row r="217" spans="1:10" x14ac:dyDescent="0.2">
      <c r="A217" s="5" t="s">
        <v>1</v>
      </c>
      <c r="B217" s="5" t="s">
        <v>0</v>
      </c>
      <c r="C217" s="5"/>
      <c r="D217" s="5">
        <v>56</v>
      </c>
      <c r="E217" s="5"/>
      <c r="F217" s="5"/>
      <c r="G217" s="5"/>
      <c r="H217" s="5"/>
      <c r="I217" s="5"/>
      <c r="J217" s="5"/>
    </row>
  </sheetData>
  <autoFilter ref="A3:M3" xr:uid="{B2F118FD-E5B2-4E44-9BD3-D0682A1C8D44}"/>
  <mergeCells count="1">
    <mergeCell ref="G1:I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DF6F-94F6-416F-A7FA-985B5A2072AE}">
  <sheetPr codeName="Sheet29"/>
  <dimension ref="A1:Y321"/>
  <sheetViews>
    <sheetView workbookViewId="0">
      <pane ySplit="6330" topLeftCell="A313"/>
      <selection activeCell="J1" sqref="J1"/>
      <selection pane="bottomLeft" activeCell="J1" sqref="J1"/>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17188</v>
      </c>
      <c r="C1" s="14"/>
      <c r="D1" s="14"/>
      <c r="E1" s="14"/>
      <c r="F1" s="13" t="s">
        <v>8892</v>
      </c>
      <c r="G1" s="16">
        <v>45538</v>
      </c>
      <c r="H1" s="16"/>
      <c r="I1" s="16"/>
      <c r="J1" s="11"/>
    </row>
    <row r="2" spans="1:25" ht="18" x14ac:dyDescent="0.2">
      <c r="A2" s="14">
        <f ca="1">COUNTA(OFFSET(A3,1,0,2222,1))</f>
        <v>318</v>
      </c>
      <c r="B2" s="15"/>
      <c r="C2" s="14">
        <f ca="1">MAX(OFFSET(C3,1,0,2222,1))</f>
        <v>230</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15381</v>
      </c>
      <c r="G4" s="5" t="s">
        <v>382</v>
      </c>
      <c r="H4" s="5" t="s">
        <v>3</v>
      </c>
      <c r="I4" s="5"/>
      <c r="J4" s="5" t="s">
        <v>15380</v>
      </c>
    </row>
    <row r="5" spans="1:25" x14ac:dyDescent="0.2">
      <c r="A5" s="5" t="s">
        <v>15379</v>
      </c>
      <c r="B5" s="5" t="s">
        <v>8584</v>
      </c>
      <c r="C5" s="5">
        <v>0</v>
      </c>
      <c r="D5" s="5"/>
      <c r="E5" s="5"/>
      <c r="F5" s="5"/>
      <c r="G5" s="5" t="s">
        <v>91</v>
      </c>
      <c r="H5" s="5" t="s">
        <v>3</v>
      </c>
      <c r="I5" s="5"/>
      <c r="J5" s="5"/>
    </row>
    <row r="6" spans="1:25" x14ac:dyDescent="0.2">
      <c r="A6" s="5" t="s">
        <v>1554</v>
      </c>
      <c r="B6" s="5" t="s">
        <v>8584</v>
      </c>
      <c r="C6" s="5">
        <v>1</v>
      </c>
      <c r="D6" s="5"/>
      <c r="E6" s="5"/>
      <c r="F6" s="5" t="s">
        <v>8305</v>
      </c>
      <c r="G6" s="5" t="s">
        <v>122</v>
      </c>
      <c r="H6" s="5" t="s">
        <v>3</v>
      </c>
      <c r="I6" s="5"/>
      <c r="J6" s="5" t="s">
        <v>8303</v>
      </c>
    </row>
    <row r="7" spans="1:25" x14ac:dyDescent="0.2">
      <c r="A7" s="5" t="s">
        <v>15378</v>
      </c>
      <c r="B7" s="5" t="s">
        <v>8584</v>
      </c>
      <c r="C7" s="5">
        <v>2</v>
      </c>
      <c r="D7" s="5"/>
      <c r="E7" s="5"/>
      <c r="F7" s="5"/>
      <c r="G7" s="5" t="s">
        <v>229</v>
      </c>
      <c r="H7" s="5" t="s">
        <v>3</v>
      </c>
      <c r="I7" s="5"/>
      <c r="J7" s="5"/>
    </row>
    <row r="8" spans="1:25" x14ac:dyDescent="0.2">
      <c r="A8" s="5" t="s">
        <v>15377</v>
      </c>
      <c r="B8" s="5" t="s">
        <v>8584</v>
      </c>
      <c r="C8" s="5">
        <v>2</v>
      </c>
      <c r="D8" s="5"/>
      <c r="E8" s="5"/>
      <c r="F8" s="5" t="s">
        <v>15376</v>
      </c>
      <c r="G8" s="5" t="s">
        <v>229</v>
      </c>
      <c r="H8" s="5" t="s">
        <v>3</v>
      </c>
      <c r="I8" s="5"/>
      <c r="J8" s="5" t="s">
        <v>15375</v>
      </c>
    </row>
    <row r="9" spans="1:25" x14ac:dyDescent="0.2">
      <c r="A9" s="5" t="s">
        <v>15374</v>
      </c>
      <c r="B9" s="5" t="s">
        <v>8584</v>
      </c>
      <c r="C9" s="5">
        <v>3</v>
      </c>
      <c r="D9" s="5"/>
      <c r="E9" s="5"/>
      <c r="F9" s="5"/>
      <c r="G9" s="5" t="s">
        <v>105</v>
      </c>
      <c r="H9" s="5" t="s">
        <v>137</v>
      </c>
      <c r="I9" s="5" t="s">
        <v>9245</v>
      </c>
      <c r="J9" s="5" t="s">
        <v>15373</v>
      </c>
    </row>
    <row r="10" spans="1:25" x14ac:dyDescent="0.2">
      <c r="A10" s="5" t="s">
        <v>15372</v>
      </c>
      <c r="B10" s="5" t="s">
        <v>8584</v>
      </c>
      <c r="C10" s="5">
        <v>4</v>
      </c>
      <c r="D10" s="5"/>
      <c r="E10" s="5" t="s">
        <v>299</v>
      </c>
      <c r="F10" s="5"/>
      <c r="G10" s="5" t="s">
        <v>148</v>
      </c>
      <c r="H10" s="5" t="s">
        <v>137</v>
      </c>
      <c r="I10" s="5" t="s">
        <v>9245</v>
      </c>
      <c r="J10" s="5" t="s">
        <v>15371</v>
      </c>
    </row>
    <row r="11" spans="1:25" x14ac:dyDescent="0.2">
      <c r="A11" s="5" t="s">
        <v>15370</v>
      </c>
      <c r="B11" s="5" t="s">
        <v>8584</v>
      </c>
      <c r="C11" s="5">
        <v>5</v>
      </c>
      <c r="D11" s="5"/>
      <c r="E11" s="5" t="s">
        <v>138</v>
      </c>
      <c r="F11" s="5"/>
      <c r="G11" s="5" t="s">
        <v>207</v>
      </c>
      <c r="H11" s="5" t="s">
        <v>137</v>
      </c>
      <c r="I11" s="5" t="s">
        <v>9245</v>
      </c>
      <c r="J11" s="5" t="s">
        <v>15369</v>
      </c>
    </row>
    <row r="12" spans="1:25" ht="25.5" x14ac:dyDescent="0.2">
      <c r="A12" s="5" t="s">
        <v>15368</v>
      </c>
      <c r="B12" s="5" t="s">
        <v>8584</v>
      </c>
      <c r="C12" s="5">
        <v>6</v>
      </c>
      <c r="D12" s="5"/>
      <c r="E12" s="5" t="s">
        <v>299</v>
      </c>
      <c r="F12" s="5"/>
      <c r="G12" s="5" t="s">
        <v>148</v>
      </c>
      <c r="H12" s="5" t="s">
        <v>137</v>
      </c>
      <c r="I12" s="5" t="s">
        <v>9245</v>
      </c>
      <c r="J12" s="5" t="s">
        <v>15367</v>
      </c>
    </row>
    <row r="13" spans="1:25" x14ac:dyDescent="0.2">
      <c r="A13" s="5" t="s">
        <v>8252</v>
      </c>
      <c r="B13" s="5" t="s">
        <v>8584</v>
      </c>
      <c r="C13" s="5">
        <v>16</v>
      </c>
      <c r="D13" s="5"/>
      <c r="E13" s="5" t="s">
        <v>150</v>
      </c>
      <c r="F13" s="5" t="s">
        <v>9283</v>
      </c>
      <c r="G13" s="5" t="s">
        <v>148</v>
      </c>
      <c r="H13" s="5" t="s">
        <v>3</v>
      </c>
      <c r="I13" s="5"/>
      <c r="J13" s="5" t="s">
        <v>15365</v>
      </c>
    </row>
    <row r="14" spans="1:25" s="2" customFormat="1" x14ac:dyDescent="0.2">
      <c r="A14" s="5" t="s">
        <v>15366</v>
      </c>
      <c r="B14" s="5" t="s">
        <v>8584</v>
      </c>
      <c r="C14" s="5">
        <v>16</v>
      </c>
      <c r="D14" s="5"/>
      <c r="E14" s="5" t="s">
        <v>213</v>
      </c>
      <c r="F14" s="5" t="s">
        <v>9283</v>
      </c>
      <c r="G14" s="5" t="s">
        <v>91</v>
      </c>
      <c r="H14" s="5" t="s">
        <v>3</v>
      </c>
      <c r="I14" s="5"/>
      <c r="J14" s="5" t="s">
        <v>15365</v>
      </c>
      <c r="M14" s="1"/>
      <c r="N14"/>
      <c r="O14"/>
      <c r="P14"/>
      <c r="Q14"/>
      <c r="R14"/>
      <c r="S14"/>
      <c r="T14"/>
      <c r="U14"/>
      <c r="V14"/>
      <c r="W14"/>
      <c r="X14"/>
      <c r="Y14"/>
    </row>
    <row r="15" spans="1:25" s="2" customFormat="1" x14ac:dyDescent="0.2">
      <c r="A15" s="5" t="s">
        <v>10232</v>
      </c>
      <c r="B15" s="5" t="s">
        <v>8584</v>
      </c>
      <c r="C15" s="5">
        <v>17</v>
      </c>
      <c r="D15" s="5"/>
      <c r="E15" s="5" t="s">
        <v>11304</v>
      </c>
      <c r="F15" s="5" t="s">
        <v>106</v>
      </c>
      <c r="G15" s="5" t="s">
        <v>170</v>
      </c>
      <c r="H15" s="5" t="s">
        <v>137</v>
      </c>
      <c r="I15" s="5" t="s">
        <v>4053</v>
      </c>
      <c r="J15" s="5" t="s">
        <v>15364</v>
      </c>
      <c r="M15" s="1"/>
      <c r="N15"/>
      <c r="O15"/>
      <c r="P15"/>
      <c r="Q15"/>
      <c r="R15"/>
      <c r="S15"/>
      <c r="T15"/>
      <c r="U15"/>
      <c r="V15"/>
      <c r="W15"/>
      <c r="X15"/>
      <c r="Y15"/>
    </row>
    <row r="16" spans="1:25" s="2" customFormat="1" x14ac:dyDescent="0.2">
      <c r="A16" s="5" t="s">
        <v>15363</v>
      </c>
      <c r="B16" s="5" t="s">
        <v>8584</v>
      </c>
      <c r="C16" s="5">
        <v>17</v>
      </c>
      <c r="D16" s="5"/>
      <c r="E16" s="5"/>
      <c r="F16" s="5" t="s">
        <v>106</v>
      </c>
      <c r="G16" s="5" t="s">
        <v>170</v>
      </c>
      <c r="H16" s="5" t="s">
        <v>137</v>
      </c>
      <c r="I16" s="5" t="s">
        <v>4053</v>
      </c>
      <c r="J16" s="5" t="s">
        <v>15362</v>
      </c>
      <c r="M16" s="1"/>
      <c r="N16"/>
      <c r="O16"/>
      <c r="P16"/>
      <c r="Q16"/>
      <c r="R16"/>
      <c r="S16"/>
      <c r="T16"/>
      <c r="U16"/>
      <c r="V16"/>
      <c r="W16"/>
      <c r="X16"/>
      <c r="Y16"/>
    </row>
    <row r="17" spans="1:25" s="2" customFormat="1" x14ac:dyDescent="0.2">
      <c r="A17" s="5" t="s">
        <v>10237</v>
      </c>
      <c r="B17" s="5" t="s">
        <v>8584</v>
      </c>
      <c r="C17" s="5">
        <v>18</v>
      </c>
      <c r="D17" s="5"/>
      <c r="E17" s="5"/>
      <c r="F17" s="5" t="s">
        <v>8305</v>
      </c>
      <c r="G17" s="5" t="s">
        <v>122</v>
      </c>
      <c r="H17" s="5" t="s">
        <v>137</v>
      </c>
      <c r="I17" s="5" t="s">
        <v>4053</v>
      </c>
      <c r="J17" s="5" t="s">
        <v>15361</v>
      </c>
      <c r="M17" s="1"/>
      <c r="N17"/>
      <c r="O17"/>
      <c r="P17"/>
      <c r="Q17"/>
      <c r="R17"/>
      <c r="S17"/>
      <c r="T17"/>
      <c r="U17"/>
      <c r="V17"/>
      <c r="W17"/>
      <c r="X17"/>
      <c r="Y17"/>
    </row>
    <row r="18" spans="1:25" s="2" customFormat="1" x14ac:dyDescent="0.2">
      <c r="A18" s="5" t="s">
        <v>10239</v>
      </c>
      <c r="B18" s="5" t="s">
        <v>8584</v>
      </c>
      <c r="C18" s="5">
        <v>19</v>
      </c>
      <c r="D18" s="5"/>
      <c r="E18" s="5"/>
      <c r="F18" s="5" t="s">
        <v>8831</v>
      </c>
      <c r="G18" s="5" t="s">
        <v>896</v>
      </c>
      <c r="H18" s="5" t="s">
        <v>137</v>
      </c>
      <c r="I18" s="5" t="s">
        <v>4053</v>
      </c>
      <c r="J18" s="5" t="s">
        <v>15360</v>
      </c>
      <c r="M18" s="1"/>
      <c r="N18"/>
      <c r="O18"/>
      <c r="P18"/>
      <c r="Q18"/>
      <c r="R18"/>
      <c r="S18"/>
      <c r="T18"/>
      <c r="U18"/>
      <c r="V18"/>
      <c r="W18"/>
      <c r="X18"/>
      <c r="Y18"/>
    </row>
    <row r="19" spans="1:25" s="2" customFormat="1" x14ac:dyDescent="0.2">
      <c r="A19" s="5" t="s">
        <v>10233</v>
      </c>
      <c r="B19" s="5" t="s">
        <v>8584</v>
      </c>
      <c r="C19" s="5">
        <v>20</v>
      </c>
      <c r="D19" s="5"/>
      <c r="E19" s="5"/>
      <c r="F19" s="5" t="s">
        <v>92</v>
      </c>
      <c r="G19" s="5" t="s">
        <v>148</v>
      </c>
      <c r="H19" s="5" t="s">
        <v>137</v>
      </c>
      <c r="I19" s="5" t="s">
        <v>4053</v>
      </c>
      <c r="J19" s="5" t="s">
        <v>15359</v>
      </c>
      <c r="M19" s="1"/>
      <c r="N19"/>
      <c r="O19"/>
      <c r="P19"/>
      <c r="Q19"/>
      <c r="R19"/>
      <c r="S19"/>
      <c r="T19"/>
      <c r="U19"/>
      <c r="V19"/>
      <c r="W19"/>
      <c r="X19"/>
      <c r="Y19"/>
    </row>
    <row r="20" spans="1:25" s="2" customFormat="1" x14ac:dyDescent="0.2">
      <c r="A20" s="5" t="s">
        <v>7630</v>
      </c>
      <c r="B20" s="5" t="s">
        <v>8584</v>
      </c>
      <c r="C20" s="5">
        <v>21</v>
      </c>
      <c r="D20" s="5"/>
      <c r="E20" s="5"/>
      <c r="F20" s="5" t="s">
        <v>14580</v>
      </c>
      <c r="G20" s="5" t="s">
        <v>148</v>
      </c>
      <c r="H20" s="5" t="s">
        <v>137</v>
      </c>
      <c r="I20" s="5" t="s">
        <v>4053</v>
      </c>
      <c r="J20" s="5" t="s">
        <v>14579</v>
      </c>
      <c r="M20" s="1"/>
      <c r="N20"/>
      <c r="O20"/>
      <c r="P20"/>
      <c r="Q20"/>
      <c r="R20"/>
      <c r="S20"/>
      <c r="T20"/>
      <c r="U20"/>
      <c r="V20"/>
      <c r="W20"/>
      <c r="X20"/>
      <c r="Y20"/>
    </row>
    <row r="21" spans="1:25" s="2" customFormat="1" ht="25.5" x14ac:dyDescent="0.2">
      <c r="A21" s="5" t="s">
        <v>15358</v>
      </c>
      <c r="B21" s="5" t="s">
        <v>8584</v>
      </c>
      <c r="C21" s="5">
        <v>22</v>
      </c>
      <c r="D21" s="5"/>
      <c r="E21" s="5" t="s">
        <v>299</v>
      </c>
      <c r="F21" s="5" t="s">
        <v>15106</v>
      </c>
      <c r="G21" s="5" t="s">
        <v>148</v>
      </c>
      <c r="H21" s="5" t="s">
        <v>137</v>
      </c>
      <c r="I21" s="5" t="s">
        <v>4053</v>
      </c>
      <c r="J21" s="5" t="s">
        <v>15357</v>
      </c>
      <c r="M21" s="1"/>
      <c r="N21"/>
      <c r="O21"/>
      <c r="P21"/>
      <c r="Q21"/>
      <c r="R21"/>
      <c r="S21"/>
      <c r="T21"/>
      <c r="U21"/>
      <c r="V21"/>
      <c r="W21"/>
      <c r="X21"/>
      <c r="Y21"/>
    </row>
    <row r="22" spans="1:25" s="2" customFormat="1" x14ac:dyDescent="0.2">
      <c r="A22" s="5" t="s">
        <v>8761</v>
      </c>
      <c r="B22" s="5" t="s">
        <v>8584</v>
      </c>
      <c r="C22" s="5">
        <v>23</v>
      </c>
      <c r="D22" s="5"/>
      <c r="E22" s="5" t="s">
        <v>368</v>
      </c>
      <c r="F22" s="5" t="s">
        <v>9733</v>
      </c>
      <c r="G22" s="5" t="s">
        <v>382</v>
      </c>
      <c r="H22" s="5" t="s">
        <v>137</v>
      </c>
      <c r="I22" s="5" t="s">
        <v>4053</v>
      </c>
      <c r="J22" s="5" t="s">
        <v>15356</v>
      </c>
      <c r="M22" s="1"/>
      <c r="N22"/>
      <c r="O22"/>
      <c r="P22"/>
      <c r="Q22"/>
      <c r="R22"/>
      <c r="S22"/>
      <c r="T22"/>
      <c r="U22"/>
      <c r="V22"/>
      <c r="W22"/>
      <c r="X22"/>
      <c r="Y22"/>
    </row>
    <row r="23" spans="1:25" s="2" customFormat="1" x14ac:dyDescent="0.2">
      <c r="A23" s="5" t="s">
        <v>4222</v>
      </c>
      <c r="B23" s="5" t="s">
        <v>8584</v>
      </c>
      <c r="C23" s="5">
        <v>24</v>
      </c>
      <c r="D23" s="5"/>
      <c r="E23" s="5" t="s">
        <v>299</v>
      </c>
      <c r="F23" s="5" t="s">
        <v>15031</v>
      </c>
      <c r="G23" s="5" t="s">
        <v>148</v>
      </c>
      <c r="H23" s="5" t="s">
        <v>137</v>
      </c>
      <c r="I23" s="5" t="s">
        <v>4053</v>
      </c>
      <c r="J23" s="5" t="s">
        <v>15355</v>
      </c>
      <c r="M23" s="1"/>
      <c r="N23"/>
      <c r="O23"/>
      <c r="P23"/>
      <c r="Q23"/>
      <c r="R23"/>
      <c r="S23"/>
      <c r="T23"/>
      <c r="U23"/>
      <c r="V23"/>
      <c r="W23"/>
      <c r="X23"/>
      <c r="Y23"/>
    </row>
    <row r="24" spans="1:25" s="2" customFormat="1" x14ac:dyDescent="0.2">
      <c r="A24" s="5" t="s">
        <v>15354</v>
      </c>
      <c r="B24" s="5" t="s">
        <v>8584</v>
      </c>
      <c r="C24" s="5">
        <v>25</v>
      </c>
      <c r="D24" s="5"/>
      <c r="E24" s="5"/>
      <c r="F24" s="5" t="s">
        <v>15353</v>
      </c>
      <c r="G24" s="5" t="s">
        <v>170</v>
      </c>
      <c r="H24" s="5" t="s">
        <v>137</v>
      </c>
      <c r="I24" s="5" t="s">
        <v>8033</v>
      </c>
      <c r="J24" s="5" t="s">
        <v>15352</v>
      </c>
      <c r="M24" s="1"/>
      <c r="N24"/>
      <c r="O24"/>
      <c r="P24"/>
      <c r="Q24"/>
      <c r="R24"/>
      <c r="S24"/>
      <c r="T24"/>
      <c r="U24"/>
      <c r="V24"/>
      <c r="W24"/>
      <c r="X24"/>
      <c r="Y24"/>
    </row>
    <row r="25" spans="1:25" s="2" customFormat="1" x14ac:dyDescent="0.2">
      <c r="A25" s="5" t="s">
        <v>15351</v>
      </c>
      <c r="B25" s="5" t="s">
        <v>8584</v>
      </c>
      <c r="C25" s="5">
        <v>26</v>
      </c>
      <c r="D25" s="5"/>
      <c r="E25" s="5"/>
      <c r="F25" s="5" t="s">
        <v>7569</v>
      </c>
      <c r="G25" s="5" t="s">
        <v>148</v>
      </c>
      <c r="H25" s="5" t="s">
        <v>137</v>
      </c>
      <c r="I25" s="5" t="s">
        <v>8033</v>
      </c>
      <c r="J25" s="5" t="s">
        <v>15350</v>
      </c>
      <c r="M25" s="1"/>
      <c r="N25"/>
      <c r="O25"/>
      <c r="P25"/>
      <c r="Q25"/>
      <c r="R25"/>
      <c r="S25"/>
      <c r="T25"/>
      <c r="U25"/>
      <c r="V25"/>
      <c r="W25"/>
      <c r="X25"/>
      <c r="Y25"/>
    </row>
    <row r="26" spans="1:25" s="2" customFormat="1" x14ac:dyDescent="0.2">
      <c r="A26" s="5" t="s">
        <v>15349</v>
      </c>
      <c r="B26" s="5" t="s">
        <v>8584</v>
      </c>
      <c r="C26" s="5">
        <v>27</v>
      </c>
      <c r="D26" s="5"/>
      <c r="E26" s="5"/>
      <c r="F26" s="5" t="s">
        <v>12420</v>
      </c>
      <c r="G26" s="5" t="s">
        <v>118</v>
      </c>
      <c r="H26" s="5" t="s">
        <v>137</v>
      </c>
      <c r="I26" s="5" t="s">
        <v>14930</v>
      </c>
      <c r="J26" s="5" t="s">
        <v>15314</v>
      </c>
      <c r="M26" s="1"/>
      <c r="N26"/>
      <c r="O26"/>
      <c r="P26"/>
      <c r="Q26"/>
      <c r="R26"/>
      <c r="S26"/>
      <c r="T26"/>
      <c r="U26"/>
      <c r="V26"/>
      <c r="W26"/>
      <c r="X26"/>
      <c r="Y26"/>
    </row>
    <row r="27" spans="1:25" s="2" customFormat="1" x14ac:dyDescent="0.2">
      <c r="A27" s="5" t="s">
        <v>15348</v>
      </c>
      <c r="B27" s="5" t="s">
        <v>8584</v>
      </c>
      <c r="C27" s="5">
        <v>28</v>
      </c>
      <c r="D27" s="5"/>
      <c r="E27" s="5"/>
      <c r="F27" s="5" t="s">
        <v>7569</v>
      </c>
      <c r="G27" s="5" t="s">
        <v>148</v>
      </c>
      <c r="H27" s="5" t="s">
        <v>137</v>
      </c>
      <c r="I27" s="5" t="s">
        <v>14930</v>
      </c>
      <c r="J27" s="5" t="s">
        <v>15347</v>
      </c>
      <c r="M27" s="1"/>
      <c r="N27"/>
      <c r="O27"/>
      <c r="P27"/>
      <c r="Q27"/>
      <c r="R27"/>
      <c r="S27"/>
      <c r="T27"/>
      <c r="U27"/>
      <c r="V27"/>
      <c r="W27"/>
      <c r="X27"/>
      <c r="Y27"/>
    </row>
    <row r="28" spans="1:25" s="2" customFormat="1" x14ac:dyDescent="0.2">
      <c r="A28" s="5" t="s">
        <v>14566</v>
      </c>
      <c r="B28" s="5" t="s">
        <v>8584</v>
      </c>
      <c r="C28" s="5">
        <v>29</v>
      </c>
      <c r="D28" s="5"/>
      <c r="E28" s="5"/>
      <c r="F28" s="5" t="s">
        <v>13548</v>
      </c>
      <c r="G28" s="5" t="s">
        <v>118</v>
      </c>
      <c r="H28" s="5" t="s">
        <v>137</v>
      </c>
      <c r="I28" s="5" t="s">
        <v>14933</v>
      </c>
      <c r="J28" s="5" t="s">
        <v>14564</v>
      </c>
      <c r="M28" s="1"/>
      <c r="N28"/>
      <c r="O28"/>
      <c r="P28"/>
      <c r="Q28"/>
      <c r="R28"/>
      <c r="S28"/>
      <c r="T28"/>
      <c r="U28"/>
      <c r="V28"/>
      <c r="W28"/>
      <c r="X28"/>
      <c r="Y28"/>
    </row>
    <row r="29" spans="1:25" s="2" customFormat="1" x14ac:dyDescent="0.2">
      <c r="A29" s="5" t="s">
        <v>14563</v>
      </c>
      <c r="B29" s="5" t="s">
        <v>8584</v>
      </c>
      <c r="C29" s="5">
        <v>30</v>
      </c>
      <c r="D29" s="5"/>
      <c r="E29" s="5"/>
      <c r="F29" s="5" t="s">
        <v>7569</v>
      </c>
      <c r="G29" s="5" t="s">
        <v>148</v>
      </c>
      <c r="H29" s="5" t="s">
        <v>137</v>
      </c>
      <c r="I29" s="5" t="s">
        <v>14933</v>
      </c>
      <c r="J29" s="5" t="s">
        <v>14561</v>
      </c>
      <c r="M29" s="1"/>
      <c r="N29"/>
      <c r="O29"/>
      <c r="P29"/>
      <c r="Q29"/>
      <c r="R29"/>
      <c r="S29"/>
      <c r="T29"/>
      <c r="U29"/>
      <c r="V29"/>
      <c r="W29"/>
      <c r="X29"/>
      <c r="Y29"/>
    </row>
    <row r="30" spans="1:25" s="2" customFormat="1" x14ac:dyDescent="0.2">
      <c r="A30" s="5" t="s">
        <v>1495</v>
      </c>
      <c r="B30" s="5" t="s">
        <v>8584</v>
      </c>
      <c r="C30" s="5">
        <v>31</v>
      </c>
      <c r="D30" s="5"/>
      <c r="E30" s="5"/>
      <c r="F30" s="5" t="s">
        <v>15232</v>
      </c>
      <c r="G30" s="5" t="s">
        <v>207</v>
      </c>
      <c r="H30" s="5" t="s">
        <v>137</v>
      </c>
      <c r="I30" s="5" t="s">
        <v>4053</v>
      </c>
      <c r="J30" s="5" t="s">
        <v>15346</v>
      </c>
      <c r="M30" s="1"/>
      <c r="N30"/>
      <c r="O30"/>
      <c r="P30"/>
      <c r="Q30"/>
      <c r="R30"/>
      <c r="S30"/>
      <c r="T30"/>
      <c r="U30"/>
      <c r="V30"/>
      <c r="W30"/>
      <c r="X30"/>
      <c r="Y30"/>
    </row>
    <row r="31" spans="1:25" s="2" customFormat="1" x14ac:dyDescent="0.2">
      <c r="A31" s="5" t="s">
        <v>1699</v>
      </c>
      <c r="B31" s="5" t="s">
        <v>8584</v>
      </c>
      <c r="C31" s="5">
        <v>32</v>
      </c>
      <c r="D31" s="5"/>
      <c r="E31" s="5"/>
      <c r="F31" s="5" t="s">
        <v>1699</v>
      </c>
      <c r="G31" s="5" t="s">
        <v>207</v>
      </c>
      <c r="H31" s="5" t="s">
        <v>137</v>
      </c>
      <c r="I31" s="5" t="s">
        <v>4053</v>
      </c>
      <c r="J31" s="5" t="s">
        <v>15345</v>
      </c>
      <c r="M31" s="1"/>
      <c r="N31"/>
      <c r="O31"/>
      <c r="P31"/>
      <c r="Q31"/>
      <c r="R31"/>
      <c r="S31"/>
      <c r="T31"/>
      <c r="U31"/>
      <c r="V31"/>
      <c r="W31"/>
      <c r="X31"/>
      <c r="Y31"/>
    </row>
    <row r="32" spans="1:25" s="2" customFormat="1" x14ac:dyDescent="0.2">
      <c r="A32" s="5" t="s">
        <v>1342</v>
      </c>
      <c r="B32" s="5" t="s">
        <v>8584</v>
      </c>
      <c r="C32" s="5">
        <v>33</v>
      </c>
      <c r="D32" s="5"/>
      <c r="E32" s="5"/>
      <c r="F32" s="5" t="s">
        <v>1342</v>
      </c>
      <c r="G32" s="5" t="s">
        <v>207</v>
      </c>
      <c r="H32" s="5" t="s">
        <v>137</v>
      </c>
      <c r="I32" s="5" t="s">
        <v>4053</v>
      </c>
      <c r="J32" s="5" t="s">
        <v>15344</v>
      </c>
      <c r="M32" s="1"/>
      <c r="N32"/>
      <c r="O32"/>
      <c r="P32"/>
      <c r="Q32"/>
      <c r="R32"/>
      <c r="S32"/>
      <c r="T32"/>
      <c r="U32"/>
      <c r="V32"/>
      <c r="W32"/>
      <c r="X32"/>
      <c r="Y32"/>
    </row>
    <row r="33" spans="1:25" s="2" customFormat="1" x14ac:dyDescent="0.2">
      <c r="A33" s="5" t="s">
        <v>5178</v>
      </c>
      <c r="B33" s="5" t="s">
        <v>8584</v>
      </c>
      <c r="C33" s="5">
        <v>34</v>
      </c>
      <c r="D33" s="5"/>
      <c r="E33" s="5"/>
      <c r="F33" s="5" t="s">
        <v>5213</v>
      </c>
      <c r="G33" s="5" t="s">
        <v>207</v>
      </c>
      <c r="H33" s="5" t="s">
        <v>137</v>
      </c>
      <c r="I33" s="5" t="s">
        <v>4053</v>
      </c>
      <c r="J33" s="5" t="s">
        <v>15343</v>
      </c>
      <c r="M33" s="1"/>
      <c r="N33"/>
      <c r="O33"/>
      <c r="P33"/>
      <c r="Q33"/>
      <c r="R33"/>
      <c r="S33"/>
      <c r="T33"/>
      <c r="U33"/>
      <c r="V33"/>
      <c r="W33"/>
      <c r="X33"/>
      <c r="Y33"/>
    </row>
    <row r="34" spans="1:25" s="2" customFormat="1" x14ac:dyDescent="0.2">
      <c r="A34" s="5" t="s">
        <v>14680</v>
      </c>
      <c r="B34" s="5" t="s">
        <v>8584</v>
      </c>
      <c r="C34" s="5">
        <v>35</v>
      </c>
      <c r="D34" s="5"/>
      <c r="E34" s="5"/>
      <c r="F34" s="5" t="s">
        <v>14678</v>
      </c>
      <c r="G34" s="5" t="s">
        <v>207</v>
      </c>
      <c r="H34" s="5" t="s">
        <v>3</v>
      </c>
      <c r="I34" s="5"/>
      <c r="J34" s="5" t="s">
        <v>14677</v>
      </c>
      <c r="M34" s="1"/>
      <c r="N34"/>
      <c r="O34"/>
      <c r="P34"/>
      <c r="Q34"/>
      <c r="R34"/>
      <c r="S34"/>
      <c r="T34"/>
      <c r="U34"/>
      <c r="V34"/>
      <c r="W34"/>
      <c r="X34"/>
      <c r="Y34"/>
    </row>
    <row r="35" spans="1:25" s="2" customFormat="1" x14ac:dyDescent="0.2">
      <c r="A35" s="5" t="s">
        <v>14694</v>
      </c>
      <c r="B35" s="5" t="s">
        <v>8584</v>
      </c>
      <c r="C35" s="5">
        <v>36</v>
      </c>
      <c r="D35" s="5"/>
      <c r="E35" s="5"/>
      <c r="F35" s="5" t="s">
        <v>14692</v>
      </c>
      <c r="G35" s="5" t="s">
        <v>207</v>
      </c>
      <c r="H35" s="5" t="s">
        <v>3</v>
      </c>
      <c r="I35" s="5"/>
      <c r="J35" s="5" t="s">
        <v>14691</v>
      </c>
      <c r="M35" s="1"/>
      <c r="N35"/>
      <c r="O35"/>
      <c r="P35"/>
      <c r="Q35"/>
      <c r="R35"/>
      <c r="S35"/>
      <c r="T35"/>
      <c r="U35"/>
      <c r="V35"/>
      <c r="W35"/>
      <c r="X35"/>
      <c r="Y35"/>
    </row>
    <row r="36" spans="1:25" s="2" customFormat="1" x14ac:dyDescent="0.2">
      <c r="A36" s="5" t="s">
        <v>14676</v>
      </c>
      <c r="B36" s="5" t="s">
        <v>8584</v>
      </c>
      <c r="C36" s="5">
        <v>37</v>
      </c>
      <c r="D36" s="5"/>
      <c r="E36" s="5"/>
      <c r="F36" s="5" t="s">
        <v>14674</v>
      </c>
      <c r="G36" s="5" t="s">
        <v>207</v>
      </c>
      <c r="H36" s="5" t="s">
        <v>3</v>
      </c>
      <c r="I36" s="5"/>
      <c r="J36" s="5" t="s">
        <v>14673</v>
      </c>
      <c r="M36" s="1"/>
      <c r="N36"/>
      <c r="O36"/>
      <c r="P36"/>
      <c r="Q36"/>
      <c r="R36"/>
      <c r="S36"/>
      <c r="T36"/>
      <c r="U36"/>
      <c r="V36"/>
      <c r="W36"/>
      <c r="X36"/>
      <c r="Y36"/>
    </row>
    <row r="37" spans="1:25" s="2" customFormat="1" x14ac:dyDescent="0.2">
      <c r="A37" s="5" t="s">
        <v>14776</v>
      </c>
      <c r="B37" s="5" t="s">
        <v>8584</v>
      </c>
      <c r="C37" s="5">
        <v>38</v>
      </c>
      <c r="D37" s="5"/>
      <c r="E37" s="5"/>
      <c r="F37" s="5" t="s">
        <v>14774</v>
      </c>
      <c r="G37" s="5" t="s">
        <v>207</v>
      </c>
      <c r="H37" s="5" t="s">
        <v>3</v>
      </c>
      <c r="I37" s="5"/>
      <c r="J37" s="5" t="s">
        <v>14773</v>
      </c>
      <c r="M37" s="1"/>
      <c r="N37"/>
      <c r="O37"/>
      <c r="P37"/>
      <c r="Q37"/>
      <c r="R37"/>
      <c r="S37"/>
      <c r="T37"/>
      <c r="U37"/>
      <c r="V37"/>
      <c r="W37"/>
      <c r="X37"/>
      <c r="Y37"/>
    </row>
    <row r="38" spans="1:25" s="2" customFormat="1" ht="25.5" x14ac:dyDescent="0.2">
      <c r="A38" s="5" t="s">
        <v>15342</v>
      </c>
      <c r="B38" s="5" t="s">
        <v>8584</v>
      </c>
      <c r="C38" s="5">
        <v>39</v>
      </c>
      <c r="D38" s="5"/>
      <c r="E38" s="5"/>
      <c r="F38" s="5" t="s">
        <v>15341</v>
      </c>
      <c r="G38" s="5" t="s">
        <v>229</v>
      </c>
      <c r="H38" s="5" t="s">
        <v>137</v>
      </c>
      <c r="I38" s="5" t="s">
        <v>4053</v>
      </c>
      <c r="J38" s="5" t="s">
        <v>15340</v>
      </c>
      <c r="M38" s="1"/>
      <c r="N38"/>
      <c r="O38"/>
      <c r="P38"/>
      <c r="Q38"/>
      <c r="R38"/>
      <c r="S38"/>
      <c r="T38"/>
      <c r="U38"/>
      <c r="V38"/>
      <c r="W38"/>
      <c r="X38"/>
      <c r="Y38"/>
    </row>
    <row r="39" spans="1:25" s="2" customFormat="1" ht="25.5" x14ac:dyDescent="0.2">
      <c r="A39" s="5" t="s">
        <v>15339</v>
      </c>
      <c r="B39" s="5" t="s">
        <v>8584</v>
      </c>
      <c r="C39" s="5">
        <v>40</v>
      </c>
      <c r="D39" s="5"/>
      <c r="E39" s="5"/>
      <c r="F39" s="5" t="s">
        <v>7569</v>
      </c>
      <c r="G39" s="5" t="s">
        <v>148</v>
      </c>
      <c r="H39" s="5" t="s">
        <v>137</v>
      </c>
      <c r="I39" s="5" t="s">
        <v>4053</v>
      </c>
      <c r="J39" s="5" t="s">
        <v>15338</v>
      </c>
      <c r="M39" s="1"/>
      <c r="N39"/>
      <c r="O39"/>
      <c r="P39"/>
      <c r="Q39"/>
      <c r="R39"/>
      <c r="S39"/>
      <c r="T39"/>
      <c r="U39"/>
      <c r="V39"/>
      <c r="W39"/>
      <c r="X39"/>
      <c r="Y39"/>
    </row>
    <row r="40" spans="1:25" s="2" customFormat="1" x14ac:dyDescent="0.2">
      <c r="A40" s="5" t="s">
        <v>372</v>
      </c>
      <c r="B40" s="5" t="s">
        <v>8584</v>
      </c>
      <c r="C40" s="5">
        <v>41</v>
      </c>
      <c r="D40" s="5"/>
      <c r="E40" s="5"/>
      <c r="F40" s="5"/>
      <c r="G40" s="5" t="s">
        <v>173</v>
      </c>
      <c r="H40" s="5" t="s">
        <v>3</v>
      </c>
      <c r="I40" s="5"/>
      <c r="J40" s="5" t="s">
        <v>15337</v>
      </c>
      <c r="M40" s="1"/>
      <c r="N40"/>
      <c r="O40"/>
      <c r="P40"/>
      <c r="Q40"/>
      <c r="R40"/>
      <c r="S40"/>
      <c r="T40"/>
      <c r="U40"/>
      <c r="V40"/>
      <c r="W40"/>
      <c r="X40"/>
      <c r="Y40"/>
    </row>
    <row r="41" spans="1:25" s="2" customFormat="1" x14ac:dyDescent="0.2">
      <c r="A41" s="5" t="s">
        <v>9227</v>
      </c>
      <c r="B41" s="5" t="s">
        <v>8584</v>
      </c>
      <c r="C41" s="5">
        <v>42</v>
      </c>
      <c r="D41" s="5"/>
      <c r="E41" s="5"/>
      <c r="F41" s="5"/>
      <c r="G41" s="5" t="s">
        <v>229</v>
      </c>
      <c r="H41" s="5" t="s">
        <v>3</v>
      </c>
      <c r="I41" s="5"/>
      <c r="J41" s="5" t="s">
        <v>15336</v>
      </c>
      <c r="M41" s="1"/>
      <c r="N41"/>
      <c r="O41"/>
      <c r="P41"/>
      <c r="Q41"/>
      <c r="R41"/>
      <c r="S41"/>
      <c r="T41"/>
      <c r="U41"/>
      <c r="V41"/>
      <c r="W41"/>
      <c r="X41"/>
      <c r="Y41"/>
    </row>
    <row r="42" spans="1:25" s="2" customFormat="1" x14ac:dyDescent="0.2">
      <c r="A42" s="5" t="s">
        <v>14549</v>
      </c>
      <c r="B42" s="5" t="s">
        <v>8584</v>
      </c>
      <c r="C42" s="5">
        <v>43</v>
      </c>
      <c r="D42" s="5"/>
      <c r="E42" s="5"/>
      <c r="F42" s="5" t="s">
        <v>8685</v>
      </c>
      <c r="G42" s="5" t="s">
        <v>173</v>
      </c>
      <c r="H42" s="5" t="s">
        <v>137</v>
      </c>
      <c r="I42" s="5" t="s">
        <v>349</v>
      </c>
      <c r="J42" s="5" t="s">
        <v>14547</v>
      </c>
      <c r="M42" s="1"/>
      <c r="N42"/>
      <c r="O42"/>
      <c r="P42"/>
      <c r="Q42"/>
      <c r="R42"/>
      <c r="S42"/>
      <c r="T42"/>
      <c r="U42"/>
      <c r="V42"/>
      <c r="W42"/>
      <c r="X42"/>
      <c r="Y42"/>
    </row>
    <row r="43" spans="1:25" s="2" customFormat="1" x14ac:dyDescent="0.2">
      <c r="A43" s="5" t="s">
        <v>14546</v>
      </c>
      <c r="B43" s="5" t="s">
        <v>8584</v>
      </c>
      <c r="C43" s="5">
        <v>44</v>
      </c>
      <c r="D43" s="5"/>
      <c r="E43" s="5"/>
      <c r="F43" s="5" t="s">
        <v>8685</v>
      </c>
      <c r="G43" s="5" t="s">
        <v>148</v>
      </c>
      <c r="H43" s="5" t="s">
        <v>137</v>
      </c>
      <c r="I43" s="5" t="s">
        <v>349</v>
      </c>
      <c r="J43" s="5" t="s">
        <v>14544</v>
      </c>
      <c r="M43" s="1"/>
      <c r="N43"/>
      <c r="O43"/>
      <c r="P43"/>
      <c r="Q43"/>
      <c r="R43"/>
      <c r="S43"/>
      <c r="T43"/>
      <c r="U43"/>
      <c r="V43"/>
      <c r="W43"/>
      <c r="X43"/>
      <c r="Y43"/>
    </row>
    <row r="44" spans="1:25" s="2" customFormat="1" x14ac:dyDescent="0.2">
      <c r="A44" s="5" t="s">
        <v>15335</v>
      </c>
      <c r="B44" s="5" t="s">
        <v>8584</v>
      </c>
      <c r="C44" s="5">
        <v>45</v>
      </c>
      <c r="D44" s="5"/>
      <c r="E44" s="5"/>
      <c r="F44" s="5" t="s">
        <v>15334</v>
      </c>
      <c r="G44" s="5" t="s">
        <v>229</v>
      </c>
      <c r="H44" s="5" t="s">
        <v>137</v>
      </c>
      <c r="I44" s="5" t="s">
        <v>14925</v>
      </c>
      <c r="J44" s="5" t="s">
        <v>15333</v>
      </c>
      <c r="M44" s="1"/>
      <c r="N44"/>
      <c r="O44"/>
      <c r="P44"/>
      <c r="Q44"/>
      <c r="R44"/>
      <c r="S44"/>
      <c r="T44"/>
      <c r="U44"/>
      <c r="V44"/>
      <c r="W44"/>
      <c r="X44"/>
      <c r="Y44"/>
    </row>
    <row r="45" spans="1:25" s="2" customFormat="1" x14ac:dyDescent="0.2">
      <c r="A45" s="5" t="s">
        <v>15332</v>
      </c>
      <c r="B45" s="5" t="s">
        <v>8584</v>
      </c>
      <c r="C45" s="5">
        <v>46</v>
      </c>
      <c r="D45" s="5"/>
      <c r="E45" s="5"/>
      <c r="F45" s="5" t="s">
        <v>15331</v>
      </c>
      <c r="G45" s="5" t="s">
        <v>148</v>
      </c>
      <c r="H45" s="5" t="s">
        <v>137</v>
      </c>
      <c r="I45" s="5" t="s">
        <v>14925</v>
      </c>
      <c r="J45" s="5" t="s">
        <v>15330</v>
      </c>
      <c r="M45" s="1"/>
      <c r="N45"/>
      <c r="O45"/>
      <c r="P45"/>
      <c r="Q45"/>
      <c r="R45"/>
      <c r="S45"/>
      <c r="T45"/>
      <c r="U45"/>
      <c r="V45"/>
      <c r="W45"/>
      <c r="X45"/>
      <c r="Y45"/>
    </row>
    <row r="46" spans="1:25" s="2" customFormat="1" x14ac:dyDescent="0.2">
      <c r="A46" s="5" t="s">
        <v>15329</v>
      </c>
      <c r="B46" s="5" t="s">
        <v>8584</v>
      </c>
      <c r="C46" s="5">
        <v>47</v>
      </c>
      <c r="D46" s="5"/>
      <c r="E46" s="5"/>
      <c r="F46" s="5" t="s">
        <v>15328</v>
      </c>
      <c r="G46" s="5" t="s">
        <v>105</v>
      </c>
      <c r="H46" s="5" t="s">
        <v>3</v>
      </c>
      <c r="I46" s="5"/>
      <c r="J46" s="5"/>
      <c r="M46" s="1"/>
      <c r="N46"/>
      <c r="O46"/>
      <c r="P46"/>
      <c r="Q46"/>
      <c r="R46"/>
      <c r="S46"/>
      <c r="T46"/>
      <c r="U46"/>
      <c r="V46"/>
      <c r="W46"/>
      <c r="X46"/>
      <c r="Y46"/>
    </row>
    <row r="47" spans="1:25" s="2" customFormat="1" x14ac:dyDescent="0.2">
      <c r="A47" s="5" t="s">
        <v>12277</v>
      </c>
      <c r="B47" s="5" t="s">
        <v>8584</v>
      </c>
      <c r="C47" s="5">
        <v>48</v>
      </c>
      <c r="D47" s="5"/>
      <c r="E47" s="5"/>
      <c r="F47" s="5" t="s">
        <v>4272</v>
      </c>
      <c r="G47" s="5" t="s">
        <v>393</v>
      </c>
      <c r="H47" s="5" t="s">
        <v>3</v>
      </c>
      <c r="I47" s="5"/>
      <c r="J47" s="5"/>
      <c r="M47" s="1"/>
      <c r="N47"/>
      <c r="O47"/>
      <c r="P47"/>
      <c r="Q47"/>
      <c r="R47"/>
      <c r="S47"/>
      <c r="T47"/>
      <c r="U47"/>
      <c r="V47"/>
      <c r="W47"/>
      <c r="X47"/>
      <c r="Y47"/>
    </row>
    <row r="48" spans="1:25" s="2" customFormat="1" x14ac:dyDescent="0.2">
      <c r="A48" s="5" t="s">
        <v>8</v>
      </c>
      <c r="B48" s="5" t="s">
        <v>8584</v>
      </c>
      <c r="C48" s="5">
        <v>49</v>
      </c>
      <c r="D48" s="5"/>
      <c r="E48" s="5"/>
      <c r="F48" s="5" t="s">
        <v>8</v>
      </c>
      <c r="G48" s="5" t="s">
        <v>207</v>
      </c>
      <c r="H48" s="5" t="s">
        <v>137</v>
      </c>
      <c r="I48" s="5" t="s">
        <v>4053</v>
      </c>
      <c r="J48" s="5" t="s">
        <v>15327</v>
      </c>
      <c r="M48" s="1"/>
      <c r="N48"/>
      <c r="O48"/>
      <c r="P48"/>
      <c r="Q48"/>
      <c r="R48"/>
      <c r="S48"/>
      <c r="T48"/>
      <c r="U48"/>
      <c r="V48"/>
      <c r="W48"/>
      <c r="X48"/>
      <c r="Y48"/>
    </row>
    <row r="49" spans="1:25" s="2" customFormat="1" x14ac:dyDescent="0.2">
      <c r="A49" s="5" t="s">
        <v>370</v>
      </c>
      <c r="B49" s="5" t="s">
        <v>8584</v>
      </c>
      <c r="C49" s="5">
        <v>50</v>
      </c>
      <c r="D49" s="5"/>
      <c r="E49" s="5"/>
      <c r="F49" s="5" t="s">
        <v>370</v>
      </c>
      <c r="G49" s="5" t="s">
        <v>207</v>
      </c>
      <c r="H49" s="5" t="s">
        <v>137</v>
      </c>
      <c r="I49" s="5" t="s">
        <v>4053</v>
      </c>
      <c r="J49" s="5" t="s">
        <v>15326</v>
      </c>
      <c r="M49" s="1"/>
      <c r="N49"/>
      <c r="O49"/>
      <c r="P49"/>
      <c r="Q49"/>
      <c r="R49"/>
      <c r="S49"/>
      <c r="T49"/>
      <c r="U49"/>
      <c r="V49"/>
      <c r="W49"/>
      <c r="X49"/>
      <c r="Y49"/>
    </row>
    <row r="50" spans="1:25" s="2" customFormat="1" x14ac:dyDescent="0.2">
      <c r="A50" s="5" t="s">
        <v>15325</v>
      </c>
      <c r="B50" s="5" t="s">
        <v>8584</v>
      </c>
      <c r="C50" s="5">
        <v>51</v>
      </c>
      <c r="D50" s="5"/>
      <c r="E50" s="5"/>
      <c r="F50" s="5" t="s">
        <v>15325</v>
      </c>
      <c r="G50" s="5" t="s">
        <v>207</v>
      </c>
      <c r="H50" s="5" t="s">
        <v>137</v>
      </c>
      <c r="I50" s="5" t="s">
        <v>4053</v>
      </c>
      <c r="J50" s="5" t="s">
        <v>15324</v>
      </c>
      <c r="M50" s="1"/>
      <c r="N50"/>
      <c r="O50"/>
      <c r="P50"/>
      <c r="Q50"/>
      <c r="R50"/>
      <c r="S50"/>
      <c r="T50"/>
      <c r="U50"/>
      <c r="V50"/>
      <c r="W50"/>
      <c r="X50"/>
      <c r="Y50"/>
    </row>
    <row r="51" spans="1:25" s="2" customFormat="1" x14ac:dyDescent="0.2">
      <c r="A51" s="5" t="s">
        <v>15323</v>
      </c>
      <c r="B51" s="5" t="s">
        <v>8584</v>
      </c>
      <c r="C51" s="5">
        <v>52</v>
      </c>
      <c r="D51" s="5"/>
      <c r="E51" s="5"/>
      <c r="F51" s="5" t="s">
        <v>15323</v>
      </c>
      <c r="G51" s="5" t="s">
        <v>207</v>
      </c>
      <c r="H51" s="5" t="s">
        <v>137</v>
      </c>
      <c r="I51" s="5" t="s">
        <v>4053</v>
      </c>
      <c r="J51" s="5" t="s">
        <v>15322</v>
      </c>
      <c r="M51" s="1"/>
      <c r="N51"/>
      <c r="O51"/>
      <c r="P51"/>
      <c r="Q51"/>
      <c r="R51"/>
      <c r="S51"/>
      <c r="T51"/>
      <c r="U51"/>
      <c r="V51"/>
      <c r="W51"/>
      <c r="X51"/>
      <c r="Y51"/>
    </row>
    <row r="52" spans="1:25" s="2" customFormat="1" x14ac:dyDescent="0.2">
      <c r="A52" s="5" t="s">
        <v>15321</v>
      </c>
      <c r="B52" s="5" t="s">
        <v>8584</v>
      </c>
      <c r="C52" s="5">
        <v>53</v>
      </c>
      <c r="D52" s="5"/>
      <c r="E52" s="5"/>
      <c r="F52" s="5" t="s">
        <v>15321</v>
      </c>
      <c r="G52" s="5" t="s">
        <v>207</v>
      </c>
      <c r="H52" s="5" t="s">
        <v>137</v>
      </c>
      <c r="I52" s="5" t="s">
        <v>4053</v>
      </c>
      <c r="J52" s="5" t="s">
        <v>15320</v>
      </c>
      <c r="M52" s="1"/>
      <c r="N52"/>
      <c r="O52"/>
      <c r="P52"/>
      <c r="Q52"/>
      <c r="R52"/>
      <c r="S52"/>
      <c r="T52"/>
      <c r="U52"/>
      <c r="V52"/>
      <c r="W52"/>
      <c r="X52"/>
      <c r="Y52"/>
    </row>
    <row r="53" spans="1:25" s="2" customFormat="1" x14ac:dyDescent="0.2">
      <c r="A53" s="5" t="s">
        <v>14658</v>
      </c>
      <c r="B53" s="5" t="s">
        <v>8584</v>
      </c>
      <c r="C53" s="5">
        <v>54</v>
      </c>
      <c r="D53" s="5"/>
      <c r="E53" s="5"/>
      <c r="F53" s="5" t="s">
        <v>14656</v>
      </c>
      <c r="G53" s="5" t="s">
        <v>207</v>
      </c>
      <c r="H53" s="5" t="s">
        <v>3</v>
      </c>
      <c r="I53" s="5"/>
      <c r="J53" s="5" t="s">
        <v>14655</v>
      </c>
      <c r="M53" s="1"/>
      <c r="N53"/>
      <c r="O53"/>
      <c r="P53"/>
      <c r="Q53"/>
      <c r="R53"/>
      <c r="S53"/>
      <c r="T53"/>
      <c r="U53"/>
      <c r="V53"/>
      <c r="W53"/>
      <c r="X53"/>
      <c r="Y53"/>
    </row>
    <row r="54" spans="1:25" s="2" customFormat="1" x14ac:dyDescent="0.2">
      <c r="A54" s="5" t="s">
        <v>14710</v>
      </c>
      <c r="B54" s="5" t="s">
        <v>8584</v>
      </c>
      <c r="C54" s="5">
        <v>55</v>
      </c>
      <c r="D54" s="5"/>
      <c r="E54" s="5"/>
      <c r="F54" s="5" t="s">
        <v>14708</v>
      </c>
      <c r="G54" s="5" t="s">
        <v>207</v>
      </c>
      <c r="H54" s="5" t="s">
        <v>3</v>
      </c>
      <c r="I54" s="5"/>
      <c r="J54" s="5" t="s">
        <v>14707</v>
      </c>
      <c r="M54" s="1"/>
      <c r="N54"/>
      <c r="O54"/>
      <c r="P54"/>
      <c r="Q54"/>
      <c r="R54"/>
      <c r="S54"/>
      <c r="T54"/>
      <c r="U54"/>
      <c r="V54"/>
      <c r="W54"/>
      <c r="X54"/>
      <c r="Y54"/>
    </row>
    <row r="55" spans="1:25" s="2" customFormat="1" x14ac:dyDescent="0.2">
      <c r="A55" s="5" t="s">
        <v>14569</v>
      </c>
      <c r="B55" s="5" t="s">
        <v>8584</v>
      </c>
      <c r="C55" s="5">
        <v>56</v>
      </c>
      <c r="D55" s="5"/>
      <c r="E55" s="5"/>
      <c r="F55" s="5" t="s">
        <v>14567</v>
      </c>
      <c r="G55" s="5" t="s">
        <v>148</v>
      </c>
      <c r="H55" s="5" t="s">
        <v>3</v>
      </c>
      <c r="I55" s="5"/>
      <c r="J55" s="5"/>
      <c r="M55" s="1"/>
      <c r="N55"/>
      <c r="O55"/>
      <c r="P55"/>
      <c r="Q55"/>
      <c r="R55"/>
      <c r="S55"/>
      <c r="T55"/>
      <c r="U55"/>
      <c r="V55"/>
      <c r="W55"/>
      <c r="X55"/>
      <c r="Y55"/>
    </row>
    <row r="56" spans="1:25" s="2" customFormat="1" x14ac:dyDescent="0.2">
      <c r="A56" s="5" t="s">
        <v>15319</v>
      </c>
      <c r="B56" s="5" t="s">
        <v>8584</v>
      </c>
      <c r="C56" s="5">
        <v>57</v>
      </c>
      <c r="D56" s="5"/>
      <c r="E56" s="5"/>
      <c r="F56" s="5" t="s">
        <v>15318</v>
      </c>
      <c r="G56" s="5" t="s">
        <v>105</v>
      </c>
      <c r="H56" s="5" t="s">
        <v>137</v>
      </c>
      <c r="I56" s="5" t="s">
        <v>4053</v>
      </c>
      <c r="J56" s="5"/>
      <c r="M56" s="1"/>
      <c r="N56"/>
      <c r="O56"/>
      <c r="P56"/>
      <c r="Q56"/>
      <c r="R56"/>
      <c r="S56"/>
      <c r="T56"/>
      <c r="U56"/>
      <c r="V56"/>
      <c r="W56"/>
      <c r="X56"/>
      <c r="Y56"/>
    </row>
    <row r="57" spans="1:25" s="2" customFormat="1" x14ac:dyDescent="0.2">
      <c r="A57" s="5" t="s">
        <v>15317</v>
      </c>
      <c r="B57" s="5" t="s">
        <v>8584</v>
      </c>
      <c r="C57" s="5">
        <v>58</v>
      </c>
      <c r="D57" s="5"/>
      <c r="E57" s="5"/>
      <c r="F57" s="5" t="s">
        <v>13478</v>
      </c>
      <c r="G57" s="5" t="s">
        <v>80</v>
      </c>
      <c r="H57" s="5" t="s">
        <v>3</v>
      </c>
      <c r="I57" s="5"/>
      <c r="J57" s="5"/>
      <c r="M57" s="1"/>
      <c r="N57"/>
      <c r="O57"/>
      <c r="P57"/>
      <c r="Q57"/>
      <c r="R57"/>
      <c r="S57"/>
      <c r="T57"/>
      <c r="U57"/>
      <c r="V57"/>
      <c r="W57"/>
      <c r="X57"/>
      <c r="Y57"/>
    </row>
    <row r="58" spans="1:25" s="2" customFormat="1" x14ac:dyDescent="0.2">
      <c r="A58" s="5" t="s">
        <v>15316</v>
      </c>
      <c r="B58" s="5" t="s">
        <v>8584</v>
      </c>
      <c r="C58" s="5">
        <v>59</v>
      </c>
      <c r="D58" s="5"/>
      <c r="E58" s="5"/>
      <c r="F58" s="5" t="s">
        <v>15307</v>
      </c>
      <c r="G58" s="5" t="s">
        <v>118</v>
      </c>
      <c r="H58" s="5" t="s">
        <v>137</v>
      </c>
      <c r="I58" s="5" t="s">
        <v>15306</v>
      </c>
      <c r="J58" s="5"/>
      <c r="M58" s="1"/>
      <c r="N58"/>
      <c r="O58"/>
      <c r="P58"/>
      <c r="Q58"/>
      <c r="R58"/>
      <c r="S58"/>
      <c r="T58"/>
      <c r="U58"/>
      <c r="V58"/>
      <c r="W58"/>
      <c r="X58"/>
      <c r="Y58"/>
    </row>
    <row r="59" spans="1:25" s="2" customFormat="1" x14ac:dyDescent="0.2">
      <c r="A59" s="5" t="s">
        <v>15315</v>
      </c>
      <c r="B59" s="5" t="s">
        <v>8584</v>
      </c>
      <c r="C59" s="5">
        <v>59</v>
      </c>
      <c r="D59" s="5"/>
      <c r="E59" s="5"/>
      <c r="F59" s="5" t="s">
        <v>12420</v>
      </c>
      <c r="G59" s="5" t="s">
        <v>118</v>
      </c>
      <c r="H59" s="5" t="s">
        <v>137</v>
      </c>
      <c r="I59" s="5" t="s">
        <v>15306</v>
      </c>
      <c r="J59" s="5" t="s">
        <v>15314</v>
      </c>
      <c r="M59" s="1"/>
      <c r="N59"/>
      <c r="O59"/>
      <c r="P59"/>
      <c r="Q59"/>
      <c r="R59"/>
      <c r="S59"/>
      <c r="T59"/>
      <c r="U59"/>
      <c r="V59"/>
      <c r="W59"/>
      <c r="X59"/>
      <c r="Y59"/>
    </row>
    <row r="60" spans="1:25" s="2" customFormat="1" x14ac:dyDescent="0.2">
      <c r="A60" s="5" t="s">
        <v>15313</v>
      </c>
      <c r="B60" s="5" t="s">
        <v>8584</v>
      </c>
      <c r="C60" s="5">
        <v>60</v>
      </c>
      <c r="D60" s="5"/>
      <c r="E60" s="5"/>
      <c r="F60" s="5" t="s">
        <v>15307</v>
      </c>
      <c r="G60" s="5" t="s">
        <v>118</v>
      </c>
      <c r="H60" s="5" t="s">
        <v>137</v>
      </c>
      <c r="I60" s="5" t="s">
        <v>15312</v>
      </c>
      <c r="J60" s="5"/>
      <c r="M60" s="1"/>
      <c r="N60"/>
      <c r="O60"/>
      <c r="P60"/>
      <c r="Q60"/>
      <c r="R60"/>
      <c r="S60"/>
      <c r="T60"/>
      <c r="U60"/>
      <c r="V60"/>
      <c r="W60"/>
      <c r="X60"/>
      <c r="Y60"/>
    </row>
    <row r="61" spans="1:25" s="2" customFormat="1" x14ac:dyDescent="0.2">
      <c r="A61" s="5" t="s">
        <v>15312</v>
      </c>
      <c r="B61" s="5" t="s">
        <v>8584</v>
      </c>
      <c r="C61" s="5">
        <v>60</v>
      </c>
      <c r="D61" s="5"/>
      <c r="E61" s="5"/>
      <c r="F61" s="5" t="s">
        <v>15307</v>
      </c>
      <c r="G61" s="5" t="s">
        <v>118</v>
      </c>
      <c r="H61" s="5" t="s">
        <v>137</v>
      </c>
      <c r="I61" s="5" t="s">
        <v>15312</v>
      </c>
      <c r="J61" s="5"/>
      <c r="M61" s="1"/>
      <c r="N61"/>
      <c r="O61"/>
      <c r="P61"/>
      <c r="Q61"/>
      <c r="R61"/>
      <c r="S61"/>
      <c r="T61"/>
      <c r="U61"/>
      <c r="V61"/>
      <c r="W61"/>
      <c r="X61"/>
      <c r="Y61"/>
    </row>
    <row r="62" spans="1:25" s="2" customFormat="1" x14ac:dyDescent="0.2">
      <c r="A62" s="5" t="s">
        <v>15311</v>
      </c>
      <c r="B62" s="5" t="s">
        <v>8584</v>
      </c>
      <c r="C62" s="5">
        <v>61</v>
      </c>
      <c r="D62" s="5"/>
      <c r="E62" s="5"/>
      <c r="F62" s="5" t="s">
        <v>15307</v>
      </c>
      <c r="G62" s="5" t="s">
        <v>173</v>
      </c>
      <c r="H62" s="5" t="s">
        <v>137</v>
      </c>
      <c r="I62" s="5" t="s">
        <v>15310</v>
      </c>
      <c r="J62" s="5"/>
      <c r="M62" s="1"/>
      <c r="N62"/>
      <c r="O62"/>
      <c r="P62"/>
      <c r="Q62"/>
      <c r="R62"/>
      <c r="S62"/>
      <c r="T62"/>
      <c r="U62"/>
      <c r="V62"/>
      <c r="W62"/>
      <c r="X62"/>
      <c r="Y62"/>
    </row>
    <row r="63" spans="1:25" s="2" customFormat="1" x14ac:dyDescent="0.2">
      <c r="A63" s="5" t="s">
        <v>15310</v>
      </c>
      <c r="B63" s="5" t="s">
        <v>8584</v>
      </c>
      <c r="C63" s="5">
        <v>61</v>
      </c>
      <c r="D63" s="5"/>
      <c r="E63" s="5"/>
      <c r="F63" s="5" t="s">
        <v>8685</v>
      </c>
      <c r="G63" s="5" t="s">
        <v>173</v>
      </c>
      <c r="H63" s="5" t="s">
        <v>137</v>
      </c>
      <c r="I63" s="5" t="s">
        <v>15310</v>
      </c>
      <c r="J63" s="5" t="s">
        <v>15309</v>
      </c>
      <c r="M63" s="1"/>
      <c r="N63"/>
      <c r="O63"/>
      <c r="P63"/>
      <c r="Q63"/>
      <c r="R63"/>
      <c r="S63"/>
      <c r="T63"/>
      <c r="U63"/>
      <c r="V63"/>
      <c r="W63"/>
      <c r="X63"/>
      <c r="Y63"/>
    </row>
    <row r="64" spans="1:25" s="2" customFormat="1" x14ac:dyDescent="0.2">
      <c r="A64" s="5" t="s">
        <v>15308</v>
      </c>
      <c r="B64" s="5" t="s">
        <v>8584</v>
      </c>
      <c r="C64" s="5">
        <v>62</v>
      </c>
      <c r="D64" s="5"/>
      <c r="E64" s="5"/>
      <c r="F64" s="5" t="s">
        <v>15307</v>
      </c>
      <c r="G64" s="5" t="s">
        <v>207</v>
      </c>
      <c r="H64" s="5" t="s">
        <v>137</v>
      </c>
      <c r="I64" s="5" t="s">
        <v>15306</v>
      </c>
      <c r="J64" s="5"/>
      <c r="M64" s="1"/>
      <c r="N64"/>
      <c r="O64"/>
      <c r="P64"/>
      <c r="Q64"/>
      <c r="R64"/>
      <c r="S64"/>
      <c r="T64"/>
      <c r="U64"/>
      <c r="V64"/>
      <c r="W64"/>
      <c r="X64"/>
      <c r="Y64"/>
    </row>
    <row r="65" spans="1:25" s="2" customFormat="1" ht="25.5" x14ac:dyDescent="0.2">
      <c r="A65" s="5" t="s">
        <v>15305</v>
      </c>
      <c r="B65" s="5" t="s">
        <v>8584</v>
      </c>
      <c r="C65" s="5">
        <v>67</v>
      </c>
      <c r="D65" s="5"/>
      <c r="E65" s="5"/>
      <c r="F65" s="5" t="s">
        <v>106</v>
      </c>
      <c r="G65" s="5" t="s">
        <v>315</v>
      </c>
      <c r="H65" s="5" t="s">
        <v>137</v>
      </c>
      <c r="I65" s="5" t="s">
        <v>15142</v>
      </c>
      <c r="J65" s="5" t="s">
        <v>15304</v>
      </c>
      <c r="M65" s="1"/>
      <c r="N65"/>
      <c r="O65"/>
      <c r="P65"/>
      <c r="Q65"/>
      <c r="R65"/>
      <c r="S65"/>
      <c r="T65"/>
      <c r="U65"/>
      <c r="V65"/>
      <c r="W65"/>
      <c r="X65"/>
      <c r="Y65"/>
    </row>
    <row r="66" spans="1:25" s="2" customFormat="1" x14ac:dyDescent="0.2">
      <c r="A66" s="5" t="s">
        <v>15303</v>
      </c>
      <c r="B66" s="5" t="s">
        <v>8584</v>
      </c>
      <c r="C66" s="5">
        <v>68</v>
      </c>
      <c r="D66" s="5"/>
      <c r="E66" s="5" t="s">
        <v>150</v>
      </c>
      <c r="F66" s="5" t="s">
        <v>15302</v>
      </c>
      <c r="G66" s="5" t="s">
        <v>148</v>
      </c>
      <c r="H66" s="5" t="s">
        <v>3</v>
      </c>
      <c r="I66" s="5"/>
      <c r="J66" s="5" t="s">
        <v>15301</v>
      </c>
      <c r="M66" s="1"/>
      <c r="N66"/>
      <c r="O66"/>
      <c r="P66"/>
      <c r="Q66"/>
      <c r="R66"/>
      <c r="S66"/>
      <c r="T66"/>
      <c r="U66"/>
      <c r="V66"/>
      <c r="W66"/>
      <c r="X66"/>
      <c r="Y66"/>
    </row>
    <row r="67" spans="1:25" s="2" customFormat="1" x14ac:dyDescent="0.2">
      <c r="A67" s="5" t="s">
        <v>15300</v>
      </c>
      <c r="B67" s="5" t="s">
        <v>8584</v>
      </c>
      <c r="C67" s="5">
        <v>69</v>
      </c>
      <c r="D67" s="5"/>
      <c r="E67" s="5"/>
      <c r="F67" s="5" t="s">
        <v>15299</v>
      </c>
      <c r="G67" s="5" t="s">
        <v>229</v>
      </c>
      <c r="H67" s="5" t="s">
        <v>3</v>
      </c>
      <c r="I67" s="5"/>
      <c r="J67" s="5"/>
      <c r="M67" s="1"/>
      <c r="N67"/>
      <c r="O67"/>
      <c r="P67"/>
      <c r="Q67"/>
      <c r="R67"/>
      <c r="S67"/>
      <c r="T67"/>
      <c r="U67"/>
      <c r="V67"/>
      <c r="W67"/>
      <c r="X67"/>
      <c r="Y67"/>
    </row>
    <row r="68" spans="1:25" s="2" customFormat="1" x14ac:dyDescent="0.2">
      <c r="A68" s="5" t="s">
        <v>15298</v>
      </c>
      <c r="B68" s="5" t="s">
        <v>8584</v>
      </c>
      <c r="C68" s="5">
        <v>78</v>
      </c>
      <c r="D68" s="5"/>
      <c r="E68" s="5"/>
      <c r="F68" s="5" t="s">
        <v>7963</v>
      </c>
      <c r="G68" s="5" t="s">
        <v>896</v>
      </c>
      <c r="H68" s="5" t="s">
        <v>3</v>
      </c>
      <c r="I68" s="5"/>
      <c r="J68" s="5"/>
      <c r="M68" s="1"/>
      <c r="N68"/>
      <c r="O68"/>
      <c r="P68"/>
      <c r="Q68"/>
      <c r="R68"/>
      <c r="S68"/>
      <c r="T68"/>
      <c r="U68"/>
      <c r="V68"/>
      <c r="W68"/>
      <c r="X68"/>
      <c r="Y68"/>
    </row>
    <row r="69" spans="1:25" s="2" customFormat="1" x14ac:dyDescent="0.2">
      <c r="A69" s="5" t="s">
        <v>15297</v>
      </c>
      <c r="B69" s="5" t="s">
        <v>8584</v>
      </c>
      <c r="C69" s="5">
        <v>79</v>
      </c>
      <c r="D69" s="5"/>
      <c r="E69" s="5"/>
      <c r="F69" s="5" t="s">
        <v>12420</v>
      </c>
      <c r="G69" s="5" t="s">
        <v>229</v>
      </c>
      <c r="H69" s="5" t="s">
        <v>3</v>
      </c>
      <c r="I69" s="5"/>
      <c r="J69" s="5"/>
      <c r="M69" s="1"/>
      <c r="N69"/>
      <c r="O69"/>
      <c r="P69"/>
      <c r="Q69"/>
      <c r="R69"/>
      <c r="S69"/>
      <c r="T69"/>
      <c r="U69"/>
      <c r="V69"/>
      <c r="W69"/>
      <c r="X69"/>
      <c r="Y69"/>
    </row>
    <row r="70" spans="1:25" s="2" customFormat="1" x14ac:dyDescent="0.2">
      <c r="A70" s="5" t="s">
        <v>15296</v>
      </c>
      <c r="B70" s="5" t="s">
        <v>8584</v>
      </c>
      <c r="C70" s="5">
        <v>80</v>
      </c>
      <c r="D70" s="5"/>
      <c r="E70" s="5"/>
      <c r="F70" s="5" t="s">
        <v>13548</v>
      </c>
      <c r="G70" s="5" t="s">
        <v>896</v>
      </c>
      <c r="H70" s="5" t="s">
        <v>3</v>
      </c>
      <c r="I70" s="5"/>
      <c r="J70" s="5"/>
      <c r="M70" s="1"/>
      <c r="N70"/>
      <c r="O70"/>
      <c r="P70"/>
      <c r="Q70"/>
      <c r="R70"/>
      <c r="S70"/>
      <c r="T70"/>
      <c r="U70"/>
      <c r="V70"/>
      <c r="W70"/>
      <c r="X70"/>
      <c r="Y70"/>
    </row>
    <row r="71" spans="1:25" s="2" customFormat="1" x14ac:dyDescent="0.2">
      <c r="A71" s="5" t="s">
        <v>15295</v>
      </c>
      <c r="B71" s="5" t="s">
        <v>8584</v>
      </c>
      <c r="C71" s="5">
        <v>81</v>
      </c>
      <c r="D71" s="5"/>
      <c r="E71" s="5"/>
      <c r="F71" s="5" t="s">
        <v>13548</v>
      </c>
      <c r="G71" s="5" t="s">
        <v>229</v>
      </c>
      <c r="H71" s="5" t="s">
        <v>3</v>
      </c>
      <c r="I71" s="5"/>
      <c r="J71" s="5"/>
      <c r="M71" s="1"/>
      <c r="N71"/>
      <c r="O71"/>
      <c r="P71"/>
      <c r="Q71"/>
      <c r="R71"/>
      <c r="S71"/>
      <c r="T71"/>
      <c r="U71"/>
      <c r="V71"/>
      <c r="W71"/>
      <c r="X71"/>
      <c r="Y71"/>
    </row>
    <row r="72" spans="1:25" s="2" customFormat="1" x14ac:dyDescent="0.2">
      <c r="A72" s="5" t="s">
        <v>15294</v>
      </c>
      <c r="B72" s="5" t="s">
        <v>8584</v>
      </c>
      <c r="C72" s="5">
        <v>82</v>
      </c>
      <c r="D72" s="5"/>
      <c r="E72" s="5" t="s">
        <v>150</v>
      </c>
      <c r="F72" s="5" t="s">
        <v>13712</v>
      </c>
      <c r="G72" s="5" t="s">
        <v>148</v>
      </c>
      <c r="H72" s="5" t="s">
        <v>3</v>
      </c>
      <c r="I72" s="5"/>
      <c r="J72" s="5" t="s">
        <v>15292</v>
      </c>
      <c r="M72" s="1"/>
      <c r="N72"/>
      <c r="O72"/>
      <c r="P72"/>
      <c r="Q72"/>
      <c r="R72"/>
      <c r="S72"/>
      <c r="T72"/>
      <c r="U72"/>
      <c r="V72"/>
      <c r="W72"/>
      <c r="X72"/>
      <c r="Y72"/>
    </row>
    <row r="73" spans="1:25" s="2" customFormat="1" x14ac:dyDescent="0.2">
      <c r="A73" s="5" t="s">
        <v>15293</v>
      </c>
      <c r="B73" s="5" t="s">
        <v>8584</v>
      </c>
      <c r="C73" s="5">
        <v>82</v>
      </c>
      <c r="D73" s="5"/>
      <c r="E73" s="5" t="s">
        <v>213</v>
      </c>
      <c r="F73" s="5" t="s">
        <v>13712</v>
      </c>
      <c r="G73" s="5" t="s">
        <v>91</v>
      </c>
      <c r="H73" s="5" t="s">
        <v>3</v>
      </c>
      <c r="I73" s="5"/>
      <c r="J73" s="5" t="s">
        <v>15292</v>
      </c>
      <c r="M73" s="1"/>
      <c r="N73"/>
      <c r="O73"/>
      <c r="P73"/>
      <c r="Q73"/>
      <c r="R73"/>
      <c r="S73"/>
      <c r="T73"/>
      <c r="U73"/>
      <c r="V73"/>
      <c r="W73"/>
      <c r="X73"/>
      <c r="Y73"/>
    </row>
    <row r="74" spans="1:25" s="2" customFormat="1" x14ac:dyDescent="0.2">
      <c r="A74" s="5" t="s">
        <v>1613</v>
      </c>
      <c r="B74" s="5" t="s">
        <v>8584</v>
      </c>
      <c r="C74" s="5">
        <v>83</v>
      </c>
      <c r="D74" s="5"/>
      <c r="E74" s="5"/>
      <c r="F74" s="5" t="s">
        <v>1613</v>
      </c>
      <c r="G74" s="5" t="s">
        <v>207</v>
      </c>
      <c r="H74" s="5" t="s">
        <v>137</v>
      </c>
      <c r="I74" s="5" t="s">
        <v>4053</v>
      </c>
      <c r="J74" s="5" t="s">
        <v>15291</v>
      </c>
      <c r="M74" s="1"/>
      <c r="N74"/>
      <c r="O74"/>
      <c r="P74"/>
      <c r="Q74"/>
      <c r="R74"/>
      <c r="S74"/>
      <c r="T74"/>
      <c r="U74"/>
      <c r="V74"/>
      <c r="W74"/>
      <c r="X74"/>
      <c r="Y74"/>
    </row>
    <row r="75" spans="1:25" s="2" customFormat="1" x14ac:dyDescent="0.2">
      <c r="A75" s="5" t="s">
        <v>4069</v>
      </c>
      <c r="B75" s="5" t="s">
        <v>8584</v>
      </c>
      <c r="C75" s="5">
        <v>84</v>
      </c>
      <c r="D75" s="5"/>
      <c r="E75" s="5"/>
      <c r="F75" s="5" t="s">
        <v>4069</v>
      </c>
      <c r="G75" s="5" t="s">
        <v>207</v>
      </c>
      <c r="H75" s="5" t="s">
        <v>137</v>
      </c>
      <c r="I75" s="5" t="s">
        <v>4053</v>
      </c>
      <c r="J75" s="5" t="s">
        <v>15290</v>
      </c>
      <c r="M75" s="1"/>
      <c r="N75"/>
      <c r="O75"/>
      <c r="P75"/>
      <c r="Q75"/>
      <c r="R75"/>
      <c r="S75"/>
      <c r="T75"/>
      <c r="U75"/>
      <c r="V75"/>
      <c r="W75"/>
      <c r="X75"/>
      <c r="Y75"/>
    </row>
    <row r="76" spans="1:25" s="2" customFormat="1" x14ac:dyDescent="0.2">
      <c r="A76" s="5" t="s">
        <v>3657</v>
      </c>
      <c r="B76" s="5" t="s">
        <v>8584</v>
      </c>
      <c r="C76" s="5">
        <v>85</v>
      </c>
      <c r="D76" s="5"/>
      <c r="E76" s="5"/>
      <c r="F76" s="5" t="s">
        <v>3657</v>
      </c>
      <c r="G76" s="5" t="s">
        <v>207</v>
      </c>
      <c r="H76" s="5" t="s">
        <v>137</v>
      </c>
      <c r="I76" s="5" t="s">
        <v>4053</v>
      </c>
      <c r="J76" s="5" t="s">
        <v>15289</v>
      </c>
      <c r="M76" s="1"/>
      <c r="N76"/>
      <c r="O76"/>
      <c r="P76"/>
      <c r="Q76"/>
      <c r="R76"/>
      <c r="S76"/>
      <c r="T76"/>
      <c r="U76"/>
      <c r="V76"/>
      <c r="W76"/>
      <c r="X76"/>
      <c r="Y76"/>
    </row>
    <row r="77" spans="1:25" s="2" customFormat="1" x14ac:dyDescent="0.2">
      <c r="A77" s="5" t="s">
        <v>934</v>
      </c>
      <c r="B77" s="5" t="s">
        <v>8584</v>
      </c>
      <c r="C77" s="5">
        <v>86</v>
      </c>
      <c r="D77" s="5"/>
      <c r="E77" s="5"/>
      <c r="F77" s="5" t="s">
        <v>934</v>
      </c>
      <c r="G77" s="5" t="s">
        <v>207</v>
      </c>
      <c r="H77" s="5" t="s">
        <v>137</v>
      </c>
      <c r="I77" s="5" t="s">
        <v>4053</v>
      </c>
      <c r="J77" s="5" t="s">
        <v>15288</v>
      </c>
      <c r="M77" s="1"/>
      <c r="N77"/>
      <c r="O77"/>
      <c r="P77"/>
      <c r="Q77"/>
      <c r="R77"/>
      <c r="S77"/>
      <c r="T77"/>
      <c r="U77"/>
      <c r="V77"/>
      <c r="W77"/>
      <c r="X77"/>
      <c r="Y77"/>
    </row>
    <row r="78" spans="1:25" s="2" customFormat="1" x14ac:dyDescent="0.2">
      <c r="A78" s="5" t="s">
        <v>15287</v>
      </c>
      <c r="B78" s="5" t="s">
        <v>8584</v>
      </c>
      <c r="C78" s="5">
        <v>87</v>
      </c>
      <c r="D78" s="5"/>
      <c r="E78" s="5"/>
      <c r="F78" s="5" t="s">
        <v>15223</v>
      </c>
      <c r="G78" s="5" t="s">
        <v>207</v>
      </c>
      <c r="H78" s="5" t="s">
        <v>137</v>
      </c>
      <c r="I78" s="5" t="s">
        <v>4053</v>
      </c>
      <c r="J78" s="5" t="s">
        <v>15286</v>
      </c>
      <c r="M78" s="1"/>
      <c r="N78"/>
      <c r="O78"/>
      <c r="P78"/>
      <c r="Q78"/>
      <c r="R78"/>
      <c r="S78"/>
      <c r="T78"/>
      <c r="U78"/>
      <c r="V78"/>
      <c r="W78"/>
      <c r="X78"/>
      <c r="Y78"/>
    </row>
    <row r="79" spans="1:25" s="2" customFormat="1" x14ac:dyDescent="0.2">
      <c r="A79" s="5" t="s">
        <v>14690</v>
      </c>
      <c r="B79" s="5" t="s">
        <v>8584</v>
      </c>
      <c r="C79" s="5">
        <v>88</v>
      </c>
      <c r="D79" s="5"/>
      <c r="E79" s="5"/>
      <c r="F79" s="5" t="s">
        <v>14688</v>
      </c>
      <c r="G79" s="5" t="s">
        <v>207</v>
      </c>
      <c r="H79" s="5" t="s">
        <v>3</v>
      </c>
      <c r="I79" s="5"/>
      <c r="J79" s="5" t="s">
        <v>14687</v>
      </c>
      <c r="M79" s="1"/>
      <c r="N79"/>
      <c r="O79"/>
      <c r="P79"/>
      <c r="Q79"/>
      <c r="R79"/>
      <c r="S79"/>
      <c r="T79"/>
      <c r="U79"/>
      <c r="V79"/>
      <c r="W79"/>
      <c r="X79"/>
      <c r="Y79"/>
    </row>
    <row r="80" spans="1:25" s="2" customFormat="1" x14ac:dyDescent="0.2">
      <c r="A80" s="5" t="s">
        <v>14742</v>
      </c>
      <c r="B80" s="5" t="s">
        <v>8584</v>
      </c>
      <c r="C80" s="5">
        <v>89</v>
      </c>
      <c r="D80" s="5"/>
      <c r="E80" s="5"/>
      <c r="F80" s="5" t="s">
        <v>14740</v>
      </c>
      <c r="G80" s="5" t="s">
        <v>207</v>
      </c>
      <c r="H80" s="5" t="s">
        <v>3</v>
      </c>
      <c r="I80" s="5"/>
      <c r="J80" s="5" t="s">
        <v>14739</v>
      </c>
      <c r="M80" s="1"/>
      <c r="N80"/>
      <c r="O80"/>
      <c r="P80"/>
      <c r="Q80"/>
      <c r="R80"/>
      <c r="S80"/>
      <c r="T80"/>
      <c r="U80"/>
      <c r="V80"/>
      <c r="W80"/>
      <c r="X80"/>
      <c r="Y80"/>
    </row>
    <row r="81" spans="1:25" s="2" customFormat="1" x14ac:dyDescent="0.2">
      <c r="A81" s="5" t="s">
        <v>14721</v>
      </c>
      <c r="B81" s="5" t="s">
        <v>8584</v>
      </c>
      <c r="C81" s="5">
        <v>90</v>
      </c>
      <c r="D81" s="5"/>
      <c r="E81" s="5"/>
      <c r="F81" s="5" t="s">
        <v>14719</v>
      </c>
      <c r="G81" s="5" t="s">
        <v>207</v>
      </c>
      <c r="H81" s="5" t="s">
        <v>3</v>
      </c>
      <c r="I81" s="5"/>
      <c r="J81" s="5" t="s">
        <v>14718</v>
      </c>
      <c r="M81" s="1"/>
      <c r="N81"/>
      <c r="O81"/>
      <c r="P81"/>
      <c r="Q81"/>
      <c r="R81"/>
      <c r="S81"/>
      <c r="T81"/>
      <c r="U81"/>
      <c r="V81"/>
      <c r="W81"/>
      <c r="X81"/>
      <c r="Y81"/>
    </row>
    <row r="82" spans="1:25" s="2" customFormat="1" x14ac:dyDescent="0.2">
      <c r="A82" s="5" t="s">
        <v>14666</v>
      </c>
      <c r="B82" s="5" t="s">
        <v>8584</v>
      </c>
      <c r="C82" s="5">
        <v>91</v>
      </c>
      <c r="D82" s="5"/>
      <c r="E82" s="5"/>
      <c r="F82" s="5" t="s">
        <v>14664</v>
      </c>
      <c r="G82" s="5" t="s">
        <v>207</v>
      </c>
      <c r="H82" s="5" t="s">
        <v>3</v>
      </c>
      <c r="I82" s="5"/>
      <c r="J82" s="5" t="s">
        <v>14663</v>
      </c>
      <c r="M82" s="1"/>
      <c r="N82"/>
      <c r="O82"/>
      <c r="P82"/>
      <c r="Q82"/>
      <c r="R82"/>
      <c r="S82"/>
      <c r="T82"/>
      <c r="U82"/>
      <c r="V82"/>
      <c r="W82"/>
      <c r="X82"/>
      <c r="Y82"/>
    </row>
    <row r="83" spans="1:25" s="2" customFormat="1" x14ac:dyDescent="0.2">
      <c r="A83" s="5" t="s">
        <v>14698</v>
      </c>
      <c r="B83" s="5" t="s">
        <v>8584</v>
      </c>
      <c r="C83" s="5">
        <v>92</v>
      </c>
      <c r="D83" s="5"/>
      <c r="E83" s="5"/>
      <c r="F83" s="5" t="s">
        <v>14696</v>
      </c>
      <c r="G83" s="5" t="s">
        <v>207</v>
      </c>
      <c r="H83" s="5" t="s">
        <v>3</v>
      </c>
      <c r="I83" s="5"/>
      <c r="J83" s="5" t="s">
        <v>14695</v>
      </c>
      <c r="M83" s="1"/>
      <c r="N83"/>
      <c r="O83"/>
      <c r="P83"/>
      <c r="Q83"/>
      <c r="R83"/>
      <c r="S83"/>
      <c r="T83"/>
      <c r="U83"/>
      <c r="V83"/>
      <c r="W83"/>
      <c r="X83"/>
      <c r="Y83"/>
    </row>
    <row r="84" spans="1:25" s="2" customFormat="1" ht="25.5" x14ac:dyDescent="0.2">
      <c r="A84" s="5" t="s">
        <v>14404</v>
      </c>
      <c r="B84" s="5" t="s">
        <v>8584</v>
      </c>
      <c r="C84" s="5">
        <v>93</v>
      </c>
      <c r="D84" s="5"/>
      <c r="E84" s="5"/>
      <c r="F84" s="5" t="s">
        <v>14451</v>
      </c>
      <c r="G84" s="5" t="s">
        <v>118</v>
      </c>
      <c r="H84" s="5" t="s">
        <v>137</v>
      </c>
      <c r="I84" s="5" t="s">
        <v>14957</v>
      </c>
      <c r="J84" s="5" t="s">
        <v>15285</v>
      </c>
      <c r="M84" s="1"/>
      <c r="N84"/>
      <c r="O84"/>
      <c r="P84"/>
      <c r="Q84"/>
      <c r="R84"/>
      <c r="S84"/>
      <c r="T84"/>
      <c r="U84"/>
      <c r="V84"/>
      <c r="W84"/>
      <c r="X84"/>
      <c r="Y84"/>
    </row>
    <row r="85" spans="1:25" s="2" customFormat="1" ht="25.5" x14ac:dyDescent="0.2">
      <c r="A85" s="5" t="s">
        <v>14429</v>
      </c>
      <c r="B85" s="5" t="s">
        <v>8584</v>
      </c>
      <c r="C85" s="5">
        <v>94</v>
      </c>
      <c r="D85" s="5"/>
      <c r="E85" s="5"/>
      <c r="F85" s="5" t="s">
        <v>14427</v>
      </c>
      <c r="G85" s="5" t="s">
        <v>148</v>
      </c>
      <c r="H85" s="5" t="s">
        <v>137</v>
      </c>
      <c r="I85" s="5" t="s">
        <v>14957</v>
      </c>
      <c r="J85" s="5" t="s">
        <v>14426</v>
      </c>
      <c r="M85" s="1"/>
      <c r="N85"/>
      <c r="O85"/>
      <c r="P85"/>
      <c r="Q85"/>
      <c r="R85"/>
      <c r="S85"/>
      <c r="T85"/>
      <c r="U85"/>
      <c r="V85"/>
      <c r="W85"/>
      <c r="X85"/>
      <c r="Y85"/>
    </row>
    <row r="86" spans="1:25" s="2" customFormat="1" ht="25.5" x14ac:dyDescent="0.2">
      <c r="A86" s="5" t="s">
        <v>14525</v>
      </c>
      <c r="B86" s="5" t="s">
        <v>8584</v>
      </c>
      <c r="C86" s="5">
        <v>95</v>
      </c>
      <c r="D86" s="5"/>
      <c r="E86" s="5"/>
      <c r="F86" s="5" t="s">
        <v>14451</v>
      </c>
      <c r="G86" s="5" t="s">
        <v>118</v>
      </c>
      <c r="H86" s="5" t="s">
        <v>137</v>
      </c>
      <c r="I86" s="5" t="s">
        <v>14959</v>
      </c>
      <c r="J86" s="5" t="s">
        <v>15284</v>
      </c>
      <c r="M86" s="1"/>
      <c r="N86"/>
      <c r="O86"/>
      <c r="P86"/>
      <c r="Q86"/>
      <c r="R86"/>
      <c r="S86"/>
      <c r="T86"/>
      <c r="U86"/>
      <c r="V86"/>
      <c r="W86"/>
      <c r="X86"/>
      <c r="Y86"/>
    </row>
    <row r="87" spans="1:25" s="2" customFormat="1" ht="25.5" x14ac:dyDescent="0.2">
      <c r="A87" s="5" t="s">
        <v>14500</v>
      </c>
      <c r="B87" s="5" t="s">
        <v>8584</v>
      </c>
      <c r="C87" s="5">
        <v>96</v>
      </c>
      <c r="D87" s="5"/>
      <c r="E87" s="5"/>
      <c r="F87" s="5" t="s">
        <v>14498</v>
      </c>
      <c r="G87" s="5" t="s">
        <v>148</v>
      </c>
      <c r="H87" s="5" t="s">
        <v>137</v>
      </c>
      <c r="I87" s="5" t="s">
        <v>14959</v>
      </c>
      <c r="J87" s="5" t="s">
        <v>15283</v>
      </c>
      <c r="M87" s="1"/>
      <c r="N87"/>
      <c r="O87"/>
      <c r="P87"/>
      <c r="Q87"/>
      <c r="R87"/>
      <c r="S87"/>
      <c r="T87"/>
      <c r="U87"/>
      <c r="V87"/>
      <c r="W87"/>
      <c r="X87"/>
      <c r="Y87"/>
    </row>
    <row r="88" spans="1:25" s="2" customFormat="1" ht="25.5" x14ac:dyDescent="0.2">
      <c r="A88" s="5" t="s">
        <v>15282</v>
      </c>
      <c r="B88" s="5" t="s">
        <v>8584</v>
      </c>
      <c r="C88" s="5">
        <v>97</v>
      </c>
      <c r="D88" s="5"/>
      <c r="E88" s="5"/>
      <c r="F88" s="5" t="s">
        <v>14451</v>
      </c>
      <c r="G88" s="5" t="s">
        <v>173</v>
      </c>
      <c r="H88" s="5" t="s">
        <v>137</v>
      </c>
      <c r="I88" s="5" t="s">
        <v>14954</v>
      </c>
      <c r="J88" s="5" t="s">
        <v>15281</v>
      </c>
      <c r="M88" s="1"/>
      <c r="N88"/>
      <c r="O88"/>
      <c r="P88"/>
      <c r="Q88"/>
      <c r="R88"/>
      <c r="S88"/>
      <c r="T88"/>
      <c r="U88"/>
      <c r="V88"/>
      <c r="W88"/>
      <c r="X88"/>
      <c r="Y88"/>
    </row>
    <row r="89" spans="1:25" s="2" customFormat="1" ht="25.5" x14ac:dyDescent="0.2">
      <c r="A89" s="5" t="s">
        <v>15280</v>
      </c>
      <c r="B89" s="5" t="s">
        <v>8584</v>
      </c>
      <c r="C89" s="5">
        <v>98</v>
      </c>
      <c r="D89" s="5"/>
      <c r="E89" s="5"/>
      <c r="F89" s="5" t="s">
        <v>15279</v>
      </c>
      <c r="G89" s="5" t="s">
        <v>148</v>
      </c>
      <c r="H89" s="5" t="s">
        <v>137</v>
      </c>
      <c r="I89" s="5" t="s">
        <v>14954</v>
      </c>
      <c r="J89" s="5" t="s">
        <v>15278</v>
      </c>
      <c r="M89" s="1"/>
      <c r="N89"/>
      <c r="O89"/>
      <c r="P89"/>
      <c r="Q89"/>
      <c r="R89"/>
      <c r="S89"/>
      <c r="T89"/>
      <c r="U89"/>
      <c r="V89"/>
      <c r="W89"/>
      <c r="X89"/>
      <c r="Y89"/>
    </row>
    <row r="90" spans="1:25" s="2" customFormat="1" x14ac:dyDescent="0.2">
      <c r="A90" s="5" t="s">
        <v>14731</v>
      </c>
      <c r="B90" s="5" t="s">
        <v>8584</v>
      </c>
      <c r="C90" s="5">
        <v>99</v>
      </c>
      <c r="D90" s="5"/>
      <c r="E90" s="5"/>
      <c r="F90" s="5" t="s">
        <v>14729</v>
      </c>
      <c r="G90" s="5" t="s">
        <v>382</v>
      </c>
      <c r="H90" s="5" t="s">
        <v>3</v>
      </c>
      <c r="I90" s="5"/>
      <c r="J90" s="5" t="s">
        <v>14728</v>
      </c>
      <c r="M90" s="1"/>
      <c r="N90"/>
      <c r="O90"/>
      <c r="P90"/>
      <c r="Q90"/>
      <c r="R90"/>
      <c r="S90"/>
      <c r="T90"/>
      <c r="U90"/>
      <c r="V90"/>
      <c r="W90"/>
      <c r="X90"/>
      <c r="Y90"/>
    </row>
    <row r="91" spans="1:25" s="2" customFormat="1" ht="25.5" x14ac:dyDescent="0.2">
      <c r="A91" s="5" t="s">
        <v>14453</v>
      </c>
      <c r="B91" s="5" t="s">
        <v>8584</v>
      </c>
      <c r="C91" s="5">
        <v>100</v>
      </c>
      <c r="D91" s="5"/>
      <c r="E91" s="5"/>
      <c r="F91" s="5" t="s">
        <v>14451</v>
      </c>
      <c r="G91" s="5" t="s">
        <v>105</v>
      </c>
      <c r="H91" s="5" t="s">
        <v>3</v>
      </c>
      <c r="I91" s="5"/>
      <c r="J91" s="5" t="s">
        <v>15277</v>
      </c>
      <c r="M91" s="1"/>
      <c r="N91"/>
      <c r="O91"/>
      <c r="P91"/>
      <c r="Q91"/>
      <c r="R91"/>
      <c r="S91"/>
      <c r="T91"/>
      <c r="U91"/>
      <c r="V91"/>
      <c r="W91"/>
      <c r="X91"/>
      <c r="Y91"/>
    </row>
    <row r="92" spans="1:25" s="2" customFormat="1" ht="25.5" x14ac:dyDescent="0.2">
      <c r="A92" s="5" t="s">
        <v>15276</v>
      </c>
      <c r="B92" s="5" t="s">
        <v>8584</v>
      </c>
      <c r="C92" s="5">
        <v>101</v>
      </c>
      <c r="D92" s="5"/>
      <c r="E92" s="5"/>
      <c r="F92" s="5" t="s">
        <v>8472</v>
      </c>
      <c r="G92" s="5" t="s">
        <v>118</v>
      </c>
      <c r="H92" s="5" t="s">
        <v>137</v>
      </c>
      <c r="I92" s="5" t="s">
        <v>4053</v>
      </c>
      <c r="J92" s="5" t="s">
        <v>15275</v>
      </c>
      <c r="M92" s="1"/>
      <c r="N92"/>
      <c r="O92"/>
      <c r="P92"/>
      <c r="Q92"/>
      <c r="R92"/>
      <c r="S92"/>
      <c r="T92"/>
      <c r="U92"/>
      <c r="V92"/>
      <c r="W92"/>
      <c r="X92"/>
      <c r="Y92"/>
    </row>
    <row r="93" spans="1:25" s="2" customFormat="1" ht="25.5" x14ac:dyDescent="0.2">
      <c r="A93" s="5" t="s">
        <v>15274</v>
      </c>
      <c r="B93" s="5" t="s">
        <v>8584</v>
      </c>
      <c r="C93" s="5">
        <v>102</v>
      </c>
      <c r="D93" s="5"/>
      <c r="E93" s="5"/>
      <c r="F93" s="5" t="s">
        <v>8472</v>
      </c>
      <c r="G93" s="5" t="s">
        <v>173</v>
      </c>
      <c r="H93" s="5" t="s">
        <v>137</v>
      </c>
      <c r="I93" s="5" t="s">
        <v>4053</v>
      </c>
      <c r="J93" s="5" t="s">
        <v>15273</v>
      </c>
      <c r="M93" s="1"/>
      <c r="N93"/>
      <c r="O93"/>
      <c r="P93"/>
      <c r="Q93"/>
      <c r="R93"/>
      <c r="S93"/>
      <c r="T93"/>
      <c r="U93"/>
      <c r="V93"/>
      <c r="W93"/>
      <c r="X93"/>
      <c r="Y93"/>
    </row>
    <row r="94" spans="1:25" s="2" customFormat="1" ht="25.5" x14ac:dyDescent="0.2">
      <c r="A94" s="5" t="s">
        <v>15272</v>
      </c>
      <c r="B94" s="5" t="s">
        <v>8584</v>
      </c>
      <c r="C94" s="5">
        <v>103</v>
      </c>
      <c r="D94" s="5"/>
      <c r="E94" s="5"/>
      <c r="F94" s="5" t="s">
        <v>8472</v>
      </c>
      <c r="G94" s="5" t="s">
        <v>195</v>
      </c>
      <c r="H94" s="5" t="s">
        <v>137</v>
      </c>
      <c r="I94" s="5" t="s">
        <v>4053</v>
      </c>
      <c r="J94" s="5" t="s">
        <v>15271</v>
      </c>
      <c r="M94" s="1"/>
      <c r="N94"/>
      <c r="O94"/>
      <c r="P94"/>
      <c r="Q94"/>
      <c r="R94"/>
      <c r="S94"/>
      <c r="T94"/>
      <c r="U94"/>
      <c r="V94"/>
      <c r="W94"/>
      <c r="X94"/>
      <c r="Y94"/>
    </row>
    <row r="95" spans="1:25" s="2" customFormat="1" ht="25.5" x14ac:dyDescent="0.2">
      <c r="A95" s="5" t="s">
        <v>15270</v>
      </c>
      <c r="B95" s="5" t="s">
        <v>8584</v>
      </c>
      <c r="C95" s="5">
        <v>104</v>
      </c>
      <c r="D95" s="5"/>
      <c r="E95" s="5"/>
      <c r="F95" s="5" t="s">
        <v>15269</v>
      </c>
      <c r="G95" s="5" t="s">
        <v>283</v>
      </c>
      <c r="H95" s="5" t="s">
        <v>137</v>
      </c>
      <c r="I95" s="5" t="s">
        <v>4053</v>
      </c>
      <c r="J95" s="5" t="s">
        <v>15268</v>
      </c>
      <c r="M95" s="1"/>
      <c r="N95"/>
      <c r="O95"/>
      <c r="P95"/>
      <c r="Q95"/>
      <c r="R95"/>
      <c r="S95"/>
      <c r="T95"/>
      <c r="U95"/>
      <c r="V95"/>
      <c r="W95"/>
      <c r="X95"/>
      <c r="Y95"/>
    </row>
    <row r="96" spans="1:25" s="2" customFormat="1" ht="25.5" x14ac:dyDescent="0.2">
      <c r="A96" s="5" t="s">
        <v>15267</v>
      </c>
      <c r="B96" s="5" t="s">
        <v>8584</v>
      </c>
      <c r="C96" s="5">
        <v>105</v>
      </c>
      <c r="D96" s="5"/>
      <c r="E96" s="5"/>
      <c r="F96" s="5" t="s">
        <v>15266</v>
      </c>
      <c r="G96" s="5" t="s">
        <v>148</v>
      </c>
      <c r="H96" s="5" t="s">
        <v>137</v>
      </c>
      <c r="I96" s="5" t="s">
        <v>4053</v>
      </c>
      <c r="J96" s="5" t="s">
        <v>15265</v>
      </c>
      <c r="M96" s="1"/>
      <c r="N96"/>
      <c r="O96"/>
      <c r="P96"/>
      <c r="Q96"/>
      <c r="R96"/>
      <c r="S96"/>
      <c r="T96"/>
      <c r="U96"/>
      <c r="V96"/>
      <c r="W96"/>
      <c r="X96"/>
      <c r="Y96"/>
    </row>
    <row r="97" spans="1:25" s="2" customFormat="1" ht="25.5" x14ac:dyDescent="0.2">
      <c r="A97" s="5" t="s">
        <v>14372</v>
      </c>
      <c r="B97" s="5" t="s">
        <v>8584</v>
      </c>
      <c r="C97" s="5">
        <v>106</v>
      </c>
      <c r="D97" s="5"/>
      <c r="E97" s="5"/>
      <c r="F97" s="5" t="s">
        <v>14370</v>
      </c>
      <c r="G97" s="5" t="s">
        <v>224</v>
      </c>
      <c r="H97" s="5" t="s">
        <v>137</v>
      </c>
      <c r="I97" s="5" t="s">
        <v>15209</v>
      </c>
      <c r="J97" s="5" t="s">
        <v>14369</v>
      </c>
      <c r="M97" s="1"/>
      <c r="N97"/>
      <c r="O97"/>
      <c r="P97"/>
      <c r="Q97"/>
      <c r="R97"/>
      <c r="S97"/>
      <c r="T97"/>
      <c r="U97"/>
      <c r="V97"/>
      <c r="W97"/>
      <c r="X97"/>
      <c r="Y97"/>
    </row>
    <row r="98" spans="1:25" s="2" customFormat="1" x14ac:dyDescent="0.2">
      <c r="A98" s="5" t="s">
        <v>15264</v>
      </c>
      <c r="B98" s="5" t="s">
        <v>8584</v>
      </c>
      <c r="C98" s="5">
        <v>107</v>
      </c>
      <c r="D98" s="5"/>
      <c r="E98" s="5"/>
      <c r="F98" s="5" t="s">
        <v>15220</v>
      </c>
      <c r="G98" s="5" t="s">
        <v>207</v>
      </c>
      <c r="H98" s="5" t="s">
        <v>137</v>
      </c>
      <c r="I98" s="5" t="s">
        <v>4053</v>
      </c>
      <c r="J98" s="5" t="s">
        <v>15263</v>
      </c>
      <c r="M98" s="1"/>
      <c r="N98"/>
      <c r="O98"/>
      <c r="P98"/>
      <c r="Q98"/>
      <c r="R98"/>
      <c r="S98"/>
      <c r="T98"/>
      <c r="U98"/>
      <c r="V98"/>
      <c r="W98"/>
      <c r="X98"/>
      <c r="Y98"/>
    </row>
    <row r="99" spans="1:25" s="2" customFormat="1" x14ac:dyDescent="0.2">
      <c r="A99" s="5" t="s">
        <v>14762</v>
      </c>
      <c r="B99" s="5" t="s">
        <v>8584</v>
      </c>
      <c r="C99" s="5">
        <v>108</v>
      </c>
      <c r="D99" s="5"/>
      <c r="E99" s="5"/>
      <c r="F99" s="5" t="s">
        <v>14760</v>
      </c>
      <c r="G99" s="5" t="s">
        <v>207</v>
      </c>
      <c r="H99" s="5" t="s">
        <v>3</v>
      </c>
      <c r="I99" s="5"/>
      <c r="J99" s="5" t="s">
        <v>14759</v>
      </c>
      <c r="M99" s="1"/>
      <c r="N99"/>
      <c r="O99"/>
      <c r="P99"/>
      <c r="Q99"/>
      <c r="R99"/>
      <c r="S99"/>
      <c r="T99"/>
      <c r="U99"/>
      <c r="V99"/>
      <c r="W99"/>
      <c r="X99"/>
      <c r="Y99"/>
    </row>
    <row r="100" spans="1:25" s="2" customFormat="1" ht="25.5" x14ac:dyDescent="0.2">
      <c r="A100" s="5" t="s">
        <v>14325</v>
      </c>
      <c r="B100" s="5" t="s">
        <v>8584</v>
      </c>
      <c r="C100" s="5">
        <v>109</v>
      </c>
      <c r="D100" s="5"/>
      <c r="E100" s="5"/>
      <c r="F100" s="5" t="s">
        <v>8685</v>
      </c>
      <c r="G100" s="5" t="s">
        <v>80</v>
      </c>
      <c r="H100" s="5" t="s">
        <v>137</v>
      </c>
      <c r="I100" s="5" t="s">
        <v>14950</v>
      </c>
      <c r="J100" s="5" t="s">
        <v>14323</v>
      </c>
      <c r="M100" s="1"/>
      <c r="N100"/>
      <c r="O100"/>
      <c r="P100"/>
      <c r="Q100"/>
      <c r="R100"/>
      <c r="S100"/>
      <c r="T100"/>
      <c r="U100"/>
      <c r="V100"/>
      <c r="W100"/>
      <c r="X100"/>
      <c r="Y100"/>
    </row>
    <row r="101" spans="1:25" s="2" customFormat="1" ht="25.5" x14ac:dyDescent="0.2">
      <c r="A101" s="5" t="s">
        <v>14332</v>
      </c>
      <c r="B101" s="5" t="s">
        <v>8584</v>
      </c>
      <c r="C101" s="5">
        <v>110</v>
      </c>
      <c r="D101" s="5"/>
      <c r="E101" s="5" t="s">
        <v>138</v>
      </c>
      <c r="F101" s="5" t="s">
        <v>11509</v>
      </c>
      <c r="G101" s="5" t="s">
        <v>382</v>
      </c>
      <c r="H101" s="5" t="s">
        <v>137</v>
      </c>
      <c r="I101" s="5" t="s">
        <v>14950</v>
      </c>
      <c r="J101" s="5" t="s">
        <v>14330</v>
      </c>
      <c r="M101" s="1"/>
      <c r="N101"/>
      <c r="O101"/>
      <c r="P101"/>
      <c r="Q101"/>
      <c r="R101"/>
      <c r="S101"/>
      <c r="T101"/>
      <c r="U101"/>
      <c r="V101"/>
      <c r="W101"/>
      <c r="X101"/>
      <c r="Y101"/>
    </row>
    <row r="102" spans="1:25" s="2" customFormat="1" x14ac:dyDescent="0.2">
      <c r="A102" s="5" t="s">
        <v>14339</v>
      </c>
      <c r="B102" s="5" t="s">
        <v>8584</v>
      </c>
      <c r="C102" s="5">
        <v>111</v>
      </c>
      <c r="D102" s="5"/>
      <c r="E102" s="5" t="s">
        <v>11304</v>
      </c>
      <c r="F102" s="5" t="s">
        <v>14337</v>
      </c>
      <c r="G102" s="5" t="s">
        <v>4028</v>
      </c>
      <c r="H102" s="5" t="s">
        <v>137</v>
      </c>
      <c r="I102" s="5" t="s">
        <v>2756</v>
      </c>
      <c r="J102" s="5" t="s">
        <v>14337</v>
      </c>
      <c r="M102" s="1"/>
      <c r="N102"/>
      <c r="O102"/>
      <c r="P102"/>
      <c r="Q102"/>
      <c r="R102"/>
      <c r="S102"/>
      <c r="T102"/>
      <c r="U102"/>
      <c r="V102"/>
      <c r="W102"/>
      <c r="X102"/>
      <c r="Y102"/>
    </row>
    <row r="103" spans="1:25" s="2" customFormat="1" x14ac:dyDescent="0.2">
      <c r="A103" s="5" t="s">
        <v>14336</v>
      </c>
      <c r="B103" s="5" t="s">
        <v>8584</v>
      </c>
      <c r="C103" s="5">
        <v>112</v>
      </c>
      <c r="D103" s="5"/>
      <c r="E103" s="5"/>
      <c r="F103" s="5" t="s">
        <v>14334</v>
      </c>
      <c r="G103" s="5" t="s">
        <v>6584</v>
      </c>
      <c r="H103" s="5" t="s">
        <v>137</v>
      </c>
      <c r="I103" s="5" t="s">
        <v>2756</v>
      </c>
      <c r="J103" s="5" t="s">
        <v>14333</v>
      </c>
      <c r="M103" s="1"/>
      <c r="N103"/>
      <c r="O103"/>
      <c r="P103"/>
      <c r="Q103"/>
      <c r="R103"/>
      <c r="S103"/>
      <c r="T103"/>
      <c r="U103"/>
      <c r="V103"/>
      <c r="W103"/>
      <c r="X103"/>
      <c r="Y103"/>
    </row>
    <row r="104" spans="1:25" s="2" customFormat="1" x14ac:dyDescent="0.2">
      <c r="A104" s="5" t="s">
        <v>14346</v>
      </c>
      <c r="B104" s="5" t="s">
        <v>8584</v>
      </c>
      <c r="C104" s="5">
        <v>113</v>
      </c>
      <c r="D104" s="5"/>
      <c r="E104" s="5"/>
      <c r="F104" s="5" t="s">
        <v>14344</v>
      </c>
      <c r="G104" s="5" t="s">
        <v>328</v>
      </c>
      <c r="H104" s="5" t="s">
        <v>137</v>
      </c>
      <c r="I104" s="5" t="s">
        <v>2756</v>
      </c>
      <c r="J104" s="5" t="s">
        <v>14343</v>
      </c>
      <c r="M104" s="1"/>
      <c r="N104"/>
      <c r="O104"/>
      <c r="P104"/>
      <c r="Q104"/>
      <c r="R104"/>
      <c r="S104"/>
      <c r="T104"/>
      <c r="U104"/>
      <c r="V104"/>
      <c r="W104"/>
      <c r="X104"/>
      <c r="Y104"/>
    </row>
    <row r="105" spans="1:25" s="2" customFormat="1" x14ac:dyDescent="0.2">
      <c r="A105" s="5" t="s">
        <v>14342</v>
      </c>
      <c r="B105" s="5" t="s">
        <v>8584</v>
      </c>
      <c r="C105" s="5">
        <v>114</v>
      </c>
      <c r="D105" s="5"/>
      <c r="E105" s="5" t="s">
        <v>138</v>
      </c>
      <c r="F105" s="5" t="s">
        <v>11509</v>
      </c>
      <c r="G105" s="5" t="s">
        <v>382</v>
      </c>
      <c r="H105" s="5" t="s">
        <v>137</v>
      </c>
      <c r="I105" s="5" t="s">
        <v>2756</v>
      </c>
      <c r="J105" s="5" t="s">
        <v>14340</v>
      </c>
      <c r="M105" s="1"/>
      <c r="N105"/>
      <c r="O105"/>
      <c r="P105"/>
      <c r="Q105"/>
      <c r="R105"/>
      <c r="S105"/>
      <c r="T105"/>
      <c r="U105"/>
      <c r="V105"/>
      <c r="W105"/>
      <c r="X105"/>
      <c r="Y105"/>
    </row>
    <row r="106" spans="1:25" s="2" customFormat="1" x14ac:dyDescent="0.2">
      <c r="A106" s="5" t="s">
        <v>14362</v>
      </c>
      <c r="B106" s="5" t="s">
        <v>8584</v>
      </c>
      <c r="C106" s="5">
        <v>115</v>
      </c>
      <c r="D106" s="5"/>
      <c r="E106" s="5"/>
      <c r="F106" s="5" t="s">
        <v>11225</v>
      </c>
      <c r="G106" s="5" t="s">
        <v>170</v>
      </c>
      <c r="H106" s="5" t="s">
        <v>137</v>
      </c>
      <c r="I106" s="5" t="s">
        <v>14951</v>
      </c>
      <c r="J106" s="5" t="s">
        <v>14360</v>
      </c>
      <c r="M106" s="1"/>
      <c r="N106"/>
      <c r="O106"/>
      <c r="P106"/>
      <c r="Q106"/>
      <c r="R106"/>
      <c r="S106"/>
      <c r="T106"/>
      <c r="U106"/>
      <c r="V106"/>
      <c r="W106"/>
      <c r="X106"/>
      <c r="Y106"/>
    </row>
    <row r="107" spans="1:25" s="2" customFormat="1" x14ac:dyDescent="0.2">
      <c r="A107" s="5" t="s">
        <v>14364</v>
      </c>
      <c r="B107" s="5" t="s">
        <v>8584</v>
      </c>
      <c r="C107" s="5">
        <v>116</v>
      </c>
      <c r="D107" s="5"/>
      <c r="E107" s="5"/>
      <c r="F107" s="5" t="s">
        <v>7980</v>
      </c>
      <c r="G107" s="5" t="s">
        <v>315</v>
      </c>
      <c r="H107" s="5" t="s">
        <v>137</v>
      </c>
      <c r="I107" s="5" t="s">
        <v>14951</v>
      </c>
      <c r="J107" s="5" t="s">
        <v>11330</v>
      </c>
      <c r="M107" s="1"/>
      <c r="N107"/>
      <c r="O107"/>
      <c r="P107"/>
      <c r="Q107"/>
      <c r="R107"/>
      <c r="S107"/>
      <c r="T107"/>
      <c r="U107"/>
      <c r="V107"/>
      <c r="W107"/>
      <c r="X107"/>
      <c r="Y107"/>
    </row>
    <row r="108" spans="1:25" s="2" customFormat="1" ht="25.5" x14ac:dyDescent="0.2">
      <c r="A108" s="5" t="s">
        <v>14356</v>
      </c>
      <c r="B108" s="5" t="s">
        <v>8584</v>
      </c>
      <c r="C108" s="5">
        <v>117</v>
      </c>
      <c r="D108" s="5"/>
      <c r="E108" s="5" t="s">
        <v>1783</v>
      </c>
      <c r="F108" s="5" t="s">
        <v>7980</v>
      </c>
      <c r="G108" s="5" t="s">
        <v>91</v>
      </c>
      <c r="H108" s="5" t="s">
        <v>137</v>
      </c>
      <c r="I108" s="5" t="s">
        <v>14951</v>
      </c>
      <c r="J108" s="5" t="s">
        <v>14354</v>
      </c>
      <c r="M108" s="1"/>
      <c r="N108"/>
      <c r="O108"/>
      <c r="P108"/>
      <c r="Q108"/>
      <c r="R108"/>
      <c r="S108"/>
      <c r="T108"/>
      <c r="U108"/>
      <c r="V108"/>
      <c r="W108"/>
      <c r="X108"/>
      <c r="Y108"/>
    </row>
    <row r="109" spans="1:25" s="2" customFormat="1" ht="25.5" x14ac:dyDescent="0.2">
      <c r="A109" s="5" t="s">
        <v>14329</v>
      </c>
      <c r="B109" s="5" t="s">
        <v>8584</v>
      </c>
      <c r="C109" s="5">
        <v>118</v>
      </c>
      <c r="D109" s="5"/>
      <c r="E109" s="5"/>
      <c r="F109" s="5" t="s">
        <v>14327</v>
      </c>
      <c r="G109" s="5" t="s">
        <v>229</v>
      </c>
      <c r="H109" s="5" t="s">
        <v>137</v>
      </c>
      <c r="I109" s="5" t="s">
        <v>15262</v>
      </c>
      <c r="J109" s="5" t="s">
        <v>14326</v>
      </c>
      <c r="M109" s="1"/>
      <c r="N109"/>
      <c r="O109"/>
      <c r="P109"/>
      <c r="Q109"/>
      <c r="R109"/>
      <c r="S109"/>
      <c r="T109"/>
      <c r="U109"/>
      <c r="V109"/>
      <c r="W109"/>
      <c r="X109"/>
      <c r="Y109"/>
    </row>
    <row r="110" spans="1:25" s="2" customFormat="1" ht="25.5" x14ac:dyDescent="0.2">
      <c r="A110" s="5" t="s">
        <v>14350</v>
      </c>
      <c r="B110" s="5" t="s">
        <v>8584</v>
      </c>
      <c r="C110" s="5">
        <v>119</v>
      </c>
      <c r="D110" s="5"/>
      <c r="E110" s="5" t="s">
        <v>368</v>
      </c>
      <c r="F110" s="5" t="s">
        <v>14348</v>
      </c>
      <c r="G110" s="5" t="s">
        <v>382</v>
      </c>
      <c r="H110" s="5" t="s">
        <v>137</v>
      </c>
      <c r="I110" s="5" t="s">
        <v>15262</v>
      </c>
      <c r="J110" s="5" t="s">
        <v>15261</v>
      </c>
      <c r="M110" s="1"/>
      <c r="N110"/>
      <c r="O110"/>
      <c r="P110"/>
      <c r="Q110"/>
      <c r="R110"/>
      <c r="S110"/>
      <c r="T110"/>
      <c r="U110"/>
      <c r="V110"/>
      <c r="W110"/>
      <c r="X110"/>
      <c r="Y110"/>
    </row>
    <row r="111" spans="1:25" s="2" customFormat="1" ht="25.5" x14ac:dyDescent="0.2">
      <c r="A111" s="5" t="s">
        <v>14318</v>
      </c>
      <c r="B111" s="5" t="s">
        <v>8584</v>
      </c>
      <c r="C111" s="5">
        <v>120</v>
      </c>
      <c r="D111" s="5"/>
      <c r="E111" s="5" t="s">
        <v>15260</v>
      </c>
      <c r="F111" s="5" t="s">
        <v>14313</v>
      </c>
      <c r="G111" s="5" t="s">
        <v>14314</v>
      </c>
      <c r="H111" s="5" t="s">
        <v>3</v>
      </c>
      <c r="I111" s="5"/>
      <c r="J111" s="5" t="s">
        <v>14313</v>
      </c>
      <c r="M111" s="1"/>
      <c r="N111"/>
      <c r="O111"/>
      <c r="P111"/>
      <c r="Q111"/>
      <c r="R111"/>
      <c r="S111"/>
      <c r="T111"/>
      <c r="U111"/>
      <c r="V111"/>
      <c r="W111"/>
      <c r="X111"/>
      <c r="Y111"/>
    </row>
    <row r="112" spans="1:25" s="2" customFormat="1" x14ac:dyDescent="0.2">
      <c r="A112" s="5" t="s">
        <v>15259</v>
      </c>
      <c r="B112" s="5" t="s">
        <v>8584</v>
      </c>
      <c r="C112" s="5">
        <v>121</v>
      </c>
      <c r="D112" s="5"/>
      <c r="E112" s="5"/>
      <c r="F112" s="5" t="s">
        <v>7892</v>
      </c>
      <c r="G112" s="5" t="s">
        <v>80</v>
      </c>
      <c r="H112" s="5" t="s">
        <v>137</v>
      </c>
      <c r="I112" s="5" t="s">
        <v>4053</v>
      </c>
      <c r="J112" s="5" t="s">
        <v>15258</v>
      </c>
      <c r="M112" s="1"/>
      <c r="N112"/>
      <c r="O112"/>
      <c r="P112"/>
      <c r="Q112"/>
      <c r="R112"/>
      <c r="S112"/>
      <c r="T112"/>
      <c r="U112"/>
      <c r="V112"/>
      <c r="W112"/>
      <c r="X112"/>
      <c r="Y112"/>
    </row>
    <row r="113" spans="1:25" s="2" customFormat="1" x14ac:dyDescent="0.2">
      <c r="A113" s="5" t="s">
        <v>15257</v>
      </c>
      <c r="B113" s="5" t="s">
        <v>8584</v>
      </c>
      <c r="C113" s="5">
        <v>122</v>
      </c>
      <c r="D113" s="5"/>
      <c r="E113" s="5"/>
      <c r="F113" s="5" t="s">
        <v>15256</v>
      </c>
      <c r="G113" s="5" t="s">
        <v>276</v>
      </c>
      <c r="H113" s="5" t="s">
        <v>3</v>
      </c>
      <c r="I113" s="5"/>
      <c r="J113" s="5" t="s">
        <v>15255</v>
      </c>
      <c r="M113" s="1"/>
      <c r="N113"/>
      <c r="O113"/>
      <c r="P113"/>
      <c r="Q113"/>
      <c r="R113"/>
      <c r="S113"/>
      <c r="T113"/>
      <c r="U113"/>
      <c r="V113"/>
      <c r="W113"/>
      <c r="X113"/>
      <c r="Y113"/>
    </row>
    <row r="114" spans="1:25" s="2" customFormat="1" ht="25.5" x14ac:dyDescent="0.2">
      <c r="A114" s="5" t="s">
        <v>15254</v>
      </c>
      <c r="B114" s="5" t="s">
        <v>8584</v>
      </c>
      <c r="C114" s="5">
        <v>123</v>
      </c>
      <c r="D114" s="5"/>
      <c r="E114" s="5"/>
      <c r="F114" s="5" t="s">
        <v>13712</v>
      </c>
      <c r="G114" s="5" t="s">
        <v>80</v>
      </c>
      <c r="H114" s="5" t="s">
        <v>3</v>
      </c>
      <c r="I114" s="5"/>
      <c r="J114" s="5" t="s">
        <v>15253</v>
      </c>
      <c r="M114" s="1"/>
      <c r="N114"/>
      <c r="O114"/>
      <c r="P114"/>
      <c r="Q114"/>
      <c r="R114"/>
      <c r="S114"/>
      <c r="T114"/>
      <c r="U114"/>
      <c r="V114"/>
      <c r="W114"/>
      <c r="X114"/>
      <c r="Y114"/>
    </row>
    <row r="115" spans="1:25" s="2" customFormat="1" ht="25.5" x14ac:dyDescent="0.2">
      <c r="A115" s="5" t="s">
        <v>15252</v>
      </c>
      <c r="B115" s="5" t="s">
        <v>8584</v>
      </c>
      <c r="C115" s="5">
        <v>124</v>
      </c>
      <c r="D115" s="5"/>
      <c r="E115" s="5"/>
      <c r="F115" s="5" t="s">
        <v>15251</v>
      </c>
      <c r="G115" s="5" t="s">
        <v>229</v>
      </c>
      <c r="H115" s="5" t="s">
        <v>3</v>
      </c>
      <c r="I115" s="5"/>
      <c r="J115" s="5" t="s">
        <v>15250</v>
      </c>
      <c r="M115" s="1"/>
      <c r="N115"/>
      <c r="O115"/>
      <c r="P115"/>
      <c r="Q115"/>
      <c r="R115"/>
      <c r="S115"/>
      <c r="T115"/>
      <c r="U115"/>
      <c r="V115"/>
      <c r="W115"/>
      <c r="X115"/>
      <c r="Y115"/>
    </row>
    <row r="116" spans="1:25" s="2" customFormat="1" ht="25.5" x14ac:dyDescent="0.2">
      <c r="A116" s="5" t="s">
        <v>15249</v>
      </c>
      <c r="B116" s="5" t="s">
        <v>8584</v>
      </c>
      <c r="C116" s="5">
        <v>125</v>
      </c>
      <c r="D116" s="5"/>
      <c r="E116" s="5"/>
      <c r="F116" s="5"/>
      <c r="G116" s="5" t="s">
        <v>276</v>
      </c>
      <c r="H116" s="5" t="s">
        <v>137</v>
      </c>
      <c r="I116" s="5" t="s">
        <v>4053</v>
      </c>
      <c r="J116" s="5" t="s">
        <v>15248</v>
      </c>
      <c r="M116" s="1"/>
      <c r="N116"/>
      <c r="O116"/>
      <c r="P116"/>
      <c r="Q116"/>
      <c r="R116"/>
      <c r="S116"/>
      <c r="T116"/>
      <c r="U116"/>
      <c r="V116"/>
      <c r="W116"/>
      <c r="X116"/>
      <c r="Y116"/>
    </row>
    <row r="117" spans="1:25" s="2" customFormat="1" ht="25.5" x14ac:dyDescent="0.2">
      <c r="A117" s="5" t="s">
        <v>15247</v>
      </c>
      <c r="B117" s="5" t="s">
        <v>8584</v>
      </c>
      <c r="C117" s="5">
        <v>126</v>
      </c>
      <c r="D117" s="5"/>
      <c r="E117" s="5"/>
      <c r="F117" s="5" t="s">
        <v>7892</v>
      </c>
      <c r="G117" s="5" t="s">
        <v>105</v>
      </c>
      <c r="H117" s="5" t="s">
        <v>3</v>
      </c>
      <c r="I117" s="5"/>
      <c r="J117" s="5" t="s">
        <v>15246</v>
      </c>
      <c r="M117" s="1"/>
      <c r="N117"/>
      <c r="O117"/>
      <c r="P117"/>
      <c r="Q117"/>
      <c r="R117"/>
      <c r="S117"/>
      <c r="T117"/>
      <c r="U117"/>
      <c r="V117"/>
      <c r="W117"/>
      <c r="X117"/>
      <c r="Y117"/>
    </row>
    <row r="118" spans="1:25" s="2" customFormat="1" ht="25.5" x14ac:dyDescent="0.2">
      <c r="A118" s="5" t="s">
        <v>15245</v>
      </c>
      <c r="B118" s="5" t="s">
        <v>8584</v>
      </c>
      <c r="C118" s="5">
        <v>127</v>
      </c>
      <c r="D118" s="5"/>
      <c r="E118" s="5"/>
      <c r="F118" s="5" t="s">
        <v>15244</v>
      </c>
      <c r="G118" s="5" t="s">
        <v>276</v>
      </c>
      <c r="H118" s="5" t="s">
        <v>137</v>
      </c>
      <c r="I118" s="5"/>
      <c r="J118" s="5" t="s">
        <v>15243</v>
      </c>
      <c r="M118" s="1"/>
      <c r="N118"/>
      <c r="O118"/>
      <c r="P118"/>
      <c r="Q118"/>
      <c r="R118"/>
      <c r="S118"/>
      <c r="T118"/>
      <c r="U118"/>
      <c r="V118"/>
      <c r="W118"/>
      <c r="X118"/>
      <c r="Y118"/>
    </row>
    <row r="119" spans="1:25" s="2" customFormat="1" x14ac:dyDescent="0.2">
      <c r="A119" s="5" t="s">
        <v>15242</v>
      </c>
      <c r="B119" s="5" t="s">
        <v>8584</v>
      </c>
      <c r="C119" s="5">
        <v>128</v>
      </c>
      <c r="D119" s="5"/>
      <c r="E119" s="5"/>
      <c r="F119" s="5" t="s">
        <v>10799</v>
      </c>
      <c r="G119" s="5" t="s">
        <v>328</v>
      </c>
      <c r="H119" s="5" t="s">
        <v>3</v>
      </c>
      <c r="I119" s="5"/>
      <c r="J119" s="5" t="s">
        <v>15241</v>
      </c>
      <c r="M119" s="1"/>
      <c r="N119"/>
      <c r="O119"/>
      <c r="P119"/>
      <c r="Q119"/>
      <c r="R119"/>
      <c r="S119"/>
      <c r="T119"/>
      <c r="U119"/>
      <c r="V119"/>
      <c r="W119"/>
      <c r="X119"/>
      <c r="Y119"/>
    </row>
    <row r="120" spans="1:25" s="2" customFormat="1" ht="25.5" x14ac:dyDescent="0.2">
      <c r="A120" s="5" t="s">
        <v>15240</v>
      </c>
      <c r="B120" s="5" t="s">
        <v>8584</v>
      </c>
      <c r="C120" s="5">
        <v>129</v>
      </c>
      <c r="D120" s="5"/>
      <c r="E120" s="5"/>
      <c r="F120" s="5" t="s">
        <v>15239</v>
      </c>
      <c r="G120" s="5" t="s">
        <v>229</v>
      </c>
      <c r="H120" s="5" t="s">
        <v>3</v>
      </c>
      <c r="I120" s="5"/>
      <c r="J120" s="5" t="s">
        <v>15238</v>
      </c>
      <c r="M120" s="1"/>
      <c r="N120"/>
      <c r="O120"/>
      <c r="P120"/>
      <c r="Q120"/>
      <c r="R120"/>
      <c r="S120"/>
      <c r="T120"/>
      <c r="U120"/>
      <c r="V120"/>
      <c r="W120"/>
      <c r="X120"/>
      <c r="Y120"/>
    </row>
    <row r="121" spans="1:25" s="2" customFormat="1" ht="25.5" x14ac:dyDescent="0.2">
      <c r="A121" s="5" t="s">
        <v>15237</v>
      </c>
      <c r="B121" s="5" t="s">
        <v>8584</v>
      </c>
      <c r="C121" s="5">
        <v>130</v>
      </c>
      <c r="D121" s="5"/>
      <c r="E121" s="5" t="s">
        <v>150</v>
      </c>
      <c r="F121" s="5" t="s">
        <v>15236</v>
      </c>
      <c r="G121" s="5" t="s">
        <v>181</v>
      </c>
      <c r="H121" s="5" t="s">
        <v>3</v>
      </c>
      <c r="I121" s="5"/>
      <c r="J121" s="5" t="s">
        <v>15235</v>
      </c>
      <c r="M121" s="1"/>
      <c r="N121"/>
      <c r="O121"/>
      <c r="P121"/>
      <c r="Q121"/>
      <c r="R121"/>
      <c r="S121"/>
      <c r="T121"/>
      <c r="U121"/>
      <c r="V121"/>
      <c r="W121"/>
      <c r="X121"/>
      <c r="Y121"/>
    </row>
    <row r="122" spans="1:25" s="2" customFormat="1" ht="25.5" x14ac:dyDescent="0.2">
      <c r="A122" s="5" t="s">
        <v>1628</v>
      </c>
      <c r="B122" s="5" t="s">
        <v>8584</v>
      </c>
      <c r="C122" s="5">
        <v>131</v>
      </c>
      <c r="D122" s="5"/>
      <c r="E122" s="5"/>
      <c r="F122" s="5" t="s">
        <v>1613</v>
      </c>
      <c r="G122" s="5" t="s">
        <v>207</v>
      </c>
      <c r="H122" s="5" t="s">
        <v>137</v>
      </c>
      <c r="I122" s="5" t="s">
        <v>15142</v>
      </c>
      <c r="J122" s="5" t="s">
        <v>15234</v>
      </c>
      <c r="M122" s="1"/>
      <c r="N122"/>
      <c r="O122"/>
      <c r="P122"/>
      <c r="Q122"/>
      <c r="R122"/>
      <c r="S122"/>
      <c r="T122"/>
      <c r="U122"/>
      <c r="V122"/>
      <c r="W122"/>
      <c r="X122"/>
      <c r="Y122"/>
    </row>
    <row r="123" spans="1:25" s="2" customFormat="1" ht="25.5" x14ac:dyDescent="0.2">
      <c r="A123" s="5" t="s">
        <v>4084</v>
      </c>
      <c r="B123" s="5" t="s">
        <v>8584</v>
      </c>
      <c r="C123" s="5">
        <v>132</v>
      </c>
      <c r="D123" s="5"/>
      <c r="E123" s="5"/>
      <c r="F123" s="5" t="s">
        <v>4069</v>
      </c>
      <c r="G123" s="5" t="s">
        <v>207</v>
      </c>
      <c r="H123" s="5" t="s">
        <v>137</v>
      </c>
      <c r="I123" s="5" t="s">
        <v>15142</v>
      </c>
      <c r="J123" s="5" t="s">
        <v>15233</v>
      </c>
      <c r="M123" s="1"/>
      <c r="N123"/>
      <c r="O123"/>
      <c r="P123"/>
      <c r="Q123"/>
      <c r="R123"/>
      <c r="S123"/>
      <c r="T123"/>
      <c r="U123"/>
      <c r="V123"/>
      <c r="W123"/>
      <c r="X123"/>
      <c r="Y123"/>
    </row>
    <row r="124" spans="1:25" s="2" customFormat="1" ht="25.5" x14ac:dyDescent="0.2">
      <c r="A124" s="5" t="s">
        <v>5765</v>
      </c>
      <c r="B124" s="5" t="s">
        <v>8584</v>
      </c>
      <c r="C124" s="5">
        <v>133</v>
      </c>
      <c r="D124" s="5"/>
      <c r="E124" s="5"/>
      <c r="F124" s="5" t="s">
        <v>15232</v>
      </c>
      <c r="G124" s="5" t="s">
        <v>207</v>
      </c>
      <c r="H124" s="5" t="s">
        <v>137</v>
      </c>
      <c r="I124" s="5" t="s">
        <v>15142</v>
      </c>
      <c r="J124" s="5" t="s">
        <v>15231</v>
      </c>
      <c r="M124" s="1"/>
      <c r="N124"/>
      <c r="O124"/>
      <c r="P124"/>
      <c r="Q124"/>
      <c r="R124"/>
      <c r="S124"/>
      <c r="T124"/>
      <c r="U124"/>
      <c r="V124"/>
      <c r="W124"/>
      <c r="X124"/>
      <c r="Y124"/>
    </row>
    <row r="125" spans="1:25" s="2" customFormat="1" ht="25.5" x14ac:dyDescent="0.2">
      <c r="A125" s="5" t="s">
        <v>1720</v>
      </c>
      <c r="B125" s="5" t="s">
        <v>8584</v>
      </c>
      <c r="C125" s="5">
        <v>134</v>
      </c>
      <c r="D125" s="5"/>
      <c r="E125" s="5"/>
      <c r="F125" s="5" t="s">
        <v>1699</v>
      </c>
      <c r="G125" s="5" t="s">
        <v>207</v>
      </c>
      <c r="H125" s="5" t="s">
        <v>137</v>
      </c>
      <c r="I125" s="5" t="s">
        <v>15142</v>
      </c>
      <c r="J125" s="5" t="s">
        <v>15230</v>
      </c>
      <c r="M125" s="1"/>
      <c r="N125"/>
      <c r="O125"/>
      <c r="P125"/>
      <c r="Q125"/>
      <c r="R125"/>
      <c r="S125"/>
      <c r="T125"/>
      <c r="U125"/>
      <c r="V125"/>
      <c r="W125"/>
      <c r="X125"/>
      <c r="Y125"/>
    </row>
    <row r="126" spans="1:25" s="2" customFormat="1" ht="25.5" x14ac:dyDescent="0.2">
      <c r="A126" s="5" t="s">
        <v>841</v>
      </c>
      <c r="B126" s="5" t="s">
        <v>8584</v>
      </c>
      <c r="C126" s="5">
        <v>135</v>
      </c>
      <c r="D126" s="5"/>
      <c r="E126" s="5"/>
      <c r="F126" s="5" t="s">
        <v>370</v>
      </c>
      <c r="G126" s="5" t="s">
        <v>207</v>
      </c>
      <c r="H126" s="5" t="s">
        <v>137</v>
      </c>
      <c r="I126" s="5" t="s">
        <v>15142</v>
      </c>
      <c r="J126" s="5" t="s">
        <v>15229</v>
      </c>
      <c r="M126" s="1"/>
      <c r="N126"/>
      <c r="O126"/>
      <c r="P126"/>
      <c r="Q126"/>
      <c r="R126"/>
      <c r="S126"/>
      <c r="T126"/>
      <c r="U126"/>
      <c r="V126"/>
      <c r="W126"/>
      <c r="X126"/>
      <c r="Y126"/>
    </row>
    <row r="127" spans="1:25" s="2" customFormat="1" ht="25.5" x14ac:dyDescent="0.2">
      <c r="A127" s="5" t="s">
        <v>2073</v>
      </c>
      <c r="B127" s="5" t="s">
        <v>8584</v>
      </c>
      <c r="C127" s="5">
        <v>136</v>
      </c>
      <c r="D127" s="5"/>
      <c r="E127" s="5"/>
      <c r="F127" s="5" t="s">
        <v>8</v>
      </c>
      <c r="G127" s="5" t="s">
        <v>207</v>
      </c>
      <c r="H127" s="5" t="s">
        <v>137</v>
      </c>
      <c r="I127" s="5" t="s">
        <v>15142</v>
      </c>
      <c r="J127" s="5" t="s">
        <v>15228</v>
      </c>
      <c r="M127" s="1"/>
      <c r="N127"/>
      <c r="O127"/>
      <c r="P127"/>
      <c r="Q127"/>
      <c r="R127"/>
      <c r="S127"/>
      <c r="T127"/>
      <c r="U127"/>
      <c r="V127"/>
      <c r="W127"/>
      <c r="X127"/>
      <c r="Y127"/>
    </row>
    <row r="128" spans="1:25" s="2" customFormat="1" ht="25.5" x14ac:dyDescent="0.2">
      <c r="A128" s="5" t="s">
        <v>1363</v>
      </c>
      <c r="B128" s="5" t="s">
        <v>8584</v>
      </c>
      <c r="C128" s="5">
        <v>137</v>
      </c>
      <c r="D128" s="5"/>
      <c r="E128" s="5"/>
      <c r="F128" s="5" t="s">
        <v>1342</v>
      </c>
      <c r="G128" s="5" t="s">
        <v>207</v>
      </c>
      <c r="H128" s="5" t="s">
        <v>137</v>
      </c>
      <c r="I128" s="5" t="s">
        <v>15142</v>
      </c>
      <c r="J128" s="5" t="s">
        <v>15227</v>
      </c>
      <c r="M128" s="1"/>
      <c r="N128"/>
      <c r="O128"/>
      <c r="P128"/>
      <c r="Q128"/>
      <c r="R128"/>
      <c r="S128"/>
      <c r="T128"/>
      <c r="U128"/>
      <c r="V128"/>
      <c r="W128"/>
      <c r="X128"/>
      <c r="Y128"/>
    </row>
    <row r="129" spans="1:25" s="2" customFormat="1" ht="25.5" x14ac:dyDescent="0.2">
      <c r="A129" s="5" t="s">
        <v>3672</v>
      </c>
      <c r="B129" s="5" t="s">
        <v>8584</v>
      </c>
      <c r="C129" s="5">
        <v>138</v>
      </c>
      <c r="D129" s="5"/>
      <c r="E129" s="5"/>
      <c r="F129" s="5" t="s">
        <v>3657</v>
      </c>
      <c r="G129" s="5" t="s">
        <v>207</v>
      </c>
      <c r="H129" s="5" t="s">
        <v>137</v>
      </c>
      <c r="I129" s="5" t="s">
        <v>15142</v>
      </c>
      <c r="J129" s="5" t="s">
        <v>15226</v>
      </c>
      <c r="M129" s="1"/>
      <c r="N129"/>
      <c r="O129"/>
      <c r="P129"/>
      <c r="Q129"/>
      <c r="R129"/>
      <c r="S129"/>
      <c r="T129"/>
      <c r="U129"/>
      <c r="V129"/>
      <c r="W129"/>
      <c r="X129"/>
      <c r="Y129"/>
    </row>
    <row r="130" spans="1:25" s="2" customFormat="1" ht="25.5" x14ac:dyDescent="0.2">
      <c r="A130" s="5" t="s">
        <v>949</v>
      </c>
      <c r="B130" s="5" t="s">
        <v>8584</v>
      </c>
      <c r="C130" s="5">
        <v>139</v>
      </c>
      <c r="D130" s="5"/>
      <c r="E130" s="5"/>
      <c r="F130" s="5" t="s">
        <v>934</v>
      </c>
      <c r="G130" s="5" t="s">
        <v>207</v>
      </c>
      <c r="H130" s="5" t="s">
        <v>137</v>
      </c>
      <c r="I130" s="5" t="s">
        <v>15142</v>
      </c>
      <c r="J130" s="5" t="s">
        <v>15225</v>
      </c>
      <c r="M130" s="1"/>
      <c r="N130"/>
      <c r="O130"/>
      <c r="P130"/>
      <c r="Q130"/>
      <c r="R130"/>
      <c r="S130"/>
      <c r="T130"/>
      <c r="U130"/>
      <c r="V130"/>
      <c r="W130"/>
      <c r="X130"/>
      <c r="Y130"/>
    </row>
    <row r="131" spans="1:25" s="2" customFormat="1" ht="25.5" x14ac:dyDescent="0.2">
      <c r="A131" s="5" t="s">
        <v>15224</v>
      </c>
      <c r="B131" s="5" t="s">
        <v>8584</v>
      </c>
      <c r="C131" s="5">
        <v>140</v>
      </c>
      <c r="D131" s="5"/>
      <c r="E131" s="5"/>
      <c r="F131" s="5" t="s">
        <v>15223</v>
      </c>
      <c r="G131" s="5" t="s">
        <v>207</v>
      </c>
      <c r="H131" s="5" t="s">
        <v>137</v>
      </c>
      <c r="I131" s="5" t="s">
        <v>15142</v>
      </c>
      <c r="J131" s="5" t="s">
        <v>15222</v>
      </c>
      <c r="M131" s="1"/>
      <c r="N131"/>
      <c r="O131"/>
      <c r="P131"/>
      <c r="Q131"/>
      <c r="R131"/>
      <c r="S131"/>
      <c r="T131"/>
      <c r="U131"/>
      <c r="V131"/>
      <c r="W131"/>
      <c r="X131"/>
      <c r="Y131"/>
    </row>
    <row r="132" spans="1:25" s="2" customFormat="1" ht="25.5" x14ac:dyDescent="0.2">
      <c r="A132" s="5" t="s">
        <v>15221</v>
      </c>
      <c r="B132" s="5" t="s">
        <v>8584</v>
      </c>
      <c r="C132" s="5">
        <v>141</v>
      </c>
      <c r="D132" s="5"/>
      <c r="E132" s="5"/>
      <c r="F132" s="5" t="s">
        <v>15220</v>
      </c>
      <c r="G132" s="5" t="s">
        <v>207</v>
      </c>
      <c r="H132" s="5" t="s">
        <v>137</v>
      </c>
      <c r="I132" s="5" t="s">
        <v>15142</v>
      </c>
      <c r="J132" s="5" t="s">
        <v>15219</v>
      </c>
      <c r="M132" s="1"/>
      <c r="N132"/>
      <c r="O132"/>
      <c r="P132"/>
      <c r="Q132"/>
      <c r="R132"/>
      <c r="S132"/>
      <c r="T132"/>
      <c r="U132"/>
      <c r="V132"/>
      <c r="W132"/>
      <c r="X132"/>
      <c r="Y132"/>
    </row>
    <row r="133" spans="1:25" s="2" customFormat="1" ht="25.5" x14ac:dyDescent="0.2">
      <c r="A133" s="5" t="s">
        <v>5234</v>
      </c>
      <c r="B133" s="5" t="s">
        <v>8584</v>
      </c>
      <c r="C133" s="5">
        <v>142</v>
      </c>
      <c r="D133" s="5"/>
      <c r="E133" s="5"/>
      <c r="F133" s="5" t="s">
        <v>5213</v>
      </c>
      <c r="G133" s="5" t="s">
        <v>315</v>
      </c>
      <c r="H133" s="5" t="s">
        <v>137</v>
      </c>
      <c r="I133" s="5" t="s">
        <v>15142</v>
      </c>
      <c r="J133" s="5" t="s">
        <v>15218</v>
      </c>
      <c r="M133" s="1"/>
      <c r="N133"/>
      <c r="O133"/>
      <c r="P133"/>
      <c r="Q133"/>
      <c r="R133"/>
      <c r="S133"/>
      <c r="T133"/>
      <c r="U133"/>
      <c r="V133"/>
      <c r="W133"/>
      <c r="X133"/>
      <c r="Y133"/>
    </row>
    <row r="134" spans="1:25" s="2" customFormat="1" x14ac:dyDescent="0.2">
      <c r="A134" s="5" t="s">
        <v>15217</v>
      </c>
      <c r="B134" s="5" t="s">
        <v>8584</v>
      </c>
      <c r="C134" s="5">
        <v>143</v>
      </c>
      <c r="D134" s="5"/>
      <c r="E134" s="5"/>
      <c r="F134" s="5" t="s">
        <v>12907</v>
      </c>
      <c r="G134" s="5" t="s">
        <v>382</v>
      </c>
      <c r="H134" s="5" t="s">
        <v>137</v>
      </c>
      <c r="I134" s="5" t="s">
        <v>4053</v>
      </c>
      <c r="J134" s="5" t="s">
        <v>15216</v>
      </c>
      <c r="M134" s="1"/>
      <c r="N134"/>
      <c r="O134"/>
      <c r="P134"/>
      <c r="Q134"/>
      <c r="R134"/>
      <c r="S134"/>
      <c r="T134"/>
      <c r="U134"/>
      <c r="V134"/>
      <c r="W134"/>
      <c r="X134"/>
      <c r="Y134"/>
    </row>
    <row r="135" spans="1:25" s="2" customFormat="1" x14ac:dyDescent="0.2">
      <c r="A135" s="5" t="s">
        <v>14752</v>
      </c>
      <c r="B135" s="5" t="s">
        <v>8584</v>
      </c>
      <c r="C135" s="5">
        <v>144</v>
      </c>
      <c r="D135" s="5"/>
      <c r="E135" s="5"/>
      <c r="F135" s="5" t="s">
        <v>14660</v>
      </c>
      <c r="G135" s="5" t="s">
        <v>382</v>
      </c>
      <c r="H135" s="5" t="s">
        <v>3</v>
      </c>
      <c r="I135" s="5"/>
      <c r="J135" s="5" t="s">
        <v>14750</v>
      </c>
      <c r="M135" s="1"/>
      <c r="N135"/>
      <c r="O135"/>
      <c r="P135"/>
      <c r="Q135"/>
      <c r="R135"/>
      <c r="S135"/>
      <c r="T135"/>
      <c r="U135"/>
      <c r="V135"/>
      <c r="W135"/>
      <c r="X135"/>
      <c r="Y135"/>
    </row>
    <row r="136" spans="1:25" s="2" customFormat="1" ht="25.5" x14ac:dyDescent="0.2">
      <c r="A136" s="5" t="s">
        <v>4195</v>
      </c>
      <c r="B136" s="5" t="s">
        <v>8584</v>
      </c>
      <c r="C136" s="5">
        <v>145</v>
      </c>
      <c r="D136" s="5"/>
      <c r="E136" s="5"/>
      <c r="F136" s="5" t="s">
        <v>7353</v>
      </c>
      <c r="G136" s="5" t="s">
        <v>382</v>
      </c>
      <c r="H136" s="5" t="s">
        <v>137</v>
      </c>
      <c r="I136" s="5" t="s">
        <v>15142</v>
      </c>
      <c r="J136" s="5" t="s">
        <v>15215</v>
      </c>
      <c r="M136" s="1"/>
      <c r="N136"/>
      <c r="O136"/>
      <c r="P136"/>
      <c r="Q136"/>
      <c r="R136"/>
      <c r="S136"/>
      <c r="T136"/>
      <c r="U136"/>
      <c r="V136"/>
      <c r="W136"/>
      <c r="X136"/>
      <c r="Y136"/>
    </row>
    <row r="137" spans="1:25" s="2" customFormat="1" ht="25.5" x14ac:dyDescent="0.2">
      <c r="A137" s="5" t="s">
        <v>2826</v>
      </c>
      <c r="B137" s="5" t="s">
        <v>8584</v>
      </c>
      <c r="C137" s="5">
        <v>146</v>
      </c>
      <c r="D137" s="5"/>
      <c r="E137" s="5"/>
      <c r="F137" s="5" t="s">
        <v>7353</v>
      </c>
      <c r="G137" s="5" t="s">
        <v>382</v>
      </c>
      <c r="H137" s="5" t="s">
        <v>137</v>
      </c>
      <c r="I137" s="5" t="s">
        <v>15142</v>
      </c>
      <c r="J137" s="5" t="s">
        <v>15214</v>
      </c>
      <c r="M137" s="1"/>
      <c r="N137"/>
      <c r="O137"/>
      <c r="P137"/>
      <c r="Q137"/>
      <c r="R137"/>
      <c r="S137"/>
      <c r="T137"/>
      <c r="U137"/>
      <c r="V137"/>
      <c r="W137"/>
      <c r="X137"/>
      <c r="Y137"/>
    </row>
    <row r="138" spans="1:25" s="2" customFormat="1" x14ac:dyDescent="0.2">
      <c r="A138" s="5" t="s">
        <v>14717</v>
      </c>
      <c r="B138" s="5" t="s">
        <v>8584</v>
      </c>
      <c r="C138" s="5">
        <v>147</v>
      </c>
      <c r="D138" s="5"/>
      <c r="E138" s="5"/>
      <c r="F138" s="5" t="s">
        <v>14715</v>
      </c>
      <c r="G138" s="5" t="s">
        <v>170</v>
      </c>
      <c r="H138" s="5" t="s">
        <v>3</v>
      </c>
      <c r="I138" s="5"/>
      <c r="J138" s="5" t="s">
        <v>14714</v>
      </c>
      <c r="M138" s="1"/>
      <c r="N138"/>
      <c r="O138"/>
      <c r="P138"/>
      <c r="Q138"/>
      <c r="R138"/>
      <c r="S138"/>
      <c r="T138"/>
      <c r="U138"/>
      <c r="V138"/>
      <c r="W138"/>
      <c r="X138"/>
      <c r="Y138"/>
    </row>
    <row r="139" spans="1:25" s="2" customFormat="1" ht="25.5" x14ac:dyDescent="0.2">
      <c r="A139" s="5" t="s">
        <v>3277</v>
      </c>
      <c r="B139" s="5" t="s">
        <v>8584</v>
      </c>
      <c r="C139" s="5">
        <v>148</v>
      </c>
      <c r="D139" s="5"/>
      <c r="E139" s="5"/>
      <c r="F139" s="5" t="s">
        <v>3262</v>
      </c>
      <c r="G139" s="5" t="s">
        <v>170</v>
      </c>
      <c r="H139" s="5" t="s">
        <v>137</v>
      </c>
      <c r="I139" s="5" t="s">
        <v>15142</v>
      </c>
      <c r="J139" s="5" t="s">
        <v>15213</v>
      </c>
      <c r="M139" s="1"/>
      <c r="N139"/>
      <c r="O139"/>
      <c r="P139"/>
      <c r="Q139"/>
      <c r="R139"/>
      <c r="S139"/>
      <c r="T139"/>
      <c r="U139"/>
      <c r="V139"/>
      <c r="W139"/>
      <c r="X139"/>
      <c r="Y139"/>
    </row>
    <row r="140" spans="1:25" s="2" customFormat="1" x14ac:dyDescent="0.2">
      <c r="A140" s="5" t="s">
        <v>14766</v>
      </c>
      <c r="B140" s="5" t="s">
        <v>8584</v>
      </c>
      <c r="C140" s="5">
        <v>149</v>
      </c>
      <c r="D140" s="5"/>
      <c r="E140" s="5"/>
      <c r="F140" s="5" t="s">
        <v>14764</v>
      </c>
      <c r="G140" s="5" t="s">
        <v>170</v>
      </c>
      <c r="H140" s="5" t="s">
        <v>3</v>
      </c>
      <c r="I140" s="5"/>
      <c r="J140" s="5" t="s">
        <v>14763</v>
      </c>
      <c r="M140" s="1"/>
      <c r="N140"/>
      <c r="O140"/>
      <c r="P140"/>
      <c r="Q140"/>
      <c r="R140"/>
      <c r="S140"/>
      <c r="T140"/>
      <c r="U140"/>
      <c r="V140"/>
      <c r="W140"/>
      <c r="X140"/>
      <c r="Y140"/>
    </row>
    <row r="141" spans="1:25" s="2" customFormat="1" ht="25.5" x14ac:dyDescent="0.2">
      <c r="A141" s="5" t="s">
        <v>4519</v>
      </c>
      <c r="B141" s="5" t="s">
        <v>8584</v>
      </c>
      <c r="C141" s="5">
        <v>150</v>
      </c>
      <c r="D141" s="5"/>
      <c r="E141" s="5"/>
      <c r="F141" s="5" t="s">
        <v>4504</v>
      </c>
      <c r="G141" s="5" t="s">
        <v>170</v>
      </c>
      <c r="H141" s="5" t="s">
        <v>137</v>
      </c>
      <c r="I141" s="5" t="s">
        <v>15142</v>
      </c>
      <c r="J141" s="5" t="s">
        <v>15212</v>
      </c>
      <c r="M141" s="1"/>
      <c r="N141"/>
      <c r="O141"/>
      <c r="P141"/>
      <c r="Q141"/>
      <c r="R141"/>
      <c r="S141"/>
      <c r="T141"/>
      <c r="U141"/>
      <c r="V141"/>
      <c r="W141"/>
      <c r="X141"/>
      <c r="Y141"/>
    </row>
    <row r="142" spans="1:25" s="2" customFormat="1" ht="25.5" x14ac:dyDescent="0.2">
      <c r="A142" s="5" t="s">
        <v>15211</v>
      </c>
      <c r="B142" s="5" t="s">
        <v>8584</v>
      </c>
      <c r="C142" s="5">
        <v>151</v>
      </c>
      <c r="D142" s="5"/>
      <c r="E142" s="5"/>
      <c r="F142" s="5"/>
      <c r="G142" s="5" t="s">
        <v>118</v>
      </c>
      <c r="H142" s="5" t="s">
        <v>3</v>
      </c>
      <c r="I142" s="5"/>
      <c r="J142" s="5" t="s">
        <v>15210</v>
      </c>
      <c r="M142" s="1"/>
      <c r="N142"/>
      <c r="O142"/>
      <c r="P142"/>
      <c r="Q142"/>
      <c r="R142"/>
      <c r="S142"/>
      <c r="T142"/>
      <c r="U142"/>
      <c r="V142"/>
      <c r="W142"/>
      <c r="X142"/>
      <c r="Y142"/>
    </row>
    <row r="143" spans="1:25" s="2" customFormat="1" ht="25.5" x14ac:dyDescent="0.2">
      <c r="A143" s="5" t="s">
        <v>14368</v>
      </c>
      <c r="B143" s="5" t="s">
        <v>8584</v>
      </c>
      <c r="C143" s="5">
        <v>152</v>
      </c>
      <c r="D143" s="5"/>
      <c r="E143" s="5" t="s">
        <v>299</v>
      </c>
      <c r="F143" s="5" t="s">
        <v>14366</v>
      </c>
      <c r="G143" s="5" t="s">
        <v>91</v>
      </c>
      <c r="H143" s="5" t="s">
        <v>137</v>
      </c>
      <c r="I143" s="5" t="s">
        <v>15209</v>
      </c>
      <c r="J143" s="5" t="s">
        <v>14365</v>
      </c>
      <c r="M143" s="1"/>
      <c r="N143"/>
      <c r="O143"/>
      <c r="P143"/>
      <c r="Q143"/>
      <c r="R143"/>
      <c r="S143"/>
      <c r="T143"/>
      <c r="U143"/>
      <c r="V143"/>
      <c r="W143"/>
      <c r="X143"/>
      <c r="Y143"/>
    </row>
    <row r="144" spans="1:25" s="2" customFormat="1" ht="25.5" x14ac:dyDescent="0.2">
      <c r="A144" s="5" t="s">
        <v>15208</v>
      </c>
      <c r="B144" s="5" t="s">
        <v>8584</v>
      </c>
      <c r="C144" s="5">
        <v>153</v>
      </c>
      <c r="D144" s="5"/>
      <c r="E144" s="5"/>
      <c r="F144" s="5"/>
      <c r="G144" s="5" t="s">
        <v>3059</v>
      </c>
      <c r="H144" s="5" t="s">
        <v>137</v>
      </c>
      <c r="I144" s="5" t="s">
        <v>4053</v>
      </c>
      <c r="J144" s="5" t="s">
        <v>15207</v>
      </c>
      <c r="M144" s="1"/>
      <c r="N144"/>
      <c r="O144"/>
      <c r="P144"/>
      <c r="Q144"/>
      <c r="R144"/>
      <c r="S144"/>
      <c r="T144"/>
      <c r="U144"/>
      <c r="V144"/>
      <c r="W144"/>
      <c r="X144"/>
      <c r="Y144"/>
    </row>
    <row r="145" spans="1:25" s="2" customFormat="1" ht="25.5" x14ac:dyDescent="0.2">
      <c r="A145" s="5" t="s">
        <v>15206</v>
      </c>
      <c r="B145" s="5" t="s">
        <v>8584</v>
      </c>
      <c r="C145" s="5">
        <v>154</v>
      </c>
      <c r="D145" s="5"/>
      <c r="E145" s="5" t="s">
        <v>138</v>
      </c>
      <c r="F145" s="5"/>
      <c r="G145" s="5" t="s">
        <v>148</v>
      </c>
      <c r="H145" s="5" t="s">
        <v>137</v>
      </c>
      <c r="I145" s="5" t="s">
        <v>4053</v>
      </c>
      <c r="J145" s="5" t="s">
        <v>15205</v>
      </c>
      <c r="M145" s="1"/>
      <c r="N145"/>
      <c r="O145"/>
      <c r="P145"/>
      <c r="Q145"/>
      <c r="R145"/>
      <c r="S145"/>
      <c r="T145"/>
      <c r="U145"/>
      <c r="V145"/>
      <c r="W145"/>
      <c r="X145"/>
      <c r="Y145"/>
    </row>
    <row r="146" spans="1:25" s="2" customFormat="1" ht="25.5" x14ac:dyDescent="0.2">
      <c r="A146" s="5" t="s">
        <v>10390</v>
      </c>
      <c r="B146" s="5" t="s">
        <v>8584</v>
      </c>
      <c r="C146" s="5">
        <v>155</v>
      </c>
      <c r="D146" s="5"/>
      <c r="E146" s="5"/>
      <c r="F146" s="5"/>
      <c r="G146" s="5" t="s">
        <v>3059</v>
      </c>
      <c r="H146" s="5" t="s">
        <v>137</v>
      </c>
      <c r="I146" s="5" t="s">
        <v>15203</v>
      </c>
      <c r="J146" s="5" t="s">
        <v>15204</v>
      </c>
      <c r="M146" s="1"/>
      <c r="N146"/>
      <c r="O146"/>
      <c r="P146"/>
      <c r="Q146"/>
      <c r="R146"/>
      <c r="S146"/>
      <c r="T146"/>
      <c r="U146"/>
      <c r="V146"/>
      <c r="W146"/>
      <c r="X146"/>
      <c r="Y146"/>
    </row>
    <row r="147" spans="1:25" s="2" customFormat="1" ht="25.5" x14ac:dyDescent="0.2">
      <c r="A147" s="5" t="s">
        <v>10388</v>
      </c>
      <c r="B147" s="5" t="s">
        <v>8584</v>
      </c>
      <c r="C147" s="5">
        <v>156</v>
      </c>
      <c r="D147" s="5"/>
      <c r="E147" s="5" t="s">
        <v>138</v>
      </c>
      <c r="F147" s="5"/>
      <c r="G147" s="5" t="s">
        <v>148</v>
      </c>
      <c r="H147" s="5" t="s">
        <v>137</v>
      </c>
      <c r="I147" s="5" t="s">
        <v>15203</v>
      </c>
      <c r="J147" s="5" t="s">
        <v>15202</v>
      </c>
      <c r="M147" s="1"/>
      <c r="N147"/>
      <c r="O147"/>
      <c r="P147"/>
      <c r="Q147"/>
      <c r="R147"/>
      <c r="S147"/>
      <c r="T147"/>
      <c r="U147"/>
      <c r="V147"/>
      <c r="W147"/>
      <c r="X147"/>
      <c r="Y147"/>
    </row>
    <row r="148" spans="1:25" s="2" customFormat="1" x14ac:dyDescent="0.2">
      <c r="A148" s="5" t="s">
        <v>1094</v>
      </c>
      <c r="B148" s="5" t="s">
        <v>8584</v>
      </c>
      <c r="C148" s="5">
        <v>157</v>
      </c>
      <c r="D148" s="5"/>
      <c r="E148" s="5"/>
      <c r="F148" s="5" t="s">
        <v>12907</v>
      </c>
      <c r="G148" s="5" t="s">
        <v>382</v>
      </c>
      <c r="H148" s="5" t="s">
        <v>137</v>
      </c>
      <c r="I148" s="5" t="s">
        <v>4053</v>
      </c>
      <c r="J148" s="5" t="s">
        <v>15201</v>
      </c>
      <c r="M148" s="1"/>
      <c r="N148"/>
      <c r="O148"/>
      <c r="P148"/>
      <c r="Q148"/>
      <c r="R148"/>
      <c r="S148"/>
      <c r="T148"/>
      <c r="U148"/>
      <c r="V148"/>
      <c r="W148"/>
      <c r="X148"/>
      <c r="Y148"/>
    </row>
    <row r="149" spans="1:25" s="2" customFormat="1" x14ac:dyDescent="0.2">
      <c r="A149" s="5" t="s">
        <v>14669</v>
      </c>
      <c r="B149" s="5" t="s">
        <v>8584</v>
      </c>
      <c r="C149" s="5">
        <v>158</v>
      </c>
      <c r="D149" s="5"/>
      <c r="E149" s="5"/>
      <c r="F149" s="5" t="s">
        <v>14660</v>
      </c>
      <c r="G149" s="5" t="s">
        <v>382</v>
      </c>
      <c r="H149" s="5" t="s">
        <v>3</v>
      </c>
      <c r="I149" s="5"/>
      <c r="J149" s="5" t="s">
        <v>14667</v>
      </c>
      <c r="M149" s="1"/>
      <c r="N149"/>
      <c r="O149"/>
      <c r="P149"/>
      <c r="Q149"/>
      <c r="R149"/>
      <c r="S149"/>
      <c r="T149"/>
      <c r="U149"/>
      <c r="V149"/>
      <c r="W149"/>
      <c r="X149"/>
      <c r="Y149"/>
    </row>
    <row r="150" spans="1:25" s="2" customFormat="1" ht="25.5" x14ac:dyDescent="0.2">
      <c r="A150" s="5" t="s">
        <v>1120</v>
      </c>
      <c r="B150" s="5" t="s">
        <v>8584</v>
      </c>
      <c r="C150" s="5">
        <v>159</v>
      </c>
      <c r="D150" s="5"/>
      <c r="E150" s="5"/>
      <c r="F150" s="5" t="s">
        <v>7353</v>
      </c>
      <c r="G150" s="5" t="s">
        <v>382</v>
      </c>
      <c r="H150" s="5" t="s">
        <v>137</v>
      </c>
      <c r="I150" s="5" t="s">
        <v>15142</v>
      </c>
      <c r="J150" s="5" t="s">
        <v>15200</v>
      </c>
      <c r="M150" s="1"/>
      <c r="N150"/>
      <c r="O150"/>
      <c r="P150"/>
      <c r="Q150"/>
      <c r="R150"/>
      <c r="S150"/>
      <c r="T150"/>
      <c r="U150"/>
      <c r="V150"/>
      <c r="W150"/>
      <c r="X150"/>
      <c r="Y150"/>
    </row>
    <row r="151" spans="1:25" s="2" customFormat="1" x14ac:dyDescent="0.2">
      <c r="A151" s="5" t="s">
        <v>15199</v>
      </c>
      <c r="B151" s="5" t="s">
        <v>8584</v>
      </c>
      <c r="C151" s="5">
        <v>160</v>
      </c>
      <c r="D151" s="5"/>
      <c r="E151" s="5"/>
      <c r="F151" s="5" t="s">
        <v>12907</v>
      </c>
      <c r="G151" s="5" t="s">
        <v>382</v>
      </c>
      <c r="H151" s="5" t="s">
        <v>137</v>
      </c>
      <c r="I151" s="5" t="s">
        <v>4053</v>
      </c>
      <c r="J151" s="5" t="s">
        <v>15198</v>
      </c>
      <c r="M151" s="1"/>
      <c r="N151"/>
      <c r="O151"/>
      <c r="P151"/>
      <c r="Q151"/>
      <c r="R151"/>
      <c r="S151"/>
      <c r="T151"/>
      <c r="U151"/>
      <c r="V151"/>
      <c r="W151"/>
      <c r="X151"/>
      <c r="Y151"/>
    </row>
    <row r="152" spans="1:25" s="2" customFormat="1" x14ac:dyDescent="0.2">
      <c r="A152" s="5" t="s">
        <v>14779</v>
      </c>
      <c r="B152" s="5" t="s">
        <v>8584</v>
      </c>
      <c r="C152" s="5">
        <v>161</v>
      </c>
      <c r="D152" s="5"/>
      <c r="E152" s="5"/>
      <c r="F152" s="5" t="s">
        <v>14660</v>
      </c>
      <c r="G152" s="5" t="s">
        <v>382</v>
      </c>
      <c r="H152" s="5" t="s">
        <v>3</v>
      </c>
      <c r="I152" s="5"/>
      <c r="J152" s="5" t="s">
        <v>14777</v>
      </c>
      <c r="M152" s="1"/>
      <c r="N152"/>
      <c r="O152"/>
      <c r="P152"/>
      <c r="Q152"/>
      <c r="R152"/>
      <c r="S152"/>
      <c r="T152"/>
      <c r="U152"/>
      <c r="V152"/>
      <c r="W152"/>
      <c r="X152"/>
      <c r="Y152"/>
    </row>
    <row r="153" spans="1:25" s="2" customFormat="1" ht="25.5" x14ac:dyDescent="0.2">
      <c r="A153" s="5" t="s">
        <v>5422</v>
      </c>
      <c r="B153" s="5" t="s">
        <v>8584</v>
      </c>
      <c r="C153" s="5">
        <v>162</v>
      </c>
      <c r="D153" s="5"/>
      <c r="E153" s="5"/>
      <c r="F153" s="5" t="s">
        <v>7353</v>
      </c>
      <c r="G153" s="5" t="s">
        <v>382</v>
      </c>
      <c r="H153" s="5" t="s">
        <v>137</v>
      </c>
      <c r="I153" s="5" t="s">
        <v>15142</v>
      </c>
      <c r="J153" s="5" t="s">
        <v>15197</v>
      </c>
      <c r="M153" s="1"/>
      <c r="N153"/>
      <c r="O153"/>
      <c r="P153"/>
      <c r="Q153"/>
      <c r="R153"/>
      <c r="S153"/>
      <c r="T153"/>
      <c r="U153"/>
      <c r="V153"/>
      <c r="W153"/>
      <c r="X153"/>
      <c r="Y153"/>
    </row>
    <row r="154" spans="1:25" s="2" customFormat="1" x14ac:dyDescent="0.2">
      <c r="A154" s="5" t="s">
        <v>8024</v>
      </c>
      <c r="B154" s="5" t="s">
        <v>8584</v>
      </c>
      <c r="C154" s="5">
        <v>163</v>
      </c>
      <c r="D154" s="5"/>
      <c r="E154" s="5"/>
      <c r="F154" s="5" t="s">
        <v>12907</v>
      </c>
      <c r="G154" s="5" t="s">
        <v>382</v>
      </c>
      <c r="H154" s="5" t="s">
        <v>137</v>
      </c>
      <c r="I154" s="5" t="s">
        <v>4053</v>
      </c>
      <c r="J154" s="5" t="s">
        <v>15196</v>
      </c>
      <c r="M154" s="1"/>
      <c r="N154"/>
      <c r="O154"/>
      <c r="P154"/>
      <c r="Q154"/>
      <c r="R154"/>
      <c r="S154"/>
      <c r="T154"/>
      <c r="U154"/>
      <c r="V154"/>
      <c r="W154"/>
      <c r="X154"/>
      <c r="Y154"/>
    </row>
    <row r="155" spans="1:25" s="2" customFormat="1" x14ac:dyDescent="0.2">
      <c r="A155" s="5" t="s">
        <v>14727</v>
      </c>
      <c r="B155" s="5" t="s">
        <v>8584</v>
      </c>
      <c r="C155" s="5">
        <v>164</v>
      </c>
      <c r="D155" s="5"/>
      <c r="E155" s="5"/>
      <c r="F155" s="5" t="s">
        <v>14660</v>
      </c>
      <c r="G155" s="5" t="s">
        <v>382</v>
      </c>
      <c r="H155" s="5" t="s">
        <v>3</v>
      </c>
      <c r="I155" s="5"/>
      <c r="J155" s="5" t="s">
        <v>14725</v>
      </c>
      <c r="M155" s="1"/>
      <c r="N155"/>
      <c r="O155"/>
      <c r="P155"/>
      <c r="Q155"/>
      <c r="R155"/>
      <c r="S155"/>
      <c r="T155"/>
      <c r="U155"/>
      <c r="V155"/>
      <c r="W155"/>
      <c r="X155"/>
      <c r="Y155"/>
    </row>
    <row r="156" spans="1:25" s="2" customFormat="1" ht="25.5" x14ac:dyDescent="0.2">
      <c r="A156" s="5" t="s">
        <v>3819</v>
      </c>
      <c r="B156" s="5" t="s">
        <v>8584</v>
      </c>
      <c r="C156" s="5">
        <v>165</v>
      </c>
      <c r="D156" s="5"/>
      <c r="E156" s="5"/>
      <c r="F156" s="5" t="s">
        <v>7353</v>
      </c>
      <c r="G156" s="5" t="s">
        <v>382</v>
      </c>
      <c r="H156" s="5" t="s">
        <v>137</v>
      </c>
      <c r="I156" s="5" t="s">
        <v>15142</v>
      </c>
      <c r="J156" s="5" t="s">
        <v>15195</v>
      </c>
      <c r="M156" s="1"/>
      <c r="N156"/>
      <c r="O156"/>
      <c r="P156"/>
      <c r="Q156"/>
      <c r="R156"/>
      <c r="S156"/>
      <c r="T156"/>
      <c r="U156"/>
      <c r="V156"/>
      <c r="W156"/>
      <c r="X156"/>
      <c r="Y156"/>
    </row>
    <row r="157" spans="1:25" s="2" customFormat="1" x14ac:dyDescent="0.2">
      <c r="A157" s="5" t="s">
        <v>15194</v>
      </c>
      <c r="B157" s="5" t="s">
        <v>8584</v>
      </c>
      <c r="C157" s="5">
        <v>166</v>
      </c>
      <c r="D157" s="5"/>
      <c r="E157" s="5"/>
      <c r="F157" s="5" t="s">
        <v>12907</v>
      </c>
      <c r="G157" s="5" t="s">
        <v>382</v>
      </c>
      <c r="H157" s="5" t="s">
        <v>137</v>
      </c>
      <c r="I157" s="5" t="s">
        <v>4053</v>
      </c>
      <c r="J157" s="5" t="s">
        <v>15193</v>
      </c>
      <c r="M157" s="1"/>
      <c r="N157"/>
      <c r="O157"/>
      <c r="P157"/>
      <c r="Q157"/>
      <c r="R157"/>
      <c r="S157"/>
      <c r="T157"/>
      <c r="U157"/>
      <c r="V157"/>
      <c r="W157"/>
      <c r="X157"/>
      <c r="Y157"/>
    </row>
    <row r="158" spans="1:25" s="2" customFormat="1" x14ac:dyDescent="0.2">
      <c r="A158" s="5" t="s">
        <v>14703</v>
      </c>
      <c r="B158" s="5" t="s">
        <v>8584</v>
      </c>
      <c r="C158" s="5">
        <v>167</v>
      </c>
      <c r="D158" s="5"/>
      <c r="E158" s="5"/>
      <c r="F158" s="5" t="s">
        <v>14660</v>
      </c>
      <c r="G158" s="5" t="s">
        <v>382</v>
      </c>
      <c r="H158" s="5" t="s">
        <v>3</v>
      </c>
      <c r="I158" s="5"/>
      <c r="J158" s="5" t="s">
        <v>14684</v>
      </c>
      <c r="M158" s="1"/>
      <c r="N158"/>
      <c r="O158"/>
      <c r="P158"/>
      <c r="Q158"/>
      <c r="R158"/>
      <c r="S158"/>
      <c r="T158"/>
      <c r="U158"/>
      <c r="V158"/>
      <c r="W158"/>
      <c r="X158"/>
      <c r="Y158"/>
    </row>
    <row r="159" spans="1:25" s="2" customFormat="1" x14ac:dyDescent="0.2">
      <c r="A159" s="5" t="s">
        <v>14686</v>
      </c>
      <c r="B159" s="5" t="s">
        <v>8584</v>
      </c>
      <c r="C159" s="5">
        <v>167</v>
      </c>
      <c r="D159" s="5"/>
      <c r="E159" s="5"/>
      <c r="F159" s="5" t="s">
        <v>14660</v>
      </c>
      <c r="G159" s="5" t="s">
        <v>382</v>
      </c>
      <c r="H159" s="5" t="s">
        <v>3</v>
      </c>
      <c r="I159" s="5"/>
      <c r="J159" s="5" t="s">
        <v>14684</v>
      </c>
      <c r="M159" s="1"/>
      <c r="N159"/>
      <c r="O159"/>
      <c r="P159"/>
      <c r="Q159"/>
      <c r="R159"/>
      <c r="S159"/>
      <c r="T159"/>
      <c r="U159"/>
      <c r="V159"/>
      <c r="W159"/>
      <c r="X159"/>
      <c r="Y159"/>
    </row>
    <row r="160" spans="1:25" s="2" customFormat="1" ht="25.5" x14ac:dyDescent="0.2">
      <c r="A160" s="5" t="s">
        <v>2447</v>
      </c>
      <c r="B160" s="5" t="s">
        <v>8584</v>
      </c>
      <c r="C160" s="5">
        <v>168</v>
      </c>
      <c r="D160" s="5"/>
      <c r="E160" s="5"/>
      <c r="F160" s="5" t="s">
        <v>7353</v>
      </c>
      <c r="G160" s="5" t="s">
        <v>382</v>
      </c>
      <c r="H160" s="5" t="s">
        <v>137</v>
      </c>
      <c r="I160" s="5" t="s">
        <v>15142</v>
      </c>
      <c r="J160" s="5" t="s">
        <v>15192</v>
      </c>
      <c r="M160" s="1"/>
      <c r="N160"/>
      <c r="O160"/>
      <c r="P160"/>
      <c r="Q160"/>
      <c r="R160"/>
      <c r="S160"/>
      <c r="T160"/>
      <c r="U160"/>
      <c r="V160"/>
      <c r="W160"/>
      <c r="X160"/>
      <c r="Y160"/>
    </row>
    <row r="161" spans="1:25" s="2" customFormat="1" x14ac:dyDescent="0.2">
      <c r="A161" s="5" t="s">
        <v>15191</v>
      </c>
      <c r="B161" s="5" t="s">
        <v>8584</v>
      </c>
      <c r="C161" s="5">
        <v>169</v>
      </c>
      <c r="D161" s="5"/>
      <c r="E161" s="5"/>
      <c r="F161" s="5" t="s">
        <v>12907</v>
      </c>
      <c r="G161" s="5" t="s">
        <v>382</v>
      </c>
      <c r="H161" s="5" t="s">
        <v>137</v>
      </c>
      <c r="I161" s="5" t="s">
        <v>4053</v>
      </c>
      <c r="J161" s="5" t="s">
        <v>15190</v>
      </c>
      <c r="M161" s="1"/>
      <c r="N161"/>
      <c r="O161"/>
      <c r="P161"/>
      <c r="Q161"/>
      <c r="R161"/>
      <c r="S161"/>
      <c r="T161"/>
      <c r="U161"/>
      <c r="V161"/>
      <c r="W161"/>
      <c r="X161"/>
      <c r="Y161"/>
    </row>
    <row r="162" spans="1:25" s="2" customFormat="1" x14ac:dyDescent="0.2">
      <c r="A162" s="5" t="s">
        <v>14772</v>
      </c>
      <c r="B162" s="5" t="s">
        <v>8584</v>
      </c>
      <c r="C162" s="5">
        <v>170</v>
      </c>
      <c r="D162" s="5"/>
      <c r="E162" s="5"/>
      <c r="F162" s="5" t="s">
        <v>14660</v>
      </c>
      <c r="G162" s="5" t="s">
        <v>382</v>
      </c>
      <c r="H162" s="5" t="s">
        <v>3</v>
      </c>
      <c r="I162" s="5"/>
      <c r="J162" s="5" t="s">
        <v>14770</v>
      </c>
      <c r="M162" s="1"/>
      <c r="N162"/>
      <c r="O162"/>
      <c r="P162"/>
      <c r="Q162"/>
      <c r="R162"/>
      <c r="S162"/>
      <c r="T162"/>
      <c r="U162"/>
      <c r="V162"/>
      <c r="W162"/>
      <c r="X162"/>
      <c r="Y162"/>
    </row>
    <row r="163" spans="1:25" s="2" customFormat="1" ht="25.5" x14ac:dyDescent="0.2">
      <c r="A163" s="5" t="s">
        <v>1168</v>
      </c>
      <c r="B163" s="5" t="s">
        <v>8584</v>
      </c>
      <c r="C163" s="5">
        <v>171</v>
      </c>
      <c r="D163" s="5"/>
      <c r="E163" s="5"/>
      <c r="F163" s="5" t="s">
        <v>7353</v>
      </c>
      <c r="G163" s="5" t="s">
        <v>382</v>
      </c>
      <c r="H163" s="5" t="s">
        <v>137</v>
      </c>
      <c r="I163" s="5" t="s">
        <v>15142</v>
      </c>
      <c r="J163" s="5" t="s">
        <v>15189</v>
      </c>
      <c r="M163" s="1"/>
      <c r="N163"/>
      <c r="O163"/>
      <c r="P163"/>
      <c r="Q163"/>
      <c r="R163"/>
      <c r="S163"/>
      <c r="T163"/>
      <c r="U163"/>
      <c r="V163"/>
      <c r="W163"/>
      <c r="X163"/>
      <c r="Y163"/>
    </row>
    <row r="164" spans="1:25" s="2" customFormat="1" x14ac:dyDescent="0.2">
      <c r="A164" s="5" t="s">
        <v>15188</v>
      </c>
      <c r="B164" s="5" t="s">
        <v>8584</v>
      </c>
      <c r="C164" s="5">
        <v>172</v>
      </c>
      <c r="D164" s="5"/>
      <c r="E164" s="5"/>
      <c r="F164" s="5" t="s">
        <v>12907</v>
      </c>
      <c r="G164" s="5" t="s">
        <v>382</v>
      </c>
      <c r="H164" s="5" t="s">
        <v>137</v>
      </c>
      <c r="I164" s="5" t="s">
        <v>4053</v>
      </c>
      <c r="J164" s="5" t="s">
        <v>15187</v>
      </c>
      <c r="M164" s="1"/>
      <c r="N164"/>
      <c r="O164"/>
      <c r="P164"/>
      <c r="Q164"/>
      <c r="R164"/>
      <c r="S164"/>
      <c r="T164"/>
      <c r="U164"/>
      <c r="V164"/>
      <c r="W164"/>
      <c r="X164"/>
      <c r="Y164"/>
    </row>
    <row r="165" spans="1:25" s="2" customFormat="1" x14ac:dyDescent="0.2">
      <c r="A165" s="5" t="s">
        <v>14662</v>
      </c>
      <c r="B165" s="5" t="s">
        <v>8584</v>
      </c>
      <c r="C165" s="5">
        <v>173</v>
      </c>
      <c r="D165" s="5"/>
      <c r="E165" s="5"/>
      <c r="F165" s="5" t="s">
        <v>14660</v>
      </c>
      <c r="G165" s="5" t="s">
        <v>382</v>
      </c>
      <c r="H165" s="5" t="s">
        <v>3</v>
      </c>
      <c r="I165" s="5"/>
      <c r="J165" s="5" t="s">
        <v>14659</v>
      </c>
      <c r="M165" s="1"/>
      <c r="N165"/>
      <c r="O165"/>
      <c r="P165"/>
      <c r="Q165"/>
      <c r="R165"/>
      <c r="S165"/>
      <c r="T165"/>
      <c r="U165"/>
      <c r="V165"/>
      <c r="W165"/>
      <c r="X165"/>
      <c r="Y165"/>
    </row>
    <row r="166" spans="1:25" ht="25.5" x14ac:dyDescent="0.2">
      <c r="A166" s="5" t="s">
        <v>876</v>
      </c>
      <c r="B166" s="5" t="s">
        <v>8584</v>
      </c>
      <c r="C166" s="5">
        <v>174</v>
      </c>
      <c r="D166" s="5"/>
      <c r="E166" s="5"/>
      <c r="F166" s="5" t="s">
        <v>7353</v>
      </c>
      <c r="G166" s="5" t="s">
        <v>382</v>
      </c>
      <c r="H166" s="5" t="s">
        <v>137</v>
      </c>
      <c r="I166" s="5" t="s">
        <v>15142</v>
      </c>
      <c r="J166" s="5" t="s">
        <v>15186</v>
      </c>
    </row>
    <row r="167" spans="1:25" x14ac:dyDescent="0.2">
      <c r="A167" s="5" t="s">
        <v>5967</v>
      </c>
      <c r="B167" s="5" t="s">
        <v>8584</v>
      </c>
      <c r="C167" s="5">
        <v>175</v>
      </c>
      <c r="D167" s="5"/>
      <c r="E167" s="5"/>
      <c r="F167" s="5" t="s">
        <v>12907</v>
      </c>
      <c r="G167" s="5" t="s">
        <v>382</v>
      </c>
      <c r="H167" s="5" t="s">
        <v>137</v>
      </c>
      <c r="I167" s="5" t="s">
        <v>4053</v>
      </c>
      <c r="J167" s="5" t="s">
        <v>15185</v>
      </c>
    </row>
    <row r="168" spans="1:25" x14ac:dyDescent="0.2">
      <c r="A168" s="5" t="s">
        <v>14785</v>
      </c>
      <c r="B168" s="5" t="s">
        <v>8584</v>
      </c>
      <c r="C168" s="5">
        <v>176</v>
      </c>
      <c r="D168" s="5"/>
      <c r="E168" s="5"/>
      <c r="F168" s="5" t="s">
        <v>14660</v>
      </c>
      <c r="G168" s="5" t="s">
        <v>382</v>
      </c>
      <c r="H168" s="5" t="s">
        <v>3</v>
      </c>
      <c r="I168" s="5"/>
      <c r="J168" s="5" t="s">
        <v>14783</v>
      </c>
    </row>
    <row r="169" spans="1:25" ht="25.5" x14ac:dyDescent="0.2">
      <c r="A169" s="5" t="s">
        <v>5982</v>
      </c>
      <c r="B169" s="5" t="s">
        <v>8584</v>
      </c>
      <c r="C169" s="5">
        <v>177</v>
      </c>
      <c r="D169" s="5"/>
      <c r="E169" s="5"/>
      <c r="F169" s="5" t="s">
        <v>7353</v>
      </c>
      <c r="G169" s="5" t="s">
        <v>382</v>
      </c>
      <c r="H169" s="5" t="s">
        <v>137</v>
      </c>
      <c r="I169" s="5" t="s">
        <v>15142</v>
      </c>
      <c r="J169" s="5" t="s">
        <v>15184</v>
      </c>
    </row>
    <row r="170" spans="1:25" x14ac:dyDescent="0.2">
      <c r="A170" s="5" t="s">
        <v>5895</v>
      </c>
      <c r="B170" s="5" t="s">
        <v>8584</v>
      </c>
      <c r="C170" s="5">
        <v>178</v>
      </c>
      <c r="D170" s="5"/>
      <c r="E170" s="5"/>
      <c r="F170" s="5" t="s">
        <v>12907</v>
      </c>
      <c r="G170" s="5" t="s">
        <v>382</v>
      </c>
      <c r="H170" s="5" t="s">
        <v>137</v>
      </c>
      <c r="I170" s="5" t="s">
        <v>4053</v>
      </c>
      <c r="J170" s="5" t="s">
        <v>15183</v>
      </c>
    </row>
    <row r="171" spans="1:25" x14ac:dyDescent="0.2">
      <c r="A171" s="5" t="s">
        <v>14782</v>
      </c>
      <c r="B171" s="5" t="s">
        <v>8584</v>
      </c>
      <c r="C171" s="5">
        <v>179</v>
      </c>
      <c r="D171" s="5"/>
      <c r="E171" s="5"/>
      <c r="F171" s="5" t="s">
        <v>14660</v>
      </c>
      <c r="G171" s="5" t="s">
        <v>382</v>
      </c>
      <c r="H171" s="5" t="s">
        <v>3</v>
      </c>
      <c r="I171" s="5"/>
      <c r="J171" s="5" t="s">
        <v>14780</v>
      </c>
    </row>
    <row r="172" spans="1:25" ht="25.5" x14ac:dyDescent="0.2">
      <c r="A172" s="5" t="s">
        <v>5910</v>
      </c>
      <c r="B172" s="5" t="s">
        <v>8584</v>
      </c>
      <c r="C172" s="5">
        <v>180</v>
      </c>
      <c r="D172" s="5"/>
      <c r="E172" s="5"/>
      <c r="F172" s="5" t="s">
        <v>7353</v>
      </c>
      <c r="G172" s="5" t="s">
        <v>382</v>
      </c>
      <c r="H172" s="5" t="s">
        <v>137</v>
      </c>
      <c r="I172" s="5" t="s">
        <v>15142</v>
      </c>
      <c r="J172" s="5" t="s">
        <v>15182</v>
      </c>
    </row>
    <row r="173" spans="1:25" x14ac:dyDescent="0.2">
      <c r="A173" s="5" t="s">
        <v>4005</v>
      </c>
      <c r="B173" s="5" t="s">
        <v>8584</v>
      </c>
      <c r="C173" s="5">
        <v>181</v>
      </c>
      <c r="D173" s="5"/>
      <c r="E173" s="5"/>
      <c r="F173" s="5" t="s">
        <v>12907</v>
      </c>
      <c r="G173" s="5" t="s">
        <v>382</v>
      </c>
      <c r="H173" s="5" t="s">
        <v>137</v>
      </c>
      <c r="I173" s="5" t="s">
        <v>4053</v>
      </c>
      <c r="J173" s="5" t="s">
        <v>15181</v>
      </c>
    </row>
    <row r="174" spans="1:25" x14ac:dyDescent="0.2">
      <c r="A174" s="5" t="s">
        <v>14738</v>
      </c>
      <c r="B174" s="5" t="s">
        <v>8584</v>
      </c>
      <c r="C174" s="5">
        <v>182</v>
      </c>
      <c r="D174" s="5"/>
      <c r="E174" s="5"/>
      <c r="F174" s="5" t="s">
        <v>14660</v>
      </c>
      <c r="G174" s="5" t="s">
        <v>382</v>
      </c>
      <c r="H174" s="5" t="s">
        <v>3</v>
      </c>
      <c r="I174" s="5"/>
      <c r="J174" s="5" t="s">
        <v>14736</v>
      </c>
    </row>
    <row r="175" spans="1:25" ht="25.5" x14ac:dyDescent="0.2">
      <c r="A175" s="5" t="s">
        <v>15180</v>
      </c>
      <c r="B175" s="5" t="s">
        <v>8584</v>
      </c>
      <c r="C175" s="5">
        <v>183</v>
      </c>
      <c r="D175" s="5"/>
      <c r="E175" s="5"/>
      <c r="F175" s="5" t="s">
        <v>7353</v>
      </c>
      <c r="G175" s="5" t="s">
        <v>382</v>
      </c>
      <c r="H175" s="5" t="s">
        <v>137</v>
      </c>
      <c r="I175" s="5" t="s">
        <v>15142</v>
      </c>
      <c r="J175" s="5" t="s">
        <v>15179</v>
      </c>
    </row>
    <row r="176" spans="1:25" x14ac:dyDescent="0.2">
      <c r="A176" s="5" t="s">
        <v>15178</v>
      </c>
      <c r="B176" s="5" t="s">
        <v>8584</v>
      </c>
      <c r="C176" s="5">
        <v>184</v>
      </c>
      <c r="D176" s="5"/>
      <c r="E176" s="5"/>
      <c r="F176" s="5" t="s">
        <v>12907</v>
      </c>
      <c r="G176" s="5" t="s">
        <v>382</v>
      </c>
      <c r="H176" s="5" t="s">
        <v>137</v>
      </c>
      <c r="I176" s="5" t="s">
        <v>4053</v>
      </c>
      <c r="J176" s="5" t="s">
        <v>15177</v>
      </c>
    </row>
    <row r="177" spans="1:10" x14ac:dyDescent="0.2">
      <c r="A177" s="5" t="s">
        <v>14683</v>
      </c>
      <c r="B177" s="5" t="s">
        <v>8584</v>
      </c>
      <c r="C177" s="5">
        <v>185</v>
      </c>
      <c r="D177" s="5"/>
      <c r="E177" s="5"/>
      <c r="F177" s="5" t="s">
        <v>14660</v>
      </c>
      <c r="G177" s="5" t="s">
        <v>382</v>
      </c>
      <c r="H177" s="5" t="s">
        <v>3</v>
      </c>
      <c r="I177" s="5"/>
      <c r="J177" s="5" t="s">
        <v>14681</v>
      </c>
    </row>
    <row r="178" spans="1:10" ht="25.5" x14ac:dyDescent="0.2">
      <c r="A178" s="5" t="s">
        <v>1604</v>
      </c>
      <c r="B178" s="5" t="s">
        <v>8584</v>
      </c>
      <c r="C178" s="5">
        <v>186</v>
      </c>
      <c r="D178" s="5"/>
      <c r="E178" s="5"/>
      <c r="F178" s="5" t="s">
        <v>7353</v>
      </c>
      <c r="G178" s="5" t="s">
        <v>382</v>
      </c>
      <c r="H178" s="5" t="s">
        <v>137</v>
      </c>
      <c r="I178" s="5" t="s">
        <v>15142</v>
      </c>
      <c r="J178" s="5" t="s">
        <v>15176</v>
      </c>
    </row>
    <row r="179" spans="1:10" x14ac:dyDescent="0.2">
      <c r="A179" s="5" t="s">
        <v>15175</v>
      </c>
      <c r="B179" s="5" t="s">
        <v>8584</v>
      </c>
      <c r="C179" s="5">
        <v>187</v>
      </c>
      <c r="D179" s="5"/>
      <c r="E179" s="5"/>
      <c r="F179" s="5" t="s">
        <v>12907</v>
      </c>
      <c r="G179" s="5" t="s">
        <v>382</v>
      </c>
      <c r="H179" s="5" t="s">
        <v>137</v>
      </c>
      <c r="I179" s="5" t="s">
        <v>4053</v>
      </c>
      <c r="J179" s="5" t="s">
        <v>15174</v>
      </c>
    </row>
    <row r="180" spans="1:10" x14ac:dyDescent="0.2">
      <c r="A180" s="5" t="s">
        <v>14749</v>
      </c>
      <c r="B180" s="5" t="s">
        <v>8584</v>
      </c>
      <c r="C180" s="5">
        <v>188</v>
      </c>
      <c r="D180" s="5"/>
      <c r="E180" s="5"/>
      <c r="F180" s="5" t="s">
        <v>14660</v>
      </c>
      <c r="G180" s="5" t="s">
        <v>382</v>
      </c>
      <c r="H180" s="5" t="s">
        <v>3</v>
      </c>
      <c r="I180" s="5"/>
      <c r="J180" s="5" t="s">
        <v>14747</v>
      </c>
    </row>
    <row r="181" spans="1:10" ht="25.5" x14ac:dyDescent="0.2">
      <c r="A181" s="5" t="s">
        <v>15173</v>
      </c>
      <c r="B181" s="5" t="s">
        <v>8584</v>
      </c>
      <c r="C181" s="5">
        <v>189</v>
      </c>
      <c r="D181" s="5"/>
      <c r="E181" s="5"/>
      <c r="F181" s="5" t="s">
        <v>7353</v>
      </c>
      <c r="G181" s="5" t="s">
        <v>382</v>
      </c>
      <c r="H181" s="5" t="s">
        <v>137</v>
      </c>
      <c r="I181" s="5" t="s">
        <v>15142</v>
      </c>
      <c r="J181" s="5" t="s">
        <v>15172</v>
      </c>
    </row>
    <row r="182" spans="1:10" x14ac:dyDescent="0.2">
      <c r="A182" s="5" t="s">
        <v>15171</v>
      </c>
      <c r="B182" s="5" t="s">
        <v>8584</v>
      </c>
      <c r="C182" s="5">
        <v>190</v>
      </c>
      <c r="D182" s="5"/>
      <c r="E182" s="5"/>
      <c r="F182" s="5" t="s">
        <v>12907</v>
      </c>
      <c r="G182" s="5" t="s">
        <v>382</v>
      </c>
      <c r="H182" s="5" t="s">
        <v>137</v>
      </c>
      <c r="I182" s="5" t="s">
        <v>4053</v>
      </c>
      <c r="J182" s="5" t="s">
        <v>15170</v>
      </c>
    </row>
    <row r="183" spans="1:10" x14ac:dyDescent="0.2">
      <c r="A183" s="5" t="s">
        <v>14724</v>
      </c>
      <c r="B183" s="5" t="s">
        <v>8584</v>
      </c>
      <c r="C183" s="5">
        <v>191</v>
      </c>
      <c r="D183" s="5"/>
      <c r="E183" s="5"/>
      <c r="F183" s="5" t="s">
        <v>14660</v>
      </c>
      <c r="G183" s="5" t="s">
        <v>382</v>
      </c>
      <c r="H183" s="5" t="s">
        <v>3</v>
      </c>
      <c r="I183" s="5"/>
      <c r="J183" s="5" t="s">
        <v>14722</v>
      </c>
    </row>
    <row r="184" spans="1:10" ht="25.5" x14ac:dyDescent="0.2">
      <c r="A184" s="5" t="s">
        <v>3747</v>
      </c>
      <c r="B184" s="5" t="s">
        <v>8584</v>
      </c>
      <c r="C184" s="5">
        <v>192</v>
      </c>
      <c r="D184" s="5"/>
      <c r="E184" s="5"/>
      <c r="F184" s="5" t="s">
        <v>7353</v>
      </c>
      <c r="G184" s="5" t="s">
        <v>382</v>
      </c>
      <c r="H184" s="5" t="s">
        <v>137</v>
      </c>
      <c r="I184" s="5" t="s">
        <v>15142</v>
      </c>
      <c r="J184" s="5" t="s">
        <v>15169</v>
      </c>
    </row>
    <row r="185" spans="1:10" x14ac:dyDescent="0.2">
      <c r="A185" s="5" t="s">
        <v>4727</v>
      </c>
      <c r="B185" s="5" t="s">
        <v>8584</v>
      </c>
      <c r="C185" s="5">
        <v>193</v>
      </c>
      <c r="D185" s="5"/>
      <c r="E185" s="5"/>
      <c r="F185" s="5" t="s">
        <v>12907</v>
      </c>
      <c r="G185" s="5" t="s">
        <v>382</v>
      </c>
      <c r="H185" s="5" t="s">
        <v>137</v>
      </c>
      <c r="I185" s="5" t="s">
        <v>4053</v>
      </c>
      <c r="J185" s="5" t="s">
        <v>15168</v>
      </c>
    </row>
    <row r="186" spans="1:10" x14ac:dyDescent="0.2">
      <c r="A186" s="5" t="s">
        <v>14769</v>
      </c>
      <c r="B186" s="5" t="s">
        <v>8584</v>
      </c>
      <c r="C186" s="5">
        <v>194</v>
      </c>
      <c r="D186" s="5"/>
      <c r="E186" s="5"/>
      <c r="F186" s="5" t="s">
        <v>14660</v>
      </c>
      <c r="G186" s="5" t="s">
        <v>382</v>
      </c>
      <c r="H186" s="5" t="s">
        <v>3</v>
      </c>
      <c r="I186" s="5"/>
      <c r="J186" s="5" t="s">
        <v>14767</v>
      </c>
    </row>
    <row r="187" spans="1:10" ht="25.5" x14ac:dyDescent="0.2">
      <c r="A187" s="5" t="s">
        <v>4742</v>
      </c>
      <c r="B187" s="5" t="s">
        <v>8584</v>
      </c>
      <c r="C187" s="5">
        <v>195</v>
      </c>
      <c r="D187" s="5"/>
      <c r="E187" s="5"/>
      <c r="F187" s="5" t="s">
        <v>7353</v>
      </c>
      <c r="G187" s="5" t="s">
        <v>382</v>
      </c>
      <c r="H187" s="5" t="s">
        <v>137</v>
      </c>
      <c r="I187" s="5" t="s">
        <v>15142</v>
      </c>
      <c r="J187" s="5" t="s">
        <v>15167</v>
      </c>
    </row>
    <row r="188" spans="1:10" x14ac:dyDescent="0.2">
      <c r="A188" s="5" t="s">
        <v>6043</v>
      </c>
      <c r="B188" s="5" t="s">
        <v>8584</v>
      </c>
      <c r="C188" s="5">
        <v>196</v>
      </c>
      <c r="D188" s="5"/>
      <c r="E188" s="5"/>
      <c r="F188" s="5" t="s">
        <v>12907</v>
      </c>
      <c r="G188" s="5" t="s">
        <v>382</v>
      </c>
      <c r="H188" s="5" t="s">
        <v>137</v>
      </c>
      <c r="I188" s="5" t="s">
        <v>4053</v>
      </c>
      <c r="J188" s="5" t="s">
        <v>15166</v>
      </c>
    </row>
    <row r="189" spans="1:10" x14ac:dyDescent="0.2">
      <c r="A189" s="5" t="s">
        <v>14788</v>
      </c>
      <c r="B189" s="5" t="s">
        <v>8584</v>
      </c>
      <c r="C189" s="5">
        <v>197</v>
      </c>
      <c r="D189" s="5"/>
      <c r="E189" s="5"/>
      <c r="F189" s="5" t="s">
        <v>14660</v>
      </c>
      <c r="G189" s="5" t="s">
        <v>382</v>
      </c>
      <c r="H189" s="5" t="s">
        <v>3</v>
      </c>
      <c r="I189" s="5"/>
      <c r="J189" s="5" t="s">
        <v>14786</v>
      </c>
    </row>
    <row r="190" spans="1:10" ht="25.5" x14ac:dyDescent="0.2">
      <c r="A190" s="5" t="s">
        <v>6058</v>
      </c>
      <c r="B190" s="5" t="s">
        <v>8584</v>
      </c>
      <c r="C190" s="5">
        <v>198</v>
      </c>
      <c r="D190" s="5"/>
      <c r="E190" s="5"/>
      <c r="F190" s="5" t="s">
        <v>7353</v>
      </c>
      <c r="G190" s="5" t="s">
        <v>382</v>
      </c>
      <c r="H190" s="5" t="s">
        <v>137</v>
      </c>
      <c r="I190" s="5" t="s">
        <v>15142</v>
      </c>
      <c r="J190" s="5" t="s">
        <v>15165</v>
      </c>
    </row>
    <row r="191" spans="1:10" x14ac:dyDescent="0.2">
      <c r="A191" s="5" t="s">
        <v>4231</v>
      </c>
      <c r="B191" s="5" t="s">
        <v>8584</v>
      </c>
      <c r="C191" s="5">
        <v>199</v>
      </c>
      <c r="D191" s="5"/>
      <c r="E191" s="5"/>
      <c r="F191" s="5" t="s">
        <v>12907</v>
      </c>
      <c r="G191" s="5" t="s">
        <v>382</v>
      </c>
      <c r="H191" s="5" t="s">
        <v>137</v>
      </c>
      <c r="I191" s="5" t="s">
        <v>4053</v>
      </c>
      <c r="J191" s="5" t="s">
        <v>15164</v>
      </c>
    </row>
    <row r="192" spans="1:10" x14ac:dyDescent="0.2">
      <c r="A192" s="5" t="s">
        <v>14758</v>
      </c>
      <c r="B192" s="5" t="s">
        <v>8584</v>
      </c>
      <c r="C192" s="5">
        <v>200</v>
      </c>
      <c r="D192" s="5"/>
      <c r="E192" s="5"/>
      <c r="F192" s="5" t="s">
        <v>14660</v>
      </c>
      <c r="G192" s="5" t="s">
        <v>382</v>
      </c>
      <c r="H192" s="5" t="s">
        <v>3</v>
      </c>
      <c r="I192" s="5"/>
      <c r="J192" s="5" t="s">
        <v>14756</v>
      </c>
    </row>
    <row r="193" spans="1:10" ht="25.5" x14ac:dyDescent="0.2">
      <c r="A193" s="5" t="s">
        <v>4246</v>
      </c>
      <c r="B193" s="5" t="s">
        <v>8584</v>
      </c>
      <c r="C193" s="5">
        <v>201</v>
      </c>
      <c r="D193" s="5"/>
      <c r="E193" s="5"/>
      <c r="F193" s="5" t="s">
        <v>7353</v>
      </c>
      <c r="G193" s="5" t="s">
        <v>382</v>
      </c>
      <c r="H193" s="5" t="s">
        <v>137</v>
      </c>
      <c r="I193" s="5" t="s">
        <v>15142</v>
      </c>
      <c r="J193" s="5" t="s">
        <v>15163</v>
      </c>
    </row>
    <row r="194" spans="1:10" x14ac:dyDescent="0.2">
      <c r="A194" s="5" t="s">
        <v>15162</v>
      </c>
      <c r="B194" s="5" t="s">
        <v>8584</v>
      </c>
      <c r="C194" s="5">
        <v>202</v>
      </c>
      <c r="D194" s="5"/>
      <c r="E194" s="5"/>
      <c r="F194" s="5" t="s">
        <v>12907</v>
      </c>
      <c r="G194" s="5" t="s">
        <v>382</v>
      </c>
      <c r="H194" s="5" t="s">
        <v>137</v>
      </c>
      <c r="I194" s="5" t="s">
        <v>4053</v>
      </c>
      <c r="J194" s="5" t="s">
        <v>15161</v>
      </c>
    </row>
    <row r="195" spans="1:10" x14ac:dyDescent="0.2">
      <c r="A195" s="5" t="s">
        <v>14672</v>
      </c>
      <c r="B195" s="5" t="s">
        <v>8584</v>
      </c>
      <c r="C195" s="5">
        <v>203</v>
      </c>
      <c r="D195" s="5"/>
      <c r="E195" s="5"/>
      <c r="F195" s="5" t="s">
        <v>14660</v>
      </c>
      <c r="G195" s="5" t="s">
        <v>382</v>
      </c>
      <c r="H195" s="5" t="s">
        <v>3</v>
      </c>
      <c r="I195" s="5"/>
      <c r="J195" s="5" t="s">
        <v>14670</v>
      </c>
    </row>
    <row r="196" spans="1:10" ht="25.5" x14ac:dyDescent="0.2">
      <c r="A196" s="5" t="s">
        <v>1183</v>
      </c>
      <c r="B196" s="5" t="s">
        <v>8584</v>
      </c>
      <c r="C196" s="5">
        <v>204</v>
      </c>
      <c r="D196" s="5"/>
      <c r="E196" s="5"/>
      <c r="F196" s="5" t="s">
        <v>7353</v>
      </c>
      <c r="G196" s="5" t="s">
        <v>382</v>
      </c>
      <c r="H196" s="5" t="s">
        <v>137</v>
      </c>
      <c r="I196" s="5" t="s">
        <v>15142</v>
      </c>
      <c r="J196" s="5" t="s">
        <v>15160</v>
      </c>
    </row>
    <row r="197" spans="1:10" x14ac:dyDescent="0.2">
      <c r="A197" s="5" t="s">
        <v>15159</v>
      </c>
      <c r="B197" s="5" t="s">
        <v>8584</v>
      </c>
      <c r="C197" s="5">
        <v>205</v>
      </c>
      <c r="D197" s="5"/>
      <c r="E197" s="5"/>
      <c r="F197" s="5" t="s">
        <v>12907</v>
      </c>
      <c r="G197" s="5" t="s">
        <v>382</v>
      </c>
      <c r="H197" s="5" t="s">
        <v>137</v>
      </c>
      <c r="I197" s="5" t="s">
        <v>4053</v>
      </c>
      <c r="J197" s="5" t="s">
        <v>15158</v>
      </c>
    </row>
    <row r="198" spans="1:10" x14ac:dyDescent="0.2">
      <c r="A198" s="5" t="s">
        <v>14734</v>
      </c>
      <c r="B198" s="5" t="s">
        <v>8584</v>
      </c>
      <c r="C198" s="5">
        <v>206</v>
      </c>
      <c r="D198" s="5"/>
      <c r="E198" s="5"/>
      <c r="F198" s="5" t="s">
        <v>14660</v>
      </c>
      <c r="G198" s="5" t="s">
        <v>382</v>
      </c>
      <c r="H198" s="5" t="s">
        <v>3</v>
      </c>
      <c r="I198" s="5"/>
      <c r="J198" s="5" t="s">
        <v>14732</v>
      </c>
    </row>
    <row r="199" spans="1:10" ht="25.5" x14ac:dyDescent="0.2">
      <c r="A199" s="5" t="s">
        <v>3995</v>
      </c>
      <c r="B199" s="5" t="s">
        <v>8584</v>
      </c>
      <c r="C199" s="5">
        <v>207</v>
      </c>
      <c r="D199" s="5"/>
      <c r="E199" s="5"/>
      <c r="F199" s="5" t="s">
        <v>7353</v>
      </c>
      <c r="G199" s="5" t="s">
        <v>382</v>
      </c>
      <c r="H199" s="5" t="s">
        <v>137</v>
      </c>
      <c r="I199" s="5" t="s">
        <v>15142</v>
      </c>
      <c r="J199" s="5" t="s">
        <v>15157</v>
      </c>
    </row>
    <row r="200" spans="1:10" x14ac:dyDescent="0.2">
      <c r="A200" s="5" t="s">
        <v>15156</v>
      </c>
      <c r="B200" s="5" t="s">
        <v>8584</v>
      </c>
      <c r="C200" s="5">
        <v>208</v>
      </c>
      <c r="D200" s="5"/>
      <c r="E200" s="5"/>
      <c r="F200" s="5" t="s">
        <v>12907</v>
      </c>
      <c r="G200" s="5" t="s">
        <v>382</v>
      </c>
      <c r="H200" s="5" t="s">
        <v>137</v>
      </c>
      <c r="I200" s="5" t="s">
        <v>4053</v>
      </c>
      <c r="J200" s="5" t="s">
        <v>15155</v>
      </c>
    </row>
    <row r="201" spans="1:10" x14ac:dyDescent="0.2">
      <c r="A201" s="5" t="s">
        <v>14706</v>
      </c>
      <c r="B201" s="5" t="s">
        <v>8584</v>
      </c>
      <c r="C201" s="5">
        <v>209</v>
      </c>
      <c r="D201" s="5"/>
      <c r="E201" s="5"/>
      <c r="F201" s="5" t="s">
        <v>14660</v>
      </c>
      <c r="G201" s="5" t="s">
        <v>382</v>
      </c>
      <c r="H201" s="5" t="s">
        <v>3</v>
      </c>
      <c r="I201" s="5"/>
      <c r="J201" s="5" t="s">
        <v>14704</v>
      </c>
    </row>
    <row r="202" spans="1:10" ht="25.5" x14ac:dyDescent="0.2">
      <c r="A202" s="5" t="s">
        <v>2598</v>
      </c>
      <c r="B202" s="5" t="s">
        <v>8584</v>
      </c>
      <c r="C202" s="5">
        <v>210</v>
      </c>
      <c r="D202" s="5"/>
      <c r="E202" s="5"/>
      <c r="F202" s="5" t="s">
        <v>7353</v>
      </c>
      <c r="G202" s="5" t="s">
        <v>382</v>
      </c>
      <c r="H202" s="5" t="s">
        <v>137</v>
      </c>
      <c r="I202" s="5" t="s">
        <v>15142</v>
      </c>
      <c r="J202" s="5" t="s">
        <v>15154</v>
      </c>
    </row>
    <row r="203" spans="1:10" ht="25.5" x14ac:dyDescent="0.2">
      <c r="A203" s="5" t="s">
        <v>15153</v>
      </c>
      <c r="B203" s="5" t="s">
        <v>8584</v>
      </c>
      <c r="C203" s="5">
        <v>211</v>
      </c>
      <c r="D203" s="5"/>
      <c r="E203" s="5" t="s">
        <v>299</v>
      </c>
      <c r="F203" s="5"/>
      <c r="G203" s="5" t="s">
        <v>148</v>
      </c>
      <c r="H203" s="5" t="s">
        <v>137</v>
      </c>
      <c r="I203" s="5" t="s">
        <v>4053</v>
      </c>
      <c r="J203" s="5" t="s">
        <v>15152</v>
      </c>
    </row>
    <row r="204" spans="1:10" ht="25.5" x14ac:dyDescent="0.2">
      <c r="A204" s="5" t="s">
        <v>15151</v>
      </c>
      <c r="B204" s="5" t="s">
        <v>8584</v>
      </c>
      <c r="C204" s="5">
        <v>212</v>
      </c>
      <c r="D204" s="5"/>
      <c r="E204" s="5" t="s">
        <v>299</v>
      </c>
      <c r="F204" s="5"/>
      <c r="G204" s="5" t="s">
        <v>702</v>
      </c>
      <c r="H204" s="5" t="s">
        <v>137</v>
      </c>
      <c r="I204" s="5" t="s">
        <v>4053</v>
      </c>
      <c r="J204" s="5" t="s">
        <v>15150</v>
      </c>
    </row>
    <row r="205" spans="1:10" ht="25.5" x14ac:dyDescent="0.2">
      <c r="A205" s="5" t="s">
        <v>15149</v>
      </c>
      <c r="B205" s="5" t="s">
        <v>8584</v>
      </c>
      <c r="C205" s="5">
        <v>213</v>
      </c>
      <c r="D205" s="5"/>
      <c r="E205" s="5" t="s">
        <v>299</v>
      </c>
      <c r="F205" s="5"/>
      <c r="G205" s="5" t="s">
        <v>702</v>
      </c>
      <c r="H205" s="5" t="s">
        <v>137</v>
      </c>
      <c r="I205" s="5" t="s">
        <v>4053</v>
      </c>
      <c r="J205" s="5" t="s">
        <v>15148</v>
      </c>
    </row>
    <row r="206" spans="1:10" x14ac:dyDescent="0.2">
      <c r="A206" s="5" t="s">
        <v>10893</v>
      </c>
      <c r="B206" s="5" t="s">
        <v>8584</v>
      </c>
      <c r="C206" s="5">
        <v>214</v>
      </c>
      <c r="D206" s="5"/>
      <c r="E206" s="5"/>
      <c r="F206" s="5"/>
      <c r="G206" s="5" t="s">
        <v>118</v>
      </c>
      <c r="H206" s="5" t="s">
        <v>137</v>
      </c>
      <c r="I206" s="5" t="s">
        <v>10893</v>
      </c>
      <c r="J206" s="5" t="s">
        <v>15147</v>
      </c>
    </row>
    <row r="207" spans="1:10" x14ac:dyDescent="0.2">
      <c r="A207" s="5" t="s">
        <v>15146</v>
      </c>
      <c r="B207" s="5" t="s">
        <v>8584</v>
      </c>
      <c r="C207" s="5">
        <v>215</v>
      </c>
      <c r="D207" s="5"/>
      <c r="E207" s="5"/>
      <c r="F207" s="5"/>
      <c r="G207" s="5" t="s">
        <v>91</v>
      </c>
      <c r="H207" s="5" t="s">
        <v>137</v>
      </c>
      <c r="I207" s="5" t="s">
        <v>10893</v>
      </c>
      <c r="J207" s="5"/>
    </row>
    <row r="208" spans="1:10" x14ac:dyDescent="0.2">
      <c r="A208" s="5" t="s">
        <v>14973</v>
      </c>
      <c r="B208" s="5" t="s">
        <v>8584</v>
      </c>
      <c r="C208" s="5">
        <v>216</v>
      </c>
      <c r="D208" s="5"/>
      <c r="E208" s="5"/>
      <c r="F208" s="5"/>
      <c r="G208" s="5" t="s">
        <v>229</v>
      </c>
      <c r="H208" s="5" t="s">
        <v>137</v>
      </c>
      <c r="I208" s="5" t="s">
        <v>14973</v>
      </c>
      <c r="J208" s="5" t="s">
        <v>15145</v>
      </c>
    </row>
    <row r="209" spans="1:10" x14ac:dyDescent="0.2">
      <c r="A209" s="5" t="s">
        <v>15144</v>
      </c>
      <c r="B209" s="5" t="s">
        <v>8584</v>
      </c>
      <c r="C209" s="5">
        <v>217</v>
      </c>
      <c r="D209" s="5"/>
      <c r="E209" s="5"/>
      <c r="F209" s="5"/>
      <c r="G209" s="5" t="s">
        <v>91</v>
      </c>
      <c r="H209" s="5" t="s">
        <v>137</v>
      </c>
      <c r="I209" s="5" t="s">
        <v>14973</v>
      </c>
      <c r="J209" s="5"/>
    </row>
    <row r="210" spans="1:10" x14ac:dyDescent="0.2">
      <c r="A210" s="5" t="s">
        <v>2964</v>
      </c>
      <c r="B210" s="5" t="s">
        <v>8584</v>
      </c>
      <c r="C210" s="5">
        <v>218</v>
      </c>
      <c r="D210" s="5"/>
      <c r="E210" s="5"/>
      <c r="F210" s="5"/>
      <c r="G210" s="5" t="s">
        <v>382</v>
      </c>
      <c r="H210" s="5" t="s">
        <v>137</v>
      </c>
      <c r="I210" s="5" t="s">
        <v>4053</v>
      </c>
      <c r="J210" s="5" t="s">
        <v>15143</v>
      </c>
    </row>
    <row r="211" spans="1:10" x14ac:dyDescent="0.2">
      <c r="A211" s="5" t="s">
        <v>14713</v>
      </c>
      <c r="B211" s="5" t="s">
        <v>8584</v>
      </c>
      <c r="C211" s="5">
        <v>219</v>
      </c>
      <c r="D211" s="5"/>
      <c r="E211" s="5"/>
      <c r="F211" s="5"/>
      <c r="G211" s="5" t="s">
        <v>382</v>
      </c>
      <c r="H211" s="5" t="s">
        <v>3</v>
      </c>
      <c r="I211" s="5"/>
      <c r="J211" s="5" t="s">
        <v>14711</v>
      </c>
    </row>
    <row r="212" spans="1:10" ht="25.5" x14ac:dyDescent="0.2">
      <c r="A212" s="5" t="s">
        <v>3003</v>
      </c>
      <c r="B212" s="5" t="s">
        <v>8584</v>
      </c>
      <c r="C212" s="5">
        <v>220</v>
      </c>
      <c r="D212" s="5"/>
      <c r="E212" s="5"/>
      <c r="F212" s="5"/>
      <c r="G212" s="5" t="s">
        <v>382</v>
      </c>
      <c r="H212" s="5" t="s">
        <v>137</v>
      </c>
      <c r="I212" s="5" t="s">
        <v>15142</v>
      </c>
      <c r="J212" s="5" t="s">
        <v>15141</v>
      </c>
    </row>
    <row r="213" spans="1:10" x14ac:dyDescent="0.2">
      <c r="A213" s="5" t="s">
        <v>6375</v>
      </c>
      <c r="B213" s="5" t="s">
        <v>8584</v>
      </c>
      <c r="C213" s="5">
        <v>221</v>
      </c>
      <c r="D213" s="5"/>
      <c r="E213" s="5"/>
      <c r="F213" s="5"/>
      <c r="G213" s="5" t="s">
        <v>91</v>
      </c>
      <c r="H213" s="5" t="s">
        <v>137</v>
      </c>
      <c r="I213" s="5" t="s">
        <v>4053</v>
      </c>
      <c r="J213" s="5" t="s">
        <v>15140</v>
      </c>
    </row>
    <row r="214" spans="1:10" x14ac:dyDescent="0.2">
      <c r="A214" s="5" t="s">
        <v>14535</v>
      </c>
      <c r="B214" s="5" t="s">
        <v>8584</v>
      </c>
      <c r="C214" s="5">
        <v>222</v>
      </c>
      <c r="D214" s="5"/>
      <c r="E214" s="5"/>
      <c r="F214" s="5"/>
      <c r="G214" s="5" t="s">
        <v>91</v>
      </c>
      <c r="H214" s="5" t="s">
        <v>3</v>
      </c>
      <c r="I214" s="5"/>
      <c r="J214" s="5" t="s">
        <v>14533</v>
      </c>
    </row>
    <row r="215" spans="1:10" ht="25.5" x14ac:dyDescent="0.2">
      <c r="A215" s="5" t="s">
        <v>15139</v>
      </c>
      <c r="B215" s="5" t="s">
        <v>8584</v>
      </c>
      <c r="C215" s="5">
        <v>223</v>
      </c>
      <c r="D215" s="5"/>
      <c r="E215" s="5" t="s">
        <v>10624</v>
      </c>
      <c r="F215" s="5"/>
      <c r="G215" s="5" t="s">
        <v>207</v>
      </c>
      <c r="H215" s="5" t="s">
        <v>137</v>
      </c>
      <c r="I215" s="5" t="s">
        <v>15126</v>
      </c>
      <c r="J215" s="5" t="s">
        <v>15138</v>
      </c>
    </row>
    <row r="216" spans="1:10" ht="25.5" x14ac:dyDescent="0.2">
      <c r="A216" s="5" t="s">
        <v>15137</v>
      </c>
      <c r="B216" s="5" t="s">
        <v>8584</v>
      </c>
      <c r="C216" s="5">
        <v>224</v>
      </c>
      <c r="D216" s="5"/>
      <c r="E216" s="5"/>
      <c r="F216" s="5"/>
      <c r="G216" s="5" t="s">
        <v>393</v>
      </c>
      <c r="H216" s="5" t="s">
        <v>137</v>
      </c>
      <c r="I216" s="5" t="s">
        <v>15126</v>
      </c>
      <c r="J216" s="5" t="s">
        <v>15136</v>
      </c>
    </row>
    <row r="217" spans="1:10" ht="25.5" x14ac:dyDescent="0.2">
      <c r="A217" s="5" t="s">
        <v>15135</v>
      </c>
      <c r="B217" s="5" t="s">
        <v>8584</v>
      </c>
      <c r="C217" s="5">
        <v>225</v>
      </c>
      <c r="D217" s="5"/>
      <c r="E217" s="5"/>
      <c r="F217" s="5"/>
      <c r="G217" s="5" t="s">
        <v>173</v>
      </c>
      <c r="H217" s="5" t="s">
        <v>137</v>
      </c>
      <c r="I217" s="5" t="s">
        <v>15126</v>
      </c>
      <c r="J217" s="5" t="s">
        <v>15134</v>
      </c>
    </row>
    <row r="218" spans="1:10" ht="25.5" x14ac:dyDescent="0.2">
      <c r="A218" s="5" t="s">
        <v>15133</v>
      </c>
      <c r="B218" s="5" t="s">
        <v>8584</v>
      </c>
      <c r="C218" s="5">
        <v>226</v>
      </c>
      <c r="D218" s="5"/>
      <c r="E218" s="5"/>
      <c r="F218" s="5"/>
      <c r="G218" s="5" t="s">
        <v>315</v>
      </c>
      <c r="H218" s="5" t="s">
        <v>137</v>
      </c>
      <c r="I218" s="5" t="s">
        <v>15126</v>
      </c>
      <c r="J218" s="5" t="s">
        <v>15132</v>
      </c>
    </row>
    <row r="219" spans="1:10" ht="25.5" x14ac:dyDescent="0.2">
      <c r="A219" s="5" t="s">
        <v>15131</v>
      </c>
      <c r="B219" s="5" t="s">
        <v>8584</v>
      </c>
      <c r="C219" s="5">
        <v>227</v>
      </c>
      <c r="D219" s="5"/>
      <c r="E219" s="5" t="s">
        <v>368</v>
      </c>
      <c r="F219" s="5"/>
      <c r="G219" s="5" t="s">
        <v>382</v>
      </c>
      <c r="H219" s="5" t="s">
        <v>137</v>
      </c>
      <c r="I219" s="5" t="s">
        <v>15126</v>
      </c>
      <c r="J219" s="5" t="s">
        <v>15130</v>
      </c>
    </row>
    <row r="220" spans="1:10" ht="25.5" x14ac:dyDescent="0.2">
      <c r="A220" s="5" t="s">
        <v>15013</v>
      </c>
      <c r="B220" s="5" t="s">
        <v>8584</v>
      </c>
      <c r="C220" s="5">
        <v>228</v>
      </c>
      <c r="D220" s="5"/>
      <c r="E220" s="5"/>
      <c r="F220" s="5"/>
      <c r="G220" s="5" t="s">
        <v>80</v>
      </c>
      <c r="H220" s="5" t="s">
        <v>137</v>
      </c>
      <c r="I220" s="5" t="s">
        <v>15013</v>
      </c>
      <c r="J220" s="5"/>
    </row>
    <row r="221" spans="1:10" ht="38.25" x14ac:dyDescent="0.2">
      <c r="A221" s="5" t="s">
        <v>15129</v>
      </c>
      <c r="B221" s="5" t="s">
        <v>8584</v>
      </c>
      <c r="C221" s="5">
        <v>229</v>
      </c>
      <c r="D221" s="5"/>
      <c r="E221" s="5"/>
      <c r="F221" s="5"/>
      <c r="G221" s="5" t="s">
        <v>105</v>
      </c>
      <c r="H221" s="5" t="s">
        <v>137</v>
      </c>
      <c r="I221" s="5" t="s">
        <v>15013</v>
      </c>
      <c r="J221" s="5" t="s">
        <v>15128</v>
      </c>
    </row>
    <row r="222" spans="1:10" ht="25.5" x14ac:dyDescent="0.2">
      <c r="A222" s="5" t="s">
        <v>15127</v>
      </c>
      <c r="B222" s="5" t="s">
        <v>8584</v>
      </c>
      <c r="C222" s="5">
        <v>230</v>
      </c>
      <c r="D222" s="5"/>
      <c r="E222" s="5" t="s">
        <v>368</v>
      </c>
      <c r="F222" s="5"/>
      <c r="G222" s="5" t="s">
        <v>382</v>
      </c>
      <c r="H222" s="5" t="s">
        <v>137</v>
      </c>
      <c r="I222" s="5" t="s">
        <v>15126</v>
      </c>
      <c r="J222" s="5"/>
    </row>
    <row r="223" spans="1:10" x14ac:dyDescent="0.2">
      <c r="A223" s="5" t="s">
        <v>8578</v>
      </c>
      <c r="B223" s="5" t="s">
        <v>83</v>
      </c>
      <c r="C223" s="5"/>
      <c r="D223" s="5" t="s">
        <v>8577</v>
      </c>
      <c r="E223" s="5" t="s">
        <v>288</v>
      </c>
      <c r="F223" s="5" t="s">
        <v>7832</v>
      </c>
      <c r="G223" s="5" t="s">
        <v>91</v>
      </c>
      <c r="H223" s="5" t="s">
        <v>3</v>
      </c>
      <c r="I223" s="5"/>
      <c r="J223" s="5"/>
    </row>
    <row r="224" spans="1:10" x14ac:dyDescent="0.2">
      <c r="A224" s="5" t="s">
        <v>8534</v>
      </c>
      <c r="B224" s="5" t="s">
        <v>83</v>
      </c>
      <c r="C224" s="5"/>
      <c r="D224" s="5" t="s">
        <v>15125</v>
      </c>
      <c r="E224" s="5" t="s">
        <v>299</v>
      </c>
      <c r="F224" s="5" t="s">
        <v>15042</v>
      </c>
      <c r="G224" s="5" t="s">
        <v>148</v>
      </c>
      <c r="H224" s="5" t="s">
        <v>3</v>
      </c>
      <c r="I224" s="5"/>
      <c r="J224" s="5" t="s">
        <v>15041</v>
      </c>
    </row>
    <row r="225" spans="1:10" x14ac:dyDescent="0.2">
      <c r="A225" s="5" t="s">
        <v>15124</v>
      </c>
      <c r="B225" s="5" t="s">
        <v>83</v>
      </c>
      <c r="C225" s="5"/>
      <c r="D225" s="5" t="s">
        <v>15123</v>
      </c>
      <c r="E225" s="5"/>
      <c r="F225" s="5"/>
      <c r="G225" s="5" t="s">
        <v>4028</v>
      </c>
      <c r="H225" s="5" t="s">
        <v>3</v>
      </c>
      <c r="I225" s="5"/>
      <c r="J225" s="5"/>
    </row>
    <row r="226" spans="1:10" x14ac:dyDescent="0.2">
      <c r="A226" s="5" t="s">
        <v>11187</v>
      </c>
      <c r="B226" s="5" t="s">
        <v>83</v>
      </c>
      <c r="C226" s="5"/>
      <c r="D226" s="5" t="s">
        <v>15122</v>
      </c>
      <c r="E226" s="5"/>
      <c r="F226" s="5" t="s">
        <v>13548</v>
      </c>
      <c r="G226" s="5" t="s">
        <v>118</v>
      </c>
      <c r="H226" s="5" t="s">
        <v>137</v>
      </c>
      <c r="I226" s="5" t="s">
        <v>8033</v>
      </c>
      <c r="J226" s="5" t="s">
        <v>15121</v>
      </c>
    </row>
    <row r="227" spans="1:10" ht="25.5" x14ac:dyDescent="0.2">
      <c r="A227" s="5" t="s">
        <v>8404</v>
      </c>
      <c r="B227" s="5" t="s">
        <v>83</v>
      </c>
      <c r="C227" s="5"/>
      <c r="D227" s="5" t="s">
        <v>8403</v>
      </c>
      <c r="E227" s="5"/>
      <c r="F227" s="5"/>
      <c r="G227" s="5" t="s">
        <v>105</v>
      </c>
      <c r="H227" s="5" t="s">
        <v>3</v>
      </c>
      <c r="I227" s="5"/>
      <c r="J227" s="5" t="s">
        <v>8402</v>
      </c>
    </row>
    <row r="228" spans="1:10" x14ac:dyDescent="0.2">
      <c r="A228" s="5" t="s">
        <v>8401</v>
      </c>
      <c r="B228" s="5" t="s">
        <v>83</v>
      </c>
      <c r="C228" s="5"/>
      <c r="D228" s="5" t="s">
        <v>8382</v>
      </c>
      <c r="E228" s="5"/>
      <c r="F228" s="5" t="s">
        <v>8385</v>
      </c>
      <c r="G228" s="5" t="s">
        <v>105</v>
      </c>
      <c r="H228" s="5" t="s">
        <v>3</v>
      </c>
      <c r="I228" s="5"/>
      <c r="J228" s="5" t="s">
        <v>8400</v>
      </c>
    </row>
    <row r="229" spans="1:10" x14ac:dyDescent="0.2">
      <c r="A229" s="5" t="s">
        <v>8399</v>
      </c>
      <c r="B229" s="5" t="s">
        <v>83</v>
      </c>
      <c r="C229" s="5"/>
      <c r="D229" s="5" t="s">
        <v>6390</v>
      </c>
      <c r="E229" s="5" t="s">
        <v>150</v>
      </c>
      <c r="F229" s="5" t="s">
        <v>8381</v>
      </c>
      <c r="G229" s="5" t="s">
        <v>148</v>
      </c>
      <c r="H229" s="5" t="s">
        <v>3</v>
      </c>
      <c r="I229" s="5"/>
      <c r="J229" s="5" t="s">
        <v>8398</v>
      </c>
    </row>
    <row r="230" spans="1:10" x14ac:dyDescent="0.2">
      <c r="A230" s="5" t="s">
        <v>8397</v>
      </c>
      <c r="B230" s="5" t="s">
        <v>83</v>
      </c>
      <c r="C230" s="5"/>
      <c r="D230" s="5" t="s">
        <v>8396</v>
      </c>
      <c r="E230" s="5"/>
      <c r="F230" s="5" t="s">
        <v>8381</v>
      </c>
      <c r="G230" s="5" t="s">
        <v>283</v>
      </c>
      <c r="H230" s="5" t="s">
        <v>3</v>
      </c>
      <c r="I230" s="5"/>
      <c r="J230" s="5" t="s">
        <v>8394</v>
      </c>
    </row>
    <row r="231" spans="1:10" x14ac:dyDescent="0.2">
      <c r="A231" s="5" t="s">
        <v>8393</v>
      </c>
      <c r="B231" s="5" t="s">
        <v>83</v>
      </c>
      <c r="C231" s="5"/>
      <c r="D231" s="5" t="s">
        <v>8392</v>
      </c>
      <c r="E231" s="5"/>
      <c r="F231" s="5" t="s">
        <v>106</v>
      </c>
      <c r="G231" s="5" t="s">
        <v>882</v>
      </c>
      <c r="H231" s="5" t="s">
        <v>3</v>
      </c>
      <c r="I231" s="5"/>
      <c r="J231" s="5" t="s">
        <v>8390</v>
      </c>
    </row>
    <row r="232" spans="1:10" x14ac:dyDescent="0.2">
      <c r="A232" s="5" t="s">
        <v>8389</v>
      </c>
      <c r="B232" s="5" t="s">
        <v>83</v>
      </c>
      <c r="C232" s="5"/>
      <c r="D232" s="5" t="s">
        <v>5533</v>
      </c>
      <c r="E232" s="5"/>
      <c r="F232" s="5" t="s">
        <v>8385</v>
      </c>
      <c r="G232" s="5" t="s">
        <v>382</v>
      </c>
      <c r="H232" s="5" t="s">
        <v>3</v>
      </c>
      <c r="I232" s="5"/>
      <c r="J232" s="5" t="s">
        <v>8388</v>
      </c>
    </row>
    <row r="233" spans="1:10" x14ac:dyDescent="0.2">
      <c r="A233" s="5" t="s">
        <v>8387</v>
      </c>
      <c r="B233" s="5" t="s">
        <v>83</v>
      </c>
      <c r="C233" s="5"/>
      <c r="D233" s="5" t="s">
        <v>8386</v>
      </c>
      <c r="E233" s="5" t="s">
        <v>665</v>
      </c>
      <c r="F233" s="5" t="s">
        <v>8385</v>
      </c>
      <c r="G233" s="5" t="s">
        <v>148</v>
      </c>
      <c r="H233" s="5" t="s">
        <v>3</v>
      </c>
      <c r="I233" s="5"/>
      <c r="J233" s="5" t="s">
        <v>8384</v>
      </c>
    </row>
    <row r="234" spans="1:10" x14ac:dyDescent="0.2">
      <c r="A234" s="5" t="s">
        <v>8380</v>
      </c>
      <c r="B234" s="5" t="s">
        <v>83</v>
      </c>
      <c r="C234" s="5"/>
      <c r="D234" s="5" t="s">
        <v>8379</v>
      </c>
      <c r="E234" s="5"/>
      <c r="F234" s="5" t="s">
        <v>8378</v>
      </c>
      <c r="G234" s="5" t="s">
        <v>3059</v>
      </c>
      <c r="H234" s="5" t="s">
        <v>3</v>
      </c>
      <c r="I234" s="5"/>
      <c r="J234" s="5" t="s">
        <v>7462</v>
      </c>
    </row>
    <row r="235" spans="1:10" x14ac:dyDescent="0.2">
      <c r="A235" s="5" t="s">
        <v>15120</v>
      </c>
      <c r="B235" s="5" t="s">
        <v>83</v>
      </c>
      <c r="C235" s="5"/>
      <c r="D235" s="5" t="s">
        <v>15119</v>
      </c>
      <c r="E235" s="5"/>
      <c r="F235" s="5" t="s">
        <v>15118</v>
      </c>
      <c r="G235" s="5" t="s">
        <v>80</v>
      </c>
      <c r="H235" s="5" t="s">
        <v>3</v>
      </c>
      <c r="I235" s="5"/>
      <c r="J235" s="5"/>
    </row>
    <row r="236" spans="1:10" ht="25.5" x14ac:dyDescent="0.2">
      <c r="A236" s="5" t="s">
        <v>8354</v>
      </c>
      <c r="B236" s="5" t="s">
        <v>83</v>
      </c>
      <c r="C236" s="5"/>
      <c r="D236" s="5" t="s">
        <v>15117</v>
      </c>
      <c r="E236" s="5" t="s">
        <v>11304</v>
      </c>
      <c r="F236" s="5" t="s">
        <v>5235</v>
      </c>
      <c r="G236" s="5" t="s">
        <v>224</v>
      </c>
      <c r="H236" s="5" t="s">
        <v>137</v>
      </c>
      <c r="I236" s="5" t="s">
        <v>4053</v>
      </c>
      <c r="J236" s="5" t="s">
        <v>5235</v>
      </c>
    </row>
    <row r="237" spans="1:10" ht="25.5" x14ac:dyDescent="0.2">
      <c r="A237" s="5" t="s">
        <v>8316</v>
      </c>
      <c r="B237" s="5" t="s">
        <v>83</v>
      </c>
      <c r="C237" s="5"/>
      <c r="D237" s="5" t="s">
        <v>15116</v>
      </c>
      <c r="E237" s="5"/>
      <c r="F237" s="5" t="s">
        <v>15078</v>
      </c>
      <c r="G237" s="5" t="s">
        <v>224</v>
      </c>
      <c r="H237" s="5" t="s">
        <v>3</v>
      </c>
      <c r="I237" s="5"/>
      <c r="J237" s="5" t="s">
        <v>15115</v>
      </c>
    </row>
    <row r="238" spans="1:10" x14ac:dyDescent="0.2">
      <c r="A238" s="5" t="s">
        <v>15114</v>
      </c>
      <c r="B238" s="5" t="s">
        <v>83</v>
      </c>
      <c r="C238" s="5"/>
      <c r="D238" s="5" t="s">
        <v>15113</v>
      </c>
      <c r="E238" s="5"/>
      <c r="F238" s="5" t="s">
        <v>15112</v>
      </c>
      <c r="G238" s="5" t="s">
        <v>105</v>
      </c>
      <c r="H238" s="5" t="s">
        <v>3</v>
      </c>
      <c r="I238" s="5"/>
      <c r="J238" s="5" t="s">
        <v>15111</v>
      </c>
    </row>
    <row r="239" spans="1:10" x14ac:dyDescent="0.2">
      <c r="A239" s="5" t="s">
        <v>15110</v>
      </c>
      <c r="B239" s="5" t="s">
        <v>83</v>
      </c>
      <c r="C239" s="5"/>
      <c r="D239" s="5" t="s">
        <v>15109</v>
      </c>
      <c r="E239" s="5"/>
      <c r="F239" s="5" t="s">
        <v>9148</v>
      </c>
      <c r="G239" s="5" t="s">
        <v>328</v>
      </c>
      <c r="H239" s="5" t="s">
        <v>3</v>
      </c>
      <c r="I239" s="5"/>
      <c r="J239" s="5"/>
    </row>
    <row r="240" spans="1:10" x14ac:dyDescent="0.2">
      <c r="A240" s="5" t="s">
        <v>5022</v>
      </c>
      <c r="B240" s="5" t="s">
        <v>83</v>
      </c>
      <c r="C240" s="5"/>
      <c r="D240" s="5" t="s">
        <v>5023</v>
      </c>
      <c r="E240" s="5" t="s">
        <v>138</v>
      </c>
      <c r="F240" s="5" t="s">
        <v>106</v>
      </c>
      <c r="G240" s="5" t="s">
        <v>91</v>
      </c>
      <c r="H240" s="5" t="s">
        <v>3</v>
      </c>
      <c r="I240" s="5"/>
      <c r="J240" s="5" t="s">
        <v>14996</v>
      </c>
    </row>
    <row r="241" spans="1:10" x14ac:dyDescent="0.2">
      <c r="A241" s="5" t="s">
        <v>15108</v>
      </c>
      <c r="B241" s="5" t="s">
        <v>83</v>
      </c>
      <c r="C241" s="5"/>
      <c r="D241" s="5" t="s">
        <v>15107</v>
      </c>
      <c r="E241" s="5" t="s">
        <v>299</v>
      </c>
      <c r="F241" s="5" t="s">
        <v>15106</v>
      </c>
      <c r="G241" s="5" t="s">
        <v>148</v>
      </c>
      <c r="H241" s="5" t="s">
        <v>3</v>
      </c>
      <c r="I241" s="5"/>
      <c r="J241" s="5" t="s">
        <v>15105</v>
      </c>
    </row>
    <row r="242" spans="1:10" x14ac:dyDescent="0.2">
      <c r="A242" s="5" t="s">
        <v>15104</v>
      </c>
      <c r="B242" s="5" t="s">
        <v>83</v>
      </c>
      <c r="C242" s="5"/>
      <c r="D242" s="5" t="s">
        <v>15103</v>
      </c>
      <c r="E242" s="5"/>
      <c r="F242" s="5" t="s">
        <v>15102</v>
      </c>
      <c r="G242" s="5" t="s">
        <v>91</v>
      </c>
      <c r="H242" s="5" t="s">
        <v>3</v>
      </c>
      <c r="I242" s="5"/>
      <c r="J242" s="5"/>
    </row>
    <row r="243" spans="1:10" x14ac:dyDescent="0.2">
      <c r="A243" s="5" t="s">
        <v>8107</v>
      </c>
      <c r="B243" s="5" t="s">
        <v>83</v>
      </c>
      <c r="C243" s="5"/>
      <c r="D243" s="5" t="s">
        <v>8106</v>
      </c>
      <c r="E243" s="5"/>
      <c r="F243" s="5" t="s">
        <v>8105</v>
      </c>
      <c r="G243" s="5" t="s">
        <v>283</v>
      </c>
      <c r="H243" s="5" t="s">
        <v>3</v>
      </c>
      <c r="I243" s="5"/>
      <c r="J243" s="5" t="s">
        <v>8104</v>
      </c>
    </row>
    <row r="244" spans="1:10" ht="25.5" x14ac:dyDescent="0.2">
      <c r="A244" s="5" t="s">
        <v>15101</v>
      </c>
      <c r="B244" s="5" t="s">
        <v>83</v>
      </c>
      <c r="C244" s="5"/>
      <c r="D244" s="5" t="s">
        <v>15100</v>
      </c>
      <c r="E244" s="5"/>
      <c r="F244" s="5" t="s">
        <v>10799</v>
      </c>
      <c r="G244" s="5" t="s">
        <v>6584</v>
      </c>
      <c r="H244" s="5" t="s">
        <v>3</v>
      </c>
      <c r="I244" s="5"/>
      <c r="J244" s="5" t="s">
        <v>15063</v>
      </c>
    </row>
    <row r="245" spans="1:10" x14ac:dyDescent="0.2">
      <c r="A245" s="5" t="s">
        <v>7939</v>
      </c>
      <c r="B245" s="5" t="s">
        <v>83</v>
      </c>
      <c r="C245" s="5"/>
      <c r="D245" s="5" t="s">
        <v>15099</v>
      </c>
      <c r="E245" s="5"/>
      <c r="F245" s="5" t="s">
        <v>7892</v>
      </c>
      <c r="G245" s="5" t="s">
        <v>80</v>
      </c>
      <c r="H245" s="5" t="s">
        <v>3</v>
      </c>
      <c r="I245" s="5"/>
      <c r="J245" s="5"/>
    </row>
    <row r="246" spans="1:10" ht="25.5" x14ac:dyDescent="0.2">
      <c r="A246" s="5" t="s">
        <v>10307</v>
      </c>
      <c r="B246" s="5" t="s">
        <v>83</v>
      </c>
      <c r="C246" s="5"/>
      <c r="D246" s="5" t="s">
        <v>15098</v>
      </c>
      <c r="E246" s="5"/>
      <c r="F246" s="5" t="s">
        <v>10305</v>
      </c>
      <c r="G246" s="5" t="s">
        <v>393</v>
      </c>
      <c r="H246" s="5" t="s">
        <v>137</v>
      </c>
      <c r="I246" s="5" t="s">
        <v>14959</v>
      </c>
      <c r="J246" s="5" t="s">
        <v>10304</v>
      </c>
    </row>
    <row r="247" spans="1:10" x14ac:dyDescent="0.2">
      <c r="A247" s="5" t="s">
        <v>15097</v>
      </c>
      <c r="B247" s="5" t="s">
        <v>83</v>
      </c>
      <c r="C247" s="5"/>
      <c r="D247" s="5" t="s">
        <v>15096</v>
      </c>
      <c r="E247" s="5"/>
      <c r="F247" s="5"/>
      <c r="G247" s="5" t="s">
        <v>118</v>
      </c>
      <c r="H247" s="5" t="s">
        <v>137</v>
      </c>
      <c r="I247" s="5" t="s">
        <v>14973</v>
      </c>
      <c r="J247" s="5" t="s">
        <v>15095</v>
      </c>
    </row>
    <row r="248" spans="1:10" ht="25.5" x14ac:dyDescent="0.2">
      <c r="A248" s="5" t="s">
        <v>15094</v>
      </c>
      <c r="B248" s="5" t="s">
        <v>83</v>
      </c>
      <c r="C248" s="5"/>
      <c r="D248" s="5" t="s">
        <v>15093</v>
      </c>
      <c r="E248" s="5" t="s">
        <v>368</v>
      </c>
      <c r="F248" s="5" t="s">
        <v>11509</v>
      </c>
      <c r="G248" s="5" t="s">
        <v>382</v>
      </c>
      <c r="H248" s="5" t="s">
        <v>137</v>
      </c>
      <c r="I248" s="5" t="s">
        <v>10893</v>
      </c>
      <c r="J248" s="5" t="s">
        <v>15092</v>
      </c>
    </row>
    <row r="249" spans="1:10" ht="25.5" x14ac:dyDescent="0.2">
      <c r="A249" s="5" t="s">
        <v>10297</v>
      </c>
      <c r="B249" s="5" t="s">
        <v>83</v>
      </c>
      <c r="C249" s="5"/>
      <c r="D249" s="5" t="s">
        <v>14521</v>
      </c>
      <c r="E249" s="5"/>
      <c r="F249" s="5" t="s">
        <v>10295</v>
      </c>
      <c r="G249" s="5" t="s">
        <v>3059</v>
      </c>
      <c r="H249" s="5" t="s">
        <v>137</v>
      </c>
      <c r="I249" s="5" t="s">
        <v>14959</v>
      </c>
      <c r="J249" s="5" t="s">
        <v>10294</v>
      </c>
    </row>
    <row r="250" spans="1:10" x14ac:dyDescent="0.2">
      <c r="A250" s="5" t="s">
        <v>15091</v>
      </c>
      <c r="B250" s="5" t="s">
        <v>83</v>
      </c>
      <c r="C250" s="5"/>
      <c r="D250" s="5" t="s">
        <v>15090</v>
      </c>
      <c r="E250" s="5"/>
      <c r="F250" s="5"/>
      <c r="G250" s="5" t="s">
        <v>118</v>
      </c>
      <c r="H250" s="5" t="s">
        <v>137</v>
      </c>
      <c r="I250" s="5" t="s">
        <v>14973</v>
      </c>
      <c r="J250" s="5" t="s">
        <v>15089</v>
      </c>
    </row>
    <row r="251" spans="1:10" x14ac:dyDescent="0.2">
      <c r="A251" s="5" t="s">
        <v>15088</v>
      </c>
      <c r="B251" s="5" t="s">
        <v>83</v>
      </c>
      <c r="C251" s="5"/>
      <c r="D251" s="5" t="s">
        <v>15087</v>
      </c>
      <c r="E251" s="5"/>
      <c r="F251" s="5"/>
      <c r="G251" s="5" t="s">
        <v>114</v>
      </c>
      <c r="H251" s="5" t="s">
        <v>137</v>
      </c>
      <c r="I251" s="5" t="s">
        <v>14973</v>
      </c>
      <c r="J251" s="5" t="s">
        <v>15086</v>
      </c>
    </row>
    <row r="252" spans="1:10" x14ac:dyDescent="0.2">
      <c r="A252" s="5" t="s">
        <v>15085</v>
      </c>
      <c r="B252" s="5" t="s">
        <v>83</v>
      </c>
      <c r="C252" s="5"/>
      <c r="D252" s="5" t="s">
        <v>15084</v>
      </c>
      <c r="E252" s="5"/>
      <c r="F252" s="5" t="s">
        <v>10305</v>
      </c>
      <c r="G252" s="5" t="s">
        <v>393</v>
      </c>
      <c r="H252" s="5" t="s">
        <v>137</v>
      </c>
      <c r="I252" s="5" t="s">
        <v>10893</v>
      </c>
      <c r="J252" s="5" t="s">
        <v>10304</v>
      </c>
    </row>
    <row r="253" spans="1:10" x14ac:dyDescent="0.2">
      <c r="A253" s="5" t="s">
        <v>7894</v>
      </c>
      <c r="B253" s="5" t="s">
        <v>83</v>
      </c>
      <c r="C253" s="5"/>
      <c r="D253" s="5" t="s">
        <v>15083</v>
      </c>
      <c r="E253" s="5"/>
      <c r="F253" s="5" t="s">
        <v>7892</v>
      </c>
      <c r="G253" s="5" t="s">
        <v>80</v>
      </c>
      <c r="H253" s="5" t="s">
        <v>3</v>
      </c>
      <c r="I253" s="5"/>
      <c r="J253" s="5"/>
    </row>
    <row r="254" spans="1:10" x14ac:dyDescent="0.2">
      <c r="A254" s="5" t="s">
        <v>7665</v>
      </c>
      <c r="B254" s="5" t="s">
        <v>83</v>
      </c>
      <c r="C254" s="5"/>
      <c r="D254" s="5" t="s">
        <v>7664</v>
      </c>
      <c r="E254" s="5" t="s">
        <v>288</v>
      </c>
      <c r="F254" s="5" t="s">
        <v>7663</v>
      </c>
      <c r="G254" s="5" t="s">
        <v>91</v>
      </c>
      <c r="H254" s="5" t="s">
        <v>3</v>
      </c>
      <c r="I254" s="5"/>
      <c r="J254" s="5"/>
    </row>
    <row r="255" spans="1:10" x14ac:dyDescent="0.2">
      <c r="A255" s="5" t="s">
        <v>7585</v>
      </c>
      <c r="B255" s="5" t="s">
        <v>83</v>
      </c>
      <c r="C255" s="5"/>
      <c r="D255" s="5" t="s">
        <v>15082</v>
      </c>
      <c r="E255" s="5"/>
      <c r="F255" s="5" t="s">
        <v>7583</v>
      </c>
      <c r="G255" s="5" t="s">
        <v>229</v>
      </c>
      <c r="H255" s="5" t="s">
        <v>3</v>
      </c>
      <c r="I255" s="5"/>
      <c r="J255" s="5"/>
    </row>
    <row r="256" spans="1:10" ht="25.5" x14ac:dyDescent="0.2">
      <c r="A256" s="5" t="s">
        <v>7530</v>
      </c>
      <c r="B256" s="5" t="s">
        <v>83</v>
      </c>
      <c r="C256" s="5"/>
      <c r="D256" s="5" t="s">
        <v>15081</v>
      </c>
      <c r="E256" s="5"/>
      <c r="F256" s="5" t="s">
        <v>10816</v>
      </c>
      <c r="G256" s="5" t="s">
        <v>276</v>
      </c>
      <c r="H256" s="5" t="s">
        <v>137</v>
      </c>
      <c r="I256" s="5" t="s">
        <v>4053</v>
      </c>
      <c r="J256" s="5"/>
    </row>
    <row r="257" spans="1:10" ht="25.5" x14ac:dyDescent="0.2">
      <c r="A257" s="5" t="s">
        <v>15080</v>
      </c>
      <c r="B257" s="5" t="s">
        <v>83</v>
      </c>
      <c r="C257" s="5"/>
      <c r="D257" s="5" t="s">
        <v>15079</v>
      </c>
      <c r="E257" s="5"/>
      <c r="F257" s="5" t="s">
        <v>15078</v>
      </c>
      <c r="G257" s="5" t="s">
        <v>224</v>
      </c>
      <c r="H257" s="5" t="s">
        <v>137</v>
      </c>
      <c r="I257" s="5" t="s">
        <v>4053</v>
      </c>
      <c r="J257" s="5" t="s">
        <v>15077</v>
      </c>
    </row>
    <row r="258" spans="1:10" x14ac:dyDescent="0.2">
      <c r="A258" s="5" t="s">
        <v>15076</v>
      </c>
      <c r="B258" s="5" t="s">
        <v>83</v>
      </c>
      <c r="C258" s="5"/>
      <c r="D258" s="5" t="s">
        <v>15075</v>
      </c>
      <c r="E258" s="5" t="s">
        <v>93</v>
      </c>
      <c r="F258" s="5" t="s">
        <v>15007</v>
      </c>
      <c r="G258" s="5" t="s">
        <v>148</v>
      </c>
      <c r="H258" s="5" t="s">
        <v>137</v>
      </c>
      <c r="I258" s="5" t="s">
        <v>4053</v>
      </c>
      <c r="J258" s="5" t="s">
        <v>15074</v>
      </c>
    </row>
    <row r="259" spans="1:10" x14ac:dyDescent="0.2">
      <c r="A259" s="5" t="s">
        <v>15073</v>
      </c>
      <c r="B259" s="5" t="s">
        <v>83</v>
      </c>
      <c r="C259" s="5"/>
      <c r="D259" s="5" t="s">
        <v>15072</v>
      </c>
      <c r="E259" s="5"/>
      <c r="F259" s="5" t="s">
        <v>10799</v>
      </c>
      <c r="G259" s="5" t="s">
        <v>6584</v>
      </c>
      <c r="H259" s="5" t="s">
        <v>3</v>
      </c>
      <c r="I259" s="5"/>
      <c r="J259" s="5" t="s">
        <v>15071</v>
      </c>
    </row>
    <row r="260" spans="1:10" x14ac:dyDescent="0.2">
      <c r="A260" s="5" t="s">
        <v>7465</v>
      </c>
      <c r="B260" s="5" t="s">
        <v>83</v>
      </c>
      <c r="C260" s="5"/>
      <c r="D260" s="5" t="s">
        <v>15070</v>
      </c>
      <c r="E260" s="5"/>
      <c r="F260" s="5" t="s">
        <v>7463</v>
      </c>
      <c r="G260" s="5" t="s">
        <v>224</v>
      </c>
      <c r="H260" s="5"/>
      <c r="I260" s="5"/>
      <c r="J260" s="5" t="s">
        <v>7462</v>
      </c>
    </row>
    <row r="261" spans="1:10" x14ac:dyDescent="0.2">
      <c r="A261" s="5" t="s">
        <v>15069</v>
      </c>
      <c r="B261" s="5" t="s">
        <v>83</v>
      </c>
      <c r="C261" s="5"/>
      <c r="D261" s="5" t="s">
        <v>15068</v>
      </c>
      <c r="E261" s="5"/>
      <c r="F261" s="5" t="s">
        <v>10799</v>
      </c>
      <c r="G261" s="5" t="s">
        <v>328</v>
      </c>
      <c r="H261" s="5" t="s">
        <v>3</v>
      </c>
      <c r="I261" s="5"/>
      <c r="J261" s="5" t="s">
        <v>14945</v>
      </c>
    </row>
    <row r="262" spans="1:10" x14ac:dyDescent="0.2">
      <c r="A262" s="5" t="s">
        <v>15067</v>
      </c>
      <c r="B262" s="5" t="s">
        <v>83</v>
      </c>
      <c r="C262" s="5"/>
      <c r="D262" s="5" t="s">
        <v>15066</v>
      </c>
      <c r="E262" s="5"/>
      <c r="F262" s="5" t="s">
        <v>10799</v>
      </c>
      <c r="G262" s="5" t="s">
        <v>6584</v>
      </c>
      <c r="H262" s="5" t="s">
        <v>3</v>
      </c>
      <c r="I262" s="5"/>
      <c r="J262" s="5" t="s">
        <v>14945</v>
      </c>
    </row>
    <row r="263" spans="1:10" ht="25.5" x14ac:dyDescent="0.2">
      <c r="A263" s="5" t="s">
        <v>15065</v>
      </c>
      <c r="B263" s="5" t="s">
        <v>83</v>
      </c>
      <c r="C263" s="5"/>
      <c r="D263" s="5" t="s">
        <v>15064</v>
      </c>
      <c r="E263" s="5"/>
      <c r="F263" s="5" t="s">
        <v>10799</v>
      </c>
      <c r="G263" s="5" t="s">
        <v>6584</v>
      </c>
      <c r="H263" s="5" t="s">
        <v>3</v>
      </c>
      <c r="I263" s="5"/>
      <c r="J263" s="5" t="s">
        <v>15063</v>
      </c>
    </row>
    <row r="264" spans="1:10" ht="25.5" x14ac:dyDescent="0.2">
      <c r="A264" s="5" t="s">
        <v>15062</v>
      </c>
      <c r="B264" s="5" t="s">
        <v>83</v>
      </c>
      <c r="C264" s="5"/>
      <c r="D264" s="5" t="s">
        <v>15061</v>
      </c>
      <c r="E264" s="5"/>
      <c r="F264" s="5" t="s">
        <v>10799</v>
      </c>
      <c r="G264" s="5" t="s">
        <v>6584</v>
      </c>
      <c r="H264" s="5" t="s">
        <v>3</v>
      </c>
      <c r="I264" s="5"/>
      <c r="J264" s="5" t="s">
        <v>14942</v>
      </c>
    </row>
    <row r="265" spans="1:10" x14ac:dyDescent="0.2">
      <c r="A265" s="5" t="s">
        <v>15060</v>
      </c>
      <c r="B265" s="5" t="s">
        <v>83</v>
      </c>
      <c r="C265" s="5"/>
      <c r="D265" s="5" t="s">
        <v>15059</v>
      </c>
      <c r="E265" s="5"/>
      <c r="F265" s="5" t="s">
        <v>10799</v>
      </c>
      <c r="G265" s="5" t="s">
        <v>6584</v>
      </c>
      <c r="H265" s="5" t="s">
        <v>3</v>
      </c>
      <c r="I265" s="5"/>
      <c r="J265" s="5" t="s">
        <v>15058</v>
      </c>
    </row>
    <row r="266" spans="1:10" ht="25.5" x14ac:dyDescent="0.2">
      <c r="A266" s="5" t="s">
        <v>15057</v>
      </c>
      <c r="B266" s="5" t="s">
        <v>83</v>
      </c>
      <c r="C266" s="5"/>
      <c r="D266" s="5" t="s">
        <v>15056</v>
      </c>
      <c r="E266" s="5"/>
      <c r="F266" s="5" t="s">
        <v>10799</v>
      </c>
      <c r="G266" s="5" t="s">
        <v>6584</v>
      </c>
      <c r="H266" s="5" t="s">
        <v>3</v>
      </c>
      <c r="I266" s="5"/>
      <c r="J266" s="5" t="s">
        <v>15055</v>
      </c>
    </row>
    <row r="267" spans="1:10" x14ac:dyDescent="0.2">
      <c r="A267" s="5" t="s">
        <v>15054</v>
      </c>
      <c r="B267" s="5" t="s">
        <v>83</v>
      </c>
      <c r="C267" s="5"/>
      <c r="D267" s="5" t="s">
        <v>15053</v>
      </c>
      <c r="E267" s="5" t="s">
        <v>299</v>
      </c>
      <c r="F267" s="5" t="s">
        <v>15052</v>
      </c>
      <c r="G267" s="5" t="s">
        <v>148</v>
      </c>
      <c r="H267" s="5" t="s">
        <v>3</v>
      </c>
      <c r="I267" s="5"/>
      <c r="J267" s="5" t="s">
        <v>15051</v>
      </c>
    </row>
    <row r="268" spans="1:10" x14ac:dyDescent="0.2">
      <c r="A268" s="5" t="s">
        <v>15050</v>
      </c>
      <c r="B268" s="5" t="s">
        <v>83</v>
      </c>
      <c r="C268" s="5"/>
      <c r="D268" s="5" t="s">
        <v>15049</v>
      </c>
      <c r="E268" s="5"/>
      <c r="F268" s="5"/>
      <c r="G268" s="5" t="s">
        <v>122</v>
      </c>
      <c r="H268" s="5" t="s">
        <v>3</v>
      </c>
      <c r="I268" s="5"/>
      <c r="J268" s="5" t="s">
        <v>15048</v>
      </c>
    </row>
    <row r="269" spans="1:10" ht="25.5" x14ac:dyDescent="0.2">
      <c r="A269" s="5" t="s">
        <v>15047</v>
      </c>
      <c r="B269" s="5" t="s">
        <v>83</v>
      </c>
      <c r="C269" s="5"/>
      <c r="D269" s="5" t="s">
        <v>15046</v>
      </c>
      <c r="E269" s="5" t="s">
        <v>138</v>
      </c>
      <c r="F269" s="5" t="s">
        <v>11509</v>
      </c>
      <c r="G269" s="5" t="s">
        <v>382</v>
      </c>
      <c r="H269" s="5" t="s">
        <v>137</v>
      </c>
      <c r="I269" s="5" t="s">
        <v>14933</v>
      </c>
      <c r="J269" s="5" t="s">
        <v>15045</v>
      </c>
    </row>
    <row r="270" spans="1:10" x14ac:dyDescent="0.2">
      <c r="A270" s="5" t="s">
        <v>15044</v>
      </c>
      <c r="B270" s="5" t="s">
        <v>83</v>
      </c>
      <c r="C270" s="5"/>
      <c r="D270" s="5" t="s">
        <v>15043</v>
      </c>
      <c r="E270" s="5" t="s">
        <v>299</v>
      </c>
      <c r="F270" s="5" t="s">
        <v>15042</v>
      </c>
      <c r="G270" s="5" t="s">
        <v>148</v>
      </c>
      <c r="H270" s="5" t="s">
        <v>3</v>
      </c>
      <c r="I270" s="5"/>
      <c r="J270" s="5" t="s">
        <v>15041</v>
      </c>
    </row>
    <row r="271" spans="1:10" x14ac:dyDescent="0.2">
      <c r="A271" s="5" t="s">
        <v>15040</v>
      </c>
      <c r="B271" s="5" t="s">
        <v>83</v>
      </c>
      <c r="C271" s="5"/>
      <c r="D271" s="5" t="s">
        <v>15039</v>
      </c>
      <c r="E271" s="5" t="s">
        <v>299</v>
      </c>
      <c r="F271" s="5" t="s">
        <v>15031</v>
      </c>
      <c r="G271" s="5" t="s">
        <v>148</v>
      </c>
      <c r="H271" s="5" t="s">
        <v>3</v>
      </c>
      <c r="I271" s="5"/>
      <c r="J271" s="5" t="s">
        <v>15038</v>
      </c>
    </row>
    <row r="272" spans="1:10" x14ac:dyDescent="0.2">
      <c r="A272" s="5" t="s">
        <v>9749</v>
      </c>
      <c r="B272" s="5" t="s">
        <v>83</v>
      </c>
      <c r="C272" s="5"/>
      <c r="D272" s="5" t="s">
        <v>14550</v>
      </c>
      <c r="E272" s="5"/>
      <c r="F272" s="5" t="s">
        <v>7970</v>
      </c>
      <c r="G272" s="5" t="s">
        <v>3059</v>
      </c>
      <c r="H272" s="5" t="s">
        <v>137</v>
      </c>
      <c r="I272" s="5" t="s">
        <v>14933</v>
      </c>
      <c r="J272" s="5" t="s">
        <v>9747</v>
      </c>
    </row>
    <row r="273" spans="1:10" x14ac:dyDescent="0.2">
      <c r="A273" s="5" t="s">
        <v>15037</v>
      </c>
      <c r="B273" s="5" t="s">
        <v>83</v>
      </c>
      <c r="C273" s="5"/>
      <c r="D273" s="5" t="s">
        <v>15036</v>
      </c>
      <c r="E273" s="5" t="s">
        <v>368</v>
      </c>
      <c r="F273" s="5" t="s">
        <v>15035</v>
      </c>
      <c r="G273" s="5" t="s">
        <v>382</v>
      </c>
      <c r="H273" s="5" t="s">
        <v>3</v>
      </c>
      <c r="I273" s="5"/>
      <c r="J273" s="5" t="s">
        <v>15034</v>
      </c>
    </row>
    <row r="274" spans="1:10" x14ac:dyDescent="0.2">
      <c r="A274" s="5" t="s">
        <v>15033</v>
      </c>
      <c r="B274" s="5" t="s">
        <v>83</v>
      </c>
      <c r="C274" s="5"/>
      <c r="D274" s="5" t="s">
        <v>15032</v>
      </c>
      <c r="E274" s="5" t="s">
        <v>299</v>
      </c>
      <c r="F274" s="5" t="s">
        <v>15031</v>
      </c>
      <c r="G274" s="5" t="s">
        <v>148</v>
      </c>
      <c r="H274" s="5" t="s">
        <v>3</v>
      </c>
      <c r="I274" s="5"/>
      <c r="J274" s="5" t="s">
        <v>15030</v>
      </c>
    </row>
    <row r="275" spans="1:10" x14ac:dyDescent="0.2">
      <c r="A275" s="5" t="s">
        <v>15029</v>
      </c>
      <c r="B275" s="5" t="s">
        <v>83</v>
      </c>
      <c r="C275" s="5"/>
      <c r="D275" s="5" t="s">
        <v>15028</v>
      </c>
      <c r="E275" s="5" t="s">
        <v>11304</v>
      </c>
      <c r="F275" s="5"/>
      <c r="G275" s="5" t="s">
        <v>4028</v>
      </c>
      <c r="H275" s="5" t="s">
        <v>137</v>
      </c>
      <c r="I275" s="5" t="s">
        <v>14930</v>
      </c>
      <c r="J275" s="5"/>
    </row>
    <row r="276" spans="1:10" ht="25.5" x14ac:dyDescent="0.2">
      <c r="A276" s="5" t="s">
        <v>15027</v>
      </c>
      <c r="B276" s="5" t="s">
        <v>83</v>
      </c>
      <c r="C276" s="5"/>
      <c r="D276" s="5" t="s">
        <v>15026</v>
      </c>
      <c r="E276" s="5" t="s">
        <v>138</v>
      </c>
      <c r="F276" s="5" t="s">
        <v>11509</v>
      </c>
      <c r="G276" s="5" t="s">
        <v>382</v>
      </c>
      <c r="H276" s="5" t="s">
        <v>137</v>
      </c>
      <c r="I276" s="5" t="s">
        <v>14930</v>
      </c>
      <c r="J276" s="5" t="s">
        <v>15025</v>
      </c>
    </row>
    <row r="277" spans="1:10" ht="25.5" x14ac:dyDescent="0.2">
      <c r="A277" s="5" t="s">
        <v>15024</v>
      </c>
      <c r="B277" s="5" t="s">
        <v>83</v>
      </c>
      <c r="C277" s="5"/>
      <c r="D277" s="5" t="s">
        <v>15023</v>
      </c>
      <c r="E277" s="5" t="s">
        <v>299</v>
      </c>
      <c r="F277" s="5" t="s">
        <v>15022</v>
      </c>
      <c r="G277" s="5" t="s">
        <v>148</v>
      </c>
      <c r="H277" s="5" t="s">
        <v>3</v>
      </c>
      <c r="I277" s="5"/>
      <c r="J277" s="5" t="s">
        <v>15021</v>
      </c>
    </row>
    <row r="278" spans="1:10" ht="25.5" x14ac:dyDescent="0.2">
      <c r="A278" s="5" t="s">
        <v>14543</v>
      </c>
      <c r="B278" s="5" t="s">
        <v>83</v>
      </c>
      <c r="C278" s="5"/>
      <c r="D278" s="5" t="s">
        <v>15020</v>
      </c>
      <c r="E278" s="5" t="s">
        <v>138</v>
      </c>
      <c r="F278" s="5" t="s">
        <v>11509</v>
      </c>
      <c r="G278" s="5" t="s">
        <v>382</v>
      </c>
      <c r="H278" s="5" t="s">
        <v>137</v>
      </c>
      <c r="I278" s="5" t="s">
        <v>349</v>
      </c>
      <c r="J278" s="5" t="s">
        <v>15019</v>
      </c>
    </row>
    <row r="279" spans="1:10" ht="25.5" x14ac:dyDescent="0.2">
      <c r="A279" s="5" t="s">
        <v>15018</v>
      </c>
      <c r="B279" s="5" t="s">
        <v>83</v>
      </c>
      <c r="C279" s="5"/>
      <c r="D279" s="5" t="s">
        <v>15017</v>
      </c>
      <c r="E279" s="5" t="s">
        <v>10624</v>
      </c>
      <c r="F279" s="5"/>
      <c r="G279" s="5" t="s">
        <v>91</v>
      </c>
      <c r="H279" s="5" t="s">
        <v>137</v>
      </c>
      <c r="I279" s="5" t="s">
        <v>15013</v>
      </c>
      <c r="J279" s="5" t="s">
        <v>15016</v>
      </c>
    </row>
    <row r="280" spans="1:10" ht="25.5" x14ac:dyDescent="0.2">
      <c r="A280" s="5" t="s">
        <v>15015</v>
      </c>
      <c r="B280" s="5" t="s">
        <v>83</v>
      </c>
      <c r="C280" s="5"/>
      <c r="D280" s="5" t="s">
        <v>15014</v>
      </c>
      <c r="E280" s="5" t="s">
        <v>11304</v>
      </c>
      <c r="F280" s="5"/>
      <c r="G280" s="5" t="s">
        <v>224</v>
      </c>
      <c r="H280" s="5" t="s">
        <v>137</v>
      </c>
      <c r="I280" s="5" t="s">
        <v>15013</v>
      </c>
      <c r="J280" s="5"/>
    </row>
    <row r="281" spans="1:10" ht="25.5" x14ac:dyDescent="0.2">
      <c r="A281" s="5" t="s">
        <v>15012</v>
      </c>
      <c r="B281" s="5" t="s">
        <v>83</v>
      </c>
      <c r="C281" s="5"/>
      <c r="D281" s="5" t="s">
        <v>15011</v>
      </c>
      <c r="E281" s="5" t="s">
        <v>368</v>
      </c>
      <c r="F281" s="5" t="s">
        <v>11509</v>
      </c>
      <c r="G281" s="5" t="s">
        <v>382</v>
      </c>
      <c r="H281" s="5" t="s">
        <v>137</v>
      </c>
      <c r="I281" s="5" t="s">
        <v>4053</v>
      </c>
      <c r="J281" s="5" t="s">
        <v>15010</v>
      </c>
    </row>
    <row r="282" spans="1:10" x14ac:dyDescent="0.2">
      <c r="A282" s="5" t="s">
        <v>14540</v>
      </c>
      <c r="B282" s="5" t="s">
        <v>83</v>
      </c>
      <c r="C282" s="5"/>
      <c r="D282" s="5" t="s">
        <v>2216</v>
      </c>
      <c r="E282" s="5" t="s">
        <v>14538</v>
      </c>
      <c r="F282" s="5" t="s">
        <v>14537</v>
      </c>
      <c r="G282" s="5" t="s">
        <v>148</v>
      </c>
      <c r="H282" s="5" t="s">
        <v>3</v>
      </c>
      <c r="I282" s="5"/>
      <c r="J282" s="5" t="s">
        <v>14536</v>
      </c>
    </row>
    <row r="283" spans="1:10" x14ac:dyDescent="0.2">
      <c r="A283" s="5" t="s">
        <v>15009</v>
      </c>
      <c r="B283" s="5" t="s">
        <v>83</v>
      </c>
      <c r="C283" s="5"/>
      <c r="D283" s="5" t="s">
        <v>15008</v>
      </c>
      <c r="E283" s="5"/>
      <c r="F283" s="5" t="s">
        <v>15007</v>
      </c>
      <c r="G283" s="5" t="s">
        <v>148</v>
      </c>
      <c r="H283" s="5" t="s">
        <v>3</v>
      </c>
      <c r="I283" s="5"/>
      <c r="J283" s="5" t="s">
        <v>15006</v>
      </c>
    </row>
    <row r="284" spans="1:10" x14ac:dyDescent="0.2">
      <c r="A284" s="5" t="s">
        <v>14532</v>
      </c>
      <c r="B284" s="5" t="s">
        <v>83</v>
      </c>
      <c r="C284" s="5"/>
      <c r="D284" s="5" t="s">
        <v>14531</v>
      </c>
      <c r="E284" s="5" t="s">
        <v>138</v>
      </c>
      <c r="F284" s="5"/>
      <c r="G284" s="5" t="s">
        <v>382</v>
      </c>
      <c r="H284" s="5" t="s">
        <v>3</v>
      </c>
      <c r="I284" s="5"/>
      <c r="J284" s="5"/>
    </row>
    <row r="285" spans="1:10" x14ac:dyDescent="0.2">
      <c r="A285" s="5" t="s">
        <v>15005</v>
      </c>
      <c r="B285" s="5" t="s">
        <v>83</v>
      </c>
      <c r="C285" s="5"/>
      <c r="D285" s="5" t="s">
        <v>15004</v>
      </c>
      <c r="E285" s="5" t="s">
        <v>15003</v>
      </c>
      <c r="F285" s="5" t="s">
        <v>15002</v>
      </c>
      <c r="G285" s="5" t="s">
        <v>148</v>
      </c>
      <c r="H285" s="5" t="s">
        <v>3</v>
      </c>
      <c r="I285" s="5"/>
      <c r="J285" s="5" t="s">
        <v>15001</v>
      </c>
    </row>
    <row r="286" spans="1:10" x14ac:dyDescent="0.2">
      <c r="A286" s="5" t="s">
        <v>15000</v>
      </c>
      <c r="B286" s="5" t="s">
        <v>83</v>
      </c>
      <c r="C286" s="5"/>
      <c r="D286" s="5" t="s">
        <v>14999</v>
      </c>
      <c r="E286" s="5"/>
      <c r="F286" s="5" t="s">
        <v>14998</v>
      </c>
      <c r="G286" s="5" t="s">
        <v>80</v>
      </c>
      <c r="H286" s="5" t="s">
        <v>3</v>
      </c>
      <c r="I286" s="5"/>
      <c r="J286" s="5"/>
    </row>
    <row r="287" spans="1:10" x14ac:dyDescent="0.2">
      <c r="A287" s="5" t="s">
        <v>8853</v>
      </c>
      <c r="B287" s="5" t="s">
        <v>83</v>
      </c>
      <c r="C287" s="5"/>
      <c r="D287" s="5" t="s">
        <v>14997</v>
      </c>
      <c r="E287" s="5" t="s">
        <v>138</v>
      </c>
      <c r="F287" s="5" t="s">
        <v>106</v>
      </c>
      <c r="G287" s="5" t="s">
        <v>91</v>
      </c>
      <c r="H287" s="5" t="s">
        <v>3</v>
      </c>
      <c r="I287" s="5"/>
      <c r="J287" s="5" t="s">
        <v>14996</v>
      </c>
    </row>
    <row r="288" spans="1:10" x14ac:dyDescent="0.2">
      <c r="A288" s="5" t="s">
        <v>14995</v>
      </c>
      <c r="B288" s="5" t="s">
        <v>83</v>
      </c>
      <c r="C288" s="5"/>
      <c r="D288" s="5" t="s">
        <v>14994</v>
      </c>
      <c r="E288" s="5"/>
      <c r="F288" s="5"/>
      <c r="G288" s="5" t="s">
        <v>229</v>
      </c>
      <c r="H288" s="5" t="s">
        <v>3</v>
      </c>
      <c r="I288" s="5"/>
      <c r="J288" s="5"/>
    </row>
    <row r="289" spans="1:10" x14ac:dyDescent="0.2">
      <c r="A289" s="5" t="s">
        <v>14993</v>
      </c>
      <c r="B289" s="5" t="s">
        <v>83</v>
      </c>
      <c r="C289" s="5"/>
      <c r="D289" s="5" t="s">
        <v>14992</v>
      </c>
      <c r="E289" s="5"/>
      <c r="F289" s="5" t="s">
        <v>8378</v>
      </c>
      <c r="G289" s="5" t="s">
        <v>8604</v>
      </c>
      <c r="H289" s="5" t="s">
        <v>3</v>
      </c>
      <c r="I289" s="5"/>
      <c r="J289" s="5" t="s">
        <v>7462</v>
      </c>
    </row>
    <row r="290" spans="1:10" ht="25.5" x14ac:dyDescent="0.2">
      <c r="A290" s="5" t="s">
        <v>14991</v>
      </c>
      <c r="B290" s="5" t="s">
        <v>83</v>
      </c>
      <c r="C290" s="5"/>
      <c r="D290" s="5" t="s">
        <v>14990</v>
      </c>
      <c r="E290" s="5" t="s">
        <v>368</v>
      </c>
      <c r="F290" s="5" t="s">
        <v>11509</v>
      </c>
      <c r="G290" s="5" t="s">
        <v>382</v>
      </c>
      <c r="H290" s="5" t="s">
        <v>137</v>
      </c>
      <c r="I290" s="5" t="s">
        <v>8033</v>
      </c>
      <c r="J290" s="5" t="s">
        <v>14989</v>
      </c>
    </row>
    <row r="291" spans="1:10" x14ac:dyDescent="0.2">
      <c r="A291" s="5" t="s">
        <v>14988</v>
      </c>
      <c r="B291" s="5" t="s">
        <v>83</v>
      </c>
      <c r="C291" s="5"/>
      <c r="D291" s="5" t="s">
        <v>14987</v>
      </c>
      <c r="E291" s="5" t="s">
        <v>299</v>
      </c>
      <c r="F291" s="5" t="s">
        <v>14986</v>
      </c>
      <c r="G291" s="5" t="s">
        <v>148</v>
      </c>
      <c r="H291" s="5" t="s">
        <v>3</v>
      </c>
      <c r="I291" s="5"/>
      <c r="J291" s="5" t="s">
        <v>14985</v>
      </c>
    </row>
    <row r="292" spans="1:10" x14ac:dyDescent="0.2">
      <c r="A292" s="5" t="s">
        <v>14984</v>
      </c>
      <c r="B292" s="5" t="s">
        <v>83</v>
      </c>
      <c r="C292" s="5"/>
      <c r="D292" s="5" t="s">
        <v>14983</v>
      </c>
      <c r="E292" s="5"/>
      <c r="F292" s="5" t="s">
        <v>14982</v>
      </c>
      <c r="G292" s="5" t="s">
        <v>118</v>
      </c>
      <c r="H292" s="5" t="s">
        <v>137</v>
      </c>
      <c r="I292" s="5" t="s">
        <v>14925</v>
      </c>
      <c r="J292" s="5" t="s">
        <v>14981</v>
      </c>
    </row>
    <row r="293" spans="1:10" x14ac:dyDescent="0.2">
      <c r="A293" s="5" t="s">
        <v>784</v>
      </c>
      <c r="B293" s="5" t="s">
        <v>83</v>
      </c>
      <c r="C293" s="5"/>
      <c r="D293" s="5" t="s">
        <v>14980</v>
      </c>
      <c r="E293" s="5"/>
      <c r="F293" s="5" t="s">
        <v>12420</v>
      </c>
      <c r="G293" s="5" t="s">
        <v>118</v>
      </c>
      <c r="H293" s="5" t="s">
        <v>137</v>
      </c>
      <c r="I293" s="5" t="s">
        <v>8033</v>
      </c>
      <c r="J293" s="5" t="s">
        <v>14979</v>
      </c>
    </row>
    <row r="294" spans="1:10" ht="25.5" x14ac:dyDescent="0.2">
      <c r="A294" s="5" t="s">
        <v>14978</v>
      </c>
      <c r="B294" s="5" t="s">
        <v>83</v>
      </c>
      <c r="C294" s="5"/>
      <c r="D294" s="5" t="s">
        <v>14977</v>
      </c>
      <c r="E294" s="5" t="s">
        <v>138</v>
      </c>
      <c r="F294" s="5" t="s">
        <v>11509</v>
      </c>
      <c r="G294" s="5" t="s">
        <v>382</v>
      </c>
      <c r="H294" s="5" t="s">
        <v>137</v>
      </c>
      <c r="I294" s="5" t="s">
        <v>14925</v>
      </c>
      <c r="J294" s="5" t="s">
        <v>14976</v>
      </c>
    </row>
    <row r="295" spans="1:10" ht="25.5" x14ac:dyDescent="0.2">
      <c r="A295" s="5" t="s">
        <v>14975</v>
      </c>
      <c r="B295" s="5" t="s">
        <v>83</v>
      </c>
      <c r="C295" s="5"/>
      <c r="D295" s="5" t="s">
        <v>14974</v>
      </c>
      <c r="E295" s="5" t="s">
        <v>368</v>
      </c>
      <c r="F295" s="5" t="s">
        <v>11509</v>
      </c>
      <c r="G295" s="5" t="s">
        <v>382</v>
      </c>
      <c r="H295" s="5" t="s">
        <v>137</v>
      </c>
      <c r="I295" s="5" t="s">
        <v>14973</v>
      </c>
      <c r="J295" s="5" t="s">
        <v>14972</v>
      </c>
    </row>
    <row r="296" spans="1:10" x14ac:dyDescent="0.2">
      <c r="A296" s="5" t="s">
        <v>14971</v>
      </c>
      <c r="B296" s="5" t="s">
        <v>83</v>
      </c>
      <c r="C296" s="5"/>
      <c r="D296" s="5" t="s">
        <v>14970</v>
      </c>
      <c r="E296" s="5"/>
      <c r="F296" s="5" t="s">
        <v>14969</v>
      </c>
      <c r="G296" s="5" t="s">
        <v>118</v>
      </c>
      <c r="H296" s="5" t="s">
        <v>137</v>
      </c>
      <c r="I296" s="5" t="s">
        <v>14925</v>
      </c>
      <c r="J296" s="5" t="s">
        <v>14968</v>
      </c>
    </row>
    <row r="297" spans="1:10" x14ac:dyDescent="0.2">
      <c r="A297" s="5" t="s">
        <v>14967</v>
      </c>
      <c r="B297" s="5" t="s">
        <v>83</v>
      </c>
      <c r="C297" s="5"/>
      <c r="D297" s="5" t="s">
        <v>14966</v>
      </c>
      <c r="E297" s="5"/>
      <c r="F297" s="5" t="s">
        <v>14965</v>
      </c>
      <c r="G297" s="5" t="s">
        <v>114</v>
      </c>
      <c r="H297" s="5" t="s">
        <v>137</v>
      </c>
      <c r="I297" s="5" t="s">
        <v>14925</v>
      </c>
      <c r="J297" s="5" t="s">
        <v>14964</v>
      </c>
    </row>
    <row r="298" spans="1:10" ht="25.5" x14ac:dyDescent="0.2">
      <c r="A298" s="5" t="s">
        <v>14522</v>
      </c>
      <c r="B298" s="5" t="s">
        <v>83</v>
      </c>
      <c r="C298" s="5"/>
      <c r="D298" s="5" t="s">
        <v>14521</v>
      </c>
      <c r="E298" s="5"/>
      <c r="F298" s="5" t="s">
        <v>10295</v>
      </c>
      <c r="G298" s="5" t="s">
        <v>3059</v>
      </c>
      <c r="H298" s="5" t="s">
        <v>137</v>
      </c>
      <c r="I298" s="5" t="s">
        <v>14959</v>
      </c>
      <c r="J298" s="5" t="s">
        <v>10294</v>
      </c>
    </row>
    <row r="299" spans="1:10" ht="25.5" x14ac:dyDescent="0.2">
      <c r="A299" s="5" t="s">
        <v>14963</v>
      </c>
      <c r="B299" s="5" t="s">
        <v>83</v>
      </c>
      <c r="C299" s="5"/>
      <c r="D299" s="5" t="s">
        <v>14962</v>
      </c>
      <c r="E299" s="5"/>
      <c r="F299" s="5" t="s">
        <v>10295</v>
      </c>
      <c r="G299" s="5" t="s">
        <v>199</v>
      </c>
      <c r="H299" s="5" t="s">
        <v>137</v>
      </c>
      <c r="I299" s="5" t="s">
        <v>14959</v>
      </c>
      <c r="J299" s="5" t="s">
        <v>14961</v>
      </c>
    </row>
    <row r="300" spans="1:10" ht="25.5" x14ac:dyDescent="0.2">
      <c r="A300" s="5" t="s">
        <v>14476</v>
      </c>
      <c r="B300" s="5" t="s">
        <v>83</v>
      </c>
      <c r="C300" s="5"/>
      <c r="D300" s="5" t="s">
        <v>14960</v>
      </c>
      <c r="E300" s="5" t="s">
        <v>138</v>
      </c>
      <c r="F300" s="5" t="s">
        <v>11509</v>
      </c>
      <c r="G300" s="5" t="s">
        <v>382</v>
      </c>
      <c r="H300" s="5" t="s">
        <v>137</v>
      </c>
      <c r="I300" s="5" t="s">
        <v>14959</v>
      </c>
      <c r="J300" s="5" t="s">
        <v>14474</v>
      </c>
    </row>
    <row r="301" spans="1:10" ht="25.5" x14ac:dyDescent="0.2">
      <c r="A301" s="5" t="s">
        <v>14401</v>
      </c>
      <c r="B301" s="5" t="s">
        <v>83</v>
      </c>
      <c r="C301" s="5"/>
      <c r="D301" s="5" t="s">
        <v>14400</v>
      </c>
      <c r="E301" s="5"/>
      <c r="F301" s="5" t="s">
        <v>7963</v>
      </c>
      <c r="G301" s="5" t="s">
        <v>4028</v>
      </c>
      <c r="H301" s="5" t="s">
        <v>137</v>
      </c>
      <c r="I301" s="5" t="s">
        <v>14957</v>
      </c>
      <c r="J301" s="5"/>
    </row>
    <row r="302" spans="1:10" ht="25.5" x14ac:dyDescent="0.2">
      <c r="A302" s="5" t="s">
        <v>14396</v>
      </c>
      <c r="B302" s="5" t="s">
        <v>83</v>
      </c>
      <c r="C302" s="5"/>
      <c r="D302" s="5" t="s">
        <v>14958</v>
      </c>
      <c r="E302" s="5" t="s">
        <v>138</v>
      </c>
      <c r="F302" s="5" t="s">
        <v>11509</v>
      </c>
      <c r="G302" s="5" t="s">
        <v>382</v>
      </c>
      <c r="H302" s="5" t="s">
        <v>137</v>
      </c>
      <c r="I302" s="5" t="s">
        <v>14957</v>
      </c>
      <c r="J302" s="5" t="s">
        <v>14393</v>
      </c>
    </row>
    <row r="303" spans="1:10" ht="25.5" x14ac:dyDescent="0.2">
      <c r="A303" s="5" t="s">
        <v>14956</v>
      </c>
      <c r="B303" s="5" t="s">
        <v>83</v>
      </c>
      <c r="C303" s="5"/>
      <c r="D303" s="5" t="s">
        <v>14955</v>
      </c>
      <c r="E303" s="5" t="s">
        <v>138</v>
      </c>
      <c r="F303" s="5" t="s">
        <v>11509</v>
      </c>
      <c r="G303" s="5" t="s">
        <v>382</v>
      </c>
      <c r="H303" s="5" t="s">
        <v>137</v>
      </c>
      <c r="I303" s="5" t="s">
        <v>14954</v>
      </c>
      <c r="J303" s="5" t="s">
        <v>14953</v>
      </c>
    </row>
    <row r="304" spans="1:10" x14ac:dyDescent="0.2">
      <c r="A304" s="5" t="s">
        <v>14359</v>
      </c>
      <c r="B304" s="5" t="s">
        <v>83</v>
      </c>
      <c r="C304" s="5"/>
      <c r="D304" s="5" t="s">
        <v>14358</v>
      </c>
      <c r="E304" s="5"/>
      <c r="F304" s="5" t="s">
        <v>12291</v>
      </c>
      <c r="G304" s="5" t="s">
        <v>224</v>
      </c>
      <c r="H304" s="5" t="s">
        <v>137</v>
      </c>
      <c r="I304" s="5" t="s">
        <v>14951</v>
      </c>
      <c r="J304" s="5" t="s">
        <v>14357</v>
      </c>
    </row>
    <row r="305" spans="1:10" ht="25.5" x14ac:dyDescent="0.2">
      <c r="A305" s="5" t="s">
        <v>14353</v>
      </c>
      <c r="B305" s="5" t="s">
        <v>83</v>
      </c>
      <c r="C305" s="5"/>
      <c r="D305" s="5" t="s">
        <v>14952</v>
      </c>
      <c r="E305" s="5" t="s">
        <v>368</v>
      </c>
      <c r="F305" s="5" t="s">
        <v>11509</v>
      </c>
      <c r="G305" s="5" t="s">
        <v>382</v>
      </c>
      <c r="H305" s="5" t="s">
        <v>137</v>
      </c>
      <c r="I305" s="5" t="s">
        <v>14951</v>
      </c>
      <c r="J305" s="5" t="s">
        <v>14351</v>
      </c>
    </row>
    <row r="306" spans="1:10" ht="25.5" x14ac:dyDescent="0.2">
      <c r="A306" s="5" t="s">
        <v>14322</v>
      </c>
      <c r="B306" s="5" t="s">
        <v>83</v>
      </c>
      <c r="C306" s="5"/>
      <c r="D306" s="5" t="s">
        <v>14321</v>
      </c>
      <c r="E306" s="5"/>
      <c r="F306" s="5" t="s">
        <v>14320</v>
      </c>
      <c r="G306" s="5" t="s">
        <v>224</v>
      </c>
      <c r="H306" s="5" t="s">
        <v>137</v>
      </c>
      <c r="I306" s="5" t="s">
        <v>14950</v>
      </c>
      <c r="J306" s="5" t="s">
        <v>14319</v>
      </c>
    </row>
    <row r="307" spans="1:10" ht="25.5" x14ac:dyDescent="0.2">
      <c r="A307" s="5" t="s">
        <v>242</v>
      </c>
      <c r="B307" s="5" t="s">
        <v>83</v>
      </c>
      <c r="C307" s="5"/>
      <c r="D307" s="5" t="s">
        <v>14949</v>
      </c>
      <c r="E307" s="5"/>
      <c r="F307" s="5" t="s">
        <v>240</v>
      </c>
      <c r="G307" s="5" t="s">
        <v>276</v>
      </c>
      <c r="H307" s="5" t="s">
        <v>137</v>
      </c>
      <c r="I307" s="5" t="s">
        <v>4053</v>
      </c>
      <c r="J307" s="5"/>
    </row>
    <row r="308" spans="1:10" x14ac:dyDescent="0.2">
      <c r="A308" s="5" t="s">
        <v>8674</v>
      </c>
      <c r="B308" s="5" t="s">
        <v>83</v>
      </c>
      <c r="C308" s="5"/>
      <c r="D308" s="5" t="s">
        <v>14948</v>
      </c>
      <c r="E308" s="5"/>
      <c r="F308" s="5" t="s">
        <v>225</v>
      </c>
      <c r="G308" s="5" t="s">
        <v>80</v>
      </c>
      <c r="H308" s="5" t="s">
        <v>137</v>
      </c>
      <c r="I308" s="5" t="s">
        <v>4053</v>
      </c>
      <c r="J308" s="5" t="s">
        <v>225</v>
      </c>
    </row>
    <row r="309" spans="1:10" x14ac:dyDescent="0.2">
      <c r="A309" s="5" t="s">
        <v>14947</v>
      </c>
      <c r="B309" s="5" t="s">
        <v>83</v>
      </c>
      <c r="C309" s="5"/>
      <c r="D309" s="5" t="s">
        <v>14946</v>
      </c>
      <c r="E309" s="5"/>
      <c r="F309" s="5" t="s">
        <v>10799</v>
      </c>
      <c r="G309" s="5" t="s">
        <v>315</v>
      </c>
      <c r="H309" s="5" t="s">
        <v>3</v>
      </c>
      <c r="I309" s="5"/>
      <c r="J309" s="5" t="s">
        <v>14945</v>
      </c>
    </row>
    <row r="310" spans="1:10" ht="25.5" x14ac:dyDescent="0.2">
      <c r="A310" s="5" t="s">
        <v>14944</v>
      </c>
      <c r="B310" s="5" t="s">
        <v>83</v>
      </c>
      <c r="C310" s="5"/>
      <c r="D310" s="5" t="s">
        <v>14943</v>
      </c>
      <c r="E310" s="5"/>
      <c r="F310" s="5" t="s">
        <v>10799</v>
      </c>
      <c r="G310" s="5" t="s">
        <v>315</v>
      </c>
      <c r="H310" s="5" t="s">
        <v>3</v>
      </c>
      <c r="I310" s="5"/>
      <c r="J310" s="5" t="s">
        <v>14942</v>
      </c>
    </row>
    <row r="311" spans="1:10" x14ac:dyDescent="0.2">
      <c r="A311" s="5" t="s">
        <v>10461</v>
      </c>
      <c r="B311" s="5" t="s">
        <v>8</v>
      </c>
      <c r="C311" s="5"/>
      <c r="D311" s="5" t="s">
        <v>14941</v>
      </c>
      <c r="E311" s="5"/>
      <c r="F311" s="5"/>
      <c r="G311" s="5"/>
      <c r="H311" s="5"/>
      <c r="I311" s="5"/>
      <c r="J311" s="5"/>
    </row>
    <row r="312" spans="1:10" ht="25.5" x14ac:dyDescent="0.2">
      <c r="A312" s="5" t="s">
        <v>53</v>
      </c>
      <c r="B312" s="5" t="s">
        <v>8</v>
      </c>
      <c r="C312" s="5"/>
      <c r="D312" s="5" t="s">
        <v>52</v>
      </c>
      <c r="E312" s="5"/>
      <c r="F312" s="5"/>
      <c r="G312" s="5"/>
      <c r="H312" s="5"/>
      <c r="I312" s="5"/>
      <c r="J312" s="5" t="s">
        <v>51</v>
      </c>
    </row>
    <row r="313" spans="1:10" x14ac:dyDescent="0.2">
      <c r="A313" s="5" t="s">
        <v>8205</v>
      </c>
      <c r="B313" s="5" t="s">
        <v>8</v>
      </c>
      <c r="C313" s="5"/>
      <c r="D313" s="5" t="s">
        <v>14940</v>
      </c>
      <c r="E313" s="5"/>
      <c r="F313" s="5"/>
      <c r="G313" s="5"/>
      <c r="H313" s="5"/>
      <c r="I313" s="5"/>
      <c r="J313" s="5" t="s">
        <v>14939</v>
      </c>
    </row>
    <row r="314" spans="1:10" x14ac:dyDescent="0.2">
      <c r="A314" s="5" t="s">
        <v>14938</v>
      </c>
      <c r="B314" s="5" t="s">
        <v>8</v>
      </c>
      <c r="C314" s="5"/>
      <c r="D314" s="5" t="s">
        <v>14937</v>
      </c>
      <c r="E314" s="5"/>
      <c r="F314" s="5"/>
      <c r="G314" s="5"/>
      <c r="H314" s="5"/>
      <c r="I314" s="5"/>
      <c r="J314" s="5" t="s">
        <v>14936</v>
      </c>
    </row>
    <row r="315" spans="1:10" x14ac:dyDescent="0.2">
      <c r="A315" s="5" t="s">
        <v>8033</v>
      </c>
      <c r="B315" s="5" t="s">
        <v>8</v>
      </c>
      <c r="C315" s="5"/>
      <c r="D315" s="5" t="s">
        <v>14935</v>
      </c>
      <c r="E315" s="5"/>
      <c r="F315" s="5"/>
      <c r="G315" s="5"/>
      <c r="H315" s="5"/>
      <c r="I315" s="5"/>
      <c r="J315" s="5" t="s">
        <v>14934</v>
      </c>
    </row>
    <row r="316" spans="1:10" x14ac:dyDescent="0.2">
      <c r="A316" s="5" t="s">
        <v>14933</v>
      </c>
      <c r="B316" s="5" t="s">
        <v>8</v>
      </c>
      <c r="C316" s="5"/>
      <c r="D316" s="5" t="s">
        <v>14932</v>
      </c>
      <c r="E316" s="5"/>
      <c r="F316" s="5"/>
      <c r="G316" s="5"/>
      <c r="H316" s="5"/>
      <c r="I316" s="5"/>
      <c r="J316" s="5" t="s">
        <v>14931</v>
      </c>
    </row>
    <row r="317" spans="1:10" x14ac:dyDescent="0.2">
      <c r="A317" s="5" t="s">
        <v>14930</v>
      </c>
      <c r="B317" s="5" t="s">
        <v>8</v>
      </c>
      <c r="C317" s="5"/>
      <c r="D317" s="5" t="s">
        <v>14929</v>
      </c>
      <c r="E317" s="5"/>
      <c r="F317" s="5"/>
      <c r="G317" s="5"/>
      <c r="H317" s="5"/>
      <c r="I317" s="5"/>
      <c r="J317" s="5" t="s">
        <v>14928</v>
      </c>
    </row>
    <row r="318" spans="1:10" ht="25.5" x14ac:dyDescent="0.2">
      <c r="A318" s="5" t="s">
        <v>4053</v>
      </c>
      <c r="B318" s="5" t="s">
        <v>8</v>
      </c>
      <c r="C318" s="5"/>
      <c r="D318" s="5" t="s">
        <v>14927</v>
      </c>
      <c r="E318" s="5"/>
      <c r="F318" s="5"/>
      <c r="G318" s="5"/>
      <c r="H318" s="5"/>
      <c r="I318" s="5"/>
      <c r="J318" s="5" t="s">
        <v>14926</v>
      </c>
    </row>
    <row r="319" spans="1:10" x14ac:dyDescent="0.2">
      <c r="A319" s="5" t="s">
        <v>14925</v>
      </c>
      <c r="B319" s="5" t="s">
        <v>8</v>
      </c>
      <c r="C319" s="5"/>
      <c r="D319" s="5" t="s">
        <v>14924</v>
      </c>
      <c r="E319" s="5"/>
      <c r="F319" s="5"/>
      <c r="G319" s="5"/>
      <c r="H319" s="5"/>
      <c r="I319" s="5"/>
      <c r="J319" s="5" t="s">
        <v>14923</v>
      </c>
    </row>
    <row r="320" spans="1:10" x14ac:dyDescent="0.2">
      <c r="A320" s="5" t="s">
        <v>349</v>
      </c>
      <c r="B320" s="5" t="s">
        <v>8</v>
      </c>
      <c r="C320" s="5"/>
      <c r="D320" s="5" t="s">
        <v>14922</v>
      </c>
      <c r="E320" s="5"/>
      <c r="F320" s="5"/>
      <c r="G320" s="5"/>
      <c r="H320" s="5"/>
      <c r="I320" s="5"/>
      <c r="J320" s="5" t="s">
        <v>14921</v>
      </c>
    </row>
    <row r="321" spans="1:10" x14ac:dyDescent="0.2">
      <c r="A321" s="5" t="s">
        <v>1</v>
      </c>
      <c r="B321" s="5" t="s">
        <v>0</v>
      </c>
      <c r="C321" s="5"/>
      <c r="D321" s="5">
        <v>221</v>
      </c>
      <c r="E321" s="5"/>
      <c r="F321" s="5"/>
      <c r="G321" s="5"/>
      <c r="H321" s="5"/>
      <c r="I321" s="5"/>
      <c r="J321" s="5"/>
    </row>
  </sheetData>
  <autoFilter ref="A3:M3" xr:uid="{B2F118FD-E5B2-4E44-9BD3-D0682A1C8D44}"/>
  <mergeCells count="1">
    <mergeCell ref="G1:I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0BA5-FDF6-4779-AE80-61BF6B3E841A}">
  <sheetPr codeName="Sheet30"/>
  <dimension ref="A1:Y738"/>
  <sheetViews>
    <sheetView workbookViewId="0">
      <pane ySplit="9135" topLeftCell="A736"/>
      <selection activeCell="J1" sqref="J1"/>
      <selection pane="bottomLeft" activeCell="A738" sqref="A738"/>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9239</v>
      </c>
      <c r="C1" s="14"/>
      <c r="D1" s="14"/>
      <c r="E1" s="14"/>
      <c r="F1" s="13" t="s">
        <v>8892</v>
      </c>
      <c r="G1" s="16">
        <v>45538</v>
      </c>
      <c r="H1" s="16"/>
      <c r="I1" s="16"/>
      <c r="J1" s="11"/>
    </row>
    <row r="2" spans="1:25" ht="18" x14ac:dyDescent="0.2">
      <c r="A2" s="14">
        <f ca="1">COUNTA(OFFSET(A3,1,0,2222,1))</f>
        <v>735</v>
      </c>
      <c r="B2" s="15"/>
      <c r="C2" s="14">
        <f ca="1">MAX(OFFSET(C3,1,0,2222,1))</f>
        <v>232</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9239</v>
      </c>
      <c r="G4" s="5" t="s">
        <v>122</v>
      </c>
      <c r="H4" s="5" t="s">
        <v>3</v>
      </c>
      <c r="I4" s="5"/>
      <c r="J4" s="5" t="s">
        <v>8874</v>
      </c>
    </row>
    <row r="5" spans="1:25" ht="38.25" x14ac:dyDescent="0.2">
      <c r="A5" s="5" t="s">
        <v>9300</v>
      </c>
      <c r="B5" s="5" t="s">
        <v>8584</v>
      </c>
      <c r="C5" s="5">
        <v>0</v>
      </c>
      <c r="D5" s="5"/>
      <c r="E5" s="5"/>
      <c r="F5" s="5" t="s">
        <v>17183</v>
      </c>
      <c r="G5" s="5" t="s">
        <v>2308</v>
      </c>
      <c r="H5" s="5" t="s">
        <v>3</v>
      </c>
      <c r="I5" s="5"/>
      <c r="J5" s="5" t="s">
        <v>17182</v>
      </c>
    </row>
    <row r="6" spans="1:25" ht="38.25" x14ac:dyDescent="0.2">
      <c r="A6" s="5" t="s">
        <v>17181</v>
      </c>
      <c r="B6" s="5" t="s">
        <v>8584</v>
      </c>
      <c r="C6" s="5">
        <v>0</v>
      </c>
      <c r="D6" s="5"/>
      <c r="E6" s="5"/>
      <c r="F6" s="5" t="s">
        <v>7702</v>
      </c>
      <c r="G6" s="5" t="s">
        <v>2308</v>
      </c>
      <c r="H6" s="5" t="s">
        <v>3</v>
      </c>
      <c r="I6" s="5"/>
      <c r="J6" s="5" t="s">
        <v>17180</v>
      </c>
    </row>
    <row r="7" spans="1:25" ht="38.25" x14ac:dyDescent="0.2">
      <c r="A7" s="5" t="s">
        <v>7375</v>
      </c>
      <c r="B7" s="5" t="s">
        <v>8584</v>
      </c>
      <c r="C7" s="5">
        <v>1</v>
      </c>
      <c r="D7" s="5"/>
      <c r="E7" s="5"/>
      <c r="F7" s="5" t="s">
        <v>9245</v>
      </c>
      <c r="G7" s="5" t="s">
        <v>4</v>
      </c>
      <c r="H7" s="5" t="s">
        <v>3</v>
      </c>
      <c r="I7" s="5"/>
      <c r="J7" s="5" t="s">
        <v>17179</v>
      </c>
    </row>
    <row r="8" spans="1:25" ht="25.5" x14ac:dyDescent="0.2">
      <c r="A8" s="5" t="s">
        <v>17178</v>
      </c>
      <c r="B8" s="5" t="s">
        <v>8584</v>
      </c>
      <c r="C8" s="5">
        <v>1</v>
      </c>
      <c r="D8" s="5"/>
      <c r="E8" s="5"/>
      <c r="F8" s="5" t="s">
        <v>17177</v>
      </c>
      <c r="G8" s="5" t="s">
        <v>105</v>
      </c>
      <c r="H8" s="5"/>
      <c r="I8" s="5"/>
      <c r="J8" s="5" t="s">
        <v>17177</v>
      </c>
    </row>
    <row r="9" spans="1:25" s="2" customFormat="1" x14ac:dyDescent="0.2">
      <c r="A9" s="5" t="s">
        <v>17176</v>
      </c>
      <c r="B9" s="5" t="s">
        <v>8584</v>
      </c>
      <c r="C9" s="5">
        <v>2</v>
      </c>
      <c r="D9" s="5"/>
      <c r="E9" s="5" t="s">
        <v>150</v>
      </c>
      <c r="F9" s="5" t="s">
        <v>16069</v>
      </c>
      <c r="G9" s="5" t="s">
        <v>148</v>
      </c>
      <c r="H9" s="5" t="s">
        <v>3</v>
      </c>
      <c r="I9" s="5"/>
      <c r="J9" s="5" t="s">
        <v>16068</v>
      </c>
      <c r="M9" s="1"/>
      <c r="N9"/>
      <c r="O9"/>
      <c r="P9"/>
      <c r="Q9"/>
      <c r="R9"/>
      <c r="S9"/>
      <c r="T9"/>
      <c r="U9"/>
      <c r="V9"/>
      <c r="W9"/>
      <c r="X9"/>
      <c r="Y9"/>
    </row>
    <row r="10" spans="1:25" s="2" customFormat="1" x14ac:dyDescent="0.2">
      <c r="A10" s="5" t="s">
        <v>17175</v>
      </c>
      <c r="B10" s="5" t="s">
        <v>8584</v>
      </c>
      <c r="C10" s="5">
        <v>3</v>
      </c>
      <c r="D10" s="5"/>
      <c r="E10" s="5" t="s">
        <v>665</v>
      </c>
      <c r="F10" s="5" t="s">
        <v>16069</v>
      </c>
      <c r="G10" s="5" t="s">
        <v>382</v>
      </c>
      <c r="H10" s="5" t="s">
        <v>3</v>
      </c>
      <c r="I10" s="5"/>
      <c r="J10" s="5" t="s">
        <v>17174</v>
      </c>
      <c r="M10" s="1"/>
      <c r="N10"/>
      <c r="O10"/>
      <c r="P10"/>
      <c r="Q10"/>
      <c r="R10"/>
      <c r="S10"/>
      <c r="T10"/>
      <c r="U10"/>
      <c r="V10"/>
      <c r="W10"/>
      <c r="X10"/>
      <c r="Y10"/>
    </row>
    <row r="11" spans="1:25" s="2" customFormat="1" x14ac:dyDescent="0.2">
      <c r="A11" s="5" t="s">
        <v>7539</v>
      </c>
      <c r="B11" s="5" t="s">
        <v>8584</v>
      </c>
      <c r="C11" s="5">
        <v>4</v>
      </c>
      <c r="D11" s="5"/>
      <c r="E11" s="5" t="s">
        <v>150</v>
      </c>
      <c r="F11" s="5" t="s">
        <v>7523</v>
      </c>
      <c r="G11" s="5" t="s">
        <v>148</v>
      </c>
      <c r="H11" s="5" t="s">
        <v>3</v>
      </c>
      <c r="I11" s="5"/>
      <c r="J11" s="5" t="s">
        <v>17172</v>
      </c>
      <c r="M11" s="1"/>
      <c r="N11"/>
      <c r="O11"/>
      <c r="P11"/>
      <c r="Q11"/>
      <c r="R11"/>
      <c r="S11"/>
      <c r="T11"/>
      <c r="U11"/>
      <c r="V11"/>
      <c r="W11"/>
      <c r="X11"/>
      <c r="Y11"/>
    </row>
    <row r="12" spans="1:25" s="2" customFormat="1" x14ac:dyDescent="0.2">
      <c r="A12" s="5" t="s">
        <v>17173</v>
      </c>
      <c r="B12" s="5" t="s">
        <v>8584</v>
      </c>
      <c r="C12" s="5">
        <v>4</v>
      </c>
      <c r="D12" s="5"/>
      <c r="E12" s="5" t="s">
        <v>213</v>
      </c>
      <c r="F12" s="5" t="s">
        <v>7523</v>
      </c>
      <c r="G12" s="5" t="s">
        <v>91</v>
      </c>
      <c r="H12" s="5" t="s">
        <v>3</v>
      </c>
      <c r="I12" s="5"/>
      <c r="J12" s="5" t="s">
        <v>17172</v>
      </c>
      <c r="M12" s="1"/>
      <c r="N12"/>
      <c r="O12"/>
      <c r="P12"/>
      <c r="Q12"/>
      <c r="R12"/>
      <c r="S12"/>
      <c r="T12"/>
      <c r="U12"/>
      <c r="V12"/>
      <c r="W12"/>
      <c r="X12"/>
      <c r="Y12"/>
    </row>
    <row r="13" spans="1:25" s="2" customFormat="1" ht="25.5" x14ac:dyDescent="0.2">
      <c r="A13" s="5" t="s">
        <v>17171</v>
      </c>
      <c r="B13" s="5" t="s">
        <v>8584</v>
      </c>
      <c r="C13" s="5">
        <v>4</v>
      </c>
      <c r="D13" s="5"/>
      <c r="E13" s="5"/>
      <c r="F13" s="5" t="s">
        <v>7537</v>
      </c>
      <c r="G13" s="5" t="s">
        <v>207</v>
      </c>
      <c r="H13" s="5" t="s">
        <v>3</v>
      </c>
      <c r="I13" s="5"/>
      <c r="J13" s="5" t="s">
        <v>17170</v>
      </c>
      <c r="M13" s="1"/>
      <c r="N13"/>
      <c r="O13"/>
      <c r="P13"/>
      <c r="Q13"/>
      <c r="R13"/>
      <c r="S13"/>
      <c r="T13"/>
      <c r="U13"/>
      <c r="V13"/>
      <c r="W13"/>
      <c r="X13"/>
      <c r="Y13"/>
    </row>
    <row r="14" spans="1:25" s="2" customFormat="1" x14ac:dyDescent="0.2">
      <c r="A14" s="5" t="s">
        <v>17169</v>
      </c>
      <c r="B14" s="5" t="s">
        <v>8584</v>
      </c>
      <c r="C14" s="5">
        <v>4</v>
      </c>
      <c r="D14" s="5"/>
      <c r="E14" s="5"/>
      <c r="F14" s="5" t="s">
        <v>7537</v>
      </c>
      <c r="G14" s="5" t="s">
        <v>148</v>
      </c>
      <c r="H14" s="5" t="s">
        <v>3</v>
      </c>
      <c r="I14" s="5"/>
      <c r="J14" s="5" t="s">
        <v>7536</v>
      </c>
      <c r="M14" s="1"/>
      <c r="N14"/>
      <c r="O14"/>
      <c r="P14"/>
      <c r="Q14"/>
      <c r="R14"/>
      <c r="S14"/>
      <c r="T14"/>
      <c r="U14"/>
      <c r="V14"/>
      <c r="W14"/>
      <c r="X14"/>
      <c r="Y14"/>
    </row>
    <row r="15" spans="1:25" s="2" customFormat="1" x14ac:dyDescent="0.2">
      <c r="A15" s="5" t="s">
        <v>17168</v>
      </c>
      <c r="B15" s="5" t="s">
        <v>8584</v>
      </c>
      <c r="C15" s="5">
        <v>4</v>
      </c>
      <c r="D15" s="5"/>
      <c r="E15" s="5" t="s">
        <v>17167</v>
      </c>
      <c r="F15" s="5" t="s">
        <v>4589</v>
      </c>
      <c r="G15" s="5" t="s">
        <v>173</v>
      </c>
      <c r="H15" s="5" t="s">
        <v>3</v>
      </c>
      <c r="I15" s="5"/>
      <c r="J15" s="5" t="s">
        <v>16113</v>
      </c>
      <c r="M15" s="1"/>
      <c r="N15"/>
      <c r="O15"/>
      <c r="P15"/>
      <c r="Q15"/>
      <c r="R15"/>
      <c r="S15"/>
      <c r="T15"/>
      <c r="U15"/>
      <c r="V15"/>
      <c r="W15"/>
      <c r="X15"/>
      <c r="Y15"/>
    </row>
    <row r="16" spans="1:25" s="2" customFormat="1" x14ac:dyDescent="0.2">
      <c r="A16" s="5" t="s">
        <v>15377</v>
      </c>
      <c r="B16" s="5" t="s">
        <v>8584</v>
      </c>
      <c r="C16" s="5">
        <v>5</v>
      </c>
      <c r="D16" s="5"/>
      <c r="E16" s="5"/>
      <c r="F16" s="5" t="s">
        <v>8808</v>
      </c>
      <c r="G16" s="5" t="s">
        <v>114</v>
      </c>
      <c r="H16" s="5" t="s">
        <v>3</v>
      </c>
      <c r="I16" s="5"/>
      <c r="J16" s="5" t="s">
        <v>16107</v>
      </c>
      <c r="M16" s="1"/>
      <c r="N16"/>
      <c r="O16"/>
      <c r="P16"/>
      <c r="Q16"/>
      <c r="R16"/>
      <c r="S16"/>
      <c r="T16"/>
      <c r="U16"/>
      <c r="V16"/>
      <c r="W16"/>
      <c r="X16"/>
      <c r="Y16"/>
    </row>
    <row r="17" spans="1:25" s="2" customFormat="1" x14ac:dyDescent="0.2">
      <c r="A17" s="5" t="s">
        <v>17166</v>
      </c>
      <c r="B17" s="5" t="s">
        <v>8584</v>
      </c>
      <c r="C17" s="5">
        <v>5</v>
      </c>
      <c r="D17" s="5"/>
      <c r="E17" s="5"/>
      <c r="F17" s="5" t="s">
        <v>17165</v>
      </c>
      <c r="G17" s="5" t="s">
        <v>229</v>
      </c>
      <c r="H17" s="5" t="s">
        <v>3</v>
      </c>
      <c r="I17" s="5"/>
      <c r="J17" s="5" t="s">
        <v>16107</v>
      </c>
      <c r="M17" s="1"/>
      <c r="N17"/>
      <c r="O17"/>
      <c r="P17"/>
      <c r="Q17"/>
      <c r="R17"/>
      <c r="S17"/>
      <c r="T17"/>
      <c r="U17"/>
      <c r="V17"/>
      <c r="W17"/>
      <c r="X17"/>
      <c r="Y17"/>
    </row>
    <row r="18" spans="1:25" s="2" customFormat="1" ht="25.5" x14ac:dyDescent="0.2">
      <c r="A18" s="5" t="s">
        <v>17164</v>
      </c>
      <c r="B18" s="5" t="s">
        <v>8584</v>
      </c>
      <c r="C18" s="5">
        <v>5</v>
      </c>
      <c r="D18" s="5"/>
      <c r="E18" s="5"/>
      <c r="F18" s="5" t="s">
        <v>16108</v>
      </c>
      <c r="G18" s="5" t="s">
        <v>86</v>
      </c>
      <c r="H18" s="5" t="s">
        <v>3</v>
      </c>
      <c r="I18" s="5"/>
      <c r="J18" s="5" t="s">
        <v>16107</v>
      </c>
      <c r="M18" s="1"/>
      <c r="N18"/>
      <c r="O18"/>
      <c r="P18"/>
      <c r="Q18"/>
      <c r="R18"/>
      <c r="S18"/>
      <c r="T18"/>
      <c r="U18"/>
      <c r="V18"/>
      <c r="W18"/>
      <c r="X18"/>
      <c r="Y18"/>
    </row>
    <row r="19" spans="1:25" s="2" customFormat="1" ht="25.5" x14ac:dyDescent="0.2">
      <c r="A19" s="5" t="s">
        <v>17163</v>
      </c>
      <c r="B19" s="5" t="s">
        <v>8584</v>
      </c>
      <c r="C19" s="5">
        <v>6</v>
      </c>
      <c r="D19" s="5"/>
      <c r="E19" s="5"/>
      <c r="F19" s="5" t="s">
        <v>17162</v>
      </c>
      <c r="G19" s="5" t="s">
        <v>315</v>
      </c>
      <c r="H19" s="5" t="s">
        <v>137</v>
      </c>
      <c r="I19" s="5" t="s">
        <v>17158</v>
      </c>
      <c r="J19" s="5" t="s">
        <v>17161</v>
      </c>
      <c r="M19" s="1"/>
      <c r="N19"/>
      <c r="O19"/>
      <c r="P19"/>
      <c r="Q19"/>
      <c r="R19"/>
      <c r="S19"/>
      <c r="T19"/>
      <c r="U19"/>
      <c r="V19"/>
      <c r="W19"/>
      <c r="X19"/>
      <c r="Y19"/>
    </row>
    <row r="20" spans="1:25" s="2" customFormat="1" ht="38.25" x14ac:dyDescent="0.2">
      <c r="A20" s="5" t="s">
        <v>7535</v>
      </c>
      <c r="B20" s="5" t="s">
        <v>8584</v>
      </c>
      <c r="C20" s="5">
        <v>6</v>
      </c>
      <c r="D20" s="5"/>
      <c r="E20" s="5"/>
      <c r="F20" s="5" t="s">
        <v>408</v>
      </c>
      <c r="G20" s="5" t="s">
        <v>7378</v>
      </c>
      <c r="H20" s="5" t="s">
        <v>137</v>
      </c>
      <c r="I20" s="5" t="s">
        <v>15403</v>
      </c>
      <c r="J20" s="5" t="s">
        <v>17160</v>
      </c>
      <c r="M20" s="1"/>
      <c r="N20"/>
      <c r="O20"/>
      <c r="P20"/>
      <c r="Q20"/>
      <c r="R20"/>
      <c r="S20"/>
      <c r="T20"/>
      <c r="U20"/>
      <c r="V20"/>
      <c r="W20"/>
      <c r="X20"/>
      <c r="Y20"/>
    </row>
    <row r="21" spans="1:25" s="2" customFormat="1" ht="25.5" x14ac:dyDescent="0.2">
      <c r="A21" s="5" t="s">
        <v>17159</v>
      </c>
      <c r="B21" s="5" t="s">
        <v>8584</v>
      </c>
      <c r="C21" s="5">
        <v>7</v>
      </c>
      <c r="D21" s="5"/>
      <c r="E21" s="5"/>
      <c r="F21" s="5" t="s">
        <v>7569</v>
      </c>
      <c r="G21" s="5" t="s">
        <v>229</v>
      </c>
      <c r="H21" s="5" t="s">
        <v>137</v>
      </c>
      <c r="I21" s="5" t="s">
        <v>17158</v>
      </c>
      <c r="J21" s="5" t="s">
        <v>17157</v>
      </c>
      <c r="M21" s="1"/>
      <c r="N21"/>
      <c r="O21"/>
      <c r="P21"/>
      <c r="Q21"/>
      <c r="R21"/>
      <c r="S21"/>
      <c r="T21"/>
      <c r="U21"/>
      <c r="V21"/>
      <c r="W21"/>
      <c r="X21"/>
      <c r="Y21"/>
    </row>
    <row r="22" spans="1:25" s="2" customFormat="1" ht="38.25" x14ac:dyDescent="0.2">
      <c r="A22" s="5" t="s">
        <v>17156</v>
      </c>
      <c r="B22" s="5" t="s">
        <v>8584</v>
      </c>
      <c r="C22" s="5">
        <v>7</v>
      </c>
      <c r="D22" s="5"/>
      <c r="E22" s="5"/>
      <c r="F22" s="5" t="s">
        <v>8565</v>
      </c>
      <c r="G22" s="5" t="s">
        <v>181</v>
      </c>
      <c r="H22" s="5" t="s">
        <v>137</v>
      </c>
      <c r="I22" s="5" t="s">
        <v>15403</v>
      </c>
      <c r="J22" s="5" t="s">
        <v>17155</v>
      </c>
      <c r="M22" s="1"/>
      <c r="N22"/>
      <c r="O22"/>
      <c r="P22"/>
      <c r="Q22"/>
      <c r="R22"/>
      <c r="S22"/>
      <c r="T22"/>
      <c r="U22"/>
      <c r="V22"/>
      <c r="W22"/>
      <c r="X22"/>
      <c r="Y22"/>
    </row>
    <row r="23" spans="1:25" s="2" customFormat="1" ht="38.25" x14ac:dyDescent="0.2">
      <c r="A23" s="5" t="s">
        <v>17154</v>
      </c>
      <c r="B23" s="5" t="s">
        <v>8584</v>
      </c>
      <c r="C23" s="5">
        <v>8</v>
      </c>
      <c r="D23" s="5"/>
      <c r="E23" s="5"/>
      <c r="F23" s="5" t="s">
        <v>8565</v>
      </c>
      <c r="G23" s="5" t="s">
        <v>2672</v>
      </c>
      <c r="H23" s="5" t="s">
        <v>137</v>
      </c>
      <c r="I23" s="5" t="s">
        <v>15403</v>
      </c>
      <c r="J23" s="5" t="s">
        <v>17153</v>
      </c>
      <c r="M23" s="1"/>
      <c r="N23"/>
      <c r="O23"/>
      <c r="P23"/>
      <c r="Q23"/>
      <c r="R23"/>
      <c r="S23"/>
      <c r="T23"/>
      <c r="U23"/>
      <c r="V23"/>
      <c r="W23"/>
      <c r="X23"/>
      <c r="Y23"/>
    </row>
    <row r="24" spans="1:25" s="2" customFormat="1" x14ac:dyDescent="0.2">
      <c r="A24" s="5" t="s">
        <v>17152</v>
      </c>
      <c r="B24" s="5" t="s">
        <v>8584</v>
      </c>
      <c r="C24" s="5">
        <v>9</v>
      </c>
      <c r="D24" s="5"/>
      <c r="E24" s="5"/>
      <c r="F24" s="5" t="s">
        <v>17151</v>
      </c>
      <c r="G24" s="5" t="s">
        <v>4</v>
      </c>
      <c r="H24" s="5" t="s">
        <v>3</v>
      </c>
      <c r="I24" s="5"/>
      <c r="J24" s="5" t="s">
        <v>17150</v>
      </c>
      <c r="M24" s="1"/>
      <c r="N24"/>
      <c r="O24"/>
      <c r="P24"/>
      <c r="Q24"/>
      <c r="R24"/>
      <c r="S24"/>
      <c r="T24"/>
      <c r="U24"/>
      <c r="V24"/>
      <c r="W24"/>
      <c r="X24"/>
      <c r="Y24"/>
    </row>
    <row r="25" spans="1:25" s="2" customFormat="1" ht="25.5" x14ac:dyDescent="0.2">
      <c r="A25" s="5" t="s">
        <v>17149</v>
      </c>
      <c r="B25" s="5" t="s">
        <v>8584</v>
      </c>
      <c r="C25" s="5">
        <v>10</v>
      </c>
      <c r="D25" s="5"/>
      <c r="E25" s="5"/>
      <c r="F25" s="5" t="s">
        <v>16967</v>
      </c>
      <c r="G25" s="5" t="s">
        <v>114</v>
      </c>
      <c r="H25" s="5" t="s">
        <v>3</v>
      </c>
      <c r="I25" s="5"/>
      <c r="J25" s="5" t="s">
        <v>17148</v>
      </c>
      <c r="M25" s="1"/>
      <c r="N25"/>
      <c r="O25"/>
      <c r="P25"/>
      <c r="Q25"/>
      <c r="R25"/>
      <c r="S25"/>
      <c r="T25"/>
      <c r="U25"/>
      <c r="V25"/>
      <c r="W25"/>
      <c r="X25"/>
      <c r="Y25"/>
    </row>
    <row r="26" spans="1:25" s="2" customFormat="1" ht="38.25" x14ac:dyDescent="0.2">
      <c r="A26" s="5" t="s">
        <v>8759</v>
      </c>
      <c r="B26" s="5" t="s">
        <v>8584</v>
      </c>
      <c r="C26" s="5">
        <v>10</v>
      </c>
      <c r="D26" s="5"/>
      <c r="E26" s="5"/>
      <c r="F26" s="5" t="s">
        <v>17147</v>
      </c>
      <c r="G26" s="5" t="s">
        <v>7296</v>
      </c>
      <c r="H26" s="5" t="s">
        <v>137</v>
      </c>
      <c r="I26" s="5" t="s">
        <v>8759</v>
      </c>
      <c r="J26" s="5" t="s">
        <v>17146</v>
      </c>
      <c r="M26" s="1"/>
      <c r="N26"/>
      <c r="O26"/>
      <c r="P26"/>
      <c r="Q26"/>
      <c r="R26"/>
      <c r="S26"/>
      <c r="T26"/>
      <c r="U26"/>
      <c r="V26"/>
      <c r="W26"/>
      <c r="X26"/>
      <c r="Y26"/>
    </row>
    <row r="27" spans="1:25" s="2" customFormat="1" ht="25.5" x14ac:dyDescent="0.2">
      <c r="A27" s="5" t="s">
        <v>10232</v>
      </c>
      <c r="B27" s="5" t="s">
        <v>8584</v>
      </c>
      <c r="C27" s="5">
        <v>11</v>
      </c>
      <c r="D27" s="5"/>
      <c r="E27" s="5"/>
      <c r="F27" s="5" t="s">
        <v>15912</v>
      </c>
      <c r="G27" s="5" t="s">
        <v>170</v>
      </c>
      <c r="H27" s="5" t="s">
        <v>137</v>
      </c>
      <c r="I27" s="5" t="s">
        <v>7844</v>
      </c>
      <c r="J27" s="5" t="s">
        <v>17144</v>
      </c>
      <c r="M27" s="1"/>
      <c r="N27"/>
      <c r="O27"/>
      <c r="P27"/>
      <c r="Q27"/>
      <c r="R27"/>
      <c r="S27"/>
      <c r="T27"/>
      <c r="U27"/>
      <c r="V27"/>
      <c r="W27"/>
      <c r="X27"/>
      <c r="Y27"/>
    </row>
    <row r="28" spans="1:25" s="2" customFormat="1" ht="25.5" x14ac:dyDescent="0.2">
      <c r="A28" s="5" t="s">
        <v>17145</v>
      </c>
      <c r="B28" s="5" t="s">
        <v>8584</v>
      </c>
      <c r="C28" s="5">
        <v>11</v>
      </c>
      <c r="D28" s="5"/>
      <c r="E28" s="5"/>
      <c r="F28" s="5" t="s">
        <v>17123</v>
      </c>
      <c r="G28" s="5" t="s">
        <v>3059</v>
      </c>
      <c r="H28" s="5" t="s">
        <v>137</v>
      </c>
      <c r="I28" s="5" t="s">
        <v>7844</v>
      </c>
      <c r="J28" s="5" t="s">
        <v>17144</v>
      </c>
      <c r="M28" s="1"/>
      <c r="N28"/>
      <c r="O28"/>
      <c r="P28"/>
      <c r="Q28"/>
      <c r="R28"/>
      <c r="S28"/>
      <c r="T28"/>
      <c r="U28"/>
      <c r="V28"/>
      <c r="W28"/>
      <c r="X28"/>
      <c r="Y28"/>
    </row>
    <row r="29" spans="1:25" s="2" customFormat="1" ht="25.5" x14ac:dyDescent="0.2">
      <c r="A29" s="5" t="s">
        <v>17143</v>
      </c>
      <c r="B29" s="5" t="s">
        <v>8584</v>
      </c>
      <c r="C29" s="5">
        <v>12</v>
      </c>
      <c r="D29" s="5"/>
      <c r="E29" s="5"/>
      <c r="F29" s="5" t="s">
        <v>17142</v>
      </c>
      <c r="G29" s="5" t="s">
        <v>2308</v>
      </c>
      <c r="H29" s="5" t="s">
        <v>137</v>
      </c>
      <c r="I29" s="5" t="s">
        <v>7844</v>
      </c>
      <c r="J29" s="5" t="s">
        <v>17141</v>
      </c>
      <c r="M29" s="1"/>
      <c r="N29"/>
      <c r="O29"/>
      <c r="P29"/>
      <c r="Q29"/>
      <c r="R29"/>
      <c r="S29"/>
      <c r="T29"/>
      <c r="U29"/>
      <c r="V29"/>
      <c r="W29"/>
      <c r="X29"/>
      <c r="Y29"/>
    </row>
    <row r="30" spans="1:25" s="2" customFormat="1" ht="38.25" x14ac:dyDescent="0.2">
      <c r="A30" s="5" t="s">
        <v>17140</v>
      </c>
      <c r="B30" s="5" t="s">
        <v>8584</v>
      </c>
      <c r="C30" s="5">
        <v>12</v>
      </c>
      <c r="D30" s="5"/>
      <c r="E30" s="5"/>
      <c r="F30" s="5" t="s">
        <v>17139</v>
      </c>
      <c r="G30" s="5" t="s">
        <v>2308</v>
      </c>
      <c r="H30" s="5" t="s">
        <v>137</v>
      </c>
      <c r="I30" s="5" t="s">
        <v>7844</v>
      </c>
      <c r="J30" s="5" t="s">
        <v>17138</v>
      </c>
      <c r="M30" s="1"/>
      <c r="N30"/>
      <c r="O30"/>
      <c r="P30"/>
      <c r="Q30"/>
      <c r="R30"/>
      <c r="S30"/>
      <c r="T30"/>
      <c r="U30"/>
      <c r="V30"/>
      <c r="W30"/>
      <c r="X30"/>
      <c r="Y30"/>
    </row>
    <row r="31" spans="1:25" s="2" customFormat="1" x14ac:dyDescent="0.2">
      <c r="A31" s="5" t="s">
        <v>17137</v>
      </c>
      <c r="B31" s="5" t="s">
        <v>8584</v>
      </c>
      <c r="C31" s="5">
        <v>13</v>
      </c>
      <c r="D31" s="5"/>
      <c r="E31" s="5"/>
      <c r="F31" s="5" t="s">
        <v>7792</v>
      </c>
      <c r="G31" s="5" t="s">
        <v>2672</v>
      </c>
      <c r="H31" s="5" t="s">
        <v>137</v>
      </c>
      <c r="I31" s="5" t="s">
        <v>15393</v>
      </c>
      <c r="J31" s="5" t="s">
        <v>17132</v>
      </c>
      <c r="M31" s="1"/>
      <c r="N31"/>
      <c r="O31"/>
      <c r="P31"/>
      <c r="Q31"/>
      <c r="R31"/>
      <c r="S31"/>
      <c r="T31"/>
      <c r="U31"/>
      <c r="V31"/>
      <c r="W31"/>
      <c r="X31"/>
      <c r="Y31"/>
    </row>
    <row r="32" spans="1:25" s="2" customFormat="1" ht="25.5" x14ac:dyDescent="0.2">
      <c r="A32" s="5" t="s">
        <v>17136</v>
      </c>
      <c r="B32" s="5" t="s">
        <v>8584</v>
      </c>
      <c r="C32" s="5">
        <v>13</v>
      </c>
      <c r="D32" s="5"/>
      <c r="E32" s="5" t="s">
        <v>368</v>
      </c>
      <c r="F32" s="5" t="s">
        <v>10998</v>
      </c>
      <c r="G32" s="5" t="s">
        <v>195</v>
      </c>
      <c r="H32" s="5" t="s">
        <v>137</v>
      </c>
      <c r="I32" s="5" t="s">
        <v>17135</v>
      </c>
      <c r="J32" s="5" t="s">
        <v>17134</v>
      </c>
      <c r="M32" s="1"/>
      <c r="N32"/>
      <c r="O32"/>
      <c r="P32"/>
      <c r="Q32"/>
      <c r="R32"/>
      <c r="S32"/>
      <c r="T32"/>
      <c r="U32"/>
      <c r="V32"/>
      <c r="W32"/>
      <c r="X32"/>
      <c r="Y32"/>
    </row>
    <row r="33" spans="1:25" s="2" customFormat="1" ht="25.5" x14ac:dyDescent="0.2">
      <c r="A33" s="5" t="s">
        <v>10237</v>
      </c>
      <c r="B33" s="5" t="s">
        <v>8584</v>
      </c>
      <c r="C33" s="5">
        <v>13</v>
      </c>
      <c r="D33" s="5"/>
      <c r="E33" s="5"/>
      <c r="F33" s="5" t="s">
        <v>7792</v>
      </c>
      <c r="G33" s="5" t="s">
        <v>2672</v>
      </c>
      <c r="H33" s="5" t="s">
        <v>137</v>
      </c>
      <c r="I33" s="5" t="s">
        <v>7844</v>
      </c>
      <c r="J33" s="5" t="s">
        <v>17132</v>
      </c>
      <c r="M33" s="1"/>
      <c r="N33"/>
      <c r="O33"/>
      <c r="P33"/>
      <c r="Q33"/>
      <c r="R33"/>
      <c r="S33"/>
      <c r="T33"/>
      <c r="U33"/>
      <c r="V33"/>
      <c r="W33"/>
      <c r="X33"/>
      <c r="Y33"/>
    </row>
    <row r="34" spans="1:25" s="2" customFormat="1" ht="25.5" x14ac:dyDescent="0.2">
      <c r="A34" s="5" t="s">
        <v>17133</v>
      </c>
      <c r="B34" s="5" t="s">
        <v>8584</v>
      </c>
      <c r="C34" s="5">
        <v>13</v>
      </c>
      <c r="D34" s="5"/>
      <c r="E34" s="5"/>
      <c r="F34" s="5" t="s">
        <v>7792</v>
      </c>
      <c r="G34" s="5" t="s">
        <v>10678</v>
      </c>
      <c r="H34" s="5" t="s">
        <v>137</v>
      </c>
      <c r="I34" s="5" t="s">
        <v>7844</v>
      </c>
      <c r="J34" s="5" t="s">
        <v>17132</v>
      </c>
      <c r="M34" s="1"/>
      <c r="N34"/>
      <c r="O34"/>
      <c r="P34"/>
      <c r="Q34"/>
      <c r="R34"/>
      <c r="S34"/>
      <c r="T34"/>
      <c r="U34"/>
      <c r="V34"/>
      <c r="W34"/>
      <c r="X34"/>
      <c r="Y34"/>
    </row>
    <row r="35" spans="1:25" s="2" customFormat="1" ht="25.5" x14ac:dyDescent="0.2">
      <c r="A35" s="5" t="s">
        <v>17131</v>
      </c>
      <c r="B35" s="5" t="s">
        <v>8584</v>
      </c>
      <c r="C35" s="5">
        <v>14</v>
      </c>
      <c r="D35" s="5"/>
      <c r="E35" s="5"/>
      <c r="F35" s="5" t="s">
        <v>15912</v>
      </c>
      <c r="G35" s="5" t="s">
        <v>1527</v>
      </c>
      <c r="H35" s="5" t="s">
        <v>137</v>
      </c>
      <c r="I35" s="5" t="s">
        <v>7844</v>
      </c>
      <c r="J35" s="5" t="s">
        <v>17130</v>
      </c>
      <c r="M35" s="1"/>
      <c r="N35"/>
      <c r="O35"/>
      <c r="P35"/>
      <c r="Q35"/>
      <c r="R35"/>
      <c r="S35"/>
      <c r="T35"/>
      <c r="U35"/>
      <c r="V35"/>
      <c r="W35"/>
      <c r="X35"/>
      <c r="Y35"/>
    </row>
    <row r="36" spans="1:25" s="2" customFormat="1" ht="25.5" x14ac:dyDescent="0.2">
      <c r="A36" s="5" t="s">
        <v>10234</v>
      </c>
      <c r="B36" s="5" t="s">
        <v>8584</v>
      </c>
      <c r="C36" s="5">
        <v>15</v>
      </c>
      <c r="D36" s="5"/>
      <c r="E36" s="5"/>
      <c r="F36" s="5" t="s">
        <v>17127</v>
      </c>
      <c r="G36" s="5" t="s">
        <v>17109</v>
      </c>
      <c r="H36" s="5" t="s">
        <v>137</v>
      </c>
      <c r="I36" s="5" t="s">
        <v>7844</v>
      </c>
      <c r="J36" s="5" t="s">
        <v>17129</v>
      </c>
      <c r="M36" s="1"/>
      <c r="N36"/>
      <c r="O36"/>
      <c r="P36"/>
      <c r="Q36"/>
      <c r="R36"/>
      <c r="S36"/>
      <c r="T36"/>
      <c r="U36"/>
      <c r="V36"/>
      <c r="W36"/>
      <c r="X36"/>
      <c r="Y36"/>
    </row>
    <row r="37" spans="1:25" s="2" customFormat="1" ht="25.5" x14ac:dyDescent="0.2">
      <c r="A37" s="5" t="s">
        <v>17128</v>
      </c>
      <c r="B37" s="5" t="s">
        <v>8584</v>
      </c>
      <c r="C37" s="5">
        <v>16</v>
      </c>
      <c r="D37" s="5"/>
      <c r="E37" s="5"/>
      <c r="F37" s="5" t="s">
        <v>17127</v>
      </c>
      <c r="G37" s="5" t="s">
        <v>17109</v>
      </c>
      <c r="H37" s="5" t="s">
        <v>137</v>
      </c>
      <c r="I37" s="5" t="s">
        <v>7844</v>
      </c>
      <c r="J37" s="5" t="s">
        <v>17126</v>
      </c>
      <c r="M37" s="1"/>
      <c r="N37"/>
      <c r="O37"/>
      <c r="P37"/>
      <c r="Q37"/>
      <c r="R37"/>
      <c r="S37"/>
      <c r="T37"/>
      <c r="U37"/>
      <c r="V37"/>
      <c r="W37"/>
      <c r="X37"/>
      <c r="Y37"/>
    </row>
    <row r="38" spans="1:25" s="2" customFormat="1" ht="25.5" x14ac:dyDescent="0.2">
      <c r="A38" s="5" t="s">
        <v>10233</v>
      </c>
      <c r="B38" s="5" t="s">
        <v>8584</v>
      </c>
      <c r="C38" s="5">
        <v>17</v>
      </c>
      <c r="D38" s="5"/>
      <c r="E38" s="5"/>
      <c r="F38" s="5" t="s">
        <v>16123</v>
      </c>
      <c r="G38" s="5" t="s">
        <v>148</v>
      </c>
      <c r="H38" s="5" t="s">
        <v>137</v>
      </c>
      <c r="I38" s="5" t="s">
        <v>7844</v>
      </c>
      <c r="J38" s="5" t="s">
        <v>17125</v>
      </c>
      <c r="M38" s="1"/>
      <c r="N38"/>
      <c r="O38"/>
      <c r="P38"/>
      <c r="Q38"/>
      <c r="R38"/>
      <c r="S38"/>
      <c r="T38"/>
      <c r="U38"/>
      <c r="V38"/>
      <c r="W38"/>
      <c r="X38"/>
      <c r="Y38"/>
    </row>
    <row r="39" spans="1:25" s="2" customFormat="1" ht="25.5" x14ac:dyDescent="0.2">
      <c r="A39" s="5" t="s">
        <v>15305</v>
      </c>
      <c r="B39" s="5" t="s">
        <v>8584</v>
      </c>
      <c r="C39" s="5">
        <v>18</v>
      </c>
      <c r="D39" s="5"/>
      <c r="E39" s="5"/>
      <c r="F39" s="5" t="s">
        <v>15655</v>
      </c>
      <c r="G39" s="5" t="s">
        <v>170</v>
      </c>
      <c r="H39" s="5" t="s">
        <v>137</v>
      </c>
      <c r="I39" s="5" t="s">
        <v>15390</v>
      </c>
      <c r="J39" s="5" t="s">
        <v>17122</v>
      </c>
      <c r="M39" s="1"/>
      <c r="N39"/>
      <c r="O39"/>
      <c r="P39"/>
      <c r="Q39"/>
      <c r="R39"/>
      <c r="S39"/>
      <c r="T39"/>
      <c r="U39"/>
      <c r="V39"/>
      <c r="W39"/>
      <c r="X39"/>
      <c r="Y39"/>
    </row>
    <row r="40" spans="1:25" s="2" customFormat="1" ht="25.5" x14ac:dyDescent="0.2">
      <c r="A40" s="5" t="s">
        <v>17124</v>
      </c>
      <c r="B40" s="5" t="s">
        <v>8584</v>
      </c>
      <c r="C40" s="5">
        <v>18</v>
      </c>
      <c r="D40" s="5"/>
      <c r="E40" s="5"/>
      <c r="F40" s="5" t="s">
        <v>17123</v>
      </c>
      <c r="G40" s="5" t="s">
        <v>3059</v>
      </c>
      <c r="H40" s="5" t="s">
        <v>137</v>
      </c>
      <c r="I40" s="5" t="s">
        <v>15390</v>
      </c>
      <c r="J40" s="5" t="s">
        <v>17122</v>
      </c>
      <c r="M40" s="1"/>
      <c r="N40"/>
      <c r="O40"/>
      <c r="P40"/>
      <c r="Q40"/>
      <c r="R40"/>
      <c r="S40"/>
      <c r="T40"/>
      <c r="U40"/>
      <c r="V40"/>
      <c r="W40"/>
      <c r="X40"/>
      <c r="Y40"/>
    </row>
    <row r="41" spans="1:25" s="2" customFormat="1" ht="38.25" x14ac:dyDescent="0.2">
      <c r="A41" s="5" t="s">
        <v>17121</v>
      </c>
      <c r="B41" s="5" t="s">
        <v>8584</v>
      </c>
      <c r="C41" s="5">
        <v>19</v>
      </c>
      <c r="D41" s="5"/>
      <c r="E41" s="5"/>
      <c r="F41" s="5" t="s">
        <v>17120</v>
      </c>
      <c r="G41" s="5" t="s">
        <v>91</v>
      </c>
      <c r="H41" s="5" t="s">
        <v>137</v>
      </c>
      <c r="I41" s="5" t="s">
        <v>15390</v>
      </c>
      <c r="J41" s="5" t="s">
        <v>17119</v>
      </c>
      <c r="M41" s="1"/>
      <c r="N41"/>
      <c r="O41"/>
      <c r="P41"/>
      <c r="Q41"/>
      <c r="R41"/>
      <c r="S41"/>
      <c r="T41"/>
      <c r="U41"/>
      <c r="V41"/>
      <c r="W41"/>
      <c r="X41"/>
      <c r="Y41"/>
    </row>
    <row r="42" spans="1:25" s="2" customFormat="1" ht="25.5" x14ac:dyDescent="0.2">
      <c r="A42" s="5" t="s">
        <v>17118</v>
      </c>
      <c r="B42" s="5" t="s">
        <v>8584</v>
      </c>
      <c r="C42" s="5">
        <v>19</v>
      </c>
      <c r="D42" s="5"/>
      <c r="E42" s="5"/>
      <c r="F42" s="5" t="s">
        <v>17117</v>
      </c>
      <c r="G42" s="5" t="s">
        <v>2308</v>
      </c>
      <c r="H42" s="5" t="s">
        <v>137</v>
      </c>
      <c r="I42" s="5" t="s">
        <v>15390</v>
      </c>
      <c r="J42" s="5" t="s">
        <v>17116</v>
      </c>
      <c r="M42" s="1"/>
      <c r="N42"/>
      <c r="O42"/>
      <c r="P42"/>
      <c r="Q42"/>
      <c r="R42"/>
      <c r="S42"/>
      <c r="T42"/>
      <c r="U42"/>
      <c r="V42"/>
      <c r="W42"/>
      <c r="X42"/>
      <c r="Y42"/>
    </row>
    <row r="43" spans="1:25" s="2" customFormat="1" ht="25.5" x14ac:dyDescent="0.2">
      <c r="A43" s="5" t="s">
        <v>15784</v>
      </c>
      <c r="B43" s="5" t="s">
        <v>8584</v>
      </c>
      <c r="C43" s="5">
        <v>20</v>
      </c>
      <c r="D43" s="5"/>
      <c r="E43" s="5"/>
      <c r="F43" s="5" t="s">
        <v>15494</v>
      </c>
      <c r="G43" s="5" t="s">
        <v>2672</v>
      </c>
      <c r="H43" s="5" t="s">
        <v>137</v>
      </c>
      <c r="I43" s="5" t="s">
        <v>15390</v>
      </c>
      <c r="J43" s="5" t="s">
        <v>16509</v>
      </c>
      <c r="M43" s="1"/>
      <c r="N43"/>
      <c r="O43"/>
      <c r="P43"/>
      <c r="Q43"/>
      <c r="R43"/>
      <c r="S43"/>
      <c r="T43"/>
      <c r="U43"/>
      <c r="V43"/>
      <c r="W43"/>
      <c r="X43"/>
      <c r="Y43"/>
    </row>
    <row r="44" spans="1:25" s="2" customFormat="1" ht="25.5" x14ac:dyDescent="0.2">
      <c r="A44" s="5" t="s">
        <v>17115</v>
      </c>
      <c r="B44" s="5" t="s">
        <v>8584</v>
      </c>
      <c r="C44" s="5">
        <v>20</v>
      </c>
      <c r="D44" s="5"/>
      <c r="E44" s="5"/>
      <c r="F44" s="5" t="s">
        <v>15494</v>
      </c>
      <c r="G44" s="5" t="s">
        <v>10678</v>
      </c>
      <c r="H44" s="5" t="s">
        <v>137</v>
      </c>
      <c r="I44" s="5" t="s">
        <v>15390</v>
      </c>
      <c r="J44" s="5" t="s">
        <v>16509</v>
      </c>
      <c r="M44" s="1"/>
      <c r="N44"/>
      <c r="O44"/>
      <c r="P44"/>
      <c r="Q44"/>
      <c r="R44"/>
      <c r="S44"/>
      <c r="T44"/>
      <c r="U44"/>
      <c r="V44"/>
      <c r="W44"/>
      <c r="X44"/>
      <c r="Y44"/>
    </row>
    <row r="45" spans="1:25" s="2" customFormat="1" ht="25.5" x14ac:dyDescent="0.2">
      <c r="A45" s="5" t="s">
        <v>17114</v>
      </c>
      <c r="B45" s="5" t="s">
        <v>8584</v>
      </c>
      <c r="C45" s="5">
        <v>21</v>
      </c>
      <c r="D45" s="5"/>
      <c r="E45" s="5"/>
      <c r="F45" s="5" t="s">
        <v>15655</v>
      </c>
      <c r="G45" s="5" t="s">
        <v>1527</v>
      </c>
      <c r="H45" s="5" t="s">
        <v>137</v>
      </c>
      <c r="I45" s="5" t="s">
        <v>15390</v>
      </c>
      <c r="J45" s="5" t="s">
        <v>17113</v>
      </c>
      <c r="M45" s="1"/>
      <c r="N45"/>
      <c r="O45"/>
      <c r="P45"/>
      <c r="Q45"/>
      <c r="R45"/>
      <c r="S45"/>
      <c r="T45"/>
      <c r="U45"/>
      <c r="V45"/>
      <c r="W45"/>
      <c r="X45"/>
      <c r="Y45"/>
    </row>
    <row r="46" spans="1:25" s="2" customFormat="1" ht="25.5" x14ac:dyDescent="0.2">
      <c r="A46" s="5" t="s">
        <v>17112</v>
      </c>
      <c r="B46" s="5" t="s">
        <v>8584</v>
      </c>
      <c r="C46" s="5">
        <v>22</v>
      </c>
      <c r="D46" s="5"/>
      <c r="E46" s="5"/>
      <c r="F46" s="5" t="s">
        <v>15519</v>
      </c>
      <c r="G46" s="5" t="s">
        <v>17109</v>
      </c>
      <c r="H46" s="5" t="s">
        <v>137</v>
      </c>
      <c r="I46" s="5" t="s">
        <v>15390</v>
      </c>
      <c r="J46" s="5" t="s">
        <v>17111</v>
      </c>
      <c r="M46" s="1"/>
      <c r="N46"/>
      <c r="O46"/>
      <c r="P46"/>
      <c r="Q46"/>
      <c r="R46"/>
      <c r="S46"/>
      <c r="T46"/>
      <c r="U46"/>
      <c r="V46"/>
      <c r="W46"/>
      <c r="X46"/>
      <c r="Y46"/>
    </row>
    <row r="47" spans="1:25" s="2" customFormat="1" ht="25.5" x14ac:dyDescent="0.2">
      <c r="A47" s="5" t="s">
        <v>17110</v>
      </c>
      <c r="B47" s="5" t="s">
        <v>8584</v>
      </c>
      <c r="C47" s="5">
        <v>23</v>
      </c>
      <c r="D47" s="5"/>
      <c r="E47" s="5"/>
      <c r="F47" s="5" t="s">
        <v>15519</v>
      </c>
      <c r="G47" s="5" t="s">
        <v>17109</v>
      </c>
      <c r="H47" s="5" t="s">
        <v>137</v>
      </c>
      <c r="I47" s="5" t="s">
        <v>15390</v>
      </c>
      <c r="J47" s="5" t="s">
        <v>17108</v>
      </c>
      <c r="M47" s="1"/>
      <c r="N47"/>
      <c r="O47"/>
      <c r="P47"/>
      <c r="Q47"/>
      <c r="R47"/>
      <c r="S47"/>
      <c r="T47"/>
      <c r="U47"/>
      <c r="V47"/>
      <c r="W47"/>
      <c r="X47"/>
      <c r="Y47"/>
    </row>
    <row r="48" spans="1:25" s="2" customFormat="1" ht="25.5" x14ac:dyDescent="0.2">
      <c r="A48" s="5" t="s">
        <v>7480</v>
      </c>
      <c r="B48" s="5" t="s">
        <v>8584</v>
      </c>
      <c r="C48" s="5">
        <v>24</v>
      </c>
      <c r="D48" s="5"/>
      <c r="E48" s="5"/>
      <c r="F48" s="5" t="s">
        <v>15519</v>
      </c>
      <c r="G48" s="5" t="s">
        <v>148</v>
      </c>
      <c r="H48" s="5" t="s">
        <v>137</v>
      </c>
      <c r="I48" s="5" t="s">
        <v>15390</v>
      </c>
      <c r="J48" s="5" t="s">
        <v>17107</v>
      </c>
      <c r="M48" s="1"/>
      <c r="N48"/>
      <c r="O48"/>
      <c r="P48"/>
      <c r="Q48"/>
      <c r="R48"/>
      <c r="S48"/>
      <c r="T48"/>
      <c r="U48"/>
      <c r="V48"/>
      <c r="W48"/>
      <c r="X48"/>
      <c r="Y48"/>
    </row>
    <row r="49" spans="1:25" s="2" customFormat="1" ht="25.5" x14ac:dyDescent="0.2">
      <c r="A49" s="5" t="s">
        <v>17106</v>
      </c>
      <c r="B49" s="5" t="s">
        <v>8584</v>
      </c>
      <c r="C49" s="5">
        <v>25</v>
      </c>
      <c r="D49" s="5"/>
      <c r="E49" s="5"/>
      <c r="F49" s="5" t="s">
        <v>17105</v>
      </c>
      <c r="G49" s="5" t="s">
        <v>357</v>
      </c>
      <c r="H49" s="5" t="s">
        <v>137</v>
      </c>
      <c r="I49" s="5" t="s">
        <v>15390</v>
      </c>
      <c r="J49" s="5" t="s">
        <v>9321</v>
      </c>
      <c r="M49" s="1"/>
      <c r="N49"/>
      <c r="O49"/>
      <c r="P49"/>
      <c r="Q49"/>
      <c r="R49"/>
      <c r="S49"/>
      <c r="T49"/>
      <c r="U49"/>
      <c r="V49"/>
      <c r="W49"/>
      <c r="X49"/>
      <c r="Y49"/>
    </row>
    <row r="50" spans="1:25" s="2" customFormat="1" ht="38.25" x14ac:dyDescent="0.2">
      <c r="A50" s="5" t="s">
        <v>17104</v>
      </c>
      <c r="B50" s="5" t="s">
        <v>8584</v>
      </c>
      <c r="C50" s="5">
        <v>26</v>
      </c>
      <c r="D50" s="5"/>
      <c r="E50" s="5"/>
      <c r="F50" s="5" t="s">
        <v>15519</v>
      </c>
      <c r="G50" s="5" t="s">
        <v>122</v>
      </c>
      <c r="H50" s="5" t="s">
        <v>137</v>
      </c>
      <c r="I50" s="5" t="s">
        <v>15390</v>
      </c>
      <c r="J50" s="5" t="s">
        <v>17103</v>
      </c>
      <c r="M50" s="1"/>
      <c r="N50"/>
      <c r="O50"/>
      <c r="P50"/>
      <c r="Q50"/>
      <c r="R50"/>
      <c r="S50"/>
      <c r="T50"/>
      <c r="U50"/>
      <c r="V50"/>
      <c r="W50"/>
      <c r="X50"/>
      <c r="Y50"/>
    </row>
    <row r="51" spans="1:25" s="2" customFormat="1" x14ac:dyDescent="0.2">
      <c r="A51" s="5" t="s">
        <v>17102</v>
      </c>
      <c r="B51" s="5" t="s">
        <v>8584</v>
      </c>
      <c r="C51" s="5">
        <v>27</v>
      </c>
      <c r="D51" s="5"/>
      <c r="E51" s="5"/>
      <c r="F51" s="5" t="s">
        <v>8811</v>
      </c>
      <c r="G51" s="5" t="s">
        <v>276</v>
      </c>
      <c r="H51" s="5" t="s">
        <v>3</v>
      </c>
      <c r="I51" s="5"/>
      <c r="J51" s="5" t="s">
        <v>8799</v>
      </c>
      <c r="M51" s="1"/>
      <c r="N51"/>
      <c r="O51"/>
      <c r="P51"/>
      <c r="Q51"/>
      <c r="R51"/>
      <c r="S51"/>
      <c r="T51"/>
      <c r="U51"/>
      <c r="V51"/>
      <c r="W51"/>
      <c r="X51"/>
      <c r="Y51"/>
    </row>
    <row r="52" spans="1:25" s="2" customFormat="1" x14ac:dyDescent="0.2">
      <c r="A52" s="5" t="s">
        <v>17101</v>
      </c>
      <c r="B52" s="5" t="s">
        <v>8584</v>
      </c>
      <c r="C52" s="5">
        <v>27</v>
      </c>
      <c r="D52" s="5"/>
      <c r="E52" s="5"/>
      <c r="F52" s="5" t="s">
        <v>8811</v>
      </c>
      <c r="G52" s="5" t="s">
        <v>1527</v>
      </c>
      <c r="H52" s="5" t="s">
        <v>3</v>
      </c>
      <c r="I52" s="5"/>
      <c r="J52" s="5" t="s">
        <v>8799</v>
      </c>
      <c r="M52" s="1"/>
      <c r="N52"/>
      <c r="O52"/>
      <c r="P52"/>
      <c r="Q52"/>
      <c r="R52"/>
      <c r="S52"/>
      <c r="T52"/>
      <c r="U52"/>
      <c r="V52"/>
      <c r="W52"/>
      <c r="X52"/>
      <c r="Y52"/>
    </row>
    <row r="53" spans="1:25" s="2" customFormat="1" ht="25.5" x14ac:dyDescent="0.2">
      <c r="A53" s="5" t="s">
        <v>17100</v>
      </c>
      <c r="B53" s="5" t="s">
        <v>8584</v>
      </c>
      <c r="C53" s="5">
        <v>28</v>
      </c>
      <c r="D53" s="5"/>
      <c r="E53" s="5"/>
      <c r="F53" s="5" t="s">
        <v>17099</v>
      </c>
      <c r="G53" s="5" t="s">
        <v>4</v>
      </c>
      <c r="H53" s="5" t="s">
        <v>3</v>
      </c>
      <c r="I53" s="5"/>
      <c r="J53" s="5" t="s">
        <v>17098</v>
      </c>
      <c r="M53" s="1"/>
      <c r="N53"/>
      <c r="O53"/>
      <c r="P53"/>
      <c r="Q53"/>
      <c r="R53"/>
      <c r="S53"/>
      <c r="T53"/>
      <c r="U53"/>
      <c r="V53"/>
      <c r="W53"/>
      <c r="X53"/>
      <c r="Y53"/>
    </row>
    <row r="54" spans="1:25" s="2" customFormat="1" ht="38.25" x14ac:dyDescent="0.2">
      <c r="A54" s="5" t="s">
        <v>17097</v>
      </c>
      <c r="B54" s="5" t="s">
        <v>8584</v>
      </c>
      <c r="C54" s="5">
        <v>29</v>
      </c>
      <c r="D54" s="5"/>
      <c r="E54" s="5" t="s">
        <v>150</v>
      </c>
      <c r="F54" s="5" t="s">
        <v>16701</v>
      </c>
      <c r="G54" s="5" t="s">
        <v>148</v>
      </c>
      <c r="H54" s="5" t="s">
        <v>137</v>
      </c>
      <c r="I54" s="5" t="s">
        <v>15403</v>
      </c>
      <c r="J54" s="5" t="s">
        <v>17096</v>
      </c>
      <c r="M54" s="1"/>
      <c r="N54"/>
      <c r="O54"/>
      <c r="P54"/>
      <c r="Q54"/>
      <c r="R54"/>
      <c r="S54"/>
      <c r="T54"/>
      <c r="U54"/>
      <c r="V54"/>
      <c r="W54"/>
      <c r="X54"/>
      <c r="Y54"/>
    </row>
    <row r="55" spans="1:25" s="2" customFormat="1" ht="25.5" x14ac:dyDescent="0.2">
      <c r="A55" s="5" t="s">
        <v>17095</v>
      </c>
      <c r="B55" s="5" t="s">
        <v>8584</v>
      </c>
      <c r="C55" s="5">
        <v>30</v>
      </c>
      <c r="D55" s="5"/>
      <c r="E55" s="5"/>
      <c r="F55" s="5" t="s">
        <v>16148</v>
      </c>
      <c r="G55" s="5" t="s">
        <v>6385</v>
      </c>
      <c r="H55" s="5" t="s">
        <v>137</v>
      </c>
      <c r="I55" s="5" t="s">
        <v>7844</v>
      </c>
      <c r="J55" s="5" t="s">
        <v>17094</v>
      </c>
      <c r="M55" s="1"/>
      <c r="N55"/>
      <c r="O55"/>
      <c r="P55"/>
      <c r="Q55"/>
      <c r="R55"/>
      <c r="S55"/>
      <c r="T55"/>
      <c r="U55"/>
      <c r="V55"/>
      <c r="W55"/>
      <c r="X55"/>
      <c r="Y55"/>
    </row>
    <row r="56" spans="1:25" s="2" customFormat="1" ht="25.5" x14ac:dyDescent="0.2">
      <c r="A56" s="5" t="s">
        <v>17093</v>
      </c>
      <c r="B56" s="5" t="s">
        <v>8584</v>
      </c>
      <c r="C56" s="5">
        <v>31</v>
      </c>
      <c r="D56" s="5"/>
      <c r="E56" s="5"/>
      <c r="F56" s="5" t="s">
        <v>17092</v>
      </c>
      <c r="G56" s="5" t="s">
        <v>6385</v>
      </c>
      <c r="H56" s="5" t="s">
        <v>137</v>
      </c>
      <c r="I56" s="5" t="s">
        <v>15390</v>
      </c>
      <c r="J56" s="5" t="s">
        <v>17091</v>
      </c>
      <c r="M56" s="1"/>
      <c r="N56"/>
      <c r="O56"/>
      <c r="P56"/>
      <c r="Q56"/>
      <c r="R56"/>
      <c r="S56"/>
      <c r="T56"/>
      <c r="U56"/>
      <c r="V56"/>
      <c r="W56"/>
      <c r="X56"/>
      <c r="Y56"/>
    </row>
    <row r="57" spans="1:25" s="2" customFormat="1" x14ac:dyDescent="0.2">
      <c r="A57" s="5" t="s">
        <v>17090</v>
      </c>
      <c r="B57" s="5" t="s">
        <v>8584</v>
      </c>
      <c r="C57" s="5">
        <v>32</v>
      </c>
      <c r="D57" s="5"/>
      <c r="E57" s="5"/>
      <c r="F57" s="5" t="s">
        <v>17089</v>
      </c>
      <c r="G57" s="5" t="s">
        <v>195</v>
      </c>
      <c r="H57" s="5" t="s">
        <v>137</v>
      </c>
      <c r="I57" s="5"/>
      <c r="J57" s="5" t="s">
        <v>17088</v>
      </c>
      <c r="M57" s="1"/>
      <c r="N57"/>
      <c r="O57"/>
      <c r="P57"/>
      <c r="Q57"/>
      <c r="R57"/>
      <c r="S57"/>
      <c r="T57"/>
      <c r="U57"/>
      <c r="V57"/>
      <c r="W57"/>
      <c r="X57"/>
      <c r="Y57"/>
    </row>
    <row r="58" spans="1:25" s="2" customFormat="1" x14ac:dyDescent="0.2">
      <c r="A58" s="5" t="s">
        <v>17087</v>
      </c>
      <c r="B58" s="5" t="s">
        <v>8584</v>
      </c>
      <c r="C58" s="5">
        <v>33</v>
      </c>
      <c r="D58" s="5"/>
      <c r="E58" s="5"/>
      <c r="F58" s="5" t="s">
        <v>17086</v>
      </c>
      <c r="G58" s="5" t="s">
        <v>195</v>
      </c>
      <c r="H58" s="5" t="s">
        <v>137</v>
      </c>
      <c r="I58" s="5"/>
      <c r="J58" s="5" t="s">
        <v>17085</v>
      </c>
      <c r="M58" s="1"/>
      <c r="N58"/>
      <c r="O58"/>
      <c r="P58"/>
      <c r="Q58"/>
      <c r="R58"/>
      <c r="S58"/>
      <c r="T58"/>
      <c r="U58"/>
      <c r="V58"/>
      <c r="W58"/>
      <c r="X58"/>
      <c r="Y58"/>
    </row>
    <row r="59" spans="1:25" s="2" customFormat="1" x14ac:dyDescent="0.2">
      <c r="A59" s="5" t="s">
        <v>9597</v>
      </c>
      <c r="B59" s="5" t="s">
        <v>8584</v>
      </c>
      <c r="C59" s="5">
        <v>34</v>
      </c>
      <c r="D59" s="5"/>
      <c r="E59" s="5"/>
      <c r="F59" s="5" t="s">
        <v>17084</v>
      </c>
      <c r="G59" s="5" t="s">
        <v>224</v>
      </c>
      <c r="H59" s="5" t="s">
        <v>3</v>
      </c>
      <c r="I59" s="5"/>
      <c r="J59" s="5" t="s">
        <v>17083</v>
      </c>
      <c r="M59" s="1"/>
      <c r="N59"/>
      <c r="O59"/>
      <c r="P59"/>
      <c r="Q59"/>
      <c r="R59"/>
      <c r="S59"/>
      <c r="T59"/>
      <c r="U59"/>
      <c r="V59"/>
      <c r="W59"/>
      <c r="X59"/>
      <c r="Y59"/>
    </row>
    <row r="60" spans="1:25" s="2" customFormat="1" ht="38.25" x14ac:dyDescent="0.2">
      <c r="A60" s="5" t="s">
        <v>16196</v>
      </c>
      <c r="B60" s="5" t="s">
        <v>8584</v>
      </c>
      <c r="C60" s="5">
        <v>34</v>
      </c>
      <c r="D60" s="5"/>
      <c r="E60" s="5"/>
      <c r="F60" s="5" t="s">
        <v>17082</v>
      </c>
      <c r="G60" s="5" t="s">
        <v>17081</v>
      </c>
      <c r="H60" s="5" t="s">
        <v>137</v>
      </c>
      <c r="I60" s="5" t="s">
        <v>15403</v>
      </c>
      <c r="J60" s="5" t="s">
        <v>17080</v>
      </c>
      <c r="M60" s="1"/>
      <c r="N60"/>
      <c r="O60"/>
      <c r="P60"/>
      <c r="Q60"/>
      <c r="R60"/>
      <c r="S60"/>
      <c r="T60"/>
      <c r="U60"/>
      <c r="V60"/>
      <c r="W60"/>
      <c r="X60"/>
      <c r="Y60"/>
    </row>
    <row r="61" spans="1:25" s="2" customFormat="1" ht="38.25" x14ac:dyDescent="0.2">
      <c r="A61" s="5" t="s">
        <v>17079</v>
      </c>
      <c r="B61" s="5" t="s">
        <v>8584</v>
      </c>
      <c r="C61" s="5">
        <v>35</v>
      </c>
      <c r="D61" s="5"/>
      <c r="E61" s="5"/>
      <c r="F61" s="5" t="s">
        <v>17078</v>
      </c>
      <c r="G61" s="5" t="s">
        <v>7296</v>
      </c>
      <c r="H61" s="5" t="s">
        <v>137</v>
      </c>
      <c r="I61" s="5"/>
      <c r="J61" s="5" t="s">
        <v>17077</v>
      </c>
      <c r="M61" s="1"/>
      <c r="N61"/>
      <c r="O61"/>
      <c r="P61"/>
      <c r="Q61"/>
      <c r="R61"/>
      <c r="S61"/>
      <c r="T61"/>
      <c r="U61"/>
      <c r="V61"/>
      <c r="W61"/>
      <c r="X61"/>
      <c r="Y61"/>
    </row>
    <row r="62" spans="1:25" s="2" customFormat="1" ht="25.5" x14ac:dyDescent="0.2">
      <c r="A62" s="5" t="s">
        <v>17076</v>
      </c>
      <c r="B62" s="5" t="s">
        <v>8584</v>
      </c>
      <c r="C62" s="5">
        <v>35</v>
      </c>
      <c r="D62" s="5"/>
      <c r="E62" s="5"/>
      <c r="F62" s="5" t="s">
        <v>17075</v>
      </c>
      <c r="G62" s="5" t="s">
        <v>224</v>
      </c>
      <c r="H62" s="5" t="s">
        <v>137</v>
      </c>
      <c r="I62" s="5"/>
      <c r="J62" s="5" t="s">
        <v>17074</v>
      </c>
      <c r="M62" s="1"/>
      <c r="N62"/>
      <c r="O62"/>
      <c r="P62"/>
      <c r="Q62"/>
      <c r="R62"/>
      <c r="S62"/>
      <c r="T62"/>
      <c r="U62"/>
      <c r="V62"/>
      <c r="W62"/>
      <c r="X62"/>
      <c r="Y62"/>
    </row>
    <row r="63" spans="1:25" s="2" customFormat="1" ht="38.25" x14ac:dyDescent="0.2">
      <c r="A63" s="5" t="s">
        <v>17073</v>
      </c>
      <c r="B63" s="5" t="s">
        <v>8584</v>
      </c>
      <c r="C63" s="5">
        <v>36</v>
      </c>
      <c r="D63" s="5"/>
      <c r="E63" s="5"/>
      <c r="F63" s="5" t="s">
        <v>408</v>
      </c>
      <c r="G63" s="5" t="s">
        <v>6385</v>
      </c>
      <c r="H63" s="5" t="s">
        <v>137</v>
      </c>
      <c r="I63" s="5" t="s">
        <v>15403</v>
      </c>
      <c r="J63" s="5" t="s">
        <v>17072</v>
      </c>
      <c r="M63" s="1"/>
      <c r="N63"/>
      <c r="O63"/>
      <c r="P63"/>
      <c r="Q63"/>
      <c r="R63"/>
      <c r="S63"/>
      <c r="T63"/>
      <c r="U63"/>
      <c r="V63"/>
      <c r="W63"/>
      <c r="X63"/>
      <c r="Y63"/>
    </row>
    <row r="64" spans="1:25" s="2" customFormat="1" ht="38.25" x14ac:dyDescent="0.2">
      <c r="A64" s="5" t="s">
        <v>17071</v>
      </c>
      <c r="B64" s="5" t="s">
        <v>8584</v>
      </c>
      <c r="C64" s="5">
        <v>37</v>
      </c>
      <c r="D64" s="5"/>
      <c r="E64" s="5"/>
      <c r="F64" s="5" t="s">
        <v>17070</v>
      </c>
      <c r="G64" s="5" t="s">
        <v>6385</v>
      </c>
      <c r="H64" s="5" t="s">
        <v>3</v>
      </c>
      <c r="I64" s="5"/>
      <c r="J64" s="5" t="s">
        <v>17069</v>
      </c>
      <c r="M64" s="1"/>
      <c r="N64"/>
      <c r="O64"/>
      <c r="P64"/>
      <c r="Q64"/>
      <c r="R64"/>
      <c r="S64"/>
      <c r="T64"/>
      <c r="U64"/>
      <c r="V64"/>
      <c r="W64"/>
      <c r="X64"/>
      <c r="Y64"/>
    </row>
    <row r="65" spans="1:25" s="2" customFormat="1" ht="25.5" x14ac:dyDescent="0.2">
      <c r="A65" s="5" t="s">
        <v>17068</v>
      </c>
      <c r="B65" s="5" t="s">
        <v>8584</v>
      </c>
      <c r="C65" s="5">
        <v>38</v>
      </c>
      <c r="D65" s="5"/>
      <c r="E65" s="5"/>
      <c r="F65" s="5" t="s">
        <v>17064</v>
      </c>
      <c r="G65" s="5" t="s">
        <v>7378</v>
      </c>
      <c r="H65" s="5" t="s">
        <v>137</v>
      </c>
      <c r="I65" s="5" t="s">
        <v>7844</v>
      </c>
      <c r="J65" s="5" t="s">
        <v>17062</v>
      </c>
      <c r="M65" s="1"/>
      <c r="N65"/>
      <c r="O65"/>
      <c r="P65"/>
      <c r="Q65"/>
      <c r="R65"/>
      <c r="S65"/>
      <c r="T65"/>
      <c r="U65"/>
      <c r="V65"/>
      <c r="W65"/>
      <c r="X65"/>
      <c r="Y65"/>
    </row>
    <row r="66" spans="1:25" s="2" customFormat="1" ht="38.25" x14ac:dyDescent="0.2">
      <c r="A66" s="5" t="s">
        <v>17067</v>
      </c>
      <c r="B66" s="5" t="s">
        <v>8584</v>
      </c>
      <c r="C66" s="5">
        <v>38</v>
      </c>
      <c r="D66" s="5"/>
      <c r="E66" s="5"/>
      <c r="F66" s="5"/>
      <c r="G66" s="5" t="s">
        <v>105</v>
      </c>
      <c r="H66" s="5" t="s">
        <v>3</v>
      </c>
      <c r="I66" s="5"/>
      <c r="J66" s="5" t="s">
        <v>17066</v>
      </c>
      <c r="M66" s="1"/>
      <c r="N66"/>
      <c r="O66"/>
      <c r="P66"/>
      <c r="Q66"/>
      <c r="R66"/>
      <c r="S66"/>
      <c r="T66"/>
      <c r="U66"/>
      <c r="V66"/>
      <c r="W66"/>
      <c r="X66"/>
      <c r="Y66"/>
    </row>
    <row r="67" spans="1:25" s="2" customFormat="1" ht="25.5" x14ac:dyDescent="0.2">
      <c r="A67" s="5" t="s">
        <v>17065</v>
      </c>
      <c r="B67" s="5" t="s">
        <v>8584</v>
      </c>
      <c r="C67" s="5">
        <v>39</v>
      </c>
      <c r="D67" s="5"/>
      <c r="E67" s="5"/>
      <c r="F67" s="5" t="s">
        <v>17064</v>
      </c>
      <c r="G67" s="5" t="s">
        <v>7378</v>
      </c>
      <c r="H67" s="5" t="s">
        <v>137</v>
      </c>
      <c r="I67" s="5" t="s">
        <v>7844</v>
      </c>
      <c r="J67" s="5" t="s">
        <v>17059</v>
      </c>
      <c r="M67" s="1"/>
      <c r="N67"/>
      <c r="O67"/>
      <c r="P67"/>
      <c r="Q67"/>
      <c r="R67"/>
      <c r="S67"/>
      <c r="T67"/>
      <c r="U67"/>
      <c r="V67"/>
      <c r="W67"/>
      <c r="X67"/>
      <c r="Y67"/>
    </row>
    <row r="68" spans="1:25" s="2" customFormat="1" ht="25.5" x14ac:dyDescent="0.2">
      <c r="A68" s="5" t="s">
        <v>17063</v>
      </c>
      <c r="B68" s="5" t="s">
        <v>8584</v>
      </c>
      <c r="C68" s="5">
        <v>40</v>
      </c>
      <c r="D68" s="5"/>
      <c r="E68" s="5"/>
      <c r="F68" s="5" t="s">
        <v>17060</v>
      </c>
      <c r="G68" s="5" t="s">
        <v>7378</v>
      </c>
      <c r="H68" s="5" t="s">
        <v>137</v>
      </c>
      <c r="I68" s="5" t="s">
        <v>15390</v>
      </c>
      <c r="J68" s="5" t="s">
        <v>17062</v>
      </c>
      <c r="M68" s="1"/>
      <c r="N68"/>
      <c r="O68"/>
      <c r="P68"/>
      <c r="Q68"/>
      <c r="R68"/>
      <c r="S68"/>
      <c r="T68"/>
      <c r="U68"/>
      <c r="V68"/>
      <c r="W68"/>
      <c r="X68"/>
      <c r="Y68"/>
    </row>
    <row r="69" spans="1:25" s="2" customFormat="1" ht="25.5" x14ac:dyDescent="0.2">
      <c r="A69" s="5" t="s">
        <v>17061</v>
      </c>
      <c r="B69" s="5" t="s">
        <v>8584</v>
      </c>
      <c r="C69" s="5">
        <v>41</v>
      </c>
      <c r="D69" s="5"/>
      <c r="E69" s="5"/>
      <c r="F69" s="5" t="s">
        <v>17060</v>
      </c>
      <c r="G69" s="5" t="s">
        <v>7378</v>
      </c>
      <c r="H69" s="5" t="s">
        <v>137</v>
      </c>
      <c r="I69" s="5" t="s">
        <v>15390</v>
      </c>
      <c r="J69" s="5" t="s">
        <v>17059</v>
      </c>
      <c r="M69" s="1"/>
      <c r="N69"/>
      <c r="O69"/>
      <c r="P69"/>
      <c r="Q69"/>
      <c r="R69"/>
      <c r="S69"/>
      <c r="T69"/>
      <c r="U69"/>
      <c r="V69"/>
      <c r="W69"/>
      <c r="X69"/>
      <c r="Y69"/>
    </row>
    <row r="70" spans="1:25" s="2" customFormat="1" ht="25.5" x14ac:dyDescent="0.2">
      <c r="A70" s="5" t="s">
        <v>17058</v>
      </c>
      <c r="B70" s="5" t="s">
        <v>8584</v>
      </c>
      <c r="C70" s="5">
        <v>42</v>
      </c>
      <c r="D70" s="5"/>
      <c r="E70" s="5"/>
      <c r="F70" s="5" t="s">
        <v>16256</v>
      </c>
      <c r="G70" s="5" t="s">
        <v>148</v>
      </c>
      <c r="H70" s="5" t="s">
        <v>3</v>
      </c>
      <c r="I70" s="5"/>
      <c r="J70" s="5" t="s">
        <v>17056</v>
      </c>
      <c r="M70" s="1"/>
      <c r="N70"/>
      <c r="O70"/>
      <c r="P70"/>
      <c r="Q70"/>
      <c r="R70"/>
      <c r="S70"/>
      <c r="T70"/>
      <c r="U70"/>
      <c r="V70"/>
      <c r="W70"/>
      <c r="X70"/>
      <c r="Y70"/>
    </row>
    <row r="71" spans="1:25" s="2" customFormat="1" ht="25.5" x14ac:dyDescent="0.2">
      <c r="A71" s="5" t="s">
        <v>17057</v>
      </c>
      <c r="B71" s="5" t="s">
        <v>8584</v>
      </c>
      <c r="C71" s="5">
        <v>42</v>
      </c>
      <c r="D71" s="5"/>
      <c r="E71" s="5" t="s">
        <v>93</v>
      </c>
      <c r="F71" s="5" t="s">
        <v>16256</v>
      </c>
      <c r="G71" s="5" t="s">
        <v>148</v>
      </c>
      <c r="H71" s="5" t="s">
        <v>3</v>
      </c>
      <c r="I71" s="5"/>
      <c r="J71" s="5" t="s">
        <v>17056</v>
      </c>
      <c r="M71" s="1"/>
      <c r="N71"/>
      <c r="O71"/>
      <c r="P71"/>
      <c r="Q71"/>
      <c r="R71"/>
      <c r="S71"/>
      <c r="T71"/>
      <c r="U71"/>
      <c r="V71"/>
      <c r="W71"/>
      <c r="X71"/>
      <c r="Y71"/>
    </row>
    <row r="72" spans="1:25" s="2" customFormat="1" x14ac:dyDescent="0.2">
      <c r="A72" s="5" t="s">
        <v>17055</v>
      </c>
      <c r="B72" s="5" t="s">
        <v>8584</v>
      </c>
      <c r="C72" s="5">
        <v>43</v>
      </c>
      <c r="D72" s="5"/>
      <c r="E72" s="5"/>
      <c r="F72" s="5" t="s">
        <v>17054</v>
      </c>
      <c r="G72" s="5" t="s">
        <v>229</v>
      </c>
      <c r="H72" s="5" t="s">
        <v>3</v>
      </c>
      <c r="I72" s="5"/>
      <c r="J72" s="5" t="s">
        <v>17053</v>
      </c>
      <c r="M72" s="1"/>
      <c r="N72"/>
      <c r="O72"/>
      <c r="P72"/>
      <c r="Q72"/>
      <c r="R72"/>
      <c r="S72"/>
      <c r="T72"/>
      <c r="U72"/>
      <c r="V72"/>
      <c r="W72"/>
      <c r="X72"/>
      <c r="Y72"/>
    </row>
    <row r="73" spans="1:25" s="2" customFormat="1" ht="38.25" x14ac:dyDescent="0.2">
      <c r="A73" s="5" t="s">
        <v>17052</v>
      </c>
      <c r="B73" s="5" t="s">
        <v>8584</v>
      </c>
      <c r="C73" s="5">
        <v>44</v>
      </c>
      <c r="D73" s="5"/>
      <c r="E73" s="5" t="s">
        <v>299</v>
      </c>
      <c r="F73" s="5" t="s">
        <v>6478</v>
      </c>
      <c r="G73" s="5" t="s">
        <v>195</v>
      </c>
      <c r="H73" s="5" t="s">
        <v>137</v>
      </c>
      <c r="I73" s="5" t="s">
        <v>15385</v>
      </c>
      <c r="J73" s="5" t="s">
        <v>17051</v>
      </c>
      <c r="M73" s="1"/>
      <c r="N73"/>
      <c r="O73"/>
      <c r="P73"/>
      <c r="Q73"/>
      <c r="R73"/>
      <c r="S73"/>
      <c r="T73"/>
      <c r="U73"/>
      <c r="V73"/>
      <c r="W73"/>
      <c r="X73"/>
      <c r="Y73"/>
    </row>
    <row r="74" spans="1:25" s="2" customFormat="1" ht="25.5" x14ac:dyDescent="0.2">
      <c r="A74" s="5" t="s">
        <v>17050</v>
      </c>
      <c r="B74" s="5" t="s">
        <v>8584</v>
      </c>
      <c r="C74" s="5">
        <v>44</v>
      </c>
      <c r="D74" s="5"/>
      <c r="E74" s="5"/>
      <c r="F74" s="5" t="s">
        <v>17044</v>
      </c>
      <c r="G74" s="5" t="s">
        <v>173</v>
      </c>
      <c r="H74" s="5" t="s">
        <v>137</v>
      </c>
      <c r="I74" s="5" t="s">
        <v>15390</v>
      </c>
      <c r="J74" s="5" t="s">
        <v>17049</v>
      </c>
      <c r="M74" s="1"/>
      <c r="N74"/>
      <c r="O74"/>
      <c r="P74"/>
      <c r="Q74"/>
      <c r="R74"/>
      <c r="S74"/>
      <c r="T74"/>
      <c r="U74"/>
      <c r="V74"/>
      <c r="W74"/>
      <c r="X74"/>
      <c r="Y74"/>
    </row>
    <row r="75" spans="1:25" s="2" customFormat="1" ht="25.5" x14ac:dyDescent="0.2">
      <c r="A75" s="5" t="s">
        <v>6477</v>
      </c>
      <c r="B75" s="5" t="s">
        <v>8584</v>
      </c>
      <c r="C75" s="5">
        <v>44</v>
      </c>
      <c r="D75" s="5"/>
      <c r="E75" s="5" t="s">
        <v>299</v>
      </c>
      <c r="F75" s="5" t="s">
        <v>6478</v>
      </c>
      <c r="G75" s="5" t="s">
        <v>195</v>
      </c>
      <c r="H75" s="5" t="s">
        <v>137</v>
      </c>
      <c r="I75" s="5" t="s">
        <v>15390</v>
      </c>
      <c r="J75" s="5" t="s">
        <v>17048</v>
      </c>
      <c r="M75" s="1"/>
      <c r="N75"/>
      <c r="O75"/>
      <c r="P75"/>
      <c r="Q75"/>
      <c r="R75"/>
      <c r="S75"/>
      <c r="T75"/>
      <c r="U75"/>
      <c r="V75"/>
      <c r="W75"/>
      <c r="X75"/>
      <c r="Y75"/>
    </row>
    <row r="76" spans="1:25" s="2" customFormat="1" ht="38.25" x14ac:dyDescent="0.2">
      <c r="A76" s="5" t="s">
        <v>17047</v>
      </c>
      <c r="B76" s="5" t="s">
        <v>8584</v>
      </c>
      <c r="C76" s="5">
        <v>45</v>
      </c>
      <c r="D76" s="5"/>
      <c r="E76" s="5" t="s">
        <v>299</v>
      </c>
      <c r="F76" s="5" t="s">
        <v>6478</v>
      </c>
      <c r="G76" s="5" t="s">
        <v>195</v>
      </c>
      <c r="H76" s="5" t="s">
        <v>137</v>
      </c>
      <c r="I76" s="5" t="s">
        <v>15385</v>
      </c>
      <c r="J76" s="5" t="s">
        <v>17046</v>
      </c>
      <c r="M76" s="1"/>
      <c r="N76"/>
      <c r="O76"/>
      <c r="P76"/>
      <c r="Q76"/>
      <c r="R76"/>
      <c r="S76"/>
      <c r="T76"/>
      <c r="U76"/>
      <c r="V76"/>
      <c r="W76"/>
      <c r="X76"/>
      <c r="Y76"/>
    </row>
    <row r="77" spans="1:25" s="2" customFormat="1" ht="25.5" x14ac:dyDescent="0.2">
      <c r="A77" s="5" t="s">
        <v>17045</v>
      </c>
      <c r="B77" s="5" t="s">
        <v>8584</v>
      </c>
      <c r="C77" s="5">
        <v>45</v>
      </c>
      <c r="D77" s="5"/>
      <c r="E77" s="5"/>
      <c r="F77" s="5" t="s">
        <v>17044</v>
      </c>
      <c r="G77" s="5" t="s">
        <v>173</v>
      </c>
      <c r="H77" s="5" t="s">
        <v>137</v>
      </c>
      <c r="I77" s="5" t="s">
        <v>15390</v>
      </c>
      <c r="J77" s="5" t="s">
        <v>17043</v>
      </c>
      <c r="M77" s="1"/>
      <c r="N77"/>
      <c r="O77"/>
      <c r="P77"/>
      <c r="Q77"/>
      <c r="R77"/>
      <c r="S77"/>
      <c r="T77"/>
      <c r="U77"/>
      <c r="V77"/>
      <c r="W77"/>
      <c r="X77"/>
      <c r="Y77"/>
    </row>
    <row r="78" spans="1:25" s="2" customFormat="1" ht="25.5" x14ac:dyDescent="0.2">
      <c r="A78" s="5" t="s">
        <v>17042</v>
      </c>
      <c r="B78" s="5" t="s">
        <v>8584</v>
      </c>
      <c r="C78" s="5">
        <v>45</v>
      </c>
      <c r="D78" s="5"/>
      <c r="E78" s="5" t="s">
        <v>299</v>
      </c>
      <c r="F78" s="5" t="s">
        <v>6478</v>
      </c>
      <c r="G78" s="5" t="s">
        <v>195</v>
      </c>
      <c r="H78" s="5" t="s">
        <v>137</v>
      </c>
      <c r="I78" s="5" t="s">
        <v>15390</v>
      </c>
      <c r="J78" s="5" t="s">
        <v>17041</v>
      </c>
      <c r="M78" s="1"/>
      <c r="N78"/>
      <c r="O78"/>
      <c r="P78"/>
      <c r="Q78"/>
      <c r="R78"/>
      <c r="S78"/>
      <c r="T78"/>
      <c r="U78"/>
      <c r="V78"/>
      <c r="W78"/>
      <c r="X78"/>
      <c r="Y78"/>
    </row>
    <row r="79" spans="1:25" s="2" customFormat="1" ht="38.25" x14ac:dyDescent="0.2">
      <c r="A79" s="5" t="s">
        <v>17040</v>
      </c>
      <c r="B79" s="5" t="s">
        <v>8584</v>
      </c>
      <c r="C79" s="5">
        <v>46</v>
      </c>
      <c r="D79" s="5"/>
      <c r="E79" s="5" t="s">
        <v>299</v>
      </c>
      <c r="F79" s="5" t="s">
        <v>6478</v>
      </c>
      <c r="G79" s="5" t="s">
        <v>195</v>
      </c>
      <c r="H79" s="5" t="s">
        <v>137</v>
      </c>
      <c r="I79" s="5" t="s">
        <v>15385</v>
      </c>
      <c r="J79" s="5" t="s">
        <v>17039</v>
      </c>
      <c r="M79" s="1"/>
      <c r="N79"/>
      <c r="O79"/>
      <c r="P79"/>
      <c r="Q79"/>
      <c r="R79"/>
      <c r="S79"/>
      <c r="T79"/>
      <c r="U79"/>
      <c r="V79"/>
      <c r="W79"/>
      <c r="X79"/>
      <c r="Y79"/>
    </row>
    <row r="80" spans="1:25" s="2" customFormat="1" ht="25.5" x14ac:dyDescent="0.2">
      <c r="A80" s="5" t="s">
        <v>17038</v>
      </c>
      <c r="B80" s="5" t="s">
        <v>8584</v>
      </c>
      <c r="C80" s="5">
        <v>46</v>
      </c>
      <c r="D80" s="5"/>
      <c r="E80" s="5"/>
      <c r="F80" s="5" t="s">
        <v>8778</v>
      </c>
      <c r="G80" s="5" t="s">
        <v>173</v>
      </c>
      <c r="H80" s="5" t="s">
        <v>137</v>
      </c>
      <c r="I80" s="5" t="s">
        <v>15390</v>
      </c>
      <c r="J80" s="5" t="s">
        <v>17037</v>
      </c>
      <c r="M80" s="1"/>
      <c r="N80"/>
      <c r="O80"/>
      <c r="P80"/>
      <c r="Q80"/>
      <c r="R80"/>
      <c r="S80"/>
      <c r="T80"/>
      <c r="U80"/>
      <c r="V80"/>
      <c r="W80"/>
      <c r="X80"/>
      <c r="Y80"/>
    </row>
    <row r="81" spans="1:25" s="2" customFormat="1" ht="25.5" x14ac:dyDescent="0.2">
      <c r="A81" s="5" t="s">
        <v>17036</v>
      </c>
      <c r="B81" s="5" t="s">
        <v>8584</v>
      </c>
      <c r="C81" s="5">
        <v>46</v>
      </c>
      <c r="D81" s="5"/>
      <c r="E81" s="5" t="s">
        <v>299</v>
      </c>
      <c r="F81" s="5" t="s">
        <v>6478</v>
      </c>
      <c r="G81" s="5" t="s">
        <v>195</v>
      </c>
      <c r="H81" s="5" t="s">
        <v>137</v>
      </c>
      <c r="I81" s="5" t="s">
        <v>15390</v>
      </c>
      <c r="J81" s="5" t="s">
        <v>17035</v>
      </c>
      <c r="M81" s="1"/>
      <c r="N81"/>
      <c r="O81"/>
      <c r="P81"/>
      <c r="Q81"/>
      <c r="R81"/>
      <c r="S81"/>
      <c r="T81"/>
      <c r="U81"/>
      <c r="V81"/>
      <c r="W81"/>
      <c r="X81"/>
      <c r="Y81"/>
    </row>
    <row r="82" spans="1:25" s="2" customFormat="1" ht="38.25" x14ac:dyDescent="0.2">
      <c r="A82" s="5" t="s">
        <v>17034</v>
      </c>
      <c r="B82" s="5" t="s">
        <v>8584</v>
      </c>
      <c r="C82" s="5">
        <v>47</v>
      </c>
      <c r="D82" s="5"/>
      <c r="E82" s="5" t="s">
        <v>299</v>
      </c>
      <c r="F82" s="5" t="s">
        <v>6478</v>
      </c>
      <c r="G82" s="5" t="s">
        <v>195</v>
      </c>
      <c r="H82" s="5" t="s">
        <v>137</v>
      </c>
      <c r="I82" s="5" t="s">
        <v>15385</v>
      </c>
      <c r="J82" s="5" t="s">
        <v>17033</v>
      </c>
      <c r="M82" s="1"/>
      <c r="N82"/>
      <c r="O82"/>
      <c r="P82"/>
      <c r="Q82"/>
      <c r="R82"/>
      <c r="S82"/>
      <c r="T82"/>
      <c r="U82"/>
      <c r="V82"/>
      <c r="W82"/>
      <c r="X82"/>
      <c r="Y82"/>
    </row>
    <row r="83" spans="1:25" s="2" customFormat="1" ht="25.5" x14ac:dyDescent="0.2">
      <c r="A83" s="5" t="s">
        <v>17032</v>
      </c>
      <c r="B83" s="5" t="s">
        <v>8584</v>
      </c>
      <c r="C83" s="5">
        <v>47</v>
      </c>
      <c r="D83" s="5"/>
      <c r="E83" s="5"/>
      <c r="F83" s="5" t="s">
        <v>17027</v>
      </c>
      <c r="G83" s="5" t="s">
        <v>173</v>
      </c>
      <c r="H83" s="5" t="s">
        <v>137</v>
      </c>
      <c r="I83" s="5" t="s">
        <v>15390</v>
      </c>
      <c r="J83" s="5" t="s">
        <v>17031</v>
      </c>
      <c r="M83" s="1"/>
      <c r="N83"/>
      <c r="O83"/>
      <c r="P83"/>
      <c r="Q83"/>
      <c r="R83"/>
      <c r="S83"/>
      <c r="T83"/>
      <c r="U83"/>
      <c r="V83"/>
      <c r="W83"/>
      <c r="X83"/>
      <c r="Y83"/>
    </row>
    <row r="84" spans="1:25" s="2" customFormat="1" ht="25.5" x14ac:dyDescent="0.2">
      <c r="A84" s="5" t="s">
        <v>17030</v>
      </c>
      <c r="B84" s="5" t="s">
        <v>8584</v>
      </c>
      <c r="C84" s="5">
        <v>47</v>
      </c>
      <c r="D84" s="5"/>
      <c r="E84" s="5" t="s">
        <v>299</v>
      </c>
      <c r="F84" s="5" t="s">
        <v>6478</v>
      </c>
      <c r="G84" s="5" t="s">
        <v>195</v>
      </c>
      <c r="H84" s="5" t="s">
        <v>137</v>
      </c>
      <c r="I84" s="5" t="s">
        <v>15390</v>
      </c>
      <c r="J84" s="5" t="s">
        <v>17029</v>
      </c>
      <c r="M84" s="1"/>
      <c r="N84"/>
      <c r="O84"/>
      <c r="P84"/>
      <c r="Q84"/>
      <c r="R84"/>
      <c r="S84"/>
      <c r="T84"/>
      <c r="U84"/>
      <c r="V84"/>
      <c r="W84"/>
      <c r="X84"/>
      <c r="Y84"/>
    </row>
    <row r="85" spans="1:25" s="2" customFormat="1" ht="25.5" x14ac:dyDescent="0.2">
      <c r="A85" s="5" t="s">
        <v>17028</v>
      </c>
      <c r="B85" s="5" t="s">
        <v>8584</v>
      </c>
      <c r="C85" s="5">
        <v>48</v>
      </c>
      <c r="D85" s="5"/>
      <c r="E85" s="5"/>
      <c r="F85" s="5" t="s">
        <v>17027</v>
      </c>
      <c r="G85" s="5" t="s">
        <v>173</v>
      </c>
      <c r="H85" s="5" t="s">
        <v>137</v>
      </c>
      <c r="I85" s="5" t="s">
        <v>15390</v>
      </c>
      <c r="J85" s="5" t="s">
        <v>17026</v>
      </c>
      <c r="M85" s="1"/>
      <c r="N85"/>
      <c r="O85"/>
      <c r="P85"/>
      <c r="Q85"/>
      <c r="R85"/>
      <c r="S85"/>
      <c r="T85"/>
      <c r="U85"/>
      <c r="V85"/>
      <c r="W85"/>
      <c r="X85"/>
      <c r="Y85"/>
    </row>
    <row r="86" spans="1:25" s="2" customFormat="1" ht="25.5" x14ac:dyDescent="0.2">
      <c r="A86" s="5" t="s">
        <v>17025</v>
      </c>
      <c r="B86" s="5" t="s">
        <v>8584</v>
      </c>
      <c r="C86" s="5">
        <v>49</v>
      </c>
      <c r="D86" s="5"/>
      <c r="E86" s="5"/>
      <c r="F86" s="5" t="s">
        <v>14864</v>
      </c>
      <c r="G86" s="5" t="s">
        <v>7378</v>
      </c>
      <c r="H86" s="5" t="s">
        <v>137</v>
      </c>
      <c r="I86" s="5" t="s">
        <v>7844</v>
      </c>
      <c r="J86" s="5" t="s">
        <v>17024</v>
      </c>
      <c r="M86" s="1"/>
      <c r="N86"/>
      <c r="O86"/>
      <c r="P86"/>
      <c r="Q86"/>
      <c r="R86"/>
      <c r="S86"/>
      <c r="T86"/>
      <c r="U86"/>
      <c r="V86"/>
      <c r="W86"/>
      <c r="X86"/>
      <c r="Y86"/>
    </row>
    <row r="87" spans="1:25" s="2" customFormat="1" ht="25.5" x14ac:dyDescent="0.2">
      <c r="A87" s="5" t="s">
        <v>17023</v>
      </c>
      <c r="B87" s="5" t="s">
        <v>8584</v>
      </c>
      <c r="C87" s="5">
        <v>50</v>
      </c>
      <c r="D87" s="5"/>
      <c r="E87" s="5"/>
      <c r="F87" s="5" t="s">
        <v>7630</v>
      </c>
      <c r="G87" s="5" t="s">
        <v>148</v>
      </c>
      <c r="H87" s="5" t="s">
        <v>137</v>
      </c>
      <c r="I87" s="5" t="s">
        <v>7844</v>
      </c>
      <c r="J87" s="5" t="s">
        <v>17022</v>
      </c>
      <c r="M87" s="1"/>
      <c r="N87"/>
      <c r="O87"/>
      <c r="P87"/>
      <c r="Q87"/>
      <c r="R87"/>
      <c r="S87"/>
      <c r="T87"/>
      <c r="U87"/>
      <c r="V87"/>
      <c r="W87"/>
      <c r="X87"/>
      <c r="Y87"/>
    </row>
    <row r="88" spans="1:25" s="2" customFormat="1" ht="25.5" x14ac:dyDescent="0.2">
      <c r="A88" s="5" t="s">
        <v>17021</v>
      </c>
      <c r="B88" s="5" t="s">
        <v>8584</v>
      </c>
      <c r="C88" s="5">
        <v>51</v>
      </c>
      <c r="D88" s="5"/>
      <c r="E88" s="5"/>
      <c r="F88" s="5" t="s">
        <v>1495</v>
      </c>
      <c r="G88" s="5" t="s">
        <v>173</v>
      </c>
      <c r="H88" s="5" t="s">
        <v>137</v>
      </c>
      <c r="I88" s="5" t="s">
        <v>7844</v>
      </c>
      <c r="J88" s="5" t="s">
        <v>17020</v>
      </c>
      <c r="M88" s="1"/>
      <c r="N88"/>
      <c r="O88"/>
      <c r="P88"/>
      <c r="Q88"/>
      <c r="R88"/>
      <c r="S88"/>
      <c r="T88"/>
      <c r="U88"/>
      <c r="V88"/>
      <c r="W88"/>
      <c r="X88"/>
      <c r="Y88"/>
    </row>
    <row r="89" spans="1:25" s="2" customFormat="1" ht="25.5" x14ac:dyDescent="0.2">
      <c r="A89" s="5" t="s">
        <v>17019</v>
      </c>
      <c r="B89" s="5" t="s">
        <v>8584</v>
      </c>
      <c r="C89" s="5">
        <v>52</v>
      </c>
      <c r="D89" s="5"/>
      <c r="E89" s="5"/>
      <c r="F89" s="5" t="s">
        <v>15912</v>
      </c>
      <c r="G89" s="5" t="s">
        <v>148</v>
      </c>
      <c r="H89" s="5" t="s">
        <v>137</v>
      </c>
      <c r="I89" s="5" t="s">
        <v>7844</v>
      </c>
      <c r="J89" s="5" t="s">
        <v>17018</v>
      </c>
      <c r="M89" s="1"/>
      <c r="N89"/>
      <c r="O89"/>
      <c r="P89"/>
      <c r="Q89"/>
      <c r="R89"/>
      <c r="S89"/>
      <c r="T89"/>
      <c r="U89"/>
      <c r="V89"/>
      <c r="W89"/>
      <c r="X89"/>
      <c r="Y89"/>
    </row>
    <row r="90" spans="1:25" s="2" customFormat="1" ht="25.5" x14ac:dyDescent="0.2">
      <c r="A90" s="5" t="s">
        <v>17017</v>
      </c>
      <c r="B90" s="5" t="s">
        <v>8584</v>
      </c>
      <c r="C90" s="5">
        <v>53</v>
      </c>
      <c r="D90" s="5"/>
      <c r="E90" s="5"/>
      <c r="F90" s="5" t="s">
        <v>7630</v>
      </c>
      <c r="G90" s="5" t="s">
        <v>148</v>
      </c>
      <c r="H90" s="5" t="s">
        <v>137</v>
      </c>
      <c r="I90" s="5" t="s">
        <v>7844</v>
      </c>
      <c r="J90" s="5" t="s">
        <v>17016</v>
      </c>
      <c r="M90" s="1"/>
      <c r="N90"/>
      <c r="O90"/>
      <c r="P90"/>
      <c r="Q90"/>
      <c r="R90"/>
      <c r="S90"/>
      <c r="T90"/>
      <c r="U90"/>
      <c r="V90"/>
      <c r="W90"/>
      <c r="X90"/>
      <c r="Y90"/>
    </row>
    <row r="91" spans="1:25" s="2" customFormat="1" ht="25.5" x14ac:dyDescent="0.2">
      <c r="A91" s="5" t="s">
        <v>17015</v>
      </c>
      <c r="B91" s="5" t="s">
        <v>8584</v>
      </c>
      <c r="C91" s="5">
        <v>54</v>
      </c>
      <c r="D91" s="5"/>
      <c r="E91" s="5"/>
      <c r="F91" s="5" t="s">
        <v>2833</v>
      </c>
      <c r="G91" s="5" t="s">
        <v>148</v>
      </c>
      <c r="H91" s="5" t="s">
        <v>137</v>
      </c>
      <c r="I91" s="5" t="s">
        <v>7844</v>
      </c>
      <c r="J91" s="5" t="s">
        <v>17014</v>
      </c>
      <c r="M91" s="1"/>
      <c r="N91"/>
      <c r="O91"/>
      <c r="P91"/>
      <c r="Q91"/>
      <c r="R91"/>
      <c r="S91"/>
      <c r="T91"/>
      <c r="U91"/>
      <c r="V91"/>
      <c r="W91"/>
      <c r="X91"/>
      <c r="Y91"/>
    </row>
    <row r="92" spans="1:25" s="2" customFormat="1" ht="25.5" x14ac:dyDescent="0.2">
      <c r="A92" s="5" t="s">
        <v>17013</v>
      </c>
      <c r="B92" s="5" t="s">
        <v>8584</v>
      </c>
      <c r="C92" s="5">
        <v>54</v>
      </c>
      <c r="D92" s="5"/>
      <c r="E92" s="5"/>
      <c r="F92" s="5" t="s">
        <v>15655</v>
      </c>
      <c r="G92" s="5" t="s">
        <v>148</v>
      </c>
      <c r="H92" s="5" t="s">
        <v>137</v>
      </c>
      <c r="I92" s="5" t="s">
        <v>15390</v>
      </c>
      <c r="J92" s="5" t="s">
        <v>17012</v>
      </c>
      <c r="M92" s="1"/>
      <c r="N92"/>
      <c r="O92"/>
      <c r="P92"/>
      <c r="Q92"/>
      <c r="R92"/>
      <c r="S92"/>
      <c r="T92"/>
      <c r="U92"/>
      <c r="V92"/>
      <c r="W92"/>
      <c r="X92"/>
      <c r="Y92"/>
    </row>
    <row r="93" spans="1:25" s="2" customFormat="1" ht="25.5" x14ac:dyDescent="0.2">
      <c r="A93" s="5" t="s">
        <v>10239</v>
      </c>
      <c r="B93" s="5" t="s">
        <v>8584</v>
      </c>
      <c r="C93" s="5">
        <v>55</v>
      </c>
      <c r="D93" s="5"/>
      <c r="E93" s="5"/>
      <c r="F93" s="5" t="s">
        <v>15912</v>
      </c>
      <c r="G93" s="5" t="s">
        <v>896</v>
      </c>
      <c r="H93" s="5" t="s">
        <v>137</v>
      </c>
      <c r="I93" s="5" t="s">
        <v>7844</v>
      </c>
      <c r="J93" s="5" t="s">
        <v>17011</v>
      </c>
      <c r="M93" s="1"/>
      <c r="N93"/>
      <c r="O93"/>
      <c r="P93"/>
      <c r="Q93"/>
      <c r="R93"/>
      <c r="S93"/>
      <c r="T93"/>
      <c r="U93"/>
      <c r="V93"/>
      <c r="W93"/>
      <c r="X93"/>
      <c r="Y93"/>
    </row>
    <row r="94" spans="1:25" s="2" customFormat="1" ht="25.5" x14ac:dyDescent="0.2">
      <c r="A94" s="5" t="s">
        <v>17010</v>
      </c>
      <c r="B94" s="5" t="s">
        <v>8584</v>
      </c>
      <c r="C94" s="5">
        <v>56</v>
      </c>
      <c r="D94" s="5"/>
      <c r="E94" s="5"/>
      <c r="F94" s="5" t="s">
        <v>15655</v>
      </c>
      <c r="G94" s="5" t="s">
        <v>896</v>
      </c>
      <c r="H94" s="5" t="s">
        <v>137</v>
      </c>
      <c r="I94" s="5" t="s">
        <v>15390</v>
      </c>
      <c r="J94" s="5" t="s">
        <v>17009</v>
      </c>
      <c r="M94" s="1"/>
      <c r="N94"/>
      <c r="O94"/>
      <c r="P94"/>
      <c r="Q94"/>
      <c r="R94"/>
      <c r="S94"/>
      <c r="T94"/>
      <c r="U94"/>
      <c r="V94"/>
      <c r="W94"/>
      <c r="X94"/>
      <c r="Y94"/>
    </row>
    <row r="95" spans="1:25" s="2" customFormat="1" ht="25.5" x14ac:dyDescent="0.2">
      <c r="A95" s="5" t="s">
        <v>17008</v>
      </c>
      <c r="B95" s="5" t="s">
        <v>8584</v>
      </c>
      <c r="C95" s="5">
        <v>57</v>
      </c>
      <c r="D95" s="5"/>
      <c r="E95" s="5"/>
      <c r="F95" s="5" t="s">
        <v>16123</v>
      </c>
      <c r="G95" s="5" t="s">
        <v>148</v>
      </c>
      <c r="H95" s="5" t="s">
        <v>137</v>
      </c>
      <c r="I95" s="5" t="s">
        <v>7844</v>
      </c>
      <c r="J95" s="5" t="s">
        <v>16122</v>
      </c>
      <c r="M95" s="1"/>
      <c r="N95"/>
      <c r="O95"/>
      <c r="P95"/>
      <c r="Q95"/>
      <c r="R95"/>
      <c r="S95"/>
      <c r="T95"/>
      <c r="U95"/>
      <c r="V95"/>
      <c r="W95"/>
      <c r="X95"/>
      <c r="Y95"/>
    </row>
    <row r="96" spans="1:25" s="2" customFormat="1" ht="25.5" x14ac:dyDescent="0.2">
      <c r="A96" s="5" t="s">
        <v>17007</v>
      </c>
      <c r="B96" s="5" t="s">
        <v>8584</v>
      </c>
      <c r="C96" s="5">
        <v>58</v>
      </c>
      <c r="D96" s="5"/>
      <c r="E96" s="5" t="s">
        <v>138</v>
      </c>
      <c r="F96" s="5" t="s">
        <v>15519</v>
      </c>
      <c r="G96" s="5" t="s">
        <v>403</v>
      </c>
      <c r="H96" s="5" t="s">
        <v>137</v>
      </c>
      <c r="I96" s="5" t="s">
        <v>15390</v>
      </c>
      <c r="J96" s="5" t="s">
        <v>17006</v>
      </c>
      <c r="M96" s="1"/>
      <c r="N96"/>
      <c r="O96"/>
      <c r="P96"/>
      <c r="Q96"/>
      <c r="R96"/>
      <c r="S96"/>
      <c r="T96"/>
      <c r="U96"/>
      <c r="V96"/>
      <c r="W96"/>
      <c r="X96"/>
      <c r="Y96"/>
    </row>
    <row r="97" spans="1:25" s="2" customFormat="1" ht="25.5" x14ac:dyDescent="0.2">
      <c r="A97" s="5" t="s">
        <v>17005</v>
      </c>
      <c r="B97" s="5" t="s">
        <v>8584</v>
      </c>
      <c r="C97" s="5">
        <v>59</v>
      </c>
      <c r="D97" s="5"/>
      <c r="E97" s="5"/>
      <c r="F97" s="5" t="s">
        <v>16998</v>
      </c>
      <c r="G97" s="5" t="s">
        <v>195</v>
      </c>
      <c r="H97" s="5" t="s">
        <v>137</v>
      </c>
      <c r="I97" s="5" t="s">
        <v>7844</v>
      </c>
      <c r="J97" s="5" t="s">
        <v>17004</v>
      </c>
      <c r="M97" s="1"/>
      <c r="N97"/>
      <c r="O97"/>
      <c r="P97"/>
      <c r="Q97"/>
      <c r="R97"/>
      <c r="S97"/>
      <c r="T97"/>
      <c r="U97"/>
      <c r="V97"/>
      <c r="W97"/>
      <c r="X97"/>
      <c r="Y97"/>
    </row>
    <row r="98" spans="1:25" s="2" customFormat="1" ht="25.5" x14ac:dyDescent="0.2">
      <c r="A98" s="5" t="s">
        <v>17003</v>
      </c>
      <c r="B98" s="5" t="s">
        <v>8584</v>
      </c>
      <c r="C98" s="5">
        <v>59</v>
      </c>
      <c r="D98" s="5"/>
      <c r="E98" s="5"/>
      <c r="F98" s="5" t="s">
        <v>15912</v>
      </c>
      <c r="G98" s="5" t="s">
        <v>195</v>
      </c>
      <c r="H98" s="5" t="s">
        <v>137</v>
      </c>
      <c r="I98" s="5" t="s">
        <v>7844</v>
      </c>
      <c r="J98" s="5" t="s">
        <v>17002</v>
      </c>
      <c r="M98" s="1"/>
      <c r="N98"/>
      <c r="O98"/>
      <c r="P98"/>
      <c r="Q98"/>
      <c r="R98"/>
      <c r="S98"/>
      <c r="T98"/>
      <c r="U98"/>
      <c r="V98"/>
      <c r="W98"/>
      <c r="X98"/>
      <c r="Y98"/>
    </row>
    <row r="99" spans="1:25" s="2" customFormat="1" ht="25.5" x14ac:dyDescent="0.2">
      <c r="A99" s="5" t="s">
        <v>17001</v>
      </c>
      <c r="B99" s="5" t="s">
        <v>8584</v>
      </c>
      <c r="C99" s="5">
        <v>59</v>
      </c>
      <c r="D99" s="5"/>
      <c r="E99" s="5"/>
      <c r="F99" s="5" t="s">
        <v>15912</v>
      </c>
      <c r="G99" s="5" t="s">
        <v>195</v>
      </c>
      <c r="H99" s="5" t="s">
        <v>137</v>
      </c>
      <c r="I99" s="5" t="s">
        <v>7844</v>
      </c>
      <c r="J99" s="5" t="s">
        <v>17000</v>
      </c>
      <c r="M99" s="1"/>
      <c r="N99"/>
      <c r="O99"/>
      <c r="P99"/>
      <c r="Q99"/>
      <c r="R99"/>
      <c r="S99"/>
      <c r="T99"/>
      <c r="U99"/>
      <c r="V99"/>
      <c r="W99"/>
      <c r="X99"/>
      <c r="Y99"/>
    </row>
    <row r="100" spans="1:25" s="2" customFormat="1" ht="25.5" x14ac:dyDescent="0.2">
      <c r="A100" s="5" t="s">
        <v>16999</v>
      </c>
      <c r="B100" s="5" t="s">
        <v>8584</v>
      </c>
      <c r="C100" s="5">
        <v>60</v>
      </c>
      <c r="D100" s="5"/>
      <c r="E100" s="5"/>
      <c r="F100" s="5" t="s">
        <v>16998</v>
      </c>
      <c r="G100" s="5" t="s">
        <v>195</v>
      </c>
      <c r="H100" s="5" t="s">
        <v>137</v>
      </c>
      <c r="I100" s="5" t="s">
        <v>15390</v>
      </c>
      <c r="J100" s="5" t="s">
        <v>16997</v>
      </c>
      <c r="M100" s="1"/>
      <c r="N100"/>
      <c r="O100"/>
      <c r="P100"/>
      <c r="Q100"/>
      <c r="R100"/>
      <c r="S100"/>
      <c r="T100"/>
      <c r="U100"/>
      <c r="V100"/>
      <c r="W100"/>
      <c r="X100"/>
      <c r="Y100"/>
    </row>
    <row r="101" spans="1:25" s="2" customFormat="1" ht="25.5" x14ac:dyDescent="0.2">
      <c r="A101" s="5" t="s">
        <v>16996</v>
      </c>
      <c r="B101" s="5" t="s">
        <v>8584</v>
      </c>
      <c r="C101" s="5">
        <v>60</v>
      </c>
      <c r="D101" s="5"/>
      <c r="E101" s="5"/>
      <c r="F101" s="5" t="s">
        <v>15655</v>
      </c>
      <c r="G101" s="5" t="s">
        <v>195</v>
      </c>
      <c r="H101" s="5" t="s">
        <v>137</v>
      </c>
      <c r="I101" s="5" t="s">
        <v>15390</v>
      </c>
      <c r="J101" s="5" t="s">
        <v>16995</v>
      </c>
      <c r="M101" s="1"/>
      <c r="N101"/>
      <c r="O101"/>
      <c r="P101"/>
      <c r="Q101"/>
      <c r="R101"/>
      <c r="S101"/>
      <c r="T101"/>
      <c r="U101"/>
      <c r="V101"/>
      <c r="W101"/>
      <c r="X101"/>
      <c r="Y101"/>
    </row>
    <row r="102" spans="1:25" s="2" customFormat="1" ht="25.5" x14ac:dyDescent="0.2">
      <c r="A102" s="5" t="s">
        <v>16994</v>
      </c>
      <c r="B102" s="5" t="s">
        <v>8584</v>
      </c>
      <c r="C102" s="5">
        <v>60</v>
      </c>
      <c r="D102" s="5"/>
      <c r="E102" s="5"/>
      <c r="F102" s="5" t="s">
        <v>15655</v>
      </c>
      <c r="G102" s="5" t="s">
        <v>195</v>
      </c>
      <c r="H102" s="5" t="s">
        <v>137</v>
      </c>
      <c r="I102" s="5" t="s">
        <v>15390</v>
      </c>
      <c r="J102" s="5" t="s">
        <v>16993</v>
      </c>
      <c r="M102" s="1"/>
      <c r="N102"/>
      <c r="O102"/>
      <c r="P102"/>
      <c r="Q102"/>
      <c r="R102"/>
      <c r="S102"/>
      <c r="T102"/>
      <c r="U102"/>
      <c r="V102"/>
      <c r="W102"/>
      <c r="X102"/>
      <c r="Y102"/>
    </row>
    <row r="103" spans="1:25" s="2" customFormat="1" ht="25.5" x14ac:dyDescent="0.2">
      <c r="A103" s="5" t="s">
        <v>16992</v>
      </c>
      <c r="B103" s="5" t="s">
        <v>8584</v>
      </c>
      <c r="C103" s="5">
        <v>61</v>
      </c>
      <c r="D103" s="5"/>
      <c r="E103" s="5"/>
      <c r="F103" s="5" t="s">
        <v>16982</v>
      </c>
      <c r="G103" s="5" t="s">
        <v>148</v>
      </c>
      <c r="H103" s="5" t="s">
        <v>137</v>
      </c>
      <c r="I103" s="5" t="s">
        <v>7844</v>
      </c>
      <c r="J103" s="5" t="s">
        <v>16991</v>
      </c>
      <c r="M103" s="1"/>
      <c r="N103"/>
      <c r="O103"/>
      <c r="P103"/>
      <c r="Q103"/>
      <c r="R103"/>
      <c r="S103"/>
      <c r="T103"/>
      <c r="U103"/>
      <c r="V103"/>
      <c r="W103"/>
      <c r="X103"/>
      <c r="Y103"/>
    </row>
    <row r="104" spans="1:25" s="2" customFormat="1" ht="25.5" x14ac:dyDescent="0.2">
      <c r="A104" s="5" t="s">
        <v>16990</v>
      </c>
      <c r="B104" s="5" t="s">
        <v>8584</v>
      </c>
      <c r="C104" s="5">
        <v>61</v>
      </c>
      <c r="D104" s="5"/>
      <c r="E104" s="5"/>
      <c r="F104" s="5" t="s">
        <v>16979</v>
      </c>
      <c r="G104" s="5" t="s">
        <v>170</v>
      </c>
      <c r="H104" s="5" t="s">
        <v>137</v>
      </c>
      <c r="I104" s="5" t="s">
        <v>15390</v>
      </c>
      <c r="J104" s="5" t="s">
        <v>16987</v>
      </c>
      <c r="M104" s="1"/>
      <c r="N104"/>
      <c r="O104"/>
      <c r="P104"/>
      <c r="Q104"/>
      <c r="R104"/>
      <c r="S104"/>
      <c r="T104"/>
      <c r="U104"/>
      <c r="V104"/>
      <c r="W104"/>
      <c r="X104"/>
      <c r="Y104"/>
    </row>
    <row r="105" spans="1:25" s="2" customFormat="1" ht="25.5" x14ac:dyDescent="0.2">
      <c r="A105" s="5" t="s">
        <v>16989</v>
      </c>
      <c r="B105" s="5" t="s">
        <v>8584</v>
      </c>
      <c r="C105" s="5">
        <v>61</v>
      </c>
      <c r="D105" s="5"/>
      <c r="E105" s="5"/>
      <c r="F105" s="5" t="s">
        <v>16988</v>
      </c>
      <c r="G105" s="5" t="s">
        <v>2672</v>
      </c>
      <c r="H105" s="5" t="s">
        <v>137</v>
      </c>
      <c r="I105" s="5" t="s">
        <v>15390</v>
      </c>
      <c r="J105" s="5" t="s">
        <v>16987</v>
      </c>
      <c r="M105" s="1"/>
      <c r="N105"/>
      <c r="O105"/>
      <c r="P105"/>
      <c r="Q105"/>
      <c r="R105"/>
      <c r="S105"/>
      <c r="T105"/>
      <c r="U105"/>
      <c r="V105"/>
      <c r="W105"/>
      <c r="X105"/>
      <c r="Y105"/>
    </row>
    <row r="106" spans="1:25" s="2" customFormat="1" ht="25.5" x14ac:dyDescent="0.2">
      <c r="A106" s="5" t="s">
        <v>16986</v>
      </c>
      <c r="B106" s="5" t="s">
        <v>8584</v>
      </c>
      <c r="C106" s="5">
        <v>61</v>
      </c>
      <c r="D106" s="5"/>
      <c r="E106" s="5"/>
      <c r="F106" s="5" t="s">
        <v>16985</v>
      </c>
      <c r="G106" s="5" t="s">
        <v>229</v>
      </c>
      <c r="H106" s="5" t="s">
        <v>137</v>
      </c>
      <c r="I106" s="5" t="s">
        <v>15390</v>
      </c>
      <c r="J106" s="5" t="s">
        <v>16984</v>
      </c>
      <c r="M106" s="1"/>
      <c r="N106"/>
      <c r="O106"/>
      <c r="P106"/>
      <c r="Q106"/>
      <c r="R106"/>
      <c r="S106"/>
      <c r="T106"/>
      <c r="U106"/>
      <c r="V106"/>
      <c r="W106"/>
      <c r="X106"/>
      <c r="Y106"/>
    </row>
    <row r="107" spans="1:25" s="2" customFormat="1" ht="25.5" x14ac:dyDescent="0.2">
      <c r="A107" s="5" t="s">
        <v>16983</v>
      </c>
      <c r="B107" s="5" t="s">
        <v>8584</v>
      </c>
      <c r="C107" s="5">
        <v>62</v>
      </c>
      <c r="D107" s="5"/>
      <c r="E107" s="5"/>
      <c r="F107" s="5" t="s">
        <v>16982</v>
      </c>
      <c r="G107" s="5" t="s">
        <v>195</v>
      </c>
      <c r="H107" s="5" t="s">
        <v>137</v>
      </c>
      <c r="I107" s="5" t="s">
        <v>7844</v>
      </c>
      <c r="J107" s="5" t="s">
        <v>16981</v>
      </c>
      <c r="M107" s="1"/>
      <c r="N107"/>
      <c r="O107"/>
      <c r="P107"/>
      <c r="Q107"/>
      <c r="R107"/>
      <c r="S107"/>
      <c r="T107"/>
      <c r="U107"/>
      <c r="V107"/>
      <c r="W107"/>
      <c r="X107"/>
      <c r="Y107"/>
    </row>
    <row r="108" spans="1:25" s="2" customFormat="1" ht="25.5" x14ac:dyDescent="0.2">
      <c r="A108" s="5" t="s">
        <v>16980</v>
      </c>
      <c r="B108" s="5" t="s">
        <v>8584</v>
      </c>
      <c r="C108" s="5">
        <v>62</v>
      </c>
      <c r="D108" s="5"/>
      <c r="E108" s="5"/>
      <c r="F108" s="5" t="s">
        <v>16979</v>
      </c>
      <c r="G108" s="5" t="s">
        <v>170</v>
      </c>
      <c r="H108" s="5" t="s">
        <v>137</v>
      </c>
      <c r="I108" s="5" t="s">
        <v>7844</v>
      </c>
      <c r="J108" s="5" t="s">
        <v>16976</v>
      </c>
      <c r="M108" s="1"/>
      <c r="N108"/>
      <c r="O108"/>
      <c r="P108"/>
      <c r="Q108"/>
      <c r="R108"/>
      <c r="S108"/>
      <c r="T108"/>
      <c r="U108"/>
      <c r="V108"/>
      <c r="W108"/>
      <c r="X108"/>
      <c r="Y108"/>
    </row>
    <row r="109" spans="1:25" s="2" customFormat="1" ht="25.5" x14ac:dyDescent="0.2">
      <c r="A109" s="5" t="s">
        <v>16978</v>
      </c>
      <c r="B109" s="5" t="s">
        <v>8584</v>
      </c>
      <c r="C109" s="5">
        <v>62</v>
      </c>
      <c r="D109" s="5"/>
      <c r="E109" s="5"/>
      <c r="F109" s="5" t="s">
        <v>16977</v>
      </c>
      <c r="G109" s="5" t="s">
        <v>2672</v>
      </c>
      <c r="H109" s="5" t="s">
        <v>137</v>
      </c>
      <c r="I109" s="5" t="s">
        <v>7844</v>
      </c>
      <c r="J109" s="5" t="s">
        <v>16976</v>
      </c>
      <c r="M109" s="1"/>
      <c r="N109"/>
      <c r="O109"/>
      <c r="P109"/>
      <c r="Q109"/>
      <c r="R109"/>
      <c r="S109"/>
      <c r="T109"/>
      <c r="U109"/>
      <c r="V109"/>
      <c r="W109"/>
      <c r="X109"/>
      <c r="Y109"/>
    </row>
    <row r="110" spans="1:25" s="2" customFormat="1" ht="25.5" x14ac:dyDescent="0.2">
      <c r="A110" s="5" t="s">
        <v>16975</v>
      </c>
      <c r="B110" s="5" t="s">
        <v>8584</v>
      </c>
      <c r="C110" s="5">
        <v>62</v>
      </c>
      <c r="D110" s="5"/>
      <c r="E110" s="5"/>
      <c r="F110" s="5" t="s">
        <v>16974</v>
      </c>
      <c r="G110" s="5" t="s">
        <v>229</v>
      </c>
      <c r="H110" s="5" t="s">
        <v>137</v>
      </c>
      <c r="I110" s="5" t="s">
        <v>7844</v>
      </c>
      <c r="J110" s="5" t="s">
        <v>16973</v>
      </c>
      <c r="M110" s="1"/>
      <c r="N110"/>
      <c r="O110"/>
      <c r="P110"/>
      <c r="Q110"/>
      <c r="R110"/>
      <c r="S110"/>
      <c r="T110"/>
      <c r="U110"/>
      <c r="V110"/>
      <c r="W110"/>
      <c r="X110"/>
      <c r="Y110"/>
    </row>
    <row r="111" spans="1:25" ht="25.5" x14ac:dyDescent="0.2">
      <c r="A111" s="5" t="s">
        <v>16972</v>
      </c>
      <c r="B111" s="5" t="s">
        <v>8584</v>
      </c>
      <c r="C111" s="5">
        <v>63</v>
      </c>
      <c r="D111" s="5"/>
      <c r="E111" s="5" t="s">
        <v>150</v>
      </c>
      <c r="F111" s="5" t="s">
        <v>16971</v>
      </c>
      <c r="G111" s="5" t="s">
        <v>148</v>
      </c>
      <c r="H111" s="5" t="s">
        <v>137</v>
      </c>
      <c r="I111" s="5" t="s">
        <v>7844</v>
      </c>
      <c r="J111" s="5" t="s">
        <v>16970</v>
      </c>
    </row>
    <row r="112" spans="1:25" ht="25.5" x14ac:dyDescent="0.2">
      <c r="A112" s="5" t="s">
        <v>16969</v>
      </c>
      <c r="B112" s="5" t="s">
        <v>8584</v>
      </c>
      <c r="C112" s="5">
        <v>63</v>
      </c>
      <c r="D112" s="5"/>
      <c r="E112" s="5"/>
      <c r="F112" s="5" t="s">
        <v>16964</v>
      </c>
      <c r="G112" s="5" t="s">
        <v>283</v>
      </c>
      <c r="H112" s="5" t="s">
        <v>137</v>
      </c>
      <c r="I112" s="5" t="s">
        <v>15390</v>
      </c>
      <c r="J112" s="5" t="s">
        <v>16963</v>
      </c>
    </row>
    <row r="113" spans="1:10" ht="25.5" x14ac:dyDescent="0.2">
      <c r="A113" s="5" t="s">
        <v>16968</v>
      </c>
      <c r="B113" s="5" t="s">
        <v>8584</v>
      </c>
      <c r="C113" s="5">
        <v>64</v>
      </c>
      <c r="D113" s="5"/>
      <c r="E113" s="5"/>
      <c r="F113" s="5" t="s">
        <v>16967</v>
      </c>
      <c r="G113" s="5" t="s">
        <v>173</v>
      </c>
      <c r="H113" s="5" t="s">
        <v>137</v>
      </c>
      <c r="I113" s="5" t="s">
        <v>7844</v>
      </c>
      <c r="J113" s="5" t="s">
        <v>16966</v>
      </c>
    </row>
    <row r="114" spans="1:10" ht="25.5" x14ac:dyDescent="0.2">
      <c r="A114" s="5" t="s">
        <v>16965</v>
      </c>
      <c r="B114" s="5" t="s">
        <v>8584</v>
      </c>
      <c r="C114" s="5">
        <v>64</v>
      </c>
      <c r="D114" s="5"/>
      <c r="E114" s="5"/>
      <c r="F114" s="5" t="s">
        <v>16964</v>
      </c>
      <c r="G114" s="5" t="s">
        <v>283</v>
      </c>
      <c r="H114" s="5" t="s">
        <v>137</v>
      </c>
      <c r="I114" s="5" t="s">
        <v>7844</v>
      </c>
      <c r="J114" s="5" t="s">
        <v>16963</v>
      </c>
    </row>
    <row r="115" spans="1:10" ht="25.5" x14ac:dyDescent="0.2">
      <c r="A115" s="5" t="s">
        <v>16962</v>
      </c>
      <c r="B115" s="5" t="s">
        <v>8584</v>
      </c>
      <c r="C115" s="5">
        <v>65</v>
      </c>
      <c r="D115" s="5"/>
      <c r="E115" s="5"/>
      <c r="F115" s="5" t="s">
        <v>16717</v>
      </c>
      <c r="G115" s="5" t="s">
        <v>173</v>
      </c>
      <c r="H115" s="5" t="s">
        <v>137</v>
      </c>
      <c r="I115" s="5"/>
      <c r="J115" s="5" t="s">
        <v>16961</v>
      </c>
    </row>
    <row r="116" spans="1:10" ht="25.5" x14ac:dyDescent="0.2">
      <c r="A116" s="5" t="s">
        <v>16002</v>
      </c>
      <c r="B116" s="5" t="s">
        <v>8584</v>
      </c>
      <c r="C116" s="5">
        <v>65</v>
      </c>
      <c r="D116" s="5"/>
      <c r="E116" s="5"/>
      <c r="F116" s="5" t="s">
        <v>15998</v>
      </c>
      <c r="G116" s="5" t="s">
        <v>502</v>
      </c>
      <c r="H116" s="5" t="s">
        <v>137</v>
      </c>
      <c r="I116" s="5" t="s">
        <v>15385</v>
      </c>
      <c r="J116" s="5" t="s">
        <v>16960</v>
      </c>
    </row>
    <row r="117" spans="1:10" ht="25.5" x14ac:dyDescent="0.2">
      <c r="A117" s="5" t="s">
        <v>16959</v>
      </c>
      <c r="B117" s="5" t="s">
        <v>8584</v>
      </c>
      <c r="C117" s="5">
        <v>66</v>
      </c>
      <c r="D117" s="5"/>
      <c r="E117" s="5"/>
      <c r="F117" s="5" t="s">
        <v>1554</v>
      </c>
      <c r="G117" s="5" t="s">
        <v>122</v>
      </c>
      <c r="H117" s="5" t="s">
        <v>137</v>
      </c>
      <c r="I117" s="5" t="s">
        <v>16048</v>
      </c>
      <c r="J117" s="5" t="s">
        <v>16958</v>
      </c>
    </row>
    <row r="118" spans="1:10" ht="25.5" x14ac:dyDescent="0.2">
      <c r="A118" s="5" t="s">
        <v>16009</v>
      </c>
      <c r="B118" s="5" t="s">
        <v>8584</v>
      </c>
      <c r="C118" s="5">
        <v>66</v>
      </c>
      <c r="D118" s="5"/>
      <c r="E118" s="5"/>
      <c r="F118" s="5" t="s">
        <v>16957</v>
      </c>
      <c r="G118" s="5" t="s">
        <v>2672</v>
      </c>
      <c r="H118" s="5" t="s">
        <v>137</v>
      </c>
      <c r="I118" s="5" t="s">
        <v>15385</v>
      </c>
      <c r="J118" s="5" t="s">
        <v>16956</v>
      </c>
    </row>
    <row r="119" spans="1:10" ht="25.5" x14ac:dyDescent="0.2">
      <c r="A119" s="5" t="s">
        <v>16955</v>
      </c>
      <c r="B119" s="5" t="s">
        <v>8584</v>
      </c>
      <c r="C119" s="5">
        <v>67</v>
      </c>
      <c r="D119" s="5"/>
      <c r="E119" s="5"/>
      <c r="F119" s="5" t="s">
        <v>7630</v>
      </c>
      <c r="G119" s="5" t="s">
        <v>181</v>
      </c>
      <c r="H119" s="5" t="s">
        <v>137</v>
      </c>
      <c r="I119" s="5" t="s">
        <v>16048</v>
      </c>
      <c r="J119" s="5" t="s">
        <v>16954</v>
      </c>
    </row>
    <row r="120" spans="1:10" ht="25.5" x14ac:dyDescent="0.2">
      <c r="A120" s="5" t="s">
        <v>16953</v>
      </c>
      <c r="B120" s="5" t="s">
        <v>8584</v>
      </c>
      <c r="C120" s="5">
        <v>67</v>
      </c>
      <c r="D120" s="5"/>
      <c r="E120" s="5" t="s">
        <v>138</v>
      </c>
      <c r="F120" s="5" t="s">
        <v>11284</v>
      </c>
      <c r="G120" s="5" t="s">
        <v>91</v>
      </c>
      <c r="H120" s="5" t="s">
        <v>137</v>
      </c>
      <c r="I120" s="5" t="s">
        <v>15385</v>
      </c>
      <c r="J120" s="5" t="s">
        <v>16952</v>
      </c>
    </row>
    <row r="121" spans="1:10" x14ac:dyDescent="0.2">
      <c r="A121" s="5" t="s">
        <v>7525</v>
      </c>
      <c r="B121" s="5" t="s">
        <v>8584</v>
      </c>
      <c r="C121" s="5">
        <v>68</v>
      </c>
      <c r="D121" s="5"/>
      <c r="E121" s="5" t="s">
        <v>665</v>
      </c>
      <c r="F121" s="5" t="s">
        <v>7523</v>
      </c>
      <c r="G121" s="5" t="s">
        <v>181</v>
      </c>
      <c r="H121" s="5"/>
      <c r="I121" s="5"/>
      <c r="J121" s="5" t="s">
        <v>7522</v>
      </c>
    </row>
    <row r="122" spans="1:10" x14ac:dyDescent="0.2">
      <c r="A122" s="5" t="s">
        <v>16951</v>
      </c>
      <c r="B122" s="5" t="s">
        <v>8584</v>
      </c>
      <c r="C122" s="5">
        <v>68</v>
      </c>
      <c r="D122" s="5"/>
      <c r="E122" s="5"/>
      <c r="F122" s="5" t="s">
        <v>7523</v>
      </c>
      <c r="G122" s="5" t="s">
        <v>181</v>
      </c>
      <c r="H122" s="5"/>
      <c r="I122" s="5"/>
      <c r="J122" s="5" t="s">
        <v>7522</v>
      </c>
    </row>
    <row r="123" spans="1:10" ht="25.5" x14ac:dyDescent="0.2">
      <c r="A123" s="5" t="s">
        <v>16950</v>
      </c>
      <c r="B123" s="5" t="s">
        <v>8584</v>
      </c>
      <c r="C123" s="5">
        <v>68</v>
      </c>
      <c r="D123" s="5"/>
      <c r="E123" s="5" t="s">
        <v>5520</v>
      </c>
      <c r="F123" s="5" t="s">
        <v>13685</v>
      </c>
      <c r="G123" s="5" t="s">
        <v>207</v>
      </c>
      <c r="H123" s="5"/>
      <c r="I123" s="5"/>
      <c r="J123" s="5" t="s">
        <v>16949</v>
      </c>
    </row>
    <row r="124" spans="1:10" ht="25.5" x14ac:dyDescent="0.2">
      <c r="A124" s="5" t="s">
        <v>16948</v>
      </c>
      <c r="B124" s="5" t="s">
        <v>8584</v>
      </c>
      <c r="C124" s="5">
        <v>69</v>
      </c>
      <c r="D124" s="5"/>
      <c r="E124" s="5" t="s">
        <v>150</v>
      </c>
      <c r="F124" s="5" t="s">
        <v>7513</v>
      </c>
      <c r="G124" s="5" t="s">
        <v>148</v>
      </c>
      <c r="H124" s="5" t="s">
        <v>137</v>
      </c>
      <c r="I124" s="5" t="s">
        <v>16048</v>
      </c>
      <c r="J124" s="5" t="s">
        <v>16946</v>
      </c>
    </row>
    <row r="125" spans="1:10" ht="25.5" x14ac:dyDescent="0.2">
      <c r="A125" s="5" t="s">
        <v>16947</v>
      </c>
      <c r="B125" s="5" t="s">
        <v>8584</v>
      </c>
      <c r="C125" s="5">
        <v>69</v>
      </c>
      <c r="D125" s="5"/>
      <c r="E125" s="5" t="s">
        <v>213</v>
      </c>
      <c r="F125" s="5" t="s">
        <v>7513</v>
      </c>
      <c r="G125" s="5" t="s">
        <v>91</v>
      </c>
      <c r="H125" s="5" t="s">
        <v>137</v>
      </c>
      <c r="I125" s="5" t="s">
        <v>16048</v>
      </c>
      <c r="J125" s="5" t="s">
        <v>16946</v>
      </c>
    </row>
    <row r="126" spans="1:10" ht="25.5" x14ac:dyDescent="0.2">
      <c r="A126" s="5" t="s">
        <v>16945</v>
      </c>
      <c r="B126" s="5" t="s">
        <v>8584</v>
      </c>
      <c r="C126" s="5">
        <v>69</v>
      </c>
      <c r="D126" s="5"/>
      <c r="E126" s="5"/>
      <c r="F126" s="5" t="s">
        <v>7513</v>
      </c>
      <c r="G126" s="5" t="s">
        <v>148</v>
      </c>
      <c r="H126" s="5" t="s">
        <v>137</v>
      </c>
      <c r="I126" s="5" t="s">
        <v>16048</v>
      </c>
      <c r="J126" s="5" t="s">
        <v>16944</v>
      </c>
    </row>
    <row r="127" spans="1:10" ht="25.5" x14ac:dyDescent="0.2">
      <c r="A127" s="5" t="s">
        <v>16943</v>
      </c>
      <c r="B127" s="5" t="s">
        <v>8584</v>
      </c>
      <c r="C127" s="5">
        <v>69</v>
      </c>
      <c r="D127" s="5"/>
      <c r="E127" s="5"/>
      <c r="F127" s="5" t="s">
        <v>784</v>
      </c>
      <c r="G127" s="5" t="s">
        <v>170</v>
      </c>
      <c r="H127" s="5" t="s">
        <v>137</v>
      </c>
      <c r="I127" s="5" t="s">
        <v>15488</v>
      </c>
      <c r="J127" s="5" t="s">
        <v>16942</v>
      </c>
    </row>
    <row r="128" spans="1:10" ht="25.5" x14ac:dyDescent="0.2">
      <c r="A128" s="5" t="s">
        <v>16941</v>
      </c>
      <c r="B128" s="5" t="s">
        <v>8584</v>
      </c>
      <c r="C128" s="5">
        <v>69</v>
      </c>
      <c r="D128" s="5"/>
      <c r="E128" s="5"/>
      <c r="F128" s="5" t="s">
        <v>16856</v>
      </c>
      <c r="G128" s="5" t="s">
        <v>16940</v>
      </c>
      <c r="H128" s="5" t="s">
        <v>137</v>
      </c>
      <c r="I128" s="5" t="s">
        <v>7761</v>
      </c>
      <c r="J128" s="5" t="s">
        <v>16939</v>
      </c>
    </row>
    <row r="129" spans="1:10" ht="25.5" x14ac:dyDescent="0.2">
      <c r="A129" s="5" t="s">
        <v>16938</v>
      </c>
      <c r="B129" s="5" t="s">
        <v>8584</v>
      </c>
      <c r="C129" s="5">
        <v>70</v>
      </c>
      <c r="D129" s="5"/>
      <c r="E129" s="5"/>
      <c r="F129" s="5" t="s">
        <v>7630</v>
      </c>
      <c r="G129" s="5" t="s">
        <v>148</v>
      </c>
      <c r="H129" s="5" t="s">
        <v>137</v>
      </c>
      <c r="I129" s="5" t="s">
        <v>15488</v>
      </c>
      <c r="J129" s="5" t="s">
        <v>16937</v>
      </c>
    </row>
    <row r="130" spans="1:10" ht="25.5" x14ac:dyDescent="0.2">
      <c r="A130" s="5" t="s">
        <v>16936</v>
      </c>
      <c r="B130" s="5" t="s">
        <v>8584</v>
      </c>
      <c r="C130" s="5">
        <v>70</v>
      </c>
      <c r="D130" s="5"/>
      <c r="E130" s="5"/>
      <c r="F130" s="5" t="s">
        <v>9767</v>
      </c>
      <c r="G130" s="5" t="s">
        <v>896</v>
      </c>
      <c r="H130" s="5" t="s">
        <v>137</v>
      </c>
      <c r="I130" s="5" t="s">
        <v>16048</v>
      </c>
      <c r="J130" s="5" t="s">
        <v>16047</v>
      </c>
    </row>
    <row r="131" spans="1:10" x14ac:dyDescent="0.2">
      <c r="A131" s="5" t="s">
        <v>16935</v>
      </c>
      <c r="B131" s="5" t="s">
        <v>8584</v>
      </c>
      <c r="C131" s="5">
        <v>70</v>
      </c>
      <c r="D131" s="5"/>
      <c r="E131" s="5"/>
      <c r="F131" s="5" t="s">
        <v>16856</v>
      </c>
      <c r="G131" s="5" t="s">
        <v>148</v>
      </c>
      <c r="H131" s="5" t="s">
        <v>137</v>
      </c>
      <c r="I131" s="5" t="s">
        <v>7761</v>
      </c>
      <c r="J131" s="5" t="s">
        <v>16934</v>
      </c>
    </row>
    <row r="132" spans="1:10" ht="25.5" x14ac:dyDescent="0.2">
      <c r="A132" s="5" t="s">
        <v>16933</v>
      </c>
      <c r="B132" s="5" t="s">
        <v>8584</v>
      </c>
      <c r="C132" s="5">
        <v>71</v>
      </c>
      <c r="D132" s="5"/>
      <c r="E132" s="5"/>
      <c r="F132" s="5" t="s">
        <v>16932</v>
      </c>
      <c r="G132" s="5" t="s">
        <v>229</v>
      </c>
      <c r="H132" s="5" t="s">
        <v>137</v>
      </c>
      <c r="I132" s="5" t="s">
        <v>15488</v>
      </c>
      <c r="J132" s="5" t="s">
        <v>16931</v>
      </c>
    </row>
    <row r="133" spans="1:10" ht="25.5" x14ac:dyDescent="0.2">
      <c r="A133" s="5" t="s">
        <v>16930</v>
      </c>
      <c r="B133" s="5" t="s">
        <v>8584</v>
      </c>
      <c r="C133" s="5">
        <v>72</v>
      </c>
      <c r="D133" s="5"/>
      <c r="E133" s="5"/>
      <c r="F133" s="5" t="s">
        <v>16924</v>
      </c>
      <c r="G133" s="5" t="s">
        <v>91</v>
      </c>
      <c r="H133" s="5" t="s">
        <v>137</v>
      </c>
      <c r="I133" s="5" t="s">
        <v>15488</v>
      </c>
      <c r="J133" s="5" t="s">
        <v>16929</v>
      </c>
    </row>
    <row r="134" spans="1:10" ht="25.5" x14ac:dyDescent="0.2">
      <c r="A134" s="5" t="s">
        <v>16928</v>
      </c>
      <c r="B134" s="5" t="s">
        <v>8584</v>
      </c>
      <c r="C134" s="5">
        <v>73</v>
      </c>
      <c r="D134" s="5"/>
      <c r="E134" s="5"/>
      <c r="F134" s="5" t="s">
        <v>16927</v>
      </c>
      <c r="G134" s="5" t="s">
        <v>382</v>
      </c>
      <c r="H134" s="5" t="s">
        <v>137</v>
      </c>
      <c r="I134" s="5" t="s">
        <v>15488</v>
      </c>
      <c r="J134" s="5" t="s">
        <v>16926</v>
      </c>
    </row>
    <row r="135" spans="1:10" ht="25.5" x14ac:dyDescent="0.2">
      <c r="A135" s="5" t="s">
        <v>16925</v>
      </c>
      <c r="B135" s="5" t="s">
        <v>8584</v>
      </c>
      <c r="C135" s="5">
        <v>74</v>
      </c>
      <c r="D135" s="5"/>
      <c r="E135" s="5"/>
      <c r="F135" s="5" t="s">
        <v>16924</v>
      </c>
      <c r="G135" s="5" t="s">
        <v>148</v>
      </c>
      <c r="H135" s="5" t="s">
        <v>137</v>
      </c>
      <c r="I135" s="5" t="s">
        <v>15488</v>
      </c>
      <c r="J135" s="5" t="s">
        <v>16923</v>
      </c>
    </row>
    <row r="136" spans="1:10" ht="25.5" x14ac:dyDescent="0.2">
      <c r="A136" s="5" t="s">
        <v>16922</v>
      </c>
      <c r="B136" s="5" t="s">
        <v>8584</v>
      </c>
      <c r="C136" s="5">
        <v>75</v>
      </c>
      <c r="D136" s="5"/>
      <c r="E136" s="5"/>
      <c r="F136" s="5" t="s">
        <v>7630</v>
      </c>
      <c r="G136" s="5" t="s">
        <v>148</v>
      </c>
      <c r="H136" s="5" t="s">
        <v>137</v>
      </c>
      <c r="I136" s="5" t="s">
        <v>15488</v>
      </c>
      <c r="J136" s="5" t="s">
        <v>16921</v>
      </c>
    </row>
    <row r="137" spans="1:10" ht="25.5" x14ac:dyDescent="0.2">
      <c r="A137" s="5" t="s">
        <v>16920</v>
      </c>
      <c r="B137" s="5" t="s">
        <v>8584</v>
      </c>
      <c r="C137" s="5">
        <v>76</v>
      </c>
      <c r="D137" s="5"/>
      <c r="E137" s="5"/>
      <c r="F137" s="5" t="s">
        <v>16919</v>
      </c>
      <c r="G137" s="5" t="s">
        <v>229</v>
      </c>
      <c r="H137" s="5" t="s">
        <v>137</v>
      </c>
      <c r="I137" s="5" t="s">
        <v>15488</v>
      </c>
      <c r="J137" s="5" t="s">
        <v>16918</v>
      </c>
    </row>
    <row r="138" spans="1:10" x14ac:dyDescent="0.2">
      <c r="A138" s="5" t="s">
        <v>16917</v>
      </c>
      <c r="B138" s="5" t="s">
        <v>8584</v>
      </c>
      <c r="C138" s="5">
        <v>77</v>
      </c>
      <c r="D138" s="5"/>
      <c r="E138" s="5"/>
      <c r="F138" s="5" t="s">
        <v>10401</v>
      </c>
      <c r="G138" s="5" t="s">
        <v>105</v>
      </c>
      <c r="H138" s="5" t="s">
        <v>3</v>
      </c>
      <c r="I138" s="5"/>
      <c r="J138" s="5" t="s">
        <v>16916</v>
      </c>
    </row>
    <row r="139" spans="1:10" ht="25.5" x14ac:dyDescent="0.2">
      <c r="A139" s="5" t="s">
        <v>16915</v>
      </c>
      <c r="B139" s="5" t="s">
        <v>8584</v>
      </c>
      <c r="C139" s="5">
        <v>78</v>
      </c>
      <c r="D139" s="5"/>
      <c r="E139" s="5"/>
      <c r="F139" s="5" t="s">
        <v>16914</v>
      </c>
      <c r="G139" s="5" t="s">
        <v>173</v>
      </c>
      <c r="H139" s="5" t="s">
        <v>137</v>
      </c>
      <c r="I139" s="5" t="s">
        <v>15390</v>
      </c>
      <c r="J139" s="5" t="s">
        <v>16913</v>
      </c>
    </row>
    <row r="140" spans="1:10" ht="25.5" x14ac:dyDescent="0.2">
      <c r="A140" s="5" t="s">
        <v>16912</v>
      </c>
      <c r="B140" s="5" t="s">
        <v>8584</v>
      </c>
      <c r="C140" s="5">
        <v>79</v>
      </c>
      <c r="D140" s="5"/>
      <c r="E140" s="5"/>
      <c r="F140" s="5" t="s">
        <v>16911</v>
      </c>
      <c r="G140" s="5" t="s">
        <v>393</v>
      </c>
      <c r="H140" s="5" t="s">
        <v>137</v>
      </c>
      <c r="I140" s="5" t="s">
        <v>16251</v>
      </c>
      <c r="J140" s="5" t="s">
        <v>16910</v>
      </c>
    </row>
    <row r="141" spans="1:10" ht="25.5" x14ac:dyDescent="0.2">
      <c r="A141" s="5" t="s">
        <v>16909</v>
      </c>
      <c r="B141" s="5" t="s">
        <v>8584</v>
      </c>
      <c r="C141" s="5">
        <v>80</v>
      </c>
      <c r="D141" s="5"/>
      <c r="E141" s="5"/>
      <c r="F141" s="5" t="s">
        <v>16906</v>
      </c>
      <c r="G141" s="5" t="s">
        <v>283</v>
      </c>
      <c r="H141" s="5" t="s">
        <v>3</v>
      </c>
      <c r="I141" s="5"/>
      <c r="J141" s="5" t="s">
        <v>16908</v>
      </c>
    </row>
    <row r="142" spans="1:10" ht="25.5" x14ac:dyDescent="0.2">
      <c r="A142" s="5" t="s">
        <v>16907</v>
      </c>
      <c r="B142" s="5" t="s">
        <v>8584</v>
      </c>
      <c r="C142" s="5">
        <v>80</v>
      </c>
      <c r="D142" s="5"/>
      <c r="E142" s="5"/>
      <c r="F142" s="5" t="s">
        <v>16906</v>
      </c>
      <c r="G142" s="5" t="s">
        <v>118</v>
      </c>
      <c r="H142" s="5" t="s">
        <v>3</v>
      </c>
      <c r="I142" s="5"/>
      <c r="J142" s="5" t="s">
        <v>16905</v>
      </c>
    </row>
    <row r="143" spans="1:10" x14ac:dyDescent="0.2">
      <c r="A143" s="5" t="s">
        <v>16904</v>
      </c>
      <c r="B143" s="5" t="s">
        <v>8584</v>
      </c>
      <c r="C143" s="5">
        <v>81</v>
      </c>
      <c r="D143" s="5"/>
      <c r="E143" s="5"/>
      <c r="F143" s="5" t="s">
        <v>16903</v>
      </c>
      <c r="G143" s="5" t="s">
        <v>283</v>
      </c>
      <c r="H143" s="5" t="s">
        <v>3</v>
      </c>
      <c r="I143" s="5"/>
      <c r="J143" s="5" t="s">
        <v>16902</v>
      </c>
    </row>
    <row r="144" spans="1:10" ht="25.5" x14ac:dyDescent="0.2">
      <c r="A144" s="5" t="s">
        <v>16901</v>
      </c>
      <c r="B144" s="5" t="s">
        <v>8584</v>
      </c>
      <c r="C144" s="5">
        <v>82</v>
      </c>
      <c r="D144" s="5"/>
      <c r="E144" s="5"/>
      <c r="F144" s="5" t="s">
        <v>15912</v>
      </c>
      <c r="G144" s="5" t="s">
        <v>118</v>
      </c>
      <c r="H144" s="5" t="s">
        <v>137</v>
      </c>
      <c r="I144" s="5" t="s">
        <v>7844</v>
      </c>
      <c r="J144" s="5" t="s">
        <v>16900</v>
      </c>
    </row>
    <row r="145" spans="1:10" ht="25.5" x14ac:dyDescent="0.2">
      <c r="A145" s="5" t="s">
        <v>16899</v>
      </c>
      <c r="B145" s="5" t="s">
        <v>8584</v>
      </c>
      <c r="C145" s="5">
        <v>83</v>
      </c>
      <c r="D145" s="5"/>
      <c r="E145" s="5"/>
      <c r="F145" s="5" t="s">
        <v>16471</v>
      </c>
      <c r="G145" s="5" t="s">
        <v>118</v>
      </c>
      <c r="H145" s="5" t="s">
        <v>137</v>
      </c>
      <c r="I145" s="5" t="s">
        <v>15390</v>
      </c>
      <c r="J145" s="5" t="s">
        <v>16898</v>
      </c>
    </row>
    <row r="146" spans="1:10" ht="25.5" x14ac:dyDescent="0.2">
      <c r="A146" s="5" t="s">
        <v>11416</v>
      </c>
      <c r="B146" s="5" t="s">
        <v>8584</v>
      </c>
      <c r="C146" s="5">
        <v>84</v>
      </c>
      <c r="D146" s="5"/>
      <c r="E146" s="5"/>
      <c r="F146" s="5" t="s">
        <v>15912</v>
      </c>
      <c r="G146" s="5" t="s">
        <v>283</v>
      </c>
      <c r="H146" s="5" t="s">
        <v>137</v>
      </c>
      <c r="I146" s="5"/>
      <c r="J146" s="5" t="s">
        <v>16897</v>
      </c>
    </row>
    <row r="147" spans="1:10" ht="25.5" x14ac:dyDescent="0.2">
      <c r="A147" s="5" t="s">
        <v>16896</v>
      </c>
      <c r="B147" s="5" t="s">
        <v>8584</v>
      </c>
      <c r="C147" s="5">
        <v>85</v>
      </c>
      <c r="D147" s="5"/>
      <c r="E147" s="5"/>
      <c r="F147" s="5" t="s">
        <v>16895</v>
      </c>
      <c r="G147" s="5" t="s">
        <v>118</v>
      </c>
      <c r="H147" s="5" t="s">
        <v>137</v>
      </c>
      <c r="I147" s="5" t="s">
        <v>15385</v>
      </c>
      <c r="J147" s="5" t="s">
        <v>16894</v>
      </c>
    </row>
    <row r="148" spans="1:10" ht="25.5" x14ac:dyDescent="0.2">
      <c r="A148" s="5" t="s">
        <v>16893</v>
      </c>
      <c r="B148" s="5" t="s">
        <v>8584</v>
      </c>
      <c r="C148" s="5">
        <v>86</v>
      </c>
      <c r="D148" s="5"/>
      <c r="E148" s="5"/>
      <c r="F148" s="5" t="s">
        <v>16892</v>
      </c>
      <c r="G148" s="5" t="s">
        <v>148</v>
      </c>
      <c r="H148" s="5" t="s">
        <v>137</v>
      </c>
      <c r="I148" s="5" t="s">
        <v>7844</v>
      </c>
      <c r="J148" s="5" t="s">
        <v>16891</v>
      </c>
    </row>
    <row r="149" spans="1:10" ht="25.5" x14ac:dyDescent="0.2">
      <c r="A149" s="5" t="s">
        <v>16890</v>
      </c>
      <c r="B149" s="5" t="s">
        <v>8584</v>
      </c>
      <c r="C149" s="5">
        <v>87</v>
      </c>
      <c r="D149" s="5"/>
      <c r="E149" s="5"/>
      <c r="F149" s="5" t="s">
        <v>16889</v>
      </c>
      <c r="G149" s="5" t="s">
        <v>148</v>
      </c>
      <c r="H149" s="5" t="s">
        <v>137</v>
      </c>
      <c r="I149" s="5" t="s">
        <v>15390</v>
      </c>
      <c r="J149" s="5" t="s">
        <v>15973</v>
      </c>
    </row>
    <row r="150" spans="1:10" ht="25.5" x14ac:dyDescent="0.2">
      <c r="A150" s="5" t="s">
        <v>11411</v>
      </c>
      <c r="B150" s="5" t="s">
        <v>8584</v>
      </c>
      <c r="C150" s="5">
        <v>88</v>
      </c>
      <c r="D150" s="5"/>
      <c r="E150" s="5"/>
      <c r="F150" s="5" t="s">
        <v>10998</v>
      </c>
      <c r="G150" s="5" t="s">
        <v>207</v>
      </c>
      <c r="H150" s="5" t="s">
        <v>137</v>
      </c>
      <c r="I150" s="5" t="s">
        <v>11411</v>
      </c>
      <c r="J150" s="5" t="s">
        <v>16888</v>
      </c>
    </row>
    <row r="151" spans="1:10" x14ac:dyDescent="0.2">
      <c r="A151" s="5" t="s">
        <v>16887</v>
      </c>
      <c r="B151" s="5" t="s">
        <v>8584</v>
      </c>
      <c r="C151" s="5">
        <v>89</v>
      </c>
      <c r="D151" s="5"/>
      <c r="E151" s="5"/>
      <c r="F151" s="5" t="s">
        <v>6579</v>
      </c>
      <c r="G151" s="5" t="s">
        <v>114</v>
      </c>
      <c r="H151" s="5" t="s">
        <v>3</v>
      </c>
      <c r="I151" s="5"/>
      <c r="J151" s="5" t="s">
        <v>16886</v>
      </c>
    </row>
    <row r="152" spans="1:10" x14ac:dyDescent="0.2">
      <c r="A152" s="5" t="s">
        <v>16885</v>
      </c>
      <c r="B152" s="5" t="s">
        <v>8584</v>
      </c>
      <c r="C152" s="5">
        <v>90</v>
      </c>
      <c r="D152" s="5"/>
      <c r="E152" s="5"/>
      <c r="F152" s="5" t="s">
        <v>7699</v>
      </c>
      <c r="G152" s="5" t="s">
        <v>118</v>
      </c>
      <c r="H152" s="5"/>
      <c r="I152" s="5"/>
      <c r="J152" s="5" t="s">
        <v>16884</v>
      </c>
    </row>
    <row r="153" spans="1:10" x14ac:dyDescent="0.2">
      <c r="A153" s="5" t="s">
        <v>16883</v>
      </c>
      <c r="B153" s="5" t="s">
        <v>8584</v>
      </c>
      <c r="C153" s="5">
        <v>91</v>
      </c>
      <c r="D153" s="5"/>
      <c r="E153" s="5"/>
      <c r="F153" s="5" t="s">
        <v>16750</v>
      </c>
      <c r="G153" s="5" t="s">
        <v>80</v>
      </c>
      <c r="H153" s="5"/>
      <c r="I153" s="5"/>
      <c r="J153" s="5" t="s">
        <v>16882</v>
      </c>
    </row>
    <row r="154" spans="1:10" x14ac:dyDescent="0.2">
      <c r="A154" s="5" t="s">
        <v>16881</v>
      </c>
      <c r="B154" s="5" t="s">
        <v>8584</v>
      </c>
      <c r="C154" s="5">
        <v>92</v>
      </c>
      <c r="D154" s="5"/>
      <c r="E154" s="5"/>
      <c r="F154" s="5" t="s">
        <v>16748</v>
      </c>
      <c r="G154" s="5" t="s">
        <v>80</v>
      </c>
      <c r="H154" s="5"/>
      <c r="I154" s="5"/>
      <c r="J154" s="5" t="s">
        <v>16880</v>
      </c>
    </row>
    <row r="155" spans="1:10" x14ac:dyDescent="0.2">
      <c r="A155" s="5" t="s">
        <v>16879</v>
      </c>
      <c r="B155" s="5" t="s">
        <v>8584</v>
      </c>
      <c r="C155" s="5">
        <v>93</v>
      </c>
      <c r="D155" s="5"/>
      <c r="E155" s="5"/>
      <c r="F155" s="5" t="s">
        <v>16878</v>
      </c>
      <c r="G155" s="5" t="s">
        <v>276</v>
      </c>
      <c r="H155" s="5"/>
      <c r="I155" s="5"/>
      <c r="J155" s="5" t="s">
        <v>16877</v>
      </c>
    </row>
    <row r="156" spans="1:10" ht="25.5" x14ac:dyDescent="0.2">
      <c r="A156" s="5" t="s">
        <v>16876</v>
      </c>
      <c r="B156" s="5" t="s">
        <v>8584</v>
      </c>
      <c r="C156" s="5">
        <v>94</v>
      </c>
      <c r="D156" s="5"/>
      <c r="E156" s="5"/>
      <c r="F156" s="5" t="s">
        <v>16875</v>
      </c>
      <c r="G156" s="5" t="s">
        <v>283</v>
      </c>
      <c r="H156" s="5" t="s">
        <v>137</v>
      </c>
      <c r="I156" s="5" t="s">
        <v>15385</v>
      </c>
      <c r="J156" s="5" t="s">
        <v>16874</v>
      </c>
    </row>
    <row r="157" spans="1:10" ht="25.5" x14ac:dyDescent="0.2">
      <c r="A157" s="5" t="s">
        <v>16873</v>
      </c>
      <c r="B157" s="5" t="s">
        <v>8584</v>
      </c>
      <c r="C157" s="5">
        <v>95</v>
      </c>
      <c r="D157" s="5"/>
      <c r="E157" s="5"/>
      <c r="F157" s="5" t="s">
        <v>16872</v>
      </c>
      <c r="G157" s="5" t="s">
        <v>86</v>
      </c>
      <c r="H157" s="5" t="s">
        <v>137</v>
      </c>
      <c r="I157" s="5" t="s">
        <v>15385</v>
      </c>
      <c r="J157" s="5" t="s">
        <v>16871</v>
      </c>
    </row>
    <row r="158" spans="1:10" ht="25.5" x14ac:dyDescent="0.2">
      <c r="A158" s="5" t="s">
        <v>16870</v>
      </c>
      <c r="B158" s="5" t="s">
        <v>8584</v>
      </c>
      <c r="C158" s="5">
        <v>96</v>
      </c>
      <c r="D158" s="5"/>
      <c r="E158" s="5"/>
      <c r="F158" s="5" t="s">
        <v>12206</v>
      </c>
      <c r="G158" s="5" t="s">
        <v>105</v>
      </c>
      <c r="H158" s="5"/>
      <c r="I158" s="5"/>
      <c r="J158" s="5" t="s">
        <v>16869</v>
      </c>
    </row>
    <row r="159" spans="1:10" ht="25.5" x14ac:dyDescent="0.2">
      <c r="A159" s="5" t="s">
        <v>16868</v>
      </c>
      <c r="B159" s="5" t="s">
        <v>8584</v>
      </c>
      <c r="C159" s="5">
        <v>97</v>
      </c>
      <c r="D159" s="5"/>
      <c r="E159" s="5"/>
      <c r="F159" s="5" t="s">
        <v>16867</v>
      </c>
      <c r="G159" s="5" t="s">
        <v>207</v>
      </c>
      <c r="H159" s="5" t="s">
        <v>137</v>
      </c>
      <c r="I159" s="5" t="s">
        <v>15385</v>
      </c>
      <c r="J159" s="5" t="s">
        <v>16866</v>
      </c>
    </row>
    <row r="160" spans="1:10" ht="25.5" x14ac:dyDescent="0.2">
      <c r="A160" s="5" t="s">
        <v>16865</v>
      </c>
      <c r="B160" s="5" t="s">
        <v>8584</v>
      </c>
      <c r="C160" s="5">
        <v>98</v>
      </c>
      <c r="D160" s="5"/>
      <c r="E160" s="5"/>
      <c r="F160" s="5" t="s">
        <v>15878</v>
      </c>
      <c r="G160" s="5" t="s">
        <v>283</v>
      </c>
      <c r="H160" s="5" t="s">
        <v>137</v>
      </c>
      <c r="I160" s="5" t="s">
        <v>15385</v>
      </c>
      <c r="J160" s="5" t="s">
        <v>16864</v>
      </c>
    </row>
    <row r="161" spans="1:10" ht="38.25" x14ac:dyDescent="0.2">
      <c r="A161" s="5" t="s">
        <v>16863</v>
      </c>
      <c r="B161" s="5" t="s">
        <v>8584</v>
      </c>
      <c r="C161" s="5">
        <v>99</v>
      </c>
      <c r="D161" s="5"/>
      <c r="E161" s="5"/>
      <c r="F161" s="5" t="s">
        <v>16862</v>
      </c>
      <c r="G161" s="5" t="s">
        <v>315</v>
      </c>
      <c r="H161" s="5" t="s">
        <v>137</v>
      </c>
      <c r="I161" s="5" t="s">
        <v>15385</v>
      </c>
      <c r="J161" s="5" t="s">
        <v>16861</v>
      </c>
    </row>
    <row r="162" spans="1:10" ht="25.5" x14ac:dyDescent="0.2">
      <c r="A162" s="5" t="s">
        <v>16860</v>
      </c>
      <c r="B162" s="5" t="s">
        <v>8584</v>
      </c>
      <c r="C162" s="5">
        <v>100</v>
      </c>
      <c r="D162" s="5"/>
      <c r="E162" s="5" t="s">
        <v>138</v>
      </c>
      <c r="F162" s="5" t="s">
        <v>16859</v>
      </c>
      <c r="G162" s="5" t="s">
        <v>148</v>
      </c>
      <c r="H162" s="5" t="s">
        <v>137</v>
      </c>
      <c r="I162" s="5" t="s">
        <v>15390</v>
      </c>
      <c r="J162" s="5" t="s">
        <v>16858</v>
      </c>
    </row>
    <row r="163" spans="1:10" x14ac:dyDescent="0.2">
      <c r="A163" s="5" t="s">
        <v>16857</v>
      </c>
      <c r="B163" s="5" t="s">
        <v>8584</v>
      </c>
      <c r="C163" s="5">
        <v>101</v>
      </c>
      <c r="D163" s="5"/>
      <c r="E163" s="5" t="s">
        <v>368</v>
      </c>
      <c r="F163" s="5" t="s">
        <v>16856</v>
      </c>
      <c r="G163" s="5" t="s">
        <v>148</v>
      </c>
      <c r="H163" s="5" t="s">
        <v>137</v>
      </c>
      <c r="I163" s="5" t="s">
        <v>7761</v>
      </c>
      <c r="J163" s="5" t="s">
        <v>16855</v>
      </c>
    </row>
    <row r="164" spans="1:10" x14ac:dyDescent="0.2">
      <c r="A164" s="5" t="s">
        <v>16854</v>
      </c>
      <c r="B164" s="5" t="s">
        <v>8584</v>
      </c>
      <c r="C164" s="5">
        <v>102</v>
      </c>
      <c r="D164" s="5"/>
      <c r="E164" s="5"/>
      <c r="F164" s="5" t="s">
        <v>16853</v>
      </c>
      <c r="G164" s="5" t="s">
        <v>276</v>
      </c>
      <c r="H164" s="5" t="s">
        <v>3</v>
      </c>
      <c r="I164" s="5"/>
      <c r="J164" s="5" t="s">
        <v>16852</v>
      </c>
    </row>
    <row r="165" spans="1:10" ht="25.5" x14ac:dyDescent="0.2">
      <c r="A165" s="5" t="s">
        <v>16851</v>
      </c>
      <c r="B165" s="5" t="s">
        <v>8584</v>
      </c>
      <c r="C165" s="5">
        <v>103</v>
      </c>
      <c r="D165" s="5"/>
      <c r="E165" s="5"/>
      <c r="F165" s="5" t="s">
        <v>8565</v>
      </c>
      <c r="G165" s="5" t="s">
        <v>181</v>
      </c>
      <c r="H165" s="5" t="s">
        <v>3</v>
      </c>
      <c r="I165" s="5"/>
      <c r="J165" s="5" t="s">
        <v>16850</v>
      </c>
    </row>
    <row r="166" spans="1:10" ht="25.5" x14ac:dyDescent="0.2">
      <c r="A166" s="5" t="s">
        <v>16849</v>
      </c>
      <c r="B166" s="5" t="s">
        <v>8584</v>
      </c>
      <c r="C166" s="5">
        <v>104</v>
      </c>
      <c r="D166" s="5"/>
      <c r="E166" s="5"/>
      <c r="F166" s="5" t="s">
        <v>11185</v>
      </c>
      <c r="G166" s="5" t="s">
        <v>896</v>
      </c>
      <c r="H166" s="5" t="s">
        <v>137</v>
      </c>
      <c r="I166" s="5"/>
      <c r="J166" s="5" t="s">
        <v>16848</v>
      </c>
    </row>
    <row r="167" spans="1:10" ht="25.5" x14ac:dyDescent="0.2">
      <c r="A167" s="5" t="s">
        <v>16847</v>
      </c>
      <c r="B167" s="5" t="s">
        <v>8584</v>
      </c>
      <c r="C167" s="5">
        <v>105</v>
      </c>
      <c r="D167" s="5"/>
      <c r="E167" s="5"/>
      <c r="F167" s="5" t="s">
        <v>11284</v>
      </c>
      <c r="G167" s="5" t="s">
        <v>896</v>
      </c>
      <c r="H167" s="5" t="s">
        <v>137</v>
      </c>
      <c r="I167" s="5" t="s">
        <v>15385</v>
      </c>
      <c r="J167" s="5" t="s">
        <v>16846</v>
      </c>
    </row>
    <row r="168" spans="1:10" ht="25.5" x14ac:dyDescent="0.2">
      <c r="A168" s="5" t="s">
        <v>16845</v>
      </c>
      <c r="B168" s="5" t="s">
        <v>8584</v>
      </c>
      <c r="C168" s="5">
        <v>106</v>
      </c>
      <c r="D168" s="5"/>
      <c r="E168" s="5"/>
      <c r="F168" s="5" t="s">
        <v>11284</v>
      </c>
      <c r="G168" s="5" t="s">
        <v>118</v>
      </c>
      <c r="H168" s="5" t="s">
        <v>137</v>
      </c>
      <c r="I168" s="5" t="s">
        <v>15385</v>
      </c>
      <c r="J168" s="5"/>
    </row>
    <row r="169" spans="1:10" ht="38.25" x14ac:dyDescent="0.2">
      <c r="A169" s="5" t="s">
        <v>16844</v>
      </c>
      <c r="B169" s="5" t="s">
        <v>8584</v>
      </c>
      <c r="C169" s="5">
        <v>107</v>
      </c>
      <c r="D169" s="5"/>
      <c r="E169" s="5"/>
      <c r="F169" s="5" t="s">
        <v>16843</v>
      </c>
      <c r="G169" s="5" t="s">
        <v>9461</v>
      </c>
      <c r="H169" s="5" t="s">
        <v>137</v>
      </c>
      <c r="I169" s="5" t="s">
        <v>16842</v>
      </c>
      <c r="J169" s="5" t="s">
        <v>16841</v>
      </c>
    </row>
    <row r="170" spans="1:10" ht="25.5" x14ac:dyDescent="0.2">
      <c r="A170" s="5" t="s">
        <v>16840</v>
      </c>
      <c r="B170" s="5" t="s">
        <v>8584</v>
      </c>
      <c r="C170" s="5">
        <v>108</v>
      </c>
      <c r="D170" s="5"/>
      <c r="E170" s="5"/>
      <c r="F170" s="5" t="s">
        <v>16839</v>
      </c>
      <c r="G170" s="5" t="s">
        <v>6584</v>
      </c>
      <c r="H170" s="5" t="s">
        <v>137</v>
      </c>
      <c r="I170" s="5"/>
      <c r="J170" s="5" t="s">
        <v>16838</v>
      </c>
    </row>
    <row r="171" spans="1:10" ht="25.5" x14ac:dyDescent="0.2">
      <c r="A171" s="5" t="s">
        <v>16837</v>
      </c>
      <c r="B171" s="5" t="s">
        <v>8584</v>
      </c>
      <c r="C171" s="5">
        <v>109</v>
      </c>
      <c r="D171" s="5"/>
      <c r="E171" s="5"/>
      <c r="F171" s="5" t="s">
        <v>16836</v>
      </c>
      <c r="G171" s="5" t="s">
        <v>229</v>
      </c>
      <c r="H171" s="5" t="s">
        <v>3</v>
      </c>
      <c r="I171" s="5"/>
      <c r="J171" s="5" t="s">
        <v>16835</v>
      </c>
    </row>
    <row r="172" spans="1:10" ht="25.5" x14ac:dyDescent="0.2">
      <c r="A172" s="5" t="s">
        <v>16834</v>
      </c>
      <c r="B172" s="5" t="s">
        <v>8584</v>
      </c>
      <c r="C172" s="5">
        <v>110</v>
      </c>
      <c r="D172" s="5"/>
      <c r="E172" s="5"/>
      <c r="F172" s="5" t="s">
        <v>16833</v>
      </c>
      <c r="G172" s="5" t="s">
        <v>229</v>
      </c>
      <c r="H172" s="5" t="s">
        <v>3</v>
      </c>
      <c r="I172" s="5"/>
      <c r="J172" s="5" t="s">
        <v>16832</v>
      </c>
    </row>
    <row r="173" spans="1:10" ht="25.5" x14ac:dyDescent="0.2">
      <c r="A173" s="5" t="s">
        <v>16831</v>
      </c>
      <c r="B173" s="5" t="s">
        <v>8584</v>
      </c>
      <c r="C173" s="5">
        <v>111</v>
      </c>
      <c r="D173" s="5"/>
      <c r="E173" s="5"/>
      <c r="F173" s="5" t="s">
        <v>16830</v>
      </c>
      <c r="G173" s="5" t="s">
        <v>4028</v>
      </c>
      <c r="H173" s="5" t="s">
        <v>3</v>
      </c>
      <c r="I173" s="5"/>
      <c r="J173" s="5" t="s">
        <v>16829</v>
      </c>
    </row>
    <row r="174" spans="1:10" ht="25.5" x14ac:dyDescent="0.2">
      <c r="A174" s="5" t="s">
        <v>16828</v>
      </c>
      <c r="B174" s="5" t="s">
        <v>8584</v>
      </c>
      <c r="C174" s="5">
        <v>112</v>
      </c>
      <c r="D174" s="5"/>
      <c r="E174" s="5"/>
      <c r="F174" s="5" t="s">
        <v>16827</v>
      </c>
      <c r="G174" s="5" t="s">
        <v>2308</v>
      </c>
      <c r="H174" s="5" t="s">
        <v>137</v>
      </c>
      <c r="I174" s="5"/>
      <c r="J174" s="5" t="s">
        <v>16826</v>
      </c>
    </row>
    <row r="175" spans="1:10" ht="25.5" x14ac:dyDescent="0.2">
      <c r="A175" s="5" t="s">
        <v>16825</v>
      </c>
      <c r="B175" s="5" t="s">
        <v>8584</v>
      </c>
      <c r="C175" s="5">
        <v>113</v>
      </c>
      <c r="D175" s="5"/>
      <c r="E175" s="5" t="s">
        <v>299</v>
      </c>
      <c r="F175" s="5" t="s">
        <v>16824</v>
      </c>
      <c r="G175" s="5" t="s">
        <v>195</v>
      </c>
      <c r="H175" s="5" t="s">
        <v>137</v>
      </c>
      <c r="I175" s="5" t="s">
        <v>15385</v>
      </c>
      <c r="J175" s="5" t="s">
        <v>16823</v>
      </c>
    </row>
    <row r="176" spans="1:10" ht="25.5" x14ac:dyDescent="0.2">
      <c r="A176" s="5" t="s">
        <v>16822</v>
      </c>
      <c r="B176" s="5" t="s">
        <v>8584</v>
      </c>
      <c r="C176" s="5">
        <v>114</v>
      </c>
      <c r="D176" s="5"/>
      <c r="E176" s="5"/>
      <c r="F176" s="5" t="s">
        <v>7841</v>
      </c>
      <c r="G176" s="5" t="s">
        <v>315</v>
      </c>
      <c r="H176" s="5" t="s">
        <v>137</v>
      </c>
      <c r="I176" s="5" t="s">
        <v>15385</v>
      </c>
      <c r="J176" s="5" t="s">
        <v>16821</v>
      </c>
    </row>
    <row r="177" spans="1:10" ht="25.5" x14ac:dyDescent="0.2">
      <c r="A177" s="5" t="s">
        <v>16820</v>
      </c>
      <c r="B177" s="5" t="s">
        <v>8584</v>
      </c>
      <c r="C177" s="5">
        <v>115</v>
      </c>
      <c r="D177" s="5"/>
      <c r="E177" s="5"/>
      <c r="F177" s="5" t="s">
        <v>15445</v>
      </c>
      <c r="G177" s="5" t="s">
        <v>315</v>
      </c>
      <c r="H177" s="5" t="s">
        <v>137</v>
      </c>
      <c r="I177" s="5"/>
      <c r="J177" s="5" t="s">
        <v>16819</v>
      </c>
    </row>
    <row r="178" spans="1:10" x14ac:dyDescent="0.2">
      <c r="A178" s="5" t="s">
        <v>16818</v>
      </c>
      <c r="B178" s="5" t="s">
        <v>8584</v>
      </c>
      <c r="C178" s="5">
        <v>116</v>
      </c>
      <c r="D178" s="5"/>
      <c r="E178" s="5"/>
      <c r="F178" s="5" t="s">
        <v>16817</v>
      </c>
      <c r="G178" s="5" t="s">
        <v>3059</v>
      </c>
      <c r="H178" s="5" t="s">
        <v>137</v>
      </c>
      <c r="I178" s="5"/>
      <c r="J178" s="5" t="s">
        <v>16816</v>
      </c>
    </row>
    <row r="179" spans="1:10" ht="25.5" x14ac:dyDescent="0.2">
      <c r="A179" s="5" t="s">
        <v>16815</v>
      </c>
      <c r="B179" s="5" t="s">
        <v>8584</v>
      </c>
      <c r="C179" s="5">
        <v>117</v>
      </c>
      <c r="D179" s="5"/>
      <c r="E179" s="5"/>
      <c r="F179" s="5" t="s">
        <v>16814</v>
      </c>
      <c r="G179" s="5" t="s">
        <v>122</v>
      </c>
      <c r="H179" s="5" t="s">
        <v>137</v>
      </c>
      <c r="I179" s="5" t="s">
        <v>16048</v>
      </c>
      <c r="J179" s="5" t="s">
        <v>16813</v>
      </c>
    </row>
    <row r="180" spans="1:10" ht="25.5" x14ac:dyDescent="0.2">
      <c r="A180" s="5" t="s">
        <v>16812</v>
      </c>
      <c r="B180" s="5" t="s">
        <v>8584</v>
      </c>
      <c r="C180" s="5">
        <v>117</v>
      </c>
      <c r="D180" s="5"/>
      <c r="E180" s="5"/>
      <c r="F180" s="5" t="s">
        <v>16811</v>
      </c>
      <c r="G180" s="5" t="s">
        <v>896</v>
      </c>
      <c r="H180" s="5" t="s">
        <v>137</v>
      </c>
      <c r="I180" s="5" t="s">
        <v>16048</v>
      </c>
      <c r="J180" s="5" t="s">
        <v>16810</v>
      </c>
    </row>
    <row r="181" spans="1:10" x14ac:dyDescent="0.2">
      <c r="A181" s="5" t="s">
        <v>16809</v>
      </c>
      <c r="B181" s="5" t="s">
        <v>8584</v>
      </c>
      <c r="C181" s="5">
        <v>118</v>
      </c>
      <c r="D181" s="5"/>
      <c r="E181" s="5"/>
      <c r="F181" s="5" t="s">
        <v>7305</v>
      </c>
      <c r="G181" s="5" t="s">
        <v>3059</v>
      </c>
      <c r="H181" s="5" t="s">
        <v>137</v>
      </c>
      <c r="I181" s="5"/>
      <c r="J181" s="5" t="s">
        <v>16808</v>
      </c>
    </row>
    <row r="182" spans="1:10" ht="25.5" x14ac:dyDescent="0.2">
      <c r="A182" s="5" t="s">
        <v>16807</v>
      </c>
      <c r="B182" s="5" t="s">
        <v>8584</v>
      </c>
      <c r="C182" s="5">
        <v>119</v>
      </c>
      <c r="D182" s="5"/>
      <c r="E182" s="5"/>
      <c r="F182" s="5" t="s">
        <v>16806</v>
      </c>
      <c r="G182" s="5" t="s">
        <v>896</v>
      </c>
      <c r="H182" s="5" t="s">
        <v>137</v>
      </c>
      <c r="I182" s="5"/>
      <c r="J182" s="5" t="s">
        <v>16805</v>
      </c>
    </row>
    <row r="183" spans="1:10" x14ac:dyDescent="0.2">
      <c r="A183" s="5" t="s">
        <v>9234</v>
      </c>
      <c r="B183" s="5" t="s">
        <v>8584</v>
      </c>
      <c r="C183" s="5">
        <v>120</v>
      </c>
      <c r="D183" s="5"/>
      <c r="E183" s="5"/>
      <c r="F183" s="5" t="s">
        <v>8174</v>
      </c>
      <c r="G183" s="5" t="s">
        <v>118</v>
      </c>
      <c r="H183" s="5" t="s">
        <v>137</v>
      </c>
      <c r="I183" s="5" t="s">
        <v>16513</v>
      </c>
      <c r="J183" s="5" t="s">
        <v>16804</v>
      </c>
    </row>
    <row r="184" spans="1:10" x14ac:dyDescent="0.2">
      <c r="A184" s="5" t="s">
        <v>16803</v>
      </c>
      <c r="B184" s="5" t="s">
        <v>8584</v>
      </c>
      <c r="C184" s="5">
        <v>121</v>
      </c>
      <c r="D184" s="5"/>
      <c r="E184" s="5" t="s">
        <v>9231</v>
      </c>
      <c r="F184" s="5" t="s">
        <v>15106</v>
      </c>
      <c r="G184" s="5" t="s">
        <v>195</v>
      </c>
      <c r="H184" s="5" t="s">
        <v>137</v>
      </c>
      <c r="I184" s="5" t="s">
        <v>16513</v>
      </c>
      <c r="J184" s="5" t="s">
        <v>16802</v>
      </c>
    </row>
    <row r="185" spans="1:10" ht="38.25" x14ac:dyDescent="0.2">
      <c r="A185" s="5" t="s">
        <v>8728</v>
      </c>
      <c r="B185" s="5" t="s">
        <v>8584</v>
      </c>
      <c r="C185" s="5">
        <v>122</v>
      </c>
      <c r="D185" s="5"/>
      <c r="E185" s="5"/>
      <c r="F185" s="5" t="s">
        <v>16801</v>
      </c>
      <c r="G185" s="5" t="s">
        <v>8726</v>
      </c>
      <c r="H185" s="5" t="s">
        <v>137</v>
      </c>
      <c r="I185" s="5" t="s">
        <v>15390</v>
      </c>
      <c r="J185" s="5" t="s">
        <v>16800</v>
      </c>
    </row>
    <row r="186" spans="1:10" ht="25.5" x14ac:dyDescent="0.2">
      <c r="A186" s="5" t="s">
        <v>16799</v>
      </c>
      <c r="B186" s="5" t="s">
        <v>8584</v>
      </c>
      <c r="C186" s="5">
        <v>123</v>
      </c>
      <c r="D186" s="5"/>
      <c r="E186" s="5"/>
      <c r="F186" s="5" t="s">
        <v>7353</v>
      </c>
      <c r="G186" s="5" t="s">
        <v>105</v>
      </c>
      <c r="H186" s="5" t="s">
        <v>137</v>
      </c>
      <c r="I186" s="5" t="s">
        <v>15390</v>
      </c>
      <c r="J186" s="5" t="s">
        <v>16798</v>
      </c>
    </row>
    <row r="187" spans="1:10" ht="38.25" x14ac:dyDescent="0.2">
      <c r="A187" s="5" t="s">
        <v>16797</v>
      </c>
      <c r="B187" s="5" t="s">
        <v>8584</v>
      </c>
      <c r="C187" s="5">
        <v>124</v>
      </c>
      <c r="D187" s="5"/>
      <c r="E187" s="5"/>
      <c r="F187" s="5" t="s">
        <v>16796</v>
      </c>
      <c r="G187" s="5" t="s">
        <v>181</v>
      </c>
      <c r="H187" s="5" t="s">
        <v>137</v>
      </c>
      <c r="I187" s="5" t="s">
        <v>15403</v>
      </c>
      <c r="J187" s="5" t="s">
        <v>16795</v>
      </c>
    </row>
    <row r="188" spans="1:10" ht="38.25" x14ac:dyDescent="0.2">
      <c r="A188" s="5" t="s">
        <v>16794</v>
      </c>
      <c r="B188" s="5" t="s">
        <v>8584</v>
      </c>
      <c r="C188" s="5">
        <v>125</v>
      </c>
      <c r="D188" s="5"/>
      <c r="E188" s="5"/>
      <c r="F188" s="5" t="s">
        <v>16793</v>
      </c>
      <c r="G188" s="5" t="s">
        <v>502</v>
      </c>
      <c r="H188" s="5" t="s">
        <v>137</v>
      </c>
      <c r="I188" s="5" t="s">
        <v>15403</v>
      </c>
      <c r="J188" s="5" t="s">
        <v>16792</v>
      </c>
    </row>
    <row r="189" spans="1:10" ht="25.5" x14ac:dyDescent="0.2">
      <c r="A189" s="5" t="s">
        <v>16791</v>
      </c>
      <c r="B189" s="5" t="s">
        <v>8584</v>
      </c>
      <c r="C189" s="5">
        <v>126</v>
      </c>
      <c r="D189" s="5"/>
      <c r="E189" s="5"/>
      <c r="F189" s="5" t="s">
        <v>16790</v>
      </c>
      <c r="G189" s="5" t="s">
        <v>86</v>
      </c>
      <c r="H189" s="5" t="s">
        <v>137</v>
      </c>
      <c r="I189" s="5"/>
      <c r="J189" s="5" t="s">
        <v>16789</v>
      </c>
    </row>
    <row r="190" spans="1:10" ht="25.5" x14ac:dyDescent="0.2">
      <c r="A190" s="5" t="s">
        <v>16788</v>
      </c>
      <c r="B190" s="5" t="s">
        <v>8584</v>
      </c>
      <c r="C190" s="5">
        <v>127</v>
      </c>
      <c r="D190" s="5"/>
      <c r="E190" s="5"/>
      <c r="F190" s="5" t="s">
        <v>16787</v>
      </c>
      <c r="G190" s="5" t="s">
        <v>86</v>
      </c>
      <c r="H190" s="5" t="s">
        <v>137</v>
      </c>
      <c r="I190" s="5"/>
      <c r="J190" s="5" t="s">
        <v>16786</v>
      </c>
    </row>
    <row r="191" spans="1:10" ht="38.25" x14ac:dyDescent="0.2">
      <c r="A191" s="5" t="s">
        <v>16785</v>
      </c>
      <c r="B191" s="5" t="s">
        <v>8584</v>
      </c>
      <c r="C191" s="5">
        <v>128</v>
      </c>
      <c r="D191" s="5"/>
      <c r="E191" s="5"/>
      <c r="F191" s="5" t="s">
        <v>16784</v>
      </c>
      <c r="G191" s="5" t="s">
        <v>393</v>
      </c>
      <c r="H191" s="5" t="s">
        <v>3</v>
      </c>
      <c r="I191" s="5"/>
      <c r="J191" s="5" t="s">
        <v>16783</v>
      </c>
    </row>
    <row r="192" spans="1:10" x14ac:dyDescent="0.2">
      <c r="A192" s="5" t="s">
        <v>16782</v>
      </c>
      <c r="B192" s="5" t="s">
        <v>8584</v>
      </c>
      <c r="C192" s="5">
        <v>129</v>
      </c>
      <c r="D192" s="5"/>
      <c r="E192" s="5" t="s">
        <v>9231</v>
      </c>
      <c r="F192" s="5" t="s">
        <v>16781</v>
      </c>
      <c r="G192" s="5" t="s">
        <v>195</v>
      </c>
      <c r="H192" s="5" t="s">
        <v>137</v>
      </c>
      <c r="I192" s="5" t="s">
        <v>16513</v>
      </c>
      <c r="J192" s="5" t="s">
        <v>16780</v>
      </c>
    </row>
    <row r="193" spans="1:10" ht="25.5" x14ac:dyDescent="0.2">
      <c r="A193" s="5" t="s">
        <v>16779</v>
      </c>
      <c r="B193" s="5" t="s">
        <v>8584</v>
      </c>
      <c r="C193" s="5">
        <v>130</v>
      </c>
      <c r="D193" s="5"/>
      <c r="E193" s="5" t="s">
        <v>299</v>
      </c>
      <c r="F193" s="5" t="s">
        <v>4589</v>
      </c>
      <c r="G193" s="5" t="s">
        <v>195</v>
      </c>
      <c r="H193" s="5" t="s">
        <v>137</v>
      </c>
      <c r="I193" s="5" t="s">
        <v>15390</v>
      </c>
      <c r="J193" s="5" t="s">
        <v>16778</v>
      </c>
    </row>
    <row r="194" spans="1:10" ht="25.5" x14ac:dyDescent="0.2">
      <c r="A194" s="5" t="s">
        <v>16777</v>
      </c>
      <c r="B194" s="5" t="s">
        <v>8584</v>
      </c>
      <c r="C194" s="5">
        <v>131</v>
      </c>
      <c r="D194" s="5"/>
      <c r="E194" s="5" t="s">
        <v>299</v>
      </c>
      <c r="F194" s="5" t="s">
        <v>4589</v>
      </c>
      <c r="G194" s="5" t="s">
        <v>195</v>
      </c>
      <c r="H194" s="5" t="s">
        <v>137</v>
      </c>
      <c r="I194" s="5" t="s">
        <v>15390</v>
      </c>
      <c r="J194" s="5" t="s">
        <v>16776</v>
      </c>
    </row>
    <row r="195" spans="1:10" ht="25.5" x14ac:dyDescent="0.2">
      <c r="A195" s="5" t="s">
        <v>16775</v>
      </c>
      <c r="B195" s="5" t="s">
        <v>8584</v>
      </c>
      <c r="C195" s="5">
        <v>132</v>
      </c>
      <c r="D195" s="5"/>
      <c r="E195" s="5" t="s">
        <v>299</v>
      </c>
      <c r="F195" s="5" t="s">
        <v>4589</v>
      </c>
      <c r="G195" s="5" t="s">
        <v>195</v>
      </c>
      <c r="H195" s="5" t="s">
        <v>137</v>
      </c>
      <c r="I195" s="5" t="s">
        <v>15390</v>
      </c>
      <c r="J195" s="5" t="s">
        <v>16774</v>
      </c>
    </row>
    <row r="196" spans="1:10" ht="25.5" x14ac:dyDescent="0.2">
      <c r="A196" s="5" t="s">
        <v>16773</v>
      </c>
      <c r="B196" s="5" t="s">
        <v>8584</v>
      </c>
      <c r="C196" s="5">
        <v>133</v>
      </c>
      <c r="D196" s="5"/>
      <c r="E196" s="5" t="s">
        <v>299</v>
      </c>
      <c r="F196" s="5" t="s">
        <v>4589</v>
      </c>
      <c r="G196" s="5" t="s">
        <v>195</v>
      </c>
      <c r="H196" s="5" t="s">
        <v>137</v>
      </c>
      <c r="I196" s="5" t="s">
        <v>15390</v>
      </c>
      <c r="J196" s="5" t="s">
        <v>16772</v>
      </c>
    </row>
    <row r="197" spans="1:10" ht="25.5" x14ac:dyDescent="0.2">
      <c r="A197" s="5" t="s">
        <v>16771</v>
      </c>
      <c r="B197" s="5" t="s">
        <v>8584</v>
      </c>
      <c r="C197" s="5">
        <v>134</v>
      </c>
      <c r="D197" s="5"/>
      <c r="E197" s="5"/>
      <c r="F197" s="5" t="s">
        <v>7892</v>
      </c>
      <c r="G197" s="5" t="s">
        <v>80</v>
      </c>
      <c r="H197" s="5" t="s">
        <v>137</v>
      </c>
      <c r="I197" s="5" t="s">
        <v>15390</v>
      </c>
      <c r="J197" s="5" t="s">
        <v>16770</v>
      </c>
    </row>
    <row r="198" spans="1:10" ht="25.5" x14ac:dyDescent="0.2">
      <c r="A198" s="5" t="s">
        <v>16769</v>
      </c>
      <c r="B198" s="5" t="s">
        <v>8584</v>
      </c>
      <c r="C198" s="5">
        <v>134</v>
      </c>
      <c r="D198" s="5"/>
      <c r="E198" s="5"/>
      <c r="F198" s="5" t="s">
        <v>9632</v>
      </c>
      <c r="G198" s="5" t="s">
        <v>80</v>
      </c>
      <c r="H198" s="5" t="s">
        <v>137</v>
      </c>
      <c r="I198" s="5" t="s">
        <v>15390</v>
      </c>
      <c r="J198" s="5" t="s">
        <v>16768</v>
      </c>
    </row>
    <row r="199" spans="1:10" ht="25.5" x14ac:dyDescent="0.2">
      <c r="A199" s="5" t="s">
        <v>16767</v>
      </c>
      <c r="B199" s="5" t="s">
        <v>8584</v>
      </c>
      <c r="C199" s="5">
        <v>134</v>
      </c>
      <c r="D199" s="5"/>
      <c r="E199" s="5"/>
      <c r="F199" s="5" t="s">
        <v>9632</v>
      </c>
      <c r="G199" s="5" t="s">
        <v>173</v>
      </c>
      <c r="H199" s="5" t="s">
        <v>137</v>
      </c>
      <c r="I199" s="5" t="s">
        <v>15390</v>
      </c>
      <c r="J199" s="5" t="s">
        <v>16766</v>
      </c>
    </row>
    <row r="200" spans="1:10" ht="25.5" x14ac:dyDescent="0.2">
      <c r="A200" s="5" t="s">
        <v>16765</v>
      </c>
      <c r="B200" s="5" t="s">
        <v>8584</v>
      </c>
      <c r="C200" s="5">
        <v>135</v>
      </c>
      <c r="D200" s="5"/>
      <c r="E200" s="5"/>
      <c r="F200" s="5" t="s">
        <v>12907</v>
      </c>
      <c r="G200" s="5" t="s">
        <v>80</v>
      </c>
      <c r="H200" s="5" t="s">
        <v>137</v>
      </c>
      <c r="I200" s="5" t="s">
        <v>7844</v>
      </c>
      <c r="J200" s="5" t="s">
        <v>16764</v>
      </c>
    </row>
    <row r="201" spans="1:10" ht="25.5" x14ac:dyDescent="0.2">
      <c r="A201" s="5" t="s">
        <v>16763</v>
      </c>
      <c r="B201" s="5" t="s">
        <v>8584</v>
      </c>
      <c r="C201" s="5">
        <v>136</v>
      </c>
      <c r="D201" s="5"/>
      <c r="E201" s="5" t="s">
        <v>93</v>
      </c>
      <c r="F201" s="5" t="s">
        <v>12907</v>
      </c>
      <c r="G201" s="5" t="s">
        <v>328</v>
      </c>
      <c r="H201" s="5" t="s">
        <v>137</v>
      </c>
      <c r="I201" s="5" t="s">
        <v>7844</v>
      </c>
      <c r="J201" s="5" t="s">
        <v>16762</v>
      </c>
    </row>
    <row r="202" spans="1:10" ht="25.5" x14ac:dyDescent="0.2">
      <c r="A202" s="5" t="s">
        <v>16761</v>
      </c>
      <c r="B202" s="5" t="s">
        <v>8584</v>
      </c>
      <c r="C202" s="5">
        <v>137</v>
      </c>
      <c r="D202" s="5"/>
      <c r="E202" s="5"/>
      <c r="F202" s="5" t="s">
        <v>12907</v>
      </c>
      <c r="G202" s="5" t="s">
        <v>303</v>
      </c>
      <c r="H202" s="5" t="s">
        <v>137</v>
      </c>
      <c r="I202" s="5" t="s">
        <v>7844</v>
      </c>
      <c r="J202" s="5" t="s">
        <v>16760</v>
      </c>
    </row>
    <row r="203" spans="1:10" ht="25.5" x14ac:dyDescent="0.2">
      <c r="A203" s="5" t="s">
        <v>16759</v>
      </c>
      <c r="B203" s="5" t="s">
        <v>8584</v>
      </c>
      <c r="C203" s="5">
        <v>138</v>
      </c>
      <c r="D203" s="5"/>
      <c r="E203" s="5"/>
      <c r="F203" s="5" t="s">
        <v>7353</v>
      </c>
      <c r="G203" s="5" t="s">
        <v>80</v>
      </c>
      <c r="H203" s="5" t="s">
        <v>137</v>
      </c>
      <c r="I203" s="5" t="s">
        <v>15390</v>
      </c>
      <c r="J203" s="5" t="s">
        <v>16758</v>
      </c>
    </row>
    <row r="204" spans="1:10" ht="25.5" x14ac:dyDescent="0.2">
      <c r="A204" s="5" t="s">
        <v>16757</v>
      </c>
      <c r="B204" s="5" t="s">
        <v>8584</v>
      </c>
      <c r="C204" s="5">
        <v>139</v>
      </c>
      <c r="D204" s="5"/>
      <c r="E204" s="5" t="s">
        <v>93</v>
      </c>
      <c r="F204" s="5" t="s">
        <v>7353</v>
      </c>
      <c r="G204" s="5" t="s">
        <v>80</v>
      </c>
      <c r="H204" s="5" t="s">
        <v>137</v>
      </c>
      <c r="I204" s="5" t="s">
        <v>15390</v>
      </c>
      <c r="J204" s="5" t="s">
        <v>16756</v>
      </c>
    </row>
    <row r="205" spans="1:10" ht="25.5" x14ac:dyDescent="0.2">
      <c r="A205" s="5" t="s">
        <v>16755</v>
      </c>
      <c r="B205" s="5" t="s">
        <v>8584</v>
      </c>
      <c r="C205" s="5">
        <v>140</v>
      </c>
      <c r="D205" s="5"/>
      <c r="E205" s="5" t="s">
        <v>93</v>
      </c>
      <c r="F205" s="5" t="s">
        <v>7353</v>
      </c>
      <c r="G205" s="5" t="s">
        <v>303</v>
      </c>
      <c r="H205" s="5" t="s">
        <v>137</v>
      </c>
      <c r="I205" s="5" t="s">
        <v>15390</v>
      </c>
      <c r="J205" s="5" t="s">
        <v>16754</v>
      </c>
    </row>
    <row r="206" spans="1:10" ht="25.5" x14ac:dyDescent="0.2">
      <c r="A206" s="5" t="s">
        <v>16753</v>
      </c>
      <c r="B206" s="5" t="s">
        <v>8584</v>
      </c>
      <c r="C206" s="5">
        <v>141</v>
      </c>
      <c r="D206" s="5"/>
      <c r="E206" s="5"/>
      <c r="F206" s="5" t="s">
        <v>7892</v>
      </c>
      <c r="G206" s="5" t="s">
        <v>80</v>
      </c>
      <c r="H206" s="5" t="s">
        <v>137</v>
      </c>
      <c r="I206" s="5" t="s">
        <v>15390</v>
      </c>
      <c r="J206" s="5" t="s">
        <v>16752</v>
      </c>
    </row>
    <row r="207" spans="1:10" ht="25.5" x14ac:dyDescent="0.2">
      <c r="A207" s="5" t="s">
        <v>16751</v>
      </c>
      <c r="B207" s="5" t="s">
        <v>8584</v>
      </c>
      <c r="C207" s="5">
        <v>142</v>
      </c>
      <c r="D207" s="5"/>
      <c r="E207" s="5"/>
      <c r="F207" s="5" t="s">
        <v>16750</v>
      </c>
      <c r="G207" s="5" t="s">
        <v>80</v>
      </c>
      <c r="H207" s="5"/>
      <c r="I207" s="5"/>
      <c r="J207" s="5" t="s">
        <v>16747</v>
      </c>
    </row>
    <row r="208" spans="1:10" ht="25.5" x14ac:dyDescent="0.2">
      <c r="A208" s="5" t="s">
        <v>16749</v>
      </c>
      <c r="B208" s="5" t="s">
        <v>8584</v>
      </c>
      <c r="C208" s="5">
        <v>143</v>
      </c>
      <c r="D208" s="5"/>
      <c r="E208" s="5"/>
      <c r="F208" s="5" t="s">
        <v>16748</v>
      </c>
      <c r="G208" s="5" t="s">
        <v>80</v>
      </c>
      <c r="H208" s="5"/>
      <c r="I208" s="5"/>
      <c r="J208" s="5" t="s">
        <v>16747</v>
      </c>
    </row>
    <row r="209" spans="1:10" x14ac:dyDescent="0.2">
      <c r="A209" s="5" t="s">
        <v>16746</v>
      </c>
      <c r="B209" s="5" t="s">
        <v>8584</v>
      </c>
      <c r="C209" s="5">
        <v>144</v>
      </c>
      <c r="D209" s="5"/>
      <c r="E209" s="5"/>
      <c r="F209" s="5" t="s">
        <v>13737</v>
      </c>
      <c r="G209" s="5" t="s">
        <v>173</v>
      </c>
      <c r="H209" s="5" t="s">
        <v>3</v>
      </c>
      <c r="I209" s="5"/>
      <c r="J209" s="5" t="s">
        <v>16745</v>
      </c>
    </row>
    <row r="210" spans="1:10" ht="25.5" x14ac:dyDescent="0.2">
      <c r="A210" s="5" t="s">
        <v>16744</v>
      </c>
      <c r="B210" s="5" t="s">
        <v>8584</v>
      </c>
      <c r="C210" s="5">
        <v>145</v>
      </c>
      <c r="D210" s="5"/>
      <c r="E210" s="5"/>
      <c r="F210" s="5" t="s">
        <v>16129</v>
      </c>
      <c r="G210" s="5" t="s">
        <v>80</v>
      </c>
      <c r="H210" s="5" t="s">
        <v>137</v>
      </c>
      <c r="I210" s="5" t="s">
        <v>7844</v>
      </c>
      <c r="J210" s="5" t="s">
        <v>16743</v>
      </c>
    </row>
    <row r="211" spans="1:10" ht="25.5" x14ac:dyDescent="0.2">
      <c r="A211" s="5" t="s">
        <v>16742</v>
      </c>
      <c r="B211" s="5" t="s">
        <v>8584</v>
      </c>
      <c r="C211" s="5">
        <v>146</v>
      </c>
      <c r="D211" s="5"/>
      <c r="E211" s="5"/>
      <c r="F211" s="5" t="s">
        <v>16129</v>
      </c>
      <c r="G211" s="5" t="s">
        <v>80</v>
      </c>
      <c r="H211" s="5" t="s">
        <v>137</v>
      </c>
      <c r="I211" s="5" t="s">
        <v>7844</v>
      </c>
      <c r="J211" s="5" t="s">
        <v>16741</v>
      </c>
    </row>
    <row r="212" spans="1:10" ht="25.5" x14ac:dyDescent="0.2">
      <c r="A212" s="5" t="s">
        <v>16740</v>
      </c>
      <c r="B212" s="5" t="s">
        <v>8584</v>
      </c>
      <c r="C212" s="5">
        <v>147</v>
      </c>
      <c r="D212" s="5"/>
      <c r="E212" s="5"/>
      <c r="F212" s="5" t="s">
        <v>15239</v>
      </c>
      <c r="G212" s="5" t="s">
        <v>80</v>
      </c>
      <c r="H212" s="5" t="s">
        <v>137</v>
      </c>
      <c r="I212" s="5" t="s">
        <v>15390</v>
      </c>
      <c r="J212" s="5" t="s">
        <v>16739</v>
      </c>
    </row>
    <row r="213" spans="1:10" ht="25.5" x14ac:dyDescent="0.2">
      <c r="A213" s="5" t="s">
        <v>16738</v>
      </c>
      <c r="B213" s="5" t="s">
        <v>8584</v>
      </c>
      <c r="C213" s="5">
        <v>148</v>
      </c>
      <c r="D213" s="5"/>
      <c r="E213" s="5"/>
      <c r="F213" s="5" t="s">
        <v>15239</v>
      </c>
      <c r="G213" s="5" t="s">
        <v>80</v>
      </c>
      <c r="H213" s="5" t="s">
        <v>137</v>
      </c>
      <c r="I213" s="5" t="s">
        <v>15390</v>
      </c>
      <c r="J213" s="5" t="s">
        <v>16737</v>
      </c>
    </row>
    <row r="214" spans="1:10" ht="25.5" x14ac:dyDescent="0.2">
      <c r="A214" s="5" t="s">
        <v>16736</v>
      </c>
      <c r="B214" s="5" t="s">
        <v>8584</v>
      </c>
      <c r="C214" s="5">
        <v>149</v>
      </c>
      <c r="D214" s="5"/>
      <c r="E214" s="5"/>
      <c r="F214" s="5" t="s">
        <v>8739</v>
      </c>
      <c r="G214" s="5" t="s">
        <v>122</v>
      </c>
      <c r="H214" s="5" t="s">
        <v>137</v>
      </c>
      <c r="I214" s="5" t="s">
        <v>15599</v>
      </c>
      <c r="J214" s="5" t="s">
        <v>16735</v>
      </c>
    </row>
    <row r="215" spans="1:10" ht="25.5" x14ac:dyDescent="0.2">
      <c r="A215" s="5" t="s">
        <v>16734</v>
      </c>
      <c r="B215" s="5" t="s">
        <v>8584</v>
      </c>
      <c r="C215" s="5">
        <v>150</v>
      </c>
      <c r="D215" s="5"/>
      <c r="E215" s="5" t="s">
        <v>138</v>
      </c>
      <c r="F215" s="5" t="s">
        <v>15600</v>
      </c>
      <c r="G215" s="5" t="s">
        <v>181</v>
      </c>
      <c r="H215" s="5" t="s">
        <v>137</v>
      </c>
      <c r="I215" s="5" t="s">
        <v>15599</v>
      </c>
      <c r="J215" s="5" t="s">
        <v>16733</v>
      </c>
    </row>
    <row r="216" spans="1:10" ht="38.25" x14ac:dyDescent="0.2">
      <c r="A216" s="5" t="s">
        <v>16732</v>
      </c>
      <c r="B216" s="5" t="s">
        <v>8584</v>
      </c>
      <c r="C216" s="5">
        <v>151</v>
      </c>
      <c r="D216" s="5"/>
      <c r="E216" s="5"/>
      <c r="F216" s="5" t="s">
        <v>16731</v>
      </c>
      <c r="G216" s="5" t="s">
        <v>229</v>
      </c>
      <c r="H216" s="5" t="s">
        <v>137</v>
      </c>
      <c r="I216" s="5" t="s">
        <v>15599</v>
      </c>
      <c r="J216" s="5" t="s">
        <v>16730</v>
      </c>
    </row>
    <row r="217" spans="1:10" ht="25.5" x14ac:dyDescent="0.2">
      <c r="A217" s="5" t="s">
        <v>16729</v>
      </c>
      <c r="B217" s="5" t="s">
        <v>8584</v>
      </c>
      <c r="C217" s="5">
        <v>152</v>
      </c>
      <c r="D217" s="5"/>
      <c r="E217" s="5"/>
      <c r="F217" s="5" t="s">
        <v>16728</v>
      </c>
      <c r="G217" s="5" t="s">
        <v>4028</v>
      </c>
      <c r="H217" s="5" t="s">
        <v>137</v>
      </c>
      <c r="I217" s="5" t="s">
        <v>15599</v>
      </c>
      <c r="J217" s="5" t="s">
        <v>16727</v>
      </c>
    </row>
    <row r="218" spans="1:10" ht="25.5" x14ac:dyDescent="0.2">
      <c r="A218" s="5" t="s">
        <v>16726</v>
      </c>
      <c r="B218" s="5" t="s">
        <v>8584</v>
      </c>
      <c r="C218" s="5">
        <v>153</v>
      </c>
      <c r="D218" s="5"/>
      <c r="E218" s="5" t="s">
        <v>138</v>
      </c>
      <c r="F218" s="5" t="s">
        <v>15600</v>
      </c>
      <c r="G218" s="5" t="s">
        <v>181</v>
      </c>
      <c r="H218" s="5" t="s">
        <v>137</v>
      </c>
      <c r="I218" s="5" t="s">
        <v>15599</v>
      </c>
      <c r="J218" s="5" t="s">
        <v>16725</v>
      </c>
    </row>
    <row r="219" spans="1:10" ht="25.5" x14ac:dyDescent="0.2">
      <c r="A219" s="5" t="s">
        <v>16724</v>
      </c>
      <c r="B219" s="5" t="s">
        <v>8584</v>
      </c>
      <c r="C219" s="5">
        <v>154</v>
      </c>
      <c r="D219" s="5"/>
      <c r="E219" s="5"/>
      <c r="F219" s="5" t="s">
        <v>16723</v>
      </c>
      <c r="G219" s="5" t="s">
        <v>229</v>
      </c>
      <c r="H219" s="5" t="s">
        <v>137</v>
      </c>
      <c r="I219" s="5" t="s">
        <v>15385</v>
      </c>
      <c r="J219" s="5" t="s">
        <v>16722</v>
      </c>
    </row>
    <row r="220" spans="1:10" ht="25.5" x14ac:dyDescent="0.2">
      <c r="A220" s="5" t="s">
        <v>16721</v>
      </c>
      <c r="B220" s="5" t="s">
        <v>8584</v>
      </c>
      <c r="C220" s="5">
        <v>155</v>
      </c>
      <c r="D220" s="5"/>
      <c r="E220" s="5"/>
      <c r="F220" s="5" t="s">
        <v>15239</v>
      </c>
      <c r="G220" s="5" t="s">
        <v>328</v>
      </c>
      <c r="H220" s="5" t="s">
        <v>137</v>
      </c>
      <c r="I220" s="5" t="s">
        <v>15390</v>
      </c>
      <c r="J220" s="5" t="s">
        <v>16720</v>
      </c>
    </row>
    <row r="221" spans="1:10" ht="38.25" x14ac:dyDescent="0.2">
      <c r="A221" s="5" t="s">
        <v>392</v>
      </c>
      <c r="B221" s="5" t="s">
        <v>8584</v>
      </c>
      <c r="C221" s="5">
        <v>156</v>
      </c>
      <c r="D221" s="5"/>
      <c r="E221" s="5"/>
      <c r="F221" s="5" t="s">
        <v>409</v>
      </c>
      <c r="G221" s="5" t="s">
        <v>148</v>
      </c>
      <c r="H221" s="5" t="s">
        <v>137</v>
      </c>
      <c r="I221" s="5" t="s">
        <v>15403</v>
      </c>
      <c r="J221" s="5" t="s">
        <v>16719</v>
      </c>
    </row>
    <row r="222" spans="1:10" ht="25.5" x14ac:dyDescent="0.2">
      <c r="A222" s="5" t="s">
        <v>16718</v>
      </c>
      <c r="B222" s="5" t="s">
        <v>8584</v>
      </c>
      <c r="C222" s="5">
        <v>157</v>
      </c>
      <c r="D222" s="5"/>
      <c r="E222" s="5"/>
      <c r="F222" s="5" t="s">
        <v>16717</v>
      </c>
      <c r="G222" s="5" t="s">
        <v>173</v>
      </c>
      <c r="H222" s="5" t="s">
        <v>137</v>
      </c>
      <c r="I222" s="5" t="s">
        <v>15385</v>
      </c>
      <c r="J222" s="5" t="s">
        <v>16716</v>
      </c>
    </row>
    <row r="223" spans="1:10" ht="38.25" x14ac:dyDescent="0.2">
      <c r="A223" s="5" t="s">
        <v>16715</v>
      </c>
      <c r="B223" s="5" t="s">
        <v>8584</v>
      </c>
      <c r="C223" s="5">
        <v>158</v>
      </c>
      <c r="D223" s="5"/>
      <c r="E223" s="5"/>
      <c r="F223" s="5"/>
      <c r="G223" s="5" t="s">
        <v>148</v>
      </c>
      <c r="H223" s="5" t="s">
        <v>137</v>
      </c>
      <c r="I223" s="5" t="s">
        <v>16714</v>
      </c>
      <c r="J223" s="5" t="s">
        <v>16713</v>
      </c>
    </row>
    <row r="224" spans="1:10" ht="25.5" x14ac:dyDescent="0.2">
      <c r="A224" s="5" t="s">
        <v>16712</v>
      </c>
      <c r="B224" s="5" t="s">
        <v>8584</v>
      </c>
      <c r="C224" s="5">
        <v>159</v>
      </c>
      <c r="D224" s="5"/>
      <c r="E224" s="5"/>
      <c r="F224" s="5" t="s">
        <v>12907</v>
      </c>
      <c r="G224" s="5" t="s">
        <v>195</v>
      </c>
      <c r="H224" s="5" t="s">
        <v>137</v>
      </c>
      <c r="I224" s="5" t="s">
        <v>7844</v>
      </c>
      <c r="J224" s="5" t="s">
        <v>16710</v>
      </c>
    </row>
    <row r="225" spans="1:10" ht="25.5" x14ac:dyDescent="0.2">
      <c r="A225" s="5" t="s">
        <v>16711</v>
      </c>
      <c r="B225" s="5" t="s">
        <v>8584</v>
      </c>
      <c r="C225" s="5">
        <v>160</v>
      </c>
      <c r="D225" s="5"/>
      <c r="E225" s="5"/>
      <c r="F225" s="5" t="s">
        <v>12907</v>
      </c>
      <c r="G225" s="5" t="s">
        <v>195</v>
      </c>
      <c r="H225" s="5" t="s">
        <v>137</v>
      </c>
      <c r="I225" s="5" t="s">
        <v>7844</v>
      </c>
      <c r="J225" s="5" t="s">
        <v>16710</v>
      </c>
    </row>
    <row r="226" spans="1:10" ht="25.5" x14ac:dyDescent="0.2">
      <c r="A226" s="5" t="s">
        <v>16709</v>
      </c>
      <c r="B226" s="5" t="s">
        <v>8584</v>
      </c>
      <c r="C226" s="5">
        <v>161</v>
      </c>
      <c r="D226" s="5"/>
      <c r="E226" s="5"/>
      <c r="F226" s="5" t="s">
        <v>12907</v>
      </c>
      <c r="G226" s="5" t="s">
        <v>195</v>
      </c>
      <c r="H226" s="5" t="s">
        <v>137</v>
      </c>
      <c r="I226" s="5" t="s">
        <v>7844</v>
      </c>
      <c r="J226" s="5" t="s">
        <v>16708</v>
      </c>
    </row>
    <row r="227" spans="1:10" ht="25.5" x14ac:dyDescent="0.2">
      <c r="A227" s="5" t="s">
        <v>16707</v>
      </c>
      <c r="B227" s="5" t="s">
        <v>8584</v>
      </c>
      <c r="C227" s="5">
        <v>162</v>
      </c>
      <c r="D227" s="5"/>
      <c r="E227" s="5"/>
      <c r="F227" s="5" t="s">
        <v>7353</v>
      </c>
      <c r="G227" s="5" t="s">
        <v>195</v>
      </c>
      <c r="H227" s="5" t="s">
        <v>137</v>
      </c>
      <c r="I227" s="5" t="s">
        <v>15390</v>
      </c>
      <c r="J227" s="5" t="s">
        <v>16705</v>
      </c>
    </row>
    <row r="228" spans="1:10" ht="25.5" x14ac:dyDescent="0.2">
      <c r="A228" s="5" t="s">
        <v>16706</v>
      </c>
      <c r="B228" s="5" t="s">
        <v>8584</v>
      </c>
      <c r="C228" s="5">
        <v>163</v>
      </c>
      <c r="D228" s="5"/>
      <c r="E228" s="5"/>
      <c r="F228" s="5" t="s">
        <v>7353</v>
      </c>
      <c r="G228" s="5" t="s">
        <v>195</v>
      </c>
      <c r="H228" s="5" t="s">
        <v>137</v>
      </c>
      <c r="I228" s="5" t="s">
        <v>15390</v>
      </c>
      <c r="J228" s="5" t="s">
        <v>16705</v>
      </c>
    </row>
    <row r="229" spans="1:10" ht="25.5" x14ac:dyDescent="0.2">
      <c r="A229" s="5" t="s">
        <v>16704</v>
      </c>
      <c r="B229" s="5" t="s">
        <v>8584</v>
      </c>
      <c r="C229" s="5">
        <v>164</v>
      </c>
      <c r="D229" s="5"/>
      <c r="E229" s="5"/>
      <c r="F229" s="5" t="s">
        <v>7353</v>
      </c>
      <c r="G229" s="5" t="s">
        <v>195</v>
      </c>
      <c r="H229" s="5" t="s">
        <v>137</v>
      </c>
      <c r="I229" s="5" t="s">
        <v>15390</v>
      </c>
      <c r="J229" s="5" t="s">
        <v>16703</v>
      </c>
    </row>
    <row r="230" spans="1:10" ht="25.5" x14ac:dyDescent="0.2">
      <c r="A230" s="5" t="s">
        <v>16702</v>
      </c>
      <c r="B230" s="5" t="s">
        <v>8584</v>
      </c>
      <c r="C230" s="5">
        <v>165</v>
      </c>
      <c r="D230" s="5"/>
      <c r="E230" s="5"/>
      <c r="F230" s="5" t="s">
        <v>16701</v>
      </c>
      <c r="G230" s="5" t="s">
        <v>382</v>
      </c>
      <c r="H230" s="5" t="s">
        <v>137</v>
      </c>
      <c r="I230" s="5" t="s">
        <v>15390</v>
      </c>
      <c r="J230" s="5" t="s">
        <v>16700</v>
      </c>
    </row>
    <row r="231" spans="1:10" ht="25.5" x14ac:dyDescent="0.2">
      <c r="A231" s="5" t="s">
        <v>16699</v>
      </c>
      <c r="B231" s="5" t="s">
        <v>8584</v>
      </c>
      <c r="C231" s="5">
        <v>166</v>
      </c>
      <c r="D231" s="5"/>
      <c r="E231" s="5"/>
      <c r="F231" s="5" t="s">
        <v>16698</v>
      </c>
      <c r="G231" s="5" t="s">
        <v>148</v>
      </c>
      <c r="H231" s="5" t="s">
        <v>137</v>
      </c>
      <c r="I231" s="5" t="s">
        <v>15390</v>
      </c>
      <c r="J231" s="5" t="s">
        <v>16697</v>
      </c>
    </row>
    <row r="232" spans="1:10" ht="25.5" x14ac:dyDescent="0.2">
      <c r="A232" s="5" t="s">
        <v>16696</v>
      </c>
      <c r="B232" s="5" t="s">
        <v>8584</v>
      </c>
      <c r="C232" s="5">
        <v>167</v>
      </c>
      <c r="D232" s="5"/>
      <c r="E232" s="5"/>
      <c r="F232" s="5"/>
      <c r="G232" s="5" t="s">
        <v>229</v>
      </c>
      <c r="H232" s="5" t="s">
        <v>137</v>
      </c>
      <c r="I232" s="5" t="s">
        <v>15390</v>
      </c>
      <c r="J232" s="5" t="s">
        <v>16695</v>
      </c>
    </row>
    <row r="233" spans="1:10" ht="25.5" x14ac:dyDescent="0.2">
      <c r="A233" s="5" t="s">
        <v>16694</v>
      </c>
      <c r="B233" s="5" t="s">
        <v>8584</v>
      </c>
      <c r="C233" s="5">
        <v>168</v>
      </c>
      <c r="D233" s="5"/>
      <c r="E233" s="5" t="s">
        <v>138</v>
      </c>
      <c r="F233" s="5"/>
      <c r="G233" s="5" t="s">
        <v>91</v>
      </c>
      <c r="H233" s="5" t="s">
        <v>137</v>
      </c>
      <c r="I233" s="5" t="s">
        <v>15390</v>
      </c>
      <c r="J233" s="5" t="s">
        <v>16693</v>
      </c>
    </row>
    <row r="234" spans="1:10" ht="25.5" x14ac:dyDescent="0.2">
      <c r="A234" s="5" t="s">
        <v>16692</v>
      </c>
      <c r="B234" s="5" t="s">
        <v>8584</v>
      </c>
      <c r="C234" s="5">
        <v>169</v>
      </c>
      <c r="D234" s="5"/>
      <c r="E234" s="5" t="s">
        <v>368</v>
      </c>
      <c r="F234" s="5"/>
      <c r="G234" s="5" t="s">
        <v>148</v>
      </c>
      <c r="H234" s="5" t="s">
        <v>137</v>
      </c>
      <c r="I234" s="5" t="s">
        <v>15390</v>
      </c>
      <c r="J234" s="5" t="s">
        <v>16691</v>
      </c>
    </row>
    <row r="235" spans="1:10" ht="38.25" x14ac:dyDescent="0.2">
      <c r="A235" s="5" t="s">
        <v>16690</v>
      </c>
      <c r="B235" s="5" t="s">
        <v>8584</v>
      </c>
      <c r="C235" s="5">
        <v>170</v>
      </c>
      <c r="D235" s="5"/>
      <c r="E235" s="5"/>
      <c r="F235" s="5"/>
      <c r="G235" s="5" t="s">
        <v>105</v>
      </c>
      <c r="H235" s="5" t="s">
        <v>137</v>
      </c>
      <c r="I235" s="5" t="s">
        <v>15390</v>
      </c>
      <c r="J235" s="5" t="s">
        <v>16689</v>
      </c>
    </row>
    <row r="236" spans="1:10" ht="38.25" x14ac:dyDescent="0.2">
      <c r="A236" s="5" t="s">
        <v>16688</v>
      </c>
      <c r="B236" s="5" t="s">
        <v>8584</v>
      </c>
      <c r="C236" s="5">
        <v>171</v>
      </c>
      <c r="D236" s="5"/>
      <c r="E236" s="5"/>
      <c r="F236" s="5"/>
      <c r="G236" s="5" t="s">
        <v>105</v>
      </c>
      <c r="H236" s="5" t="s">
        <v>137</v>
      </c>
      <c r="I236" s="5" t="s">
        <v>15390</v>
      </c>
      <c r="J236" s="5" t="s">
        <v>16687</v>
      </c>
    </row>
    <row r="237" spans="1:10" ht="38.25" x14ac:dyDescent="0.2">
      <c r="A237" s="5" t="s">
        <v>16686</v>
      </c>
      <c r="B237" s="5" t="s">
        <v>8584</v>
      </c>
      <c r="C237" s="5">
        <v>172</v>
      </c>
      <c r="D237" s="5"/>
      <c r="E237" s="5" t="s">
        <v>3057</v>
      </c>
      <c r="F237" s="5" t="s">
        <v>16685</v>
      </c>
      <c r="G237" s="5" t="s">
        <v>181</v>
      </c>
      <c r="H237" s="5" t="s">
        <v>137</v>
      </c>
      <c r="I237" s="5" t="s">
        <v>15403</v>
      </c>
      <c r="J237" s="5" t="s">
        <v>16684</v>
      </c>
    </row>
    <row r="238" spans="1:10" ht="38.25" x14ac:dyDescent="0.2">
      <c r="A238" s="5" t="s">
        <v>16683</v>
      </c>
      <c r="B238" s="5" t="s">
        <v>8584</v>
      </c>
      <c r="C238" s="5">
        <v>173</v>
      </c>
      <c r="D238" s="5"/>
      <c r="E238" s="5"/>
      <c r="F238" s="5" t="s">
        <v>16682</v>
      </c>
      <c r="G238" s="5" t="s">
        <v>170</v>
      </c>
      <c r="H238" s="5" t="s">
        <v>137</v>
      </c>
      <c r="I238" s="5" t="s">
        <v>15403</v>
      </c>
      <c r="J238" s="5" t="s">
        <v>16681</v>
      </c>
    </row>
    <row r="239" spans="1:10" ht="25.5" x14ac:dyDescent="0.2">
      <c r="A239" s="5" t="s">
        <v>16680</v>
      </c>
      <c r="B239" s="5" t="s">
        <v>8584</v>
      </c>
      <c r="C239" s="5">
        <v>174</v>
      </c>
      <c r="D239" s="5"/>
      <c r="E239" s="5"/>
      <c r="F239" s="5" t="s">
        <v>7970</v>
      </c>
      <c r="G239" s="5" t="s">
        <v>2308</v>
      </c>
      <c r="H239" s="5" t="s">
        <v>137</v>
      </c>
      <c r="I239" s="5" t="s">
        <v>15711</v>
      </c>
      <c r="J239" s="5" t="s">
        <v>16679</v>
      </c>
    </row>
    <row r="240" spans="1:10" ht="25.5" x14ac:dyDescent="0.2">
      <c r="A240" s="5" t="s">
        <v>16678</v>
      </c>
      <c r="B240" s="5" t="s">
        <v>8584</v>
      </c>
      <c r="C240" s="5">
        <v>175</v>
      </c>
      <c r="D240" s="5"/>
      <c r="E240" s="5" t="s">
        <v>138</v>
      </c>
      <c r="F240" s="5" t="s">
        <v>7970</v>
      </c>
      <c r="G240" s="5" t="s">
        <v>91</v>
      </c>
      <c r="H240" s="5" t="s">
        <v>137</v>
      </c>
      <c r="I240" s="5" t="s">
        <v>15711</v>
      </c>
      <c r="J240" s="5" t="s">
        <v>16677</v>
      </c>
    </row>
    <row r="241" spans="1:10" ht="25.5" x14ac:dyDescent="0.2">
      <c r="A241" s="5" t="s">
        <v>16676</v>
      </c>
      <c r="B241" s="5" t="s">
        <v>8584</v>
      </c>
      <c r="C241" s="5">
        <v>176</v>
      </c>
      <c r="D241" s="5"/>
      <c r="E241" s="5" t="s">
        <v>138</v>
      </c>
      <c r="F241" s="5" t="s">
        <v>7970</v>
      </c>
      <c r="G241" s="5" t="s">
        <v>148</v>
      </c>
      <c r="H241" s="5" t="s">
        <v>137</v>
      </c>
      <c r="I241" s="5" t="s">
        <v>15711</v>
      </c>
      <c r="J241" s="5" t="s">
        <v>16675</v>
      </c>
    </row>
    <row r="242" spans="1:10" ht="25.5" x14ac:dyDescent="0.2">
      <c r="A242" s="5" t="s">
        <v>16674</v>
      </c>
      <c r="B242" s="5" t="s">
        <v>8584</v>
      </c>
      <c r="C242" s="5">
        <v>177</v>
      </c>
      <c r="D242" s="5"/>
      <c r="E242" s="5"/>
      <c r="F242" s="5"/>
      <c r="G242" s="5" t="s">
        <v>8604</v>
      </c>
      <c r="H242" s="5" t="s">
        <v>137</v>
      </c>
      <c r="I242" s="5" t="s">
        <v>15385</v>
      </c>
      <c r="J242" s="5" t="s">
        <v>16673</v>
      </c>
    </row>
    <row r="243" spans="1:10" ht="25.5" x14ac:dyDescent="0.2">
      <c r="A243" s="5" t="s">
        <v>16672</v>
      </c>
      <c r="B243" s="5" t="s">
        <v>8584</v>
      </c>
      <c r="C243" s="5">
        <v>178</v>
      </c>
      <c r="D243" s="5"/>
      <c r="E243" s="5" t="s">
        <v>150</v>
      </c>
      <c r="F243" s="5" t="s">
        <v>8739</v>
      </c>
      <c r="G243" s="5" t="s">
        <v>148</v>
      </c>
      <c r="H243" s="5" t="s">
        <v>3</v>
      </c>
      <c r="I243" s="5"/>
      <c r="J243" s="5" t="s">
        <v>16671</v>
      </c>
    </row>
    <row r="244" spans="1:10" ht="25.5" x14ac:dyDescent="0.2">
      <c r="A244" s="5" t="s">
        <v>16670</v>
      </c>
      <c r="B244" s="5" t="s">
        <v>8584</v>
      </c>
      <c r="C244" s="5">
        <v>179</v>
      </c>
      <c r="D244" s="5"/>
      <c r="E244" s="5" t="s">
        <v>665</v>
      </c>
      <c r="F244" s="5" t="s">
        <v>8739</v>
      </c>
      <c r="G244" s="5" t="s">
        <v>148</v>
      </c>
      <c r="H244" s="5" t="s">
        <v>3</v>
      </c>
      <c r="I244" s="5"/>
      <c r="J244" s="5" t="s">
        <v>16669</v>
      </c>
    </row>
    <row r="245" spans="1:10" x14ac:dyDescent="0.2">
      <c r="A245" s="5" t="s">
        <v>16668</v>
      </c>
      <c r="B245" s="5" t="s">
        <v>8584</v>
      </c>
      <c r="C245" s="5">
        <v>180</v>
      </c>
      <c r="D245" s="5"/>
      <c r="E245" s="5"/>
      <c r="F245" s="5" t="s">
        <v>110</v>
      </c>
      <c r="G245" s="5" t="s">
        <v>105</v>
      </c>
      <c r="H245" s="5" t="s">
        <v>3</v>
      </c>
      <c r="I245" s="5"/>
      <c r="J245" s="5" t="s">
        <v>16667</v>
      </c>
    </row>
    <row r="246" spans="1:10" ht="38.25" x14ac:dyDescent="0.2">
      <c r="A246" s="5" t="s">
        <v>16666</v>
      </c>
      <c r="B246" s="5" t="s">
        <v>8584</v>
      </c>
      <c r="C246" s="5">
        <v>181</v>
      </c>
      <c r="D246" s="5"/>
      <c r="E246" s="5"/>
      <c r="F246" s="5"/>
      <c r="G246" s="5" t="s">
        <v>16665</v>
      </c>
      <c r="H246" s="5" t="s">
        <v>137</v>
      </c>
      <c r="I246" s="5" t="s">
        <v>16664</v>
      </c>
      <c r="J246" s="5" t="s">
        <v>16663</v>
      </c>
    </row>
    <row r="247" spans="1:10" x14ac:dyDescent="0.2">
      <c r="A247" s="5" t="s">
        <v>14283</v>
      </c>
      <c r="B247" s="5" t="s">
        <v>8584</v>
      </c>
      <c r="C247" s="5">
        <v>182</v>
      </c>
      <c r="D247" s="5"/>
      <c r="E247" s="5" t="s">
        <v>150</v>
      </c>
      <c r="F247" s="5" t="s">
        <v>16662</v>
      </c>
      <c r="G247" s="5" t="s">
        <v>148</v>
      </c>
      <c r="H247" s="5"/>
      <c r="I247" s="5"/>
      <c r="J247" s="5" t="s">
        <v>16661</v>
      </c>
    </row>
    <row r="248" spans="1:10" ht="38.25" x14ac:dyDescent="0.2">
      <c r="A248" s="5" t="s">
        <v>16660</v>
      </c>
      <c r="B248" s="5" t="s">
        <v>8584</v>
      </c>
      <c r="C248" s="5">
        <v>183</v>
      </c>
      <c r="D248" s="5"/>
      <c r="E248" s="5"/>
      <c r="F248" s="5"/>
      <c r="G248" s="5" t="s">
        <v>86</v>
      </c>
      <c r="H248" s="5" t="s">
        <v>3</v>
      </c>
      <c r="I248" s="5"/>
      <c r="J248" s="5" t="s">
        <v>16659</v>
      </c>
    </row>
    <row r="249" spans="1:10" x14ac:dyDescent="0.2">
      <c r="A249" s="5" t="s">
        <v>16658</v>
      </c>
      <c r="B249" s="5" t="s">
        <v>8584</v>
      </c>
      <c r="C249" s="5">
        <v>184</v>
      </c>
      <c r="D249" s="5"/>
      <c r="E249" s="5"/>
      <c r="F249" s="5" t="s">
        <v>16657</v>
      </c>
      <c r="G249" s="5" t="s">
        <v>105</v>
      </c>
      <c r="H249" s="5" t="s">
        <v>3</v>
      </c>
      <c r="I249" s="5"/>
      <c r="J249" s="5" t="s">
        <v>16656</v>
      </c>
    </row>
    <row r="250" spans="1:10" ht="25.5" x14ac:dyDescent="0.2">
      <c r="A250" s="5" t="s">
        <v>16655</v>
      </c>
      <c r="B250" s="5" t="s">
        <v>8584</v>
      </c>
      <c r="C250" s="5">
        <v>185</v>
      </c>
      <c r="D250" s="5"/>
      <c r="E250" s="5" t="s">
        <v>150</v>
      </c>
      <c r="F250" s="5" t="s">
        <v>16654</v>
      </c>
      <c r="G250" s="5" t="s">
        <v>148</v>
      </c>
      <c r="H250" s="5" t="s">
        <v>137</v>
      </c>
      <c r="I250" s="5" t="s">
        <v>16650</v>
      </c>
      <c r="J250" s="5" t="s">
        <v>16653</v>
      </c>
    </row>
    <row r="251" spans="1:10" ht="25.5" x14ac:dyDescent="0.2">
      <c r="A251" s="5" t="s">
        <v>16652</v>
      </c>
      <c r="B251" s="5" t="s">
        <v>8584</v>
      </c>
      <c r="C251" s="5">
        <v>186</v>
      </c>
      <c r="D251" s="5"/>
      <c r="E251" s="5" t="s">
        <v>665</v>
      </c>
      <c r="F251" s="5" t="s">
        <v>16651</v>
      </c>
      <c r="G251" s="5" t="s">
        <v>148</v>
      </c>
      <c r="H251" s="5" t="s">
        <v>137</v>
      </c>
      <c r="I251" s="5" t="s">
        <v>16650</v>
      </c>
      <c r="J251" s="5" t="s">
        <v>16649</v>
      </c>
    </row>
    <row r="252" spans="1:10" ht="25.5" x14ac:dyDescent="0.2">
      <c r="A252" s="5" t="s">
        <v>16648</v>
      </c>
      <c r="B252" s="5" t="s">
        <v>8584</v>
      </c>
      <c r="C252" s="5">
        <v>187</v>
      </c>
      <c r="D252" s="5"/>
      <c r="E252" s="5"/>
      <c r="F252" s="5" t="s">
        <v>16647</v>
      </c>
      <c r="G252" s="5" t="s">
        <v>114</v>
      </c>
      <c r="H252" s="5" t="s">
        <v>137</v>
      </c>
      <c r="I252" s="5" t="s">
        <v>15390</v>
      </c>
      <c r="J252" s="5" t="s">
        <v>16646</v>
      </c>
    </row>
    <row r="253" spans="1:10" ht="25.5" x14ac:dyDescent="0.2">
      <c r="A253" s="5" t="s">
        <v>16645</v>
      </c>
      <c r="B253" s="5" t="s">
        <v>8584</v>
      </c>
      <c r="C253" s="5">
        <v>188</v>
      </c>
      <c r="D253" s="5"/>
      <c r="E253" s="5"/>
      <c r="F253" s="5" t="s">
        <v>9437</v>
      </c>
      <c r="G253" s="5" t="s">
        <v>80</v>
      </c>
      <c r="H253" s="5" t="s">
        <v>3</v>
      </c>
      <c r="I253" s="5"/>
      <c r="J253" s="5" t="s">
        <v>16644</v>
      </c>
    </row>
    <row r="254" spans="1:10" ht="25.5" x14ac:dyDescent="0.2">
      <c r="A254" s="5" t="s">
        <v>16643</v>
      </c>
      <c r="B254" s="5" t="s">
        <v>8584</v>
      </c>
      <c r="C254" s="5">
        <v>189</v>
      </c>
      <c r="D254" s="5"/>
      <c r="E254" s="5"/>
      <c r="F254" s="5" t="s">
        <v>16129</v>
      </c>
      <c r="G254" s="5" t="s">
        <v>118</v>
      </c>
      <c r="H254" s="5" t="s">
        <v>137</v>
      </c>
      <c r="I254" s="5" t="s">
        <v>7844</v>
      </c>
      <c r="J254" s="5" t="s">
        <v>16642</v>
      </c>
    </row>
    <row r="255" spans="1:10" ht="25.5" x14ac:dyDescent="0.2">
      <c r="A255" s="5" t="s">
        <v>16641</v>
      </c>
      <c r="B255" s="5" t="s">
        <v>8584</v>
      </c>
      <c r="C255" s="5">
        <v>190</v>
      </c>
      <c r="D255" s="5"/>
      <c r="E255" s="5"/>
      <c r="F255" s="5" t="s">
        <v>8685</v>
      </c>
      <c r="G255" s="5" t="s">
        <v>173</v>
      </c>
      <c r="H255" s="5" t="s">
        <v>137</v>
      </c>
      <c r="I255" s="5" t="s">
        <v>7844</v>
      </c>
      <c r="J255" s="5" t="s">
        <v>16640</v>
      </c>
    </row>
    <row r="256" spans="1:10" ht="25.5" x14ac:dyDescent="0.2">
      <c r="A256" s="5" t="s">
        <v>16639</v>
      </c>
      <c r="B256" s="5" t="s">
        <v>8584</v>
      </c>
      <c r="C256" s="5">
        <v>191</v>
      </c>
      <c r="D256" s="5"/>
      <c r="E256" s="5"/>
      <c r="F256" s="5" t="s">
        <v>7569</v>
      </c>
      <c r="G256" s="5" t="s">
        <v>181</v>
      </c>
      <c r="H256" s="5" t="s">
        <v>137</v>
      </c>
      <c r="I256" s="5" t="s">
        <v>7844</v>
      </c>
      <c r="J256" s="5" t="s">
        <v>16638</v>
      </c>
    </row>
    <row r="257" spans="1:10" ht="25.5" x14ac:dyDescent="0.2">
      <c r="A257" s="5" t="s">
        <v>16637</v>
      </c>
      <c r="B257" s="5" t="s">
        <v>8584</v>
      </c>
      <c r="C257" s="5">
        <v>192</v>
      </c>
      <c r="D257" s="5"/>
      <c r="E257" s="5"/>
      <c r="F257" s="5" t="s">
        <v>16636</v>
      </c>
      <c r="G257" s="5" t="s">
        <v>118</v>
      </c>
      <c r="H257" s="5" t="s">
        <v>137</v>
      </c>
      <c r="I257" s="5" t="s">
        <v>15385</v>
      </c>
      <c r="J257" s="5" t="s">
        <v>16635</v>
      </c>
    </row>
    <row r="258" spans="1:10" ht="25.5" x14ac:dyDescent="0.2">
      <c r="A258" s="5" t="s">
        <v>16634</v>
      </c>
      <c r="B258" s="5" t="s">
        <v>8584</v>
      </c>
      <c r="C258" s="5">
        <v>193</v>
      </c>
      <c r="D258" s="5"/>
      <c r="E258" s="5"/>
      <c r="F258" s="5" t="s">
        <v>8685</v>
      </c>
      <c r="G258" s="5" t="s">
        <v>173</v>
      </c>
      <c r="H258" s="5" t="s">
        <v>137</v>
      </c>
      <c r="I258" s="5" t="s">
        <v>15385</v>
      </c>
      <c r="J258" s="5" t="s">
        <v>16633</v>
      </c>
    </row>
    <row r="259" spans="1:10" ht="25.5" x14ac:dyDescent="0.2">
      <c r="A259" s="5" t="s">
        <v>16632</v>
      </c>
      <c r="B259" s="5" t="s">
        <v>8584</v>
      </c>
      <c r="C259" s="5">
        <v>194</v>
      </c>
      <c r="D259" s="5"/>
      <c r="E259" s="5"/>
      <c r="F259" s="5" t="s">
        <v>7569</v>
      </c>
      <c r="G259" s="5" t="s">
        <v>181</v>
      </c>
      <c r="H259" s="5" t="s">
        <v>137</v>
      </c>
      <c r="I259" s="5" t="s">
        <v>15385</v>
      </c>
      <c r="J259" s="5" t="s">
        <v>16631</v>
      </c>
    </row>
    <row r="260" spans="1:10" ht="25.5" x14ac:dyDescent="0.2">
      <c r="A260" s="5" t="s">
        <v>16630</v>
      </c>
      <c r="B260" s="5" t="s">
        <v>8584</v>
      </c>
      <c r="C260" s="5">
        <v>195</v>
      </c>
      <c r="D260" s="5"/>
      <c r="E260" s="5"/>
      <c r="F260" s="5" t="s">
        <v>15239</v>
      </c>
      <c r="G260" s="5" t="s">
        <v>118</v>
      </c>
      <c r="H260" s="5" t="s">
        <v>137</v>
      </c>
      <c r="I260" s="5" t="s">
        <v>15390</v>
      </c>
      <c r="J260" s="5" t="s">
        <v>16629</v>
      </c>
    </row>
    <row r="261" spans="1:10" ht="25.5" x14ac:dyDescent="0.2">
      <c r="A261" s="5" t="s">
        <v>16628</v>
      </c>
      <c r="B261" s="5" t="s">
        <v>8584</v>
      </c>
      <c r="C261" s="5">
        <v>196</v>
      </c>
      <c r="D261" s="5"/>
      <c r="E261" s="5"/>
      <c r="F261" s="5" t="s">
        <v>8685</v>
      </c>
      <c r="G261" s="5" t="s">
        <v>173</v>
      </c>
      <c r="H261" s="5" t="s">
        <v>137</v>
      </c>
      <c r="I261" s="5" t="s">
        <v>15390</v>
      </c>
      <c r="J261" s="5" t="s">
        <v>16627</v>
      </c>
    </row>
    <row r="262" spans="1:10" ht="25.5" x14ac:dyDescent="0.2">
      <c r="A262" s="5" t="s">
        <v>16626</v>
      </c>
      <c r="B262" s="5" t="s">
        <v>8584</v>
      </c>
      <c r="C262" s="5">
        <v>197</v>
      </c>
      <c r="D262" s="5"/>
      <c r="E262" s="5"/>
      <c r="F262" s="5" t="s">
        <v>7569</v>
      </c>
      <c r="G262" s="5" t="s">
        <v>181</v>
      </c>
      <c r="H262" s="5" t="s">
        <v>137</v>
      </c>
      <c r="I262" s="5" t="s">
        <v>15390</v>
      </c>
      <c r="J262" s="5" t="s">
        <v>16625</v>
      </c>
    </row>
    <row r="263" spans="1:10" ht="25.5" x14ac:dyDescent="0.2">
      <c r="A263" s="5" t="s">
        <v>16624</v>
      </c>
      <c r="B263" s="5" t="s">
        <v>8584</v>
      </c>
      <c r="C263" s="5">
        <v>198</v>
      </c>
      <c r="D263" s="5"/>
      <c r="E263" s="5" t="s">
        <v>368</v>
      </c>
      <c r="F263" s="5" t="s">
        <v>9551</v>
      </c>
      <c r="G263" s="5" t="s">
        <v>91</v>
      </c>
      <c r="H263" s="5" t="s">
        <v>137</v>
      </c>
      <c r="I263" s="5" t="s">
        <v>7844</v>
      </c>
      <c r="J263" s="5" t="s">
        <v>16623</v>
      </c>
    </row>
    <row r="264" spans="1:10" ht="25.5" x14ac:dyDescent="0.2">
      <c r="A264" s="5" t="s">
        <v>16622</v>
      </c>
      <c r="B264" s="5" t="s">
        <v>8584</v>
      </c>
      <c r="C264" s="5">
        <v>199</v>
      </c>
      <c r="D264" s="5"/>
      <c r="E264" s="5" t="s">
        <v>368</v>
      </c>
      <c r="F264" s="5" t="s">
        <v>9551</v>
      </c>
      <c r="G264" s="5" t="s">
        <v>91</v>
      </c>
      <c r="H264" s="5" t="s">
        <v>137</v>
      </c>
      <c r="I264" s="5" t="s">
        <v>15385</v>
      </c>
      <c r="J264" s="5" t="s">
        <v>16621</v>
      </c>
    </row>
    <row r="265" spans="1:10" x14ac:dyDescent="0.2">
      <c r="A265" s="5" t="s">
        <v>16620</v>
      </c>
      <c r="B265" s="5" t="s">
        <v>8584</v>
      </c>
      <c r="C265" s="5">
        <v>200</v>
      </c>
      <c r="D265" s="5"/>
      <c r="E265" s="5"/>
      <c r="F265" s="5"/>
      <c r="G265" s="5" t="s">
        <v>114</v>
      </c>
      <c r="H265" s="5" t="s">
        <v>3</v>
      </c>
      <c r="I265" s="5"/>
      <c r="J265" s="5" t="s">
        <v>16619</v>
      </c>
    </row>
    <row r="266" spans="1:10" ht="25.5" x14ac:dyDescent="0.2">
      <c r="A266" s="5" t="s">
        <v>16618</v>
      </c>
      <c r="B266" s="5" t="s">
        <v>8584</v>
      </c>
      <c r="C266" s="5">
        <v>201</v>
      </c>
      <c r="D266" s="5"/>
      <c r="E266" s="5"/>
      <c r="F266" s="5"/>
      <c r="G266" s="5" t="s">
        <v>328</v>
      </c>
      <c r="H266" s="5" t="s">
        <v>3</v>
      </c>
      <c r="I266" s="5"/>
      <c r="J266" s="5" t="s">
        <v>16617</v>
      </c>
    </row>
    <row r="267" spans="1:10" ht="25.5" x14ac:dyDescent="0.2">
      <c r="A267" s="5" t="s">
        <v>16616</v>
      </c>
      <c r="B267" s="5" t="s">
        <v>8584</v>
      </c>
      <c r="C267" s="5">
        <v>202</v>
      </c>
      <c r="D267" s="5"/>
      <c r="E267" s="5"/>
      <c r="F267" s="5" t="s">
        <v>16615</v>
      </c>
      <c r="G267" s="5" t="s">
        <v>207</v>
      </c>
      <c r="H267" s="5" t="s">
        <v>137</v>
      </c>
      <c r="I267" s="5" t="s">
        <v>15488</v>
      </c>
      <c r="J267" s="5" t="s">
        <v>16614</v>
      </c>
    </row>
    <row r="268" spans="1:10" ht="25.5" x14ac:dyDescent="0.2">
      <c r="A268" s="5" t="s">
        <v>16613</v>
      </c>
      <c r="B268" s="5" t="s">
        <v>8584</v>
      </c>
      <c r="C268" s="5">
        <v>203</v>
      </c>
      <c r="D268" s="5"/>
      <c r="E268" s="5"/>
      <c r="F268" s="5"/>
      <c r="G268" s="5" t="s">
        <v>276</v>
      </c>
      <c r="H268" s="5" t="s">
        <v>137</v>
      </c>
      <c r="I268" s="5" t="s">
        <v>15385</v>
      </c>
      <c r="J268" s="5" t="s">
        <v>16612</v>
      </c>
    </row>
    <row r="269" spans="1:10" ht="25.5" x14ac:dyDescent="0.2">
      <c r="A269" s="5" t="s">
        <v>16611</v>
      </c>
      <c r="B269" s="5" t="s">
        <v>8584</v>
      </c>
      <c r="C269" s="5">
        <v>204</v>
      </c>
      <c r="D269" s="5"/>
      <c r="E269" s="5"/>
      <c r="F269" s="5"/>
      <c r="G269" s="5" t="s">
        <v>114</v>
      </c>
      <c r="H269" s="5" t="s">
        <v>137</v>
      </c>
      <c r="I269" s="5" t="s">
        <v>16251</v>
      </c>
      <c r="J269" s="5" t="s">
        <v>16610</v>
      </c>
    </row>
    <row r="270" spans="1:10" x14ac:dyDescent="0.2">
      <c r="A270" s="5" t="s">
        <v>16609</v>
      </c>
      <c r="B270" s="5" t="s">
        <v>8584</v>
      </c>
      <c r="C270" s="5">
        <v>205</v>
      </c>
      <c r="D270" s="5"/>
      <c r="E270" s="5"/>
      <c r="F270" s="5"/>
      <c r="G270" s="5" t="s">
        <v>283</v>
      </c>
      <c r="H270" s="5" t="s">
        <v>3</v>
      </c>
      <c r="I270" s="5"/>
      <c r="J270" s="5" t="s">
        <v>16608</v>
      </c>
    </row>
    <row r="271" spans="1:10" x14ac:dyDescent="0.2">
      <c r="A271" s="5" t="s">
        <v>16607</v>
      </c>
      <c r="B271" s="5" t="s">
        <v>8584</v>
      </c>
      <c r="C271" s="5">
        <v>206</v>
      </c>
      <c r="D271" s="5"/>
      <c r="E271" s="5" t="s">
        <v>288</v>
      </c>
      <c r="F271" s="5"/>
      <c r="G271" s="5" t="s">
        <v>91</v>
      </c>
      <c r="H271" s="5" t="s">
        <v>3</v>
      </c>
      <c r="I271" s="5"/>
      <c r="J271" s="5" t="s">
        <v>16606</v>
      </c>
    </row>
    <row r="272" spans="1:10" x14ac:dyDescent="0.2">
      <c r="A272" s="5" t="s">
        <v>16605</v>
      </c>
      <c r="B272" s="5" t="s">
        <v>8584</v>
      </c>
      <c r="C272" s="5">
        <v>207</v>
      </c>
      <c r="D272" s="5"/>
      <c r="E272" s="5" t="s">
        <v>665</v>
      </c>
      <c r="F272" s="5"/>
      <c r="G272" s="5" t="s">
        <v>148</v>
      </c>
      <c r="H272" s="5" t="s">
        <v>3</v>
      </c>
      <c r="I272" s="5"/>
      <c r="J272" s="5" t="s">
        <v>16604</v>
      </c>
    </row>
    <row r="273" spans="1:10" x14ac:dyDescent="0.2">
      <c r="A273" s="5" t="s">
        <v>16603</v>
      </c>
      <c r="B273" s="5" t="s">
        <v>8584</v>
      </c>
      <c r="C273" s="5">
        <v>208</v>
      </c>
      <c r="D273" s="5"/>
      <c r="E273" s="5" t="s">
        <v>288</v>
      </c>
      <c r="F273" s="5"/>
      <c r="G273" s="5" t="s">
        <v>91</v>
      </c>
      <c r="H273" s="5" t="s">
        <v>3</v>
      </c>
      <c r="I273" s="5"/>
      <c r="J273" s="5" t="s">
        <v>16602</v>
      </c>
    </row>
    <row r="274" spans="1:10" x14ac:dyDescent="0.2">
      <c r="A274" s="5" t="s">
        <v>16601</v>
      </c>
      <c r="B274" s="5" t="s">
        <v>8584</v>
      </c>
      <c r="C274" s="5">
        <v>209</v>
      </c>
      <c r="D274" s="5"/>
      <c r="E274" s="5" t="s">
        <v>665</v>
      </c>
      <c r="F274" s="5"/>
      <c r="G274" s="5" t="s">
        <v>148</v>
      </c>
      <c r="H274" s="5" t="s">
        <v>3</v>
      </c>
      <c r="I274" s="5"/>
      <c r="J274" s="5" t="s">
        <v>16600</v>
      </c>
    </row>
    <row r="275" spans="1:10" x14ac:dyDescent="0.2">
      <c r="A275" s="5" t="s">
        <v>16599</v>
      </c>
      <c r="B275" s="5" t="s">
        <v>8584</v>
      </c>
      <c r="C275" s="5">
        <v>210</v>
      </c>
      <c r="D275" s="5"/>
      <c r="E275" s="5" t="s">
        <v>288</v>
      </c>
      <c r="F275" s="5"/>
      <c r="G275" s="5" t="s">
        <v>91</v>
      </c>
      <c r="H275" s="5" t="s">
        <v>3</v>
      </c>
      <c r="I275" s="5"/>
      <c r="J275" s="5" t="s">
        <v>16598</v>
      </c>
    </row>
    <row r="276" spans="1:10" ht="25.5" x14ac:dyDescent="0.2">
      <c r="A276" s="5" t="s">
        <v>16597</v>
      </c>
      <c r="B276" s="5" t="s">
        <v>8584</v>
      </c>
      <c r="C276" s="5">
        <v>211</v>
      </c>
      <c r="D276" s="5"/>
      <c r="E276" s="5"/>
      <c r="F276" s="5" t="s">
        <v>12907</v>
      </c>
      <c r="G276" s="5" t="s">
        <v>229</v>
      </c>
      <c r="H276" s="5" t="s">
        <v>137</v>
      </c>
      <c r="I276" s="5" t="s">
        <v>7844</v>
      </c>
      <c r="J276" s="5" t="s">
        <v>16596</v>
      </c>
    </row>
    <row r="277" spans="1:10" ht="25.5" x14ac:dyDescent="0.2">
      <c r="A277" s="5" t="s">
        <v>10386</v>
      </c>
      <c r="B277" s="5" t="s">
        <v>8584</v>
      </c>
      <c r="C277" s="5">
        <v>212</v>
      </c>
      <c r="D277" s="5"/>
      <c r="E277" s="5" t="s">
        <v>299</v>
      </c>
      <c r="F277" s="5" t="s">
        <v>16595</v>
      </c>
      <c r="G277" s="5" t="s">
        <v>181</v>
      </c>
      <c r="H277" s="5" t="s">
        <v>137</v>
      </c>
      <c r="I277" s="5" t="s">
        <v>10386</v>
      </c>
      <c r="J277" s="5" t="s">
        <v>16594</v>
      </c>
    </row>
    <row r="278" spans="1:10" ht="38.25" x14ac:dyDescent="0.2">
      <c r="A278" s="5" t="s">
        <v>16593</v>
      </c>
      <c r="B278" s="5" t="s">
        <v>8584</v>
      </c>
      <c r="C278" s="5">
        <v>213</v>
      </c>
      <c r="D278" s="5"/>
      <c r="E278" s="5"/>
      <c r="F278" s="5" t="s">
        <v>165</v>
      </c>
      <c r="G278" s="5" t="s">
        <v>170</v>
      </c>
      <c r="H278" s="5" t="s">
        <v>137</v>
      </c>
      <c r="I278" s="5" t="s">
        <v>15403</v>
      </c>
      <c r="J278" s="5" t="s">
        <v>16592</v>
      </c>
    </row>
    <row r="279" spans="1:10" ht="25.5" x14ac:dyDescent="0.2">
      <c r="A279" s="5" t="s">
        <v>16591</v>
      </c>
      <c r="B279" s="5" t="s">
        <v>8584</v>
      </c>
      <c r="C279" s="5">
        <v>214</v>
      </c>
      <c r="D279" s="5"/>
      <c r="E279" s="5"/>
      <c r="F279" s="5" t="s">
        <v>16079</v>
      </c>
      <c r="G279" s="5" t="s">
        <v>105</v>
      </c>
      <c r="H279" s="5" t="s">
        <v>3</v>
      </c>
      <c r="I279" s="5"/>
      <c r="J279" s="5" t="s">
        <v>16590</v>
      </c>
    </row>
    <row r="280" spans="1:10" ht="25.5" x14ac:dyDescent="0.2">
      <c r="A280" s="5" t="s">
        <v>16589</v>
      </c>
      <c r="B280" s="5" t="s">
        <v>8584</v>
      </c>
      <c r="C280" s="5">
        <v>215</v>
      </c>
      <c r="D280" s="5"/>
      <c r="E280" s="5"/>
      <c r="F280" s="5" t="s">
        <v>16588</v>
      </c>
      <c r="G280" s="5" t="s">
        <v>7768</v>
      </c>
      <c r="H280" s="5" t="s">
        <v>3</v>
      </c>
      <c r="I280" s="5"/>
      <c r="J280" s="5" t="s">
        <v>16587</v>
      </c>
    </row>
    <row r="281" spans="1:10" x14ac:dyDescent="0.2">
      <c r="A281" s="5" t="s">
        <v>16586</v>
      </c>
      <c r="B281" s="5" t="s">
        <v>8584</v>
      </c>
      <c r="C281" s="5">
        <v>216</v>
      </c>
      <c r="D281" s="5"/>
      <c r="E281" s="5"/>
      <c r="F281" s="5" t="s">
        <v>16079</v>
      </c>
      <c r="G281" s="5" t="s">
        <v>91</v>
      </c>
      <c r="H281" s="5" t="s">
        <v>3</v>
      </c>
      <c r="I281" s="5"/>
      <c r="J281" s="5" t="s">
        <v>16585</v>
      </c>
    </row>
    <row r="282" spans="1:10" ht="25.5" x14ac:dyDescent="0.2">
      <c r="A282" s="5" t="s">
        <v>16584</v>
      </c>
      <c r="B282" s="5" t="s">
        <v>8584</v>
      </c>
      <c r="C282" s="5">
        <v>217</v>
      </c>
      <c r="D282" s="5"/>
      <c r="E282" s="5"/>
      <c r="F282" s="5" t="s">
        <v>16079</v>
      </c>
      <c r="G282" s="5" t="s">
        <v>91</v>
      </c>
      <c r="H282" s="5" t="s">
        <v>137</v>
      </c>
      <c r="I282" s="5" t="s">
        <v>15385</v>
      </c>
      <c r="J282" s="5" t="s">
        <v>16583</v>
      </c>
    </row>
    <row r="283" spans="1:10" ht="25.5" x14ac:dyDescent="0.2">
      <c r="A283" s="5" t="s">
        <v>16582</v>
      </c>
      <c r="B283" s="5" t="s">
        <v>8584</v>
      </c>
      <c r="C283" s="5">
        <v>218</v>
      </c>
      <c r="D283" s="5"/>
      <c r="E283" s="5"/>
      <c r="F283" s="5" t="s">
        <v>6581</v>
      </c>
      <c r="G283" s="5" t="s">
        <v>199</v>
      </c>
      <c r="H283" s="5" t="s">
        <v>3</v>
      </c>
      <c r="I283" s="5"/>
      <c r="J283" s="5" t="s">
        <v>16581</v>
      </c>
    </row>
    <row r="284" spans="1:10" x14ac:dyDescent="0.2">
      <c r="A284" s="5" t="s">
        <v>16580</v>
      </c>
      <c r="B284" s="5" t="s">
        <v>8584</v>
      </c>
      <c r="C284" s="5">
        <v>219</v>
      </c>
      <c r="D284" s="5"/>
      <c r="E284" s="5"/>
      <c r="F284" s="5" t="s">
        <v>16579</v>
      </c>
      <c r="G284" s="5" t="s">
        <v>118</v>
      </c>
      <c r="H284" s="5" t="s">
        <v>3</v>
      </c>
      <c r="I284" s="5"/>
      <c r="J284" s="5"/>
    </row>
    <row r="285" spans="1:10" ht="25.5" x14ac:dyDescent="0.2">
      <c r="A285" s="5" t="s">
        <v>16578</v>
      </c>
      <c r="B285" s="5" t="s">
        <v>8584</v>
      </c>
      <c r="C285" s="5">
        <v>220</v>
      </c>
      <c r="D285" s="5"/>
      <c r="E285" s="5" t="s">
        <v>93</v>
      </c>
      <c r="F285" s="5" t="s">
        <v>16079</v>
      </c>
      <c r="G285" s="5" t="s">
        <v>91</v>
      </c>
      <c r="H285" s="5" t="s">
        <v>3</v>
      </c>
      <c r="I285" s="5"/>
      <c r="J285" s="5" t="s">
        <v>16577</v>
      </c>
    </row>
    <row r="286" spans="1:10" ht="25.5" x14ac:dyDescent="0.2">
      <c r="A286" s="5" t="s">
        <v>16576</v>
      </c>
      <c r="B286" s="5" t="s">
        <v>8584</v>
      </c>
      <c r="C286" s="5">
        <v>221</v>
      </c>
      <c r="D286" s="5"/>
      <c r="E286" s="5"/>
      <c r="F286" s="5" t="s">
        <v>16079</v>
      </c>
      <c r="G286" s="5" t="s">
        <v>122</v>
      </c>
      <c r="H286" s="5" t="s">
        <v>3</v>
      </c>
      <c r="I286" s="5"/>
      <c r="J286" s="5" t="s">
        <v>16575</v>
      </c>
    </row>
    <row r="287" spans="1:10" ht="25.5" x14ac:dyDescent="0.2">
      <c r="A287" s="5" t="s">
        <v>16574</v>
      </c>
      <c r="B287" s="5" t="s">
        <v>8584</v>
      </c>
      <c r="C287" s="5">
        <v>222</v>
      </c>
      <c r="D287" s="5"/>
      <c r="E287" s="5"/>
      <c r="F287" s="5" t="s">
        <v>16079</v>
      </c>
      <c r="G287" s="5" t="s">
        <v>896</v>
      </c>
      <c r="H287" s="5" t="s">
        <v>3</v>
      </c>
      <c r="I287" s="5"/>
      <c r="J287" s="5" t="s">
        <v>16573</v>
      </c>
    </row>
    <row r="288" spans="1:10" ht="25.5" x14ac:dyDescent="0.2">
      <c r="A288" s="5" t="s">
        <v>16572</v>
      </c>
      <c r="B288" s="5" t="s">
        <v>8584</v>
      </c>
      <c r="C288" s="5">
        <v>223</v>
      </c>
      <c r="D288" s="5"/>
      <c r="E288" s="5"/>
      <c r="F288" s="5" t="s">
        <v>16079</v>
      </c>
      <c r="G288" s="5" t="s">
        <v>118</v>
      </c>
      <c r="H288" s="5"/>
      <c r="I288" s="5"/>
      <c r="J288" s="5" t="s">
        <v>16571</v>
      </c>
    </row>
    <row r="289" spans="1:10" ht="38.25" x14ac:dyDescent="0.2">
      <c r="A289" s="5" t="s">
        <v>16570</v>
      </c>
      <c r="B289" s="5" t="s">
        <v>8584</v>
      </c>
      <c r="C289" s="5">
        <v>224</v>
      </c>
      <c r="D289" s="5"/>
      <c r="E289" s="5"/>
      <c r="F289" s="5" t="s">
        <v>16569</v>
      </c>
      <c r="G289" s="5" t="s">
        <v>393</v>
      </c>
      <c r="H289" s="5" t="s">
        <v>137</v>
      </c>
      <c r="I289" s="5" t="s">
        <v>16568</v>
      </c>
      <c r="J289" s="5" t="s">
        <v>16567</v>
      </c>
    </row>
    <row r="290" spans="1:10" x14ac:dyDescent="0.2">
      <c r="A290" s="5" t="s">
        <v>16566</v>
      </c>
      <c r="B290" s="5" t="s">
        <v>8584</v>
      </c>
      <c r="C290" s="5">
        <v>225</v>
      </c>
      <c r="D290" s="5"/>
      <c r="E290" s="5" t="s">
        <v>150</v>
      </c>
      <c r="F290" s="5" t="s">
        <v>16565</v>
      </c>
      <c r="G290" s="5" t="s">
        <v>148</v>
      </c>
      <c r="H290" s="5" t="s">
        <v>3</v>
      </c>
      <c r="I290" s="5"/>
      <c r="J290" s="5" t="s">
        <v>16564</v>
      </c>
    </row>
    <row r="291" spans="1:10" x14ac:dyDescent="0.2">
      <c r="A291" s="5" t="s">
        <v>16563</v>
      </c>
      <c r="B291" s="5" t="s">
        <v>8584</v>
      </c>
      <c r="C291" s="5">
        <v>226</v>
      </c>
      <c r="D291" s="5"/>
      <c r="E291" s="5" t="s">
        <v>665</v>
      </c>
      <c r="F291" s="5" t="s">
        <v>16562</v>
      </c>
      <c r="G291" s="5" t="s">
        <v>148</v>
      </c>
      <c r="H291" s="5" t="s">
        <v>3</v>
      </c>
      <c r="I291" s="5"/>
      <c r="J291" s="5" t="s">
        <v>16561</v>
      </c>
    </row>
    <row r="292" spans="1:10" ht="25.5" x14ac:dyDescent="0.2">
      <c r="A292" s="5" t="s">
        <v>6375</v>
      </c>
      <c r="B292" s="5" t="s">
        <v>8584</v>
      </c>
      <c r="C292" s="5">
        <v>227</v>
      </c>
      <c r="D292" s="5"/>
      <c r="E292" s="5" t="s">
        <v>138</v>
      </c>
      <c r="F292" s="5"/>
      <c r="G292" s="5" t="s">
        <v>91</v>
      </c>
      <c r="H292" s="5" t="s">
        <v>3</v>
      </c>
      <c r="I292" s="5"/>
      <c r="J292" s="5" t="s">
        <v>16560</v>
      </c>
    </row>
    <row r="293" spans="1:10" x14ac:dyDescent="0.2">
      <c r="A293" s="5" t="s">
        <v>16559</v>
      </c>
      <c r="B293" s="5" t="s">
        <v>8584</v>
      </c>
      <c r="C293" s="5">
        <v>228</v>
      </c>
      <c r="D293" s="5"/>
      <c r="E293" s="5" t="s">
        <v>6367</v>
      </c>
      <c r="F293" s="5"/>
      <c r="G293" s="5" t="s">
        <v>105</v>
      </c>
      <c r="H293" s="5" t="s">
        <v>3</v>
      </c>
      <c r="I293" s="5"/>
      <c r="J293" s="5" t="s">
        <v>16558</v>
      </c>
    </row>
    <row r="294" spans="1:10" x14ac:dyDescent="0.2">
      <c r="A294" s="5" t="s">
        <v>16557</v>
      </c>
      <c r="B294" s="5" t="s">
        <v>8584</v>
      </c>
      <c r="C294" s="5">
        <v>229</v>
      </c>
      <c r="D294" s="5"/>
      <c r="E294" s="5" t="s">
        <v>6367</v>
      </c>
      <c r="F294" s="5"/>
      <c r="G294" s="5" t="s">
        <v>105</v>
      </c>
      <c r="H294" s="5" t="s">
        <v>3</v>
      </c>
      <c r="I294" s="5"/>
      <c r="J294" s="5" t="s">
        <v>16556</v>
      </c>
    </row>
    <row r="295" spans="1:10" ht="25.5" x14ac:dyDescent="0.2">
      <c r="A295" s="5" t="s">
        <v>16555</v>
      </c>
      <c r="B295" s="5" t="s">
        <v>8584</v>
      </c>
      <c r="C295" s="5">
        <v>230</v>
      </c>
      <c r="D295" s="5"/>
      <c r="E295" s="5" t="s">
        <v>6367</v>
      </c>
      <c r="F295" s="5"/>
      <c r="G295" s="5" t="s">
        <v>105</v>
      </c>
      <c r="H295" s="5" t="s">
        <v>3</v>
      </c>
      <c r="I295" s="5"/>
      <c r="J295" s="5" t="s">
        <v>16554</v>
      </c>
    </row>
    <row r="296" spans="1:10" ht="25.5" x14ac:dyDescent="0.2">
      <c r="A296" s="5" t="s">
        <v>16553</v>
      </c>
      <c r="B296" s="5" t="s">
        <v>8584</v>
      </c>
      <c r="C296" s="5">
        <v>231</v>
      </c>
      <c r="D296" s="5"/>
      <c r="E296" s="5" t="s">
        <v>6367</v>
      </c>
      <c r="F296" s="5"/>
      <c r="G296" s="5" t="s">
        <v>105</v>
      </c>
      <c r="H296" s="5" t="s">
        <v>3</v>
      </c>
      <c r="I296" s="5"/>
      <c r="J296" s="5" t="s">
        <v>16552</v>
      </c>
    </row>
    <row r="297" spans="1:10" x14ac:dyDescent="0.2">
      <c r="A297" s="5" t="s">
        <v>16551</v>
      </c>
      <c r="B297" s="5" t="s">
        <v>8584</v>
      </c>
      <c r="C297" s="5">
        <v>232</v>
      </c>
      <c r="D297" s="5"/>
      <c r="E297" s="5" t="s">
        <v>138</v>
      </c>
      <c r="F297" s="5"/>
      <c r="G297" s="5" t="s">
        <v>91</v>
      </c>
      <c r="H297" s="5" t="s">
        <v>3</v>
      </c>
      <c r="I297" s="5"/>
      <c r="J297" s="5" t="s">
        <v>16550</v>
      </c>
    </row>
    <row r="298" spans="1:10" x14ac:dyDescent="0.2">
      <c r="A298" s="5" t="s">
        <v>16549</v>
      </c>
      <c r="B298" s="5" t="s">
        <v>83</v>
      </c>
      <c r="C298" s="5"/>
      <c r="D298" s="5" t="s">
        <v>15757</v>
      </c>
      <c r="E298" s="5"/>
      <c r="F298" s="5" t="s">
        <v>11405</v>
      </c>
      <c r="G298" s="5" t="s">
        <v>229</v>
      </c>
      <c r="H298" s="5" t="s">
        <v>3</v>
      </c>
      <c r="I298" s="5"/>
      <c r="J298" s="5" t="s">
        <v>16548</v>
      </c>
    </row>
    <row r="299" spans="1:10" ht="38.25" x14ac:dyDescent="0.2">
      <c r="A299" s="5" t="s">
        <v>16547</v>
      </c>
      <c r="B299" s="5" t="s">
        <v>83</v>
      </c>
      <c r="C299" s="5"/>
      <c r="D299" s="5" t="s">
        <v>16546</v>
      </c>
      <c r="E299" s="5"/>
      <c r="F299" s="5" t="s">
        <v>16545</v>
      </c>
      <c r="G299" s="5" t="s">
        <v>229</v>
      </c>
      <c r="H299" s="5" t="s">
        <v>137</v>
      </c>
      <c r="I299" s="5" t="s">
        <v>15403</v>
      </c>
      <c r="J299" s="5" t="s">
        <v>9766</v>
      </c>
    </row>
    <row r="300" spans="1:10" ht="38.25" x14ac:dyDescent="0.2">
      <c r="A300" s="5" t="s">
        <v>16544</v>
      </c>
      <c r="B300" s="5" t="s">
        <v>83</v>
      </c>
      <c r="C300" s="5"/>
      <c r="D300" s="5" t="s">
        <v>16543</v>
      </c>
      <c r="E300" s="5"/>
      <c r="F300" s="5"/>
      <c r="G300" s="5" t="s">
        <v>393</v>
      </c>
      <c r="H300" s="5" t="s">
        <v>137</v>
      </c>
      <c r="I300" s="5" t="s">
        <v>15403</v>
      </c>
      <c r="J300" s="5" t="s">
        <v>16450</v>
      </c>
    </row>
    <row r="301" spans="1:10" ht="25.5" x14ac:dyDescent="0.2">
      <c r="A301" s="5" t="s">
        <v>16542</v>
      </c>
      <c r="B301" s="5" t="s">
        <v>83</v>
      </c>
      <c r="C301" s="5"/>
      <c r="D301" s="5" t="s">
        <v>16539</v>
      </c>
      <c r="E301" s="5" t="s">
        <v>150</v>
      </c>
      <c r="F301" s="5" t="s">
        <v>409</v>
      </c>
      <c r="G301" s="5" t="s">
        <v>229</v>
      </c>
      <c r="H301" s="5" t="s">
        <v>3</v>
      </c>
      <c r="I301" s="5"/>
      <c r="J301" s="5" t="s">
        <v>16541</v>
      </c>
    </row>
    <row r="302" spans="1:10" ht="25.5" x14ac:dyDescent="0.2">
      <c r="A302" s="5" t="s">
        <v>16540</v>
      </c>
      <c r="B302" s="5" t="s">
        <v>83</v>
      </c>
      <c r="C302" s="5"/>
      <c r="D302" s="5" t="s">
        <v>16539</v>
      </c>
      <c r="E302" s="5"/>
      <c r="F302" s="5" t="s">
        <v>409</v>
      </c>
      <c r="G302" s="5" t="s">
        <v>207</v>
      </c>
      <c r="H302" s="5" t="s">
        <v>3</v>
      </c>
      <c r="I302" s="5"/>
      <c r="J302" s="5" t="s">
        <v>16538</v>
      </c>
    </row>
    <row r="303" spans="1:10" x14ac:dyDescent="0.2">
      <c r="A303" s="5" t="s">
        <v>8534</v>
      </c>
      <c r="B303" s="5" t="s">
        <v>83</v>
      </c>
      <c r="C303" s="5"/>
      <c r="D303" s="5" t="s">
        <v>16537</v>
      </c>
      <c r="E303" s="5"/>
      <c r="F303" s="5"/>
      <c r="G303" s="5" t="s">
        <v>328</v>
      </c>
      <c r="H303" s="5" t="s">
        <v>3</v>
      </c>
      <c r="I303" s="5"/>
      <c r="J303" s="5"/>
    </row>
    <row r="304" spans="1:10" x14ac:dyDescent="0.2">
      <c r="A304" s="5" t="s">
        <v>16536</v>
      </c>
      <c r="B304" s="5" t="s">
        <v>83</v>
      </c>
      <c r="C304" s="5"/>
      <c r="D304" s="5" t="s">
        <v>15508</v>
      </c>
      <c r="E304" s="5"/>
      <c r="F304" s="5"/>
      <c r="G304" s="5" t="s">
        <v>328</v>
      </c>
      <c r="H304" s="5" t="s">
        <v>3</v>
      </c>
      <c r="I304" s="5"/>
      <c r="J304" s="5"/>
    </row>
    <row r="305" spans="1:10" ht="25.5" x14ac:dyDescent="0.2">
      <c r="A305" s="5" t="s">
        <v>16535</v>
      </c>
      <c r="B305" s="5" t="s">
        <v>83</v>
      </c>
      <c r="C305" s="5"/>
      <c r="D305" s="5" t="s">
        <v>16534</v>
      </c>
      <c r="E305" s="5"/>
      <c r="F305" s="5" t="s">
        <v>8834</v>
      </c>
      <c r="G305" s="5" t="s">
        <v>2672</v>
      </c>
      <c r="H305" s="5" t="s">
        <v>137</v>
      </c>
      <c r="I305" s="5" t="s">
        <v>15387</v>
      </c>
      <c r="J305" s="5" t="s">
        <v>16533</v>
      </c>
    </row>
    <row r="306" spans="1:10" ht="25.5" x14ac:dyDescent="0.2">
      <c r="A306" s="5" t="s">
        <v>16532</v>
      </c>
      <c r="B306" s="5" t="s">
        <v>83</v>
      </c>
      <c r="C306" s="5"/>
      <c r="D306" s="5" t="s">
        <v>16531</v>
      </c>
      <c r="E306" s="5" t="s">
        <v>138</v>
      </c>
      <c r="F306" s="5" t="s">
        <v>2215</v>
      </c>
      <c r="G306" s="5" t="s">
        <v>91</v>
      </c>
      <c r="H306" s="5" t="s">
        <v>137</v>
      </c>
      <c r="I306" s="5" t="s">
        <v>7844</v>
      </c>
      <c r="J306" s="5" t="s">
        <v>16530</v>
      </c>
    </row>
    <row r="307" spans="1:10" ht="25.5" x14ac:dyDescent="0.2">
      <c r="A307" s="5" t="s">
        <v>16529</v>
      </c>
      <c r="B307" s="5" t="s">
        <v>83</v>
      </c>
      <c r="C307" s="5"/>
      <c r="D307" s="5" t="s">
        <v>16528</v>
      </c>
      <c r="E307" s="5"/>
      <c r="F307" s="5" t="s">
        <v>16527</v>
      </c>
      <c r="G307" s="5" t="s">
        <v>224</v>
      </c>
      <c r="H307" s="5"/>
      <c r="I307" s="5"/>
      <c r="J307" s="5" t="s">
        <v>16523</v>
      </c>
    </row>
    <row r="308" spans="1:10" x14ac:dyDescent="0.2">
      <c r="A308" s="5" t="s">
        <v>16526</v>
      </c>
      <c r="B308" s="5" t="s">
        <v>83</v>
      </c>
      <c r="C308" s="5"/>
      <c r="D308" s="5" t="s">
        <v>16525</v>
      </c>
      <c r="E308" s="5"/>
      <c r="F308" s="5" t="s">
        <v>16524</v>
      </c>
      <c r="G308" s="5" t="s">
        <v>224</v>
      </c>
      <c r="H308" s="5"/>
      <c r="I308" s="5"/>
      <c r="J308" s="5" t="s">
        <v>16523</v>
      </c>
    </row>
    <row r="309" spans="1:10" ht="25.5" x14ac:dyDescent="0.2">
      <c r="A309" s="5" t="s">
        <v>16522</v>
      </c>
      <c r="B309" s="5" t="s">
        <v>83</v>
      </c>
      <c r="C309" s="5"/>
      <c r="D309" s="5" t="s">
        <v>16521</v>
      </c>
      <c r="E309" s="5" t="s">
        <v>138</v>
      </c>
      <c r="F309" s="5" t="s">
        <v>2215</v>
      </c>
      <c r="G309" s="5" t="s">
        <v>91</v>
      </c>
      <c r="H309" s="5" t="s">
        <v>137</v>
      </c>
      <c r="I309" s="5" t="s">
        <v>15390</v>
      </c>
      <c r="J309" s="5" t="s">
        <v>16520</v>
      </c>
    </row>
    <row r="310" spans="1:10" ht="25.5" x14ac:dyDescent="0.2">
      <c r="A310" s="5" t="s">
        <v>8404</v>
      </c>
      <c r="B310" s="5" t="s">
        <v>83</v>
      </c>
      <c r="C310" s="5"/>
      <c r="D310" s="5" t="s">
        <v>8403</v>
      </c>
      <c r="E310" s="5"/>
      <c r="F310" s="5"/>
      <c r="G310" s="5" t="s">
        <v>105</v>
      </c>
      <c r="H310" s="5" t="s">
        <v>3</v>
      </c>
      <c r="I310" s="5"/>
      <c r="J310" s="5" t="s">
        <v>8402</v>
      </c>
    </row>
    <row r="311" spans="1:10" x14ac:dyDescent="0.2">
      <c r="A311" s="5" t="s">
        <v>8401</v>
      </c>
      <c r="B311" s="5" t="s">
        <v>83</v>
      </c>
      <c r="C311" s="5"/>
      <c r="D311" s="5" t="s">
        <v>8382</v>
      </c>
      <c r="E311" s="5"/>
      <c r="F311" s="5" t="s">
        <v>8385</v>
      </c>
      <c r="G311" s="5" t="s">
        <v>105</v>
      </c>
      <c r="H311" s="5" t="s">
        <v>3</v>
      </c>
      <c r="I311" s="5"/>
      <c r="J311" s="5" t="s">
        <v>8400</v>
      </c>
    </row>
    <row r="312" spans="1:10" x14ac:dyDescent="0.2">
      <c r="A312" s="5" t="s">
        <v>8399</v>
      </c>
      <c r="B312" s="5" t="s">
        <v>83</v>
      </c>
      <c r="C312" s="5"/>
      <c r="D312" s="5" t="s">
        <v>6390</v>
      </c>
      <c r="E312" s="5" t="s">
        <v>150</v>
      </c>
      <c r="F312" s="5" t="s">
        <v>8385</v>
      </c>
      <c r="G312" s="5" t="s">
        <v>148</v>
      </c>
      <c r="H312" s="5" t="s">
        <v>3</v>
      </c>
      <c r="I312" s="5"/>
      <c r="J312" s="5" t="s">
        <v>8398</v>
      </c>
    </row>
    <row r="313" spans="1:10" x14ac:dyDescent="0.2">
      <c r="A313" s="5" t="s">
        <v>8397</v>
      </c>
      <c r="B313" s="5" t="s">
        <v>83</v>
      </c>
      <c r="C313" s="5"/>
      <c r="D313" s="5" t="s">
        <v>8396</v>
      </c>
      <c r="E313" s="5"/>
      <c r="F313" s="5" t="s">
        <v>8395</v>
      </c>
      <c r="G313" s="5" t="s">
        <v>283</v>
      </c>
      <c r="H313" s="5" t="s">
        <v>3</v>
      </c>
      <c r="I313" s="5"/>
      <c r="J313" s="5" t="s">
        <v>8394</v>
      </c>
    </row>
    <row r="314" spans="1:10" x14ac:dyDescent="0.2">
      <c r="A314" s="5" t="s">
        <v>8393</v>
      </c>
      <c r="B314" s="5" t="s">
        <v>83</v>
      </c>
      <c r="C314" s="5"/>
      <c r="D314" s="5" t="s">
        <v>8392</v>
      </c>
      <c r="E314" s="5"/>
      <c r="F314" s="5" t="s">
        <v>8391</v>
      </c>
      <c r="G314" s="5" t="s">
        <v>229</v>
      </c>
      <c r="H314" s="5" t="s">
        <v>3</v>
      </c>
      <c r="I314" s="5"/>
      <c r="J314" s="5" t="s">
        <v>8390</v>
      </c>
    </row>
    <row r="315" spans="1:10" x14ac:dyDescent="0.2">
      <c r="A315" s="5" t="s">
        <v>8389</v>
      </c>
      <c r="B315" s="5" t="s">
        <v>83</v>
      </c>
      <c r="C315" s="5"/>
      <c r="D315" s="5" t="s">
        <v>5533</v>
      </c>
      <c r="E315" s="5"/>
      <c r="F315" s="5" t="s">
        <v>8385</v>
      </c>
      <c r="G315" s="5" t="s">
        <v>382</v>
      </c>
      <c r="H315" s="5" t="s">
        <v>3</v>
      </c>
      <c r="I315" s="5"/>
      <c r="J315" s="5" t="s">
        <v>8388</v>
      </c>
    </row>
    <row r="316" spans="1:10" x14ac:dyDescent="0.2">
      <c r="A316" s="5" t="s">
        <v>8387</v>
      </c>
      <c r="B316" s="5" t="s">
        <v>83</v>
      </c>
      <c r="C316" s="5"/>
      <c r="D316" s="5" t="s">
        <v>8386</v>
      </c>
      <c r="E316" s="5" t="s">
        <v>5520</v>
      </c>
      <c r="F316" s="5" t="s">
        <v>8385</v>
      </c>
      <c r="G316" s="5" t="s">
        <v>148</v>
      </c>
      <c r="H316" s="5" t="s">
        <v>3</v>
      </c>
      <c r="I316" s="5"/>
      <c r="J316" s="5" t="s">
        <v>8384</v>
      </c>
    </row>
    <row r="317" spans="1:10" x14ac:dyDescent="0.2">
      <c r="A317" s="5" t="s">
        <v>8380</v>
      </c>
      <c r="B317" s="5" t="s">
        <v>83</v>
      </c>
      <c r="C317" s="5"/>
      <c r="D317" s="5" t="s">
        <v>8379</v>
      </c>
      <c r="E317" s="5"/>
      <c r="F317" s="5" t="s">
        <v>8378</v>
      </c>
      <c r="G317" s="5" t="s">
        <v>3059</v>
      </c>
      <c r="H317" s="5" t="s">
        <v>3</v>
      </c>
      <c r="I317" s="5"/>
      <c r="J317" s="5" t="s">
        <v>7462</v>
      </c>
    </row>
    <row r="318" spans="1:10" ht="38.25" x14ac:dyDescent="0.2">
      <c r="A318" s="5" t="s">
        <v>16519</v>
      </c>
      <c r="B318" s="5" t="s">
        <v>83</v>
      </c>
      <c r="C318" s="5"/>
      <c r="D318" s="5" t="s">
        <v>16518</v>
      </c>
      <c r="E318" s="5"/>
      <c r="F318" s="5" t="s">
        <v>16517</v>
      </c>
      <c r="G318" s="5" t="s">
        <v>148</v>
      </c>
      <c r="H318" s="5" t="s">
        <v>137</v>
      </c>
      <c r="I318" s="5"/>
      <c r="J318" s="5" t="s">
        <v>16516</v>
      </c>
    </row>
    <row r="319" spans="1:10" ht="25.5" x14ac:dyDescent="0.2">
      <c r="A319" s="5" t="s">
        <v>8354</v>
      </c>
      <c r="B319" s="5" t="s">
        <v>83</v>
      </c>
      <c r="C319" s="5"/>
      <c r="D319" s="5" t="s">
        <v>15575</v>
      </c>
      <c r="E319" s="5"/>
      <c r="F319" s="5" t="s">
        <v>5235</v>
      </c>
      <c r="G319" s="5" t="s">
        <v>224</v>
      </c>
      <c r="H319" s="5" t="s">
        <v>137</v>
      </c>
      <c r="I319" s="5" t="s">
        <v>15385</v>
      </c>
      <c r="J319" s="5" t="s">
        <v>5235</v>
      </c>
    </row>
    <row r="320" spans="1:10" ht="25.5" x14ac:dyDescent="0.2">
      <c r="A320" s="5" t="s">
        <v>8337</v>
      </c>
      <c r="B320" s="5" t="s">
        <v>83</v>
      </c>
      <c r="C320" s="5"/>
      <c r="D320" s="5" t="s">
        <v>16515</v>
      </c>
      <c r="E320" s="5"/>
      <c r="F320" s="5" t="s">
        <v>11428</v>
      </c>
      <c r="G320" s="5" t="s">
        <v>199</v>
      </c>
      <c r="H320" s="5" t="s">
        <v>137</v>
      </c>
      <c r="I320" s="5"/>
      <c r="J320" s="5" t="s">
        <v>16514</v>
      </c>
    </row>
    <row r="321" spans="1:10" x14ac:dyDescent="0.2">
      <c r="A321" s="5" t="s">
        <v>9212</v>
      </c>
      <c r="B321" s="5" t="s">
        <v>83</v>
      </c>
      <c r="C321" s="5"/>
      <c r="D321" s="5" t="s">
        <v>9211</v>
      </c>
      <c r="E321" s="5"/>
      <c r="F321" s="5" t="s">
        <v>8844</v>
      </c>
      <c r="G321" s="5" t="s">
        <v>224</v>
      </c>
      <c r="H321" s="5" t="s">
        <v>137</v>
      </c>
      <c r="I321" s="5" t="s">
        <v>16513</v>
      </c>
      <c r="J321" s="5" t="s">
        <v>16512</v>
      </c>
    </row>
    <row r="322" spans="1:10" x14ac:dyDescent="0.2">
      <c r="A322" s="5" t="s">
        <v>16511</v>
      </c>
      <c r="B322" s="5" t="s">
        <v>83</v>
      </c>
      <c r="C322" s="5"/>
      <c r="D322" s="5" t="s">
        <v>16510</v>
      </c>
      <c r="E322" s="5"/>
      <c r="F322" s="5" t="s">
        <v>15494</v>
      </c>
      <c r="G322" s="5" t="s">
        <v>2672</v>
      </c>
      <c r="H322" s="5" t="s">
        <v>137</v>
      </c>
      <c r="I322" s="5" t="s">
        <v>15449</v>
      </c>
      <c r="J322" s="5" t="s">
        <v>16509</v>
      </c>
    </row>
    <row r="323" spans="1:10" ht="25.5" x14ac:dyDescent="0.2">
      <c r="A323" s="5" t="s">
        <v>16508</v>
      </c>
      <c r="B323" s="5" t="s">
        <v>83</v>
      </c>
      <c r="C323" s="5"/>
      <c r="D323" s="5" t="s">
        <v>15503</v>
      </c>
      <c r="E323" s="5"/>
      <c r="F323" s="5" t="s">
        <v>15494</v>
      </c>
      <c r="G323" s="5" t="s">
        <v>6530</v>
      </c>
      <c r="H323" s="5" t="s">
        <v>137</v>
      </c>
      <c r="I323" s="5" t="s">
        <v>15449</v>
      </c>
      <c r="J323" s="5" t="s">
        <v>16507</v>
      </c>
    </row>
    <row r="324" spans="1:10" x14ac:dyDescent="0.2">
      <c r="A324" s="5" t="s">
        <v>16506</v>
      </c>
      <c r="B324" s="5" t="s">
        <v>83</v>
      </c>
      <c r="C324" s="5"/>
      <c r="D324" s="5" t="s">
        <v>16505</v>
      </c>
      <c r="E324" s="5"/>
      <c r="F324" s="5" t="s">
        <v>7792</v>
      </c>
      <c r="G324" s="5" t="s">
        <v>6530</v>
      </c>
      <c r="H324" s="5" t="s">
        <v>137</v>
      </c>
      <c r="I324" s="5" t="s">
        <v>15393</v>
      </c>
      <c r="J324" s="5" t="s">
        <v>16504</v>
      </c>
    </row>
    <row r="325" spans="1:10" x14ac:dyDescent="0.2">
      <c r="A325" s="5" t="s">
        <v>16503</v>
      </c>
      <c r="B325" s="5" t="s">
        <v>83</v>
      </c>
      <c r="C325" s="5"/>
      <c r="D325" s="5" t="s">
        <v>16502</v>
      </c>
      <c r="E325" s="5"/>
      <c r="F325" s="5" t="s">
        <v>16051</v>
      </c>
      <c r="G325" s="5" t="s">
        <v>896</v>
      </c>
      <c r="H325" s="5" t="s">
        <v>3</v>
      </c>
      <c r="I325" s="5"/>
      <c r="J325" s="5"/>
    </row>
    <row r="326" spans="1:10" ht="25.5" x14ac:dyDescent="0.2">
      <c r="A326" s="5" t="s">
        <v>16501</v>
      </c>
      <c r="B326" s="5" t="s">
        <v>83</v>
      </c>
      <c r="C326" s="5"/>
      <c r="D326" s="5" t="s">
        <v>16500</v>
      </c>
      <c r="E326" s="5" t="s">
        <v>150</v>
      </c>
      <c r="F326" s="5" t="s">
        <v>16499</v>
      </c>
      <c r="G326" s="5" t="s">
        <v>148</v>
      </c>
      <c r="H326" s="5" t="s">
        <v>3</v>
      </c>
      <c r="I326" s="5"/>
      <c r="J326" s="5" t="s">
        <v>16498</v>
      </c>
    </row>
    <row r="327" spans="1:10" ht="25.5" x14ac:dyDescent="0.2">
      <c r="A327" s="5" t="s">
        <v>16497</v>
      </c>
      <c r="B327" s="5" t="s">
        <v>83</v>
      </c>
      <c r="C327" s="5"/>
      <c r="D327" s="5" t="s">
        <v>16496</v>
      </c>
      <c r="E327" s="5"/>
      <c r="F327" s="5"/>
      <c r="G327" s="5" t="s">
        <v>80</v>
      </c>
      <c r="H327" s="5" t="s">
        <v>3</v>
      </c>
      <c r="I327" s="5"/>
      <c r="J327" s="5" t="s">
        <v>16495</v>
      </c>
    </row>
    <row r="328" spans="1:10" ht="25.5" x14ac:dyDescent="0.2">
      <c r="A328" s="5" t="s">
        <v>16494</v>
      </c>
      <c r="B328" s="5" t="s">
        <v>83</v>
      </c>
      <c r="C328" s="5"/>
      <c r="D328" s="5" t="s">
        <v>16493</v>
      </c>
      <c r="E328" s="5"/>
      <c r="F328" s="5" t="s">
        <v>16492</v>
      </c>
      <c r="G328" s="5" t="s">
        <v>16491</v>
      </c>
      <c r="H328" s="5" t="s">
        <v>137</v>
      </c>
      <c r="I328" s="5" t="s">
        <v>16490</v>
      </c>
      <c r="J328" s="5" t="s">
        <v>16489</v>
      </c>
    </row>
    <row r="329" spans="1:10" ht="25.5" x14ac:dyDescent="0.2">
      <c r="A329" s="5" t="s">
        <v>16488</v>
      </c>
      <c r="B329" s="5" t="s">
        <v>83</v>
      </c>
      <c r="C329" s="5"/>
      <c r="D329" s="5" t="s">
        <v>16487</v>
      </c>
      <c r="E329" s="5"/>
      <c r="F329" s="5" t="s">
        <v>8472</v>
      </c>
      <c r="G329" s="5" t="s">
        <v>170</v>
      </c>
      <c r="H329" s="5" t="s">
        <v>137</v>
      </c>
      <c r="I329" s="5" t="s">
        <v>16270</v>
      </c>
      <c r="J329" s="5" t="s">
        <v>16486</v>
      </c>
    </row>
    <row r="330" spans="1:10" ht="25.5" x14ac:dyDescent="0.2">
      <c r="A330" s="5" t="s">
        <v>8273</v>
      </c>
      <c r="B330" s="5" t="s">
        <v>83</v>
      </c>
      <c r="C330" s="5"/>
      <c r="D330" s="5" t="s">
        <v>16485</v>
      </c>
      <c r="E330" s="5"/>
      <c r="F330" s="5" t="s">
        <v>8270</v>
      </c>
      <c r="G330" s="5" t="s">
        <v>224</v>
      </c>
      <c r="H330" s="5" t="s">
        <v>137</v>
      </c>
      <c r="I330" s="5" t="s">
        <v>15385</v>
      </c>
      <c r="J330" s="5" t="s">
        <v>16484</v>
      </c>
    </row>
    <row r="331" spans="1:10" ht="25.5" x14ac:dyDescent="0.2">
      <c r="A331" s="5" t="s">
        <v>16483</v>
      </c>
      <c r="B331" s="5" t="s">
        <v>83</v>
      </c>
      <c r="C331" s="5"/>
      <c r="D331" s="5" t="s">
        <v>16482</v>
      </c>
      <c r="E331" s="5"/>
      <c r="F331" s="5" t="s">
        <v>8472</v>
      </c>
      <c r="G331" s="5" t="s">
        <v>170</v>
      </c>
      <c r="H331" s="5" t="s">
        <v>137</v>
      </c>
      <c r="I331" s="5" t="s">
        <v>15553</v>
      </c>
      <c r="J331" s="5" t="s">
        <v>16481</v>
      </c>
    </row>
    <row r="332" spans="1:10" ht="25.5" x14ac:dyDescent="0.2">
      <c r="A332" s="5" t="s">
        <v>16480</v>
      </c>
      <c r="B332" s="5" t="s">
        <v>83</v>
      </c>
      <c r="C332" s="5"/>
      <c r="D332" s="5" t="s">
        <v>16479</v>
      </c>
      <c r="E332" s="5"/>
      <c r="F332" s="5"/>
      <c r="G332" s="5" t="s">
        <v>16478</v>
      </c>
      <c r="H332" s="5" t="s">
        <v>137</v>
      </c>
      <c r="I332" s="5" t="s">
        <v>15390</v>
      </c>
      <c r="J332" s="5"/>
    </row>
    <row r="333" spans="1:10" ht="25.5" x14ac:dyDescent="0.2">
      <c r="A333" s="5" t="s">
        <v>16477</v>
      </c>
      <c r="B333" s="5" t="s">
        <v>83</v>
      </c>
      <c r="C333" s="5"/>
      <c r="D333" s="5" t="s">
        <v>16476</v>
      </c>
      <c r="E333" s="5"/>
      <c r="F333" s="5" t="s">
        <v>16475</v>
      </c>
      <c r="G333" s="5" t="s">
        <v>9322</v>
      </c>
      <c r="H333" s="5" t="s">
        <v>3</v>
      </c>
      <c r="I333" s="5"/>
      <c r="J333" s="5" t="s">
        <v>16474</v>
      </c>
    </row>
    <row r="334" spans="1:10" ht="25.5" x14ac:dyDescent="0.2">
      <c r="A334" s="5" t="s">
        <v>16473</v>
      </c>
      <c r="B334" s="5" t="s">
        <v>83</v>
      </c>
      <c r="C334" s="5"/>
      <c r="D334" s="5" t="s">
        <v>16472</v>
      </c>
      <c r="E334" s="5"/>
      <c r="F334" s="5" t="s">
        <v>16471</v>
      </c>
      <c r="G334" s="5" t="s">
        <v>118</v>
      </c>
      <c r="H334" s="5" t="s">
        <v>137</v>
      </c>
      <c r="I334" s="5" t="s">
        <v>15390</v>
      </c>
      <c r="J334" s="5" t="s">
        <v>16470</v>
      </c>
    </row>
    <row r="335" spans="1:10" ht="25.5" x14ac:dyDescent="0.2">
      <c r="A335" s="5" t="s">
        <v>16469</v>
      </c>
      <c r="B335" s="5" t="s">
        <v>83</v>
      </c>
      <c r="C335" s="5"/>
      <c r="D335" s="5" t="s">
        <v>16467</v>
      </c>
      <c r="E335" s="5" t="s">
        <v>150</v>
      </c>
      <c r="F335" s="5" t="s">
        <v>7537</v>
      </c>
      <c r="G335" s="5" t="s">
        <v>148</v>
      </c>
      <c r="H335" s="5" t="s">
        <v>3</v>
      </c>
      <c r="I335" s="5"/>
      <c r="J335" s="5" t="s">
        <v>16466</v>
      </c>
    </row>
    <row r="336" spans="1:10" ht="25.5" x14ac:dyDescent="0.2">
      <c r="A336" s="5" t="s">
        <v>16468</v>
      </c>
      <c r="B336" s="5" t="s">
        <v>83</v>
      </c>
      <c r="C336" s="5"/>
      <c r="D336" s="5" t="s">
        <v>16467</v>
      </c>
      <c r="E336" s="5"/>
      <c r="F336" s="5" t="s">
        <v>7537</v>
      </c>
      <c r="G336" s="5" t="s">
        <v>148</v>
      </c>
      <c r="H336" s="5" t="s">
        <v>3</v>
      </c>
      <c r="I336" s="5"/>
      <c r="J336" s="5" t="s">
        <v>16466</v>
      </c>
    </row>
    <row r="337" spans="1:10" ht="25.5" x14ac:dyDescent="0.2">
      <c r="A337" s="5" t="s">
        <v>16465</v>
      </c>
      <c r="B337" s="5" t="s">
        <v>83</v>
      </c>
      <c r="C337" s="5"/>
      <c r="D337" s="5" t="s">
        <v>16464</v>
      </c>
      <c r="E337" s="5"/>
      <c r="F337" s="5" t="s">
        <v>16463</v>
      </c>
      <c r="G337" s="5" t="s">
        <v>382</v>
      </c>
      <c r="H337" s="5" t="s">
        <v>3</v>
      </c>
      <c r="I337" s="5"/>
      <c r="J337" s="5" t="s">
        <v>16462</v>
      </c>
    </row>
    <row r="338" spans="1:10" ht="25.5" x14ac:dyDescent="0.2">
      <c r="A338" s="5" t="s">
        <v>16461</v>
      </c>
      <c r="B338" s="5" t="s">
        <v>83</v>
      </c>
      <c r="C338" s="5"/>
      <c r="D338" s="5" t="s">
        <v>16460</v>
      </c>
      <c r="E338" s="5"/>
      <c r="F338" s="5" t="s">
        <v>8808</v>
      </c>
      <c r="G338" s="5" t="s">
        <v>1527</v>
      </c>
      <c r="H338" s="5" t="s">
        <v>3</v>
      </c>
      <c r="I338" s="5"/>
      <c r="J338" s="5" t="s">
        <v>16459</v>
      </c>
    </row>
    <row r="339" spans="1:10" ht="25.5" x14ac:dyDescent="0.2">
      <c r="A339" s="5" t="s">
        <v>16458</v>
      </c>
      <c r="B339" s="5" t="s">
        <v>83</v>
      </c>
      <c r="C339" s="5"/>
      <c r="D339" s="5" t="s">
        <v>16457</v>
      </c>
      <c r="E339" s="5"/>
      <c r="F339" s="5" t="s">
        <v>16069</v>
      </c>
      <c r="G339" s="5" t="s">
        <v>382</v>
      </c>
      <c r="H339" s="5" t="s">
        <v>3</v>
      </c>
      <c r="I339" s="5"/>
      <c r="J339" s="5" t="s">
        <v>16456</v>
      </c>
    </row>
    <row r="340" spans="1:10" ht="25.5" x14ac:dyDescent="0.2">
      <c r="A340" s="5" t="s">
        <v>8257</v>
      </c>
      <c r="B340" s="5" t="s">
        <v>83</v>
      </c>
      <c r="C340" s="5"/>
      <c r="D340" s="5" t="s">
        <v>16455</v>
      </c>
      <c r="E340" s="5"/>
      <c r="F340" s="5" t="s">
        <v>16454</v>
      </c>
      <c r="G340" s="5" t="s">
        <v>4</v>
      </c>
      <c r="H340" s="5" t="s">
        <v>137</v>
      </c>
      <c r="I340" s="5" t="s">
        <v>15390</v>
      </c>
      <c r="J340" s="5" t="s">
        <v>16453</v>
      </c>
    </row>
    <row r="341" spans="1:10" ht="25.5" x14ac:dyDescent="0.2">
      <c r="A341" s="5" t="s">
        <v>10339</v>
      </c>
      <c r="B341" s="5" t="s">
        <v>83</v>
      </c>
      <c r="C341" s="5"/>
      <c r="D341" s="5" t="s">
        <v>16452</v>
      </c>
      <c r="E341" s="5"/>
      <c r="F341" s="5"/>
      <c r="G341" s="5" t="s">
        <v>283</v>
      </c>
      <c r="H341" s="5" t="s">
        <v>137</v>
      </c>
      <c r="I341" s="5" t="s">
        <v>10339</v>
      </c>
      <c r="J341" s="5"/>
    </row>
    <row r="342" spans="1:10" ht="25.5" x14ac:dyDescent="0.2">
      <c r="A342" s="5" t="s">
        <v>10340</v>
      </c>
      <c r="B342" s="5" t="s">
        <v>83</v>
      </c>
      <c r="C342" s="5"/>
      <c r="D342" s="5" t="s">
        <v>16451</v>
      </c>
      <c r="E342" s="5"/>
      <c r="F342" s="5"/>
      <c r="G342" s="5" t="s">
        <v>393</v>
      </c>
      <c r="H342" s="5" t="s">
        <v>137</v>
      </c>
      <c r="I342" s="5" t="s">
        <v>10339</v>
      </c>
      <c r="J342" s="5" t="s">
        <v>16450</v>
      </c>
    </row>
    <row r="343" spans="1:10" ht="25.5" x14ac:dyDescent="0.2">
      <c r="A343" s="5" t="s">
        <v>10385</v>
      </c>
      <c r="B343" s="5" t="s">
        <v>83</v>
      </c>
      <c r="C343" s="5"/>
      <c r="D343" s="5" t="s">
        <v>16449</v>
      </c>
      <c r="E343" s="5" t="s">
        <v>299</v>
      </c>
      <c r="F343" s="5"/>
      <c r="G343" s="5" t="s">
        <v>181</v>
      </c>
      <c r="H343" s="5" t="s">
        <v>137</v>
      </c>
      <c r="I343" s="5" t="s">
        <v>10339</v>
      </c>
      <c r="J343" s="5"/>
    </row>
    <row r="344" spans="1:10" ht="25.5" x14ac:dyDescent="0.2">
      <c r="A344" s="5" t="s">
        <v>16448</v>
      </c>
      <c r="B344" s="5" t="s">
        <v>83</v>
      </c>
      <c r="C344" s="5"/>
      <c r="D344" s="5" t="s">
        <v>16447</v>
      </c>
      <c r="E344" s="5" t="s">
        <v>138</v>
      </c>
      <c r="F344" s="5"/>
      <c r="G344" s="5" t="s">
        <v>91</v>
      </c>
      <c r="H344" s="5" t="s">
        <v>137</v>
      </c>
      <c r="I344" s="5" t="s">
        <v>7844</v>
      </c>
      <c r="J344" s="5"/>
    </row>
    <row r="345" spans="1:10" x14ac:dyDescent="0.2">
      <c r="A345" s="5" t="s">
        <v>16446</v>
      </c>
      <c r="B345" s="5" t="s">
        <v>83</v>
      </c>
      <c r="C345" s="5"/>
      <c r="D345" s="5" t="s">
        <v>16445</v>
      </c>
      <c r="E345" s="5"/>
      <c r="F345" s="5" t="s">
        <v>16444</v>
      </c>
      <c r="G345" s="5" t="s">
        <v>148</v>
      </c>
      <c r="H345" s="5" t="s">
        <v>137</v>
      </c>
      <c r="I345" s="5"/>
      <c r="J345" s="5"/>
    </row>
    <row r="346" spans="1:10" ht="25.5" x14ac:dyDescent="0.2">
      <c r="A346" s="5" t="s">
        <v>16443</v>
      </c>
      <c r="B346" s="5" t="s">
        <v>83</v>
      </c>
      <c r="C346" s="5"/>
      <c r="D346" s="5" t="s">
        <v>16442</v>
      </c>
      <c r="E346" s="5" t="s">
        <v>138</v>
      </c>
      <c r="F346" s="5"/>
      <c r="G346" s="5" t="s">
        <v>91</v>
      </c>
      <c r="H346" s="5" t="s">
        <v>137</v>
      </c>
      <c r="I346" s="5" t="s">
        <v>15390</v>
      </c>
      <c r="J346" s="5"/>
    </row>
    <row r="347" spans="1:10" x14ac:dyDescent="0.2">
      <c r="A347" s="5" t="s">
        <v>16441</v>
      </c>
      <c r="B347" s="5" t="s">
        <v>83</v>
      </c>
      <c r="C347" s="5"/>
      <c r="D347" s="5" t="s">
        <v>15703</v>
      </c>
      <c r="E347" s="5"/>
      <c r="F347" s="5" t="s">
        <v>16440</v>
      </c>
      <c r="G347" s="5" t="s">
        <v>229</v>
      </c>
      <c r="H347" s="5" t="s">
        <v>3</v>
      </c>
      <c r="I347" s="5"/>
      <c r="J347" s="5" t="s">
        <v>16439</v>
      </c>
    </row>
    <row r="348" spans="1:10" ht="25.5" x14ac:dyDescent="0.2">
      <c r="A348" s="5" t="s">
        <v>8186</v>
      </c>
      <c r="B348" s="5" t="s">
        <v>83</v>
      </c>
      <c r="C348" s="5"/>
      <c r="D348" s="5" t="s">
        <v>16438</v>
      </c>
      <c r="E348" s="5"/>
      <c r="F348" s="5"/>
      <c r="G348" s="5" t="s">
        <v>229</v>
      </c>
      <c r="H348" s="5" t="s">
        <v>137</v>
      </c>
      <c r="I348" s="5" t="s">
        <v>15390</v>
      </c>
      <c r="J348" s="5" t="s">
        <v>8732</v>
      </c>
    </row>
    <row r="349" spans="1:10" ht="25.5" x14ac:dyDescent="0.2">
      <c r="A349" s="5" t="s">
        <v>16437</v>
      </c>
      <c r="B349" s="5" t="s">
        <v>83</v>
      </c>
      <c r="C349" s="5"/>
      <c r="D349" s="5" t="s">
        <v>16436</v>
      </c>
      <c r="E349" s="5"/>
      <c r="F349" s="5" t="s">
        <v>16435</v>
      </c>
      <c r="G349" s="5" t="s">
        <v>91</v>
      </c>
      <c r="H349" s="5" t="s">
        <v>137</v>
      </c>
      <c r="I349" s="5" t="s">
        <v>15488</v>
      </c>
      <c r="J349" s="5" t="s">
        <v>16434</v>
      </c>
    </row>
    <row r="350" spans="1:10" ht="25.5" x14ac:dyDescent="0.2">
      <c r="A350" s="5" t="s">
        <v>16433</v>
      </c>
      <c r="B350" s="5" t="s">
        <v>83</v>
      </c>
      <c r="C350" s="5"/>
      <c r="D350" s="5" t="s">
        <v>16432</v>
      </c>
      <c r="E350" s="5"/>
      <c r="F350" s="5" t="s">
        <v>8406</v>
      </c>
      <c r="G350" s="5" t="s">
        <v>229</v>
      </c>
      <c r="H350" s="5" t="s">
        <v>137</v>
      </c>
      <c r="I350" s="5" t="s">
        <v>15390</v>
      </c>
      <c r="J350" s="5"/>
    </row>
    <row r="351" spans="1:10" x14ac:dyDescent="0.2">
      <c r="A351" s="5" t="s">
        <v>16431</v>
      </c>
      <c r="B351" s="5" t="s">
        <v>83</v>
      </c>
      <c r="C351" s="5"/>
      <c r="D351" s="5" t="s">
        <v>15411</v>
      </c>
      <c r="E351" s="5"/>
      <c r="F351" s="5" t="s">
        <v>8406</v>
      </c>
      <c r="G351" s="5" t="s">
        <v>328</v>
      </c>
      <c r="H351" s="5" t="s">
        <v>3</v>
      </c>
      <c r="I351" s="5"/>
      <c r="J351" s="5" t="s">
        <v>16430</v>
      </c>
    </row>
    <row r="352" spans="1:10" ht="25.5" x14ac:dyDescent="0.2">
      <c r="A352" s="5" t="s">
        <v>10325</v>
      </c>
      <c r="B352" s="5" t="s">
        <v>83</v>
      </c>
      <c r="C352" s="5"/>
      <c r="D352" s="5" t="s">
        <v>16429</v>
      </c>
      <c r="E352" s="5"/>
      <c r="F352" s="5" t="s">
        <v>8565</v>
      </c>
      <c r="G352" s="5" t="s">
        <v>114</v>
      </c>
      <c r="H352" s="5" t="s">
        <v>137</v>
      </c>
      <c r="I352" s="5" t="s">
        <v>10325</v>
      </c>
      <c r="J352" s="5" t="s">
        <v>8564</v>
      </c>
    </row>
    <row r="353" spans="1:10" ht="25.5" x14ac:dyDescent="0.2">
      <c r="A353" s="5" t="s">
        <v>10332</v>
      </c>
      <c r="B353" s="5" t="s">
        <v>83</v>
      </c>
      <c r="C353" s="5"/>
      <c r="D353" s="5" t="s">
        <v>16428</v>
      </c>
      <c r="E353" s="5"/>
      <c r="F353" s="5" t="s">
        <v>358</v>
      </c>
      <c r="G353" s="5" t="s">
        <v>224</v>
      </c>
      <c r="H353" s="5" t="s">
        <v>137</v>
      </c>
      <c r="I353" s="5" t="s">
        <v>10325</v>
      </c>
      <c r="J353" s="5" t="s">
        <v>16427</v>
      </c>
    </row>
    <row r="354" spans="1:10" ht="25.5" x14ac:dyDescent="0.2">
      <c r="A354" s="5" t="s">
        <v>10397</v>
      </c>
      <c r="B354" s="5" t="s">
        <v>83</v>
      </c>
      <c r="C354" s="5"/>
      <c r="D354" s="5" t="s">
        <v>16426</v>
      </c>
      <c r="E354" s="5" t="s">
        <v>299</v>
      </c>
      <c r="F354" s="5" t="s">
        <v>8565</v>
      </c>
      <c r="G354" s="5" t="s">
        <v>181</v>
      </c>
      <c r="H354" s="5" t="s">
        <v>137</v>
      </c>
      <c r="I354" s="5" t="s">
        <v>10325</v>
      </c>
      <c r="J354" s="5" t="s">
        <v>10396</v>
      </c>
    </row>
    <row r="355" spans="1:10" ht="25.5" x14ac:dyDescent="0.2">
      <c r="A355" s="5" t="s">
        <v>10328</v>
      </c>
      <c r="B355" s="5" t="s">
        <v>83</v>
      </c>
      <c r="C355" s="5"/>
      <c r="D355" s="5" t="s">
        <v>16425</v>
      </c>
      <c r="E355" s="5"/>
      <c r="F355" s="5" t="s">
        <v>14850</v>
      </c>
      <c r="G355" s="5" t="s">
        <v>170</v>
      </c>
      <c r="H355" s="5" t="s">
        <v>137</v>
      </c>
      <c r="I355" s="5" t="s">
        <v>10325</v>
      </c>
      <c r="J355" s="5" t="s">
        <v>10324</v>
      </c>
    </row>
    <row r="356" spans="1:10" ht="38.25" x14ac:dyDescent="0.2">
      <c r="A356" s="5" t="s">
        <v>16424</v>
      </c>
      <c r="B356" s="5" t="s">
        <v>83</v>
      </c>
      <c r="C356" s="5"/>
      <c r="D356" s="5" t="s">
        <v>16423</v>
      </c>
      <c r="E356" s="5"/>
      <c r="F356" s="5"/>
      <c r="G356" s="5" t="s">
        <v>105</v>
      </c>
      <c r="H356" s="5" t="s">
        <v>3</v>
      </c>
      <c r="I356" s="5"/>
      <c r="J356" s="5" t="s">
        <v>16422</v>
      </c>
    </row>
    <row r="357" spans="1:10" ht="38.25" x14ac:dyDescent="0.2">
      <c r="A357" s="5" t="s">
        <v>16421</v>
      </c>
      <c r="B357" s="5" t="s">
        <v>83</v>
      </c>
      <c r="C357" s="5"/>
      <c r="D357" s="5" t="s">
        <v>16420</v>
      </c>
      <c r="E357" s="5" t="s">
        <v>150</v>
      </c>
      <c r="F357" s="5" t="s">
        <v>7676</v>
      </c>
      <c r="G357" s="5" t="s">
        <v>148</v>
      </c>
      <c r="H357" s="5" t="s">
        <v>3</v>
      </c>
      <c r="I357" s="5"/>
      <c r="J357" s="5" t="s">
        <v>16419</v>
      </c>
    </row>
    <row r="358" spans="1:10" x14ac:dyDescent="0.2">
      <c r="A358" s="5" t="s">
        <v>8179</v>
      </c>
      <c r="B358" s="5" t="s">
        <v>83</v>
      </c>
      <c r="C358" s="5"/>
      <c r="D358" s="5" t="s">
        <v>16418</v>
      </c>
      <c r="E358" s="5" t="s">
        <v>368</v>
      </c>
      <c r="F358" s="5" t="s">
        <v>8177</v>
      </c>
      <c r="G358" s="5" t="s">
        <v>91</v>
      </c>
      <c r="H358" s="5" t="s">
        <v>3</v>
      </c>
      <c r="I358" s="5"/>
      <c r="J358" s="5" t="s">
        <v>16417</v>
      </c>
    </row>
    <row r="359" spans="1:10" x14ac:dyDescent="0.2">
      <c r="A359" s="5" t="s">
        <v>16416</v>
      </c>
      <c r="B359" s="5" t="s">
        <v>83</v>
      </c>
      <c r="C359" s="5"/>
      <c r="D359" s="5" t="s">
        <v>16415</v>
      </c>
      <c r="E359" s="5"/>
      <c r="F359" s="5"/>
      <c r="G359" s="5" t="s">
        <v>328</v>
      </c>
      <c r="H359" s="5" t="s">
        <v>3</v>
      </c>
      <c r="I359" s="5"/>
      <c r="J359" s="5" t="s">
        <v>16414</v>
      </c>
    </row>
    <row r="360" spans="1:10" x14ac:dyDescent="0.2">
      <c r="A360" s="5" t="s">
        <v>16413</v>
      </c>
      <c r="B360" s="5" t="s">
        <v>83</v>
      </c>
      <c r="C360" s="5"/>
      <c r="D360" s="5" t="s">
        <v>16412</v>
      </c>
      <c r="E360" s="5"/>
      <c r="F360" s="5" t="s">
        <v>9283</v>
      </c>
      <c r="G360" s="5" t="s">
        <v>896</v>
      </c>
      <c r="H360" s="5" t="s">
        <v>3</v>
      </c>
      <c r="I360" s="5"/>
      <c r="J360" s="5" t="s">
        <v>16411</v>
      </c>
    </row>
    <row r="361" spans="1:10" ht="25.5" x14ac:dyDescent="0.2">
      <c r="A361" s="5" t="s">
        <v>16410</v>
      </c>
      <c r="B361" s="5" t="s">
        <v>83</v>
      </c>
      <c r="C361" s="5"/>
      <c r="D361" s="5" t="s">
        <v>16409</v>
      </c>
      <c r="E361" s="5"/>
      <c r="F361" s="5" t="s">
        <v>267</v>
      </c>
      <c r="G361" s="5" t="s">
        <v>170</v>
      </c>
      <c r="H361" s="5" t="s">
        <v>137</v>
      </c>
      <c r="I361" s="5" t="s">
        <v>15390</v>
      </c>
      <c r="J361" s="5" t="s">
        <v>16408</v>
      </c>
    </row>
    <row r="362" spans="1:10" ht="25.5" x14ac:dyDescent="0.2">
      <c r="A362" s="5" t="s">
        <v>16407</v>
      </c>
      <c r="B362" s="5" t="s">
        <v>83</v>
      </c>
      <c r="C362" s="5"/>
      <c r="D362" s="5" t="s">
        <v>16406</v>
      </c>
      <c r="E362" s="5"/>
      <c r="F362" s="5"/>
      <c r="G362" s="5" t="s">
        <v>229</v>
      </c>
      <c r="H362" s="5" t="s">
        <v>137</v>
      </c>
      <c r="I362" s="5" t="s">
        <v>15390</v>
      </c>
      <c r="J362" s="5" t="s">
        <v>8732</v>
      </c>
    </row>
    <row r="363" spans="1:10" x14ac:dyDescent="0.2">
      <c r="A363" s="5" t="s">
        <v>16405</v>
      </c>
      <c r="B363" s="5" t="s">
        <v>83</v>
      </c>
      <c r="C363" s="5"/>
      <c r="D363" s="5" t="s">
        <v>16404</v>
      </c>
      <c r="E363" s="5"/>
      <c r="F363" s="5" t="s">
        <v>8135</v>
      </c>
      <c r="G363" s="5" t="s">
        <v>896</v>
      </c>
      <c r="H363" s="5" t="s">
        <v>3</v>
      </c>
      <c r="I363" s="5"/>
      <c r="J363" s="5" t="s">
        <v>16403</v>
      </c>
    </row>
    <row r="364" spans="1:10" ht="25.5" x14ac:dyDescent="0.2">
      <c r="A364" s="5" t="s">
        <v>16402</v>
      </c>
      <c r="B364" s="5" t="s">
        <v>83</v>
      </c>
      <c r="C364" s="5"/>
      <c r="D364" s="5" t="s">
        <v>16401</v>
      </c>
      <c r="E364" s="5" t="s">
        <v>138</v>
      </c>
      <c r="F364" s="5" t="s">
        <v>16395</v>
      </c>
      <c r="G364" s="5" t="s">
        <v>91</v>
      </c>
      <c r="H364" s="5" t="s">
        <v>137</v>
      </c>
      <c r="I364" s="5" t="s">
        <v>16394</v>
      </c>
      <c r="J364" s="5" t="s">
        <v>16400</v>
      </c>
    </row>
    <row r="365" spans="1:10" ht="25.5" x14ac:dyDescent="0.2">
      <c r="A365" s="5" t="s">
        <v>16399</v>
      </c>
      <c r="B365" s="5" t="s">
        <v>83</v>
      </c>
      <c r="C365" s="5"/>
      <c r="D365" s="5" t="s">
        <v>16391</v>
      </c>
      <c r="E365" s="5"/>
      <c r="F365" s="5" t="s">
        <v>16390</v>
      </c>
      <c r="G365" s="5" t="s">
        <v>91</v>
      </c>
      <c r="H365" s="5" t="s">
        <v>137</v>
      </c>
      <c r="I365" s="5" t="s">
        <v>16389</v>
      </c>
      <c r="J365" s="5" t="s">
        <v>16398</v>
      </c>
    </row>
    <row r="366" spans="1:10" ht="25.5" x14ac:dyDescent="0.2">
      <c r="A366" s="5" t="s">
        <v>16397</v>
      </c>
      <c r="B366" s="5" t="s">
        <v>83</v>
      </c>
      <c r="C366" s="5"/>
      <c r="D366" s="5" t="s">
        <v>16396</v>
      </c>
      <c r="E366" s="5"/>
      <c r="F366" s="5" t="s">
        <v>16395</v>
      </c>
      <c r="G366" s="5" t="s">
        <v>896</v>
      </c>
      <c r="H366" s="5" t="s">
        <v>137</v>
      </c>
      <c r="I366" s="5" t="s">
        <v>16394</v>
      </c>
      <c r="J366" s="5" t="s">
        <v>16393</v>
      </c>
    </row>
    <row r="367" spans="1:10" ht="25.5" x14ac:dyDescent="0.2">
      <c r="A367" s="5" t="s">
        <v>16392</v>
      </c>
      <c r="B367" s="5" t="s">
        <v>83</v>
      </c>
      <c r="C367" s="5"/>
      <c r="D367" s="5" t="s">
        <v>16391</v>
      </c>
      <c r="E367" s="5"/>
      <c r="F367" s="5" t="s">
        <v>16390</v>
      </c>
      <c r="G367" s="5" t="s">
        <v>896</v>
      </c>
      <c r="H367" s="5" t="s">
        <v>137</v>
      </c>
      <c r="I367" s="5" t="s">
        <v>16389</v>
      </c>
      <c r="J367" s="5" t="s">
        <v>16388</v>
      </c>
    </row>
    <row r="368" spans="1:10" x14ac:dyDescent="0.2">
      <c r="A368" s="5" t="s">
        <v>16387</v>
      </c>
      <c r="B368" s="5" t="s">
        <v>83</v>
      </c>
      <c r="C368" s="5"/>
      <c r="D368" s="5" t="s">
        <v>16386</v>
      </c>
      <c r="E368" s="5"/>
      <c r="F368" s="5" t="s">
        <v>15635</v>
      </c>
      <c r="G368" s="5" t="s">
        <v>4028</v>
      </c>
      <c r="H368" s="5" t="s">
        <v>3</v>
      </c>
      <c r="I368" s="5"/>
      <c r="J368" s="5" t="s">
        <v>15634</v>
      </c>
    </row>
    <row r="369" spans="1:10" ht="25.5" x14ac:dyDescent="0.2">
      <c r="A369" s="5" t="s">
        <v>16385</v>
      </c>
      <c r="B369" s="5" t="s">
        <v>83</v>
      </c>
      <c r="C369" s="5"/>
      <c r="D369" s="5" t="s">
        <v>16384</v>
      </c>
      <c r="E369" s="5"/>
      <c r="F369" s="5"/>
      <c r="G369" s="5" t="s">
        <v>80</v>
      </c>
      <c r="H369" s="5" t="s">
        <v>3</v>
      </c>
      <c r="I369" s="5"/>
      <c r="J369" s="5" t="s">
        <v>16383</v>
      </c>
    </row>
    <row r="370" spans="1:10" ht="25.5" x14ac:dyDescent="0.2">
      <c r="A370" s="5" t="s">
        <v>16382</v>
      </c>
      <c r="B370" s="5" t="s">
        <v>83</v>
      </c>
      <c r="C370" s="5"/>
      <c r="D370" s="5" t="s">
        <v>16381</v>
      </c>
      <c r="E370" s="5" t="s">
        <v>138</v>
      </c>
      <c r="F370" s="5" t="s">
        <v>11284</v>
      </c>
      <c r="G370" s="5" t="s">
        <v>195</v>
      </c>
      <c r="H370" s="5" t="s">
        <v>137</v>
      </c>
      <c r="I370" s="5" t="s">
        <v>15385</v>
      </c>
      <c r="J370" s="5" t="s">
        <v>16380</v>
      </c>
    </row>
    <row r="371" spans="1:10" ht="25.5" x14ac:dyDescent="0.2">
      <c r="A371" s="5" t="s">
        <v>16379</v>
      </c>
      <c r="B371" s="5" t="s">
        <v>83</v>
      </c>
      <c r="C371" s="5"/>
      <c r="D371" s="5" t="s">
        <v>16378</v>
      </c>
      <c r="E371" s="5"/>
      <c r="F371" s="5" t="s">
        <v>11284</v>
      </c>
      <c r="G371" s="5" t="s">
        <v>118</v>
      </c>
      <c r="H371" s="5" t="s">
        <v>137</v>
      </c>
      <c r="I371" s="5" t="s">
        <v>15385</v>
      </c>
      <c r="J371" s="5" t="s">
        <v>16377</v>
      </c>
    </row>
    <row r="372" spans="1:10" ht="25.5" x14ac:dyDescent="0.2">
      <c r="A372" s="5" t="s">
        <v>16376</v>
      </c>
      <c r="B372" s="5" t="s">
        <v>83</v>
      </c>
      <c r="C372" s="5"/>
      <c r="D372" s="5" t="s">
        <v>16375</v>
      </c>
      <c r="E372" s="5" t="s">
        <v>368</v>
      </c>
      <c r="F372" s="5" t="s">
        <v>11284</v>
      </c>
      <c r="G372" s="5" t="s">
        <v>148</v>
      </c>
      <c r="H372" s="5" t="s">
        <v>137</v>
      </c>
      <c r="I372" s="5" t="s">
        <v>15385</v>
      </c>
      <c r="J372" s="5" t="s">
        <v>16374</v>
      </c>
    </row>
    <row r="373" spans="1:10" ht="25.5" x14ac:dyDescent="0.2">
      <c r="A373" s="5" t="s">
        <v>16373</v>
      </c>
      <c r="B373" s="5" t="s">
        <v>83</v>
      </c>
      <c r="C373" s="5"/>
      <c r="D373" s="5" t="s">
        <v>16372</v>
      </c>
      <c r="E373" s="5" t="s">
        <v>368</v>
      </c>
      <c r="F373" s="5" t="s">
        <v>11284</v>
      </c>
      <c r="G373" s="5" t="s">
        <v>148</v>
      </c>
      <c r="H373" s="5" t="s">
        <v>137</v>
      </c>
      <c r="I373" s="5" t="s">
        <v>15385</v>
      </c>
      <c r="J373" s="5"/>
    </row>
    <row r="374" spans="1:10" ht="25.5" x14ac:dyDescent="0.2">
      <c r="A374" s="5" t="s">
        <v>16371</v>
      </c>
      <c r="B374" s="5" t="s">
        <v>83</v>
      </c>
      <c r="C374" s="5"/>
      <c r="D374" s="5" t="s">
        <v>16370</v>
      </c>
      <c r="E374" s="5" t="s">
        <v>368</v>
      </c>
      <c r="F374" s="5" t="s">
        <v>11284</v>
      </c>
      <c r="G374" s="5" t="s">
        <v>148</v>
      </c>
      <c r="H374" s="5" t="s">
        <v>137</v>
      </c>
      <c r="I374" s="5" t="s">
        <v>15385</v>
      </c>
      <c r="J374" s="5" t="s">
        <v>16369</v>
      </c>
    </row>
    <row r="375" spans="1:10" x14ac:dyDescent="0.2">
      <c r="A375" s="5" t="s">
        <v>16368</v>
      </c>
      <c r="B375" s="5" t="s">
        <v>83</v>
      </c>
      <c r="C375" s="5"/>
      <c r="D375" s="5" t="s">
        <v>16367</v>
      </c>
      <c r="E375" s="5"/>
      <c r="F375" s="5" t="s">
        <v>16366</v>
      </c>
      <c r="G375" s="5" t="s">
        <v>4028</v>
      </c>
      <c r="H375" s="5"/>
      <c r="I375" s="5"/>
      <c r="J375" s="5" t="s">
        <v>16365</v>
      </c>
    </row>
    <row r="376" spans="1:10" ht="25.5" x14ac:dyDescent="0.2">
      <c r="A376" s="5" t="s">
        <v>16364</v>
      </c>
      <c r="B376" s="5" t="s">
        <v>83</v>
      </c>
      <c r="C376" s="5"/>
      <c r="D376" s="5" t="s">
        <v>16363</v>
      </c>
      <c r="E376" s="5"/>
      <c r="F376" s="5" t="s">
        <v>11284</v>
      </c>
      <c r="G376" s="5" t="s">
        <v>173</v>
      </c>
      <c r="H376" s="5" t="s">
        <v>137</v>
      </c>
      <c r="I376" s="5" t="s">
        <v>15385</v>
      </c>
      <c r="J376" s="5" t="s">
        <v>16362</v>
      </c>
    </row>
    <row r="377" spans="1:10" x14ac:dyDescent="0.2">
      <c r="A377" s="5" t="s">
        <v>16361</v>
      </c>
      <c r="B377" s="5" t="s">
        <v>83</v>
      </c>
      <c r="C377" s="5"/>
      <c r="D377" s="5" t="s">
        <v>16360</v>
      </c>
      <c r="E377" s="5"/>
      <c r="F377" s="5" t="s">
        <v>16123</v>
      </c>
      <c r="G377" s="5" t="s">
        <v>315</v>
      </c>
      <c r="H377" s="5" t="s">
        <v>137</v>
      </c>
      <c r="I377" s="5"/>
      <c r="J377" s="5"/>
    </row>
    <row r="378" spans="1:10" ht="25.5" x14ac:dyDescent="0.2">
      <c r="A378" s="5" t="s">
        <v>8039</v>
      </c>
      <c r="B378" s="5" t="s">
        <v>83</v>
      </c>
      <c r="C378" s="5"/>
      <c r="D378" s="5" t="s">
        <v>16359</v>
      </c>
      <c r="E378" s="5"/>
      <c r="F378" s="5" t="s">
        <v>16358</v>
      </c>
      <c r="G378" s="5" t="s">
        <v>276</v>
      </c>
      <c r="H378" s="5" t="s">
        <v>3</v>
      </c>
      <c r="I378" s="5"/>
      <c r="J378" s="5" t="s">
        <v>16357</v>
      </c>
    </row>
    <row r="379" spans="1:10" x14ac:dyDescent="0.2">
      <c r="A379" s="5" t="s">
        <v>16356</v>
      </c>
      <c r="B379" s="5" t="s">
        <v>83</v>
      </c>
      <c r="C379" s="5"/>
      <c r="D379" s="5" t="s">
        <v>16355</v>
      </c>
      <c r="E379" s="5"/>
      <c r="F379" s="5" t="s">
        <v>16354</v>
      </c>
      <c r="G379" s="5" t="s">
        <v>105</v>
      </c>
      <c r="H379" s="5" t="s">
        <v>3</v>
      </c>
      <c r="I379" s="5"/>
      <c r="J379" s="5" t="s">
        <v>16353</v>
      </c>
    </row>
    <row r="380" spans="1:10" ht="25.5" x14ac:dyDescent="0.2">
      <c r="A380" s="5" t="s">
        <v>16352</v>
      </c>
      <c r="B380" s="5" t="s">
        <v>83</v>
      </c>
      <c r="C380" s="5"/>
      <c r="D380" s="5" t="s">
        <v>16351</v>
      </c>
      <c r="E380" s="5"/>
      <c r="F380" s="5" t="s">
        <v>16350</v>
      </c>
      <c r="G380" s="5" t="s">
        <v>105</v>
      </c>
      <c r="H380" s="5" t="s">
        <v>3</v>
      </c>
      <c r="I380" s="5"/>
      <c r="J380" s="5" t="s">
        <v>16349</v>
      </c>
    </row>
    <row r="381" spans="1:10" ht="25.5" x14ac:dyDescent="0.2">
      <c r="A381" s="5" t="s">
        <v>16348</v>
      </c>
      <c r="B381" s="5" t="s">
        <v>83</v>
      </c>
      <c r="C381" s="5"/>
      <c r="D381" s="5" t="s">
        <v>16347</v>
      </c>
      <c r="E381" s="5" t="s">
        <v>138</v>
      </c>
      <c r="F381" s="5" t="s">
        <v>12907</v>
      </c>
      <c r="G381" s="5" t="s">
        <v>181</v>
      </c>
      <c r="H381" s="5" t="s">
        <v>137</v>
      </c>
      <c r="I381" s="5" t="s">
        <v>7844</v>
      </c>
      <c r="J381" s="5" t="s">
        <v>90</v>
      </c>
    </row>
    <row r="382" spans="1:10" ht="25.5" x14ac:dyDescent="0.2">
      <c r="A382" s="5" t="s">
        <v>16346</v>
      </c>
      <c r="B382" s="5" t="s">
        <v>83</v>
      </c>
      <c r="C382" s="5"/>
      <c r="D382" s="5" t="s">
        <v>16345</v>
      </c>
      <c r="E382" s="5"/>
      <c r="F382" s="5" t="s">
        <v>8472</v>
      </c>
      <c r="G382" s="5" t="s">
        <v>80</v>
      </c>
      <c r="H382" s="5" t="s">
        <v>137</v>
      </c>
      <c r="I382" s="5" t="s">
        <v>16270</v>
      </c>
      <c r="J382" s="5" t="s">
        <v>16344</v>
      </c>
    </row>
    <row r="383" spans="1:10" ht="25.5" x14ac:dyDescent="0.2">
      <c r="A383" s="5" t="s">
        <v>16343</v>
      </c>
      <c r="B383" s="5" t="s">
        <v>83</v>
      </c>
      <c r="C383" s="5"/>
      <c r="D383" s="5" t="s">
        <v>16342</v>
      </c>
      <c r="E383" s="5"/>
      <c r="F383" s="5" t="s">
        <v>16129</v>
      </c>
      <c r="G383" s="5" t="s">
        <v>118</v>
      </c>
      <c r="H383" s="5" t="s">
        <v>137</v>
      </c>
      <c r="I383" s="5" t="s">
        <v>16270</v>
      </c>
      <c r="J383" s="5" t="s">
        <v>16341</v>
      </c>
    </row>
    <row r="384" spans="1:10" ht="25.5" x14ac:dyDescent="0.2">
      <c r="A384" s="5" t="s">
        <v>16340</v>
      </c>
      <c r="B384" s="5" t="s">
        <v>83</v>
      </c>
      <c r="C384" s="5"/>
      <c r="D384" s="5" t="s">
        <v>16339</v>
      </c>
      <c r="E384" s="5"/>
      <c r="F384" s="5" t="s">
        <v>15642</v>
      </c>
      <c r="G384" s="5" t="s">
        <v>118</v>
      </c>
      <c r="H384" s="5" t="s">
        <v>137</v>
      </c>
      <c r="I384" s="5" t="s">
        <v>16270</v>
      </c>
      <c r="J384" s="5" t="s">
        <v>16338</v>
      </c>
    </row>
    <row r="385" spans="1:10" ht="25.5" x14ac:dyDescent="0.2">
      <c r="A385" s="5" t="s">
        <v>16337</v>
      </c>
      <c r="B385" s="5" t="s">
        <v>83</v>
      </c>
      <c r="C385" s="5"/>
      <c r="D385" s="5" t="s">
        <v>16336</v>
      </c>
      <c r="E385" s="5" t="s">
        <v>93</v>
      </c>
      <c r="F385" s="5" t="s">
        <v>15642</v>
      </c>
      <c r="G385" s="5" t="s">
        <v>118</v>
      </c>
      <c r="H385" s="5" t="s">
        <v>137</v>
      </c>
      <c r="I385" s="5" t="s">
        <v>16270</v>
      </c>
      <c r="J385" s="5" t="s">
        <v>16335</v>
      </c>
    </row>
    <row r="386" spans="1:10" ht="25.5" x14ac:dyDescent="0.2">
      <c r="A386" s="5" t="s">
        <v>16334</v>
      </c>
      <c r="B386" s="5" t="s">
        <v>83</v>
      </c>
      <c r="C386" s="5"/>
      <c r="D386" s="5" t="s">
        <v>16333</v>
      </c>
      <c r="E386" s="5"/>
      <c r="F386" s="5" t="s">
        <v>15912</v>
      </c>
      <c r="G386" s="5" t="s">
        <v>148</v>
      </c>
      <c r="H386" s="5" t="s">
        <v>137</v>
      </c>
      <c r="I386" s="5"/>
      <c r="J386" s="5" t="s">
        <v>16332</v>
      </c>
    </row>
    <row r="387" spans="1:10" ht="25.5" x14ac:dyDescent="0.2">
      <c r="A387" s="5" t="s">
        <v>16331</v>
      </c>
      <c r="B387" s="5" t="s">
        <v>83</v>
      </c>
      <c r="C387" s="5"/>
      <c r="D387" s="5" t="s">
        <v>16330</v>
      </c>
      <c r="E387" s="5"/>
      <c r="F387" s="5" t="s">
        <v>12907</v>
      </c>
      <c r="G387" s="5" t="s">
        <v>118</v>
      </c>
      <c r="H387" s="5" t="s">
        <v>137</v>
      </c>
      <c r="I387" s="5" t="s">
        <v>7844</v>
      </c>
      <c r="J387" s="5" t="s">
        <v>16329</v>
      </c>
    </row>
    <row r="388" spans="1:10" ht="25.5" x14ac:dyDescent="0.2">
      <c r="A388" s="5" t="s">
        <v>16328</v>
      </c>
      <c r="B388" s="5" t="s">
        <v>83</v>
      </c>
      <c r="C388" s="5"/>
      <c r="D388" s="5" t="s">
        <v>16327</v>
      </c>
      <c r="E388" s="5"/>
      <c r="F388" s="5" t="s">
        <v>12907</v>
      </c>
      <c r="G388" s="5" t="s">
        <v>173</v>
      </c>
      <c r="H388" s="5" t="s">
        <v>137</v>
      </c>
      <c r="I388" s="5" t="s">
        <v>7844</v>
      </c>
      <c r="J388" s="5" t="s">
        <v>16326</v>
      </c>
    </row>
    <row r="389" spans="1:10" ht="25.5" x14ac:dyDescent="0.2">
      <c r="A389" s="5" t="s">
        <v>16325</v>
      </c>
      <c r="B389" s="5" t="s">
        <v>83</v>
      </c>
      <c r="C389" s="5"/>
      <c r="D389" s="5" t="s">
        <v>16324</v>
      </c>
      <c r="E389" s="5"/>
      <c r="F389" s="5" t="s">
        <v>16129</v>
      </c>
      <c r="G389" s="5" t="s">
        <v>118</v>
      </c>
      <c r="H389" s="5" t="s">
        <v>137</v>
      </c>
      <c r="I389" s="5" t="s">
        <v>16270</v>
      </c>
      <c r="J389" s="5" t="s">
        <v>16323</v>
      </c>
    </row>
    <row r="390" spans="1:10" ht="25.5" x14ac:dyDescent="0.2">
      <c r="A390" s="5" t="s">
        <v>16322</v>
      </c>
      <c r="B390" s="5" t="s">
        <v>83</v>
      </c>
      <c r="C390" s="5"/>
      <c r="D390" s="5" t="s">
        <v>16321</v>
      </c>
      <c r="E390" s="5"/>
      <c r="F390" s="5" t="s">
        <v>15642</v>
      </c>
      <c r="G390" s="5" t="s">
        <v>118</v>
      </c>
      <c r="H390" s="5" t="s">
        <v>137</v>
      </c>
      <c r="I390" s="5" t="s">
        <v>16270</v>
      </c>
      <c r="J390" s="5" t="s">
        <v>16320</v>
      </c>
    </row>
    <row r="391" spans="1:10" ht="25.5" x14ac:dyDescent="0.2">
      <c r="A391" s="5" t="s">
        <v>16319</v>
      </c>
      <c r="B391" s="5" t="s">
        <v>83</v>
      </c>
      <c r="C391" s="5"/>
      <c r="D391" s="5" t="s">
        <v>16318</v>
      </c>
      <c r="E391" s="5"/>
      <c r="F391" s="5" t="s">
        <v>9767</v>
      </c>
      <c r="G391" s="5" t="s">
        <v>224</v>
      </c>
      <c r="H391" s="5" t="s">
        <v>137</v>
      </c>
      <c r="I391" s="5" t="s">
        <v>16048</v>
      </c>
      <c r="J391" s="5" t="s">
        <v>16047</v>
      </c>
    </row>
    <row r="392" spans="1:10" x14ac:dyDescent="0.2">
      <c r="A392" s="5" t="s">
        <v>16317</v>
      </c>
      <c r="B392" s="5" t="s">
        <v>83</v>
      </c>
      <c r="C392" s="5"/>
      <c r="D392" s="5" t="s">
        <v>16316</v>
      </c>
      <c r="E392" s="5" t="s">
        <v>150</v>
      </c>
      <c r="F392" s="5" t="s">
        <v>16315</v>
      </c>
      <c r="G392" s="5" t="s">
        <v>283</v>
      </c>
      <c r="H392" s="5" t="s">
        <v>3</v>
      </c>
      <c r="I392" s="5"/>
      <c r="J392" s="5" t="s">
        <v>16314</v>
      </c>
    </row>
    <row r="393" spans="1:10" ht="25.5" x14ac:dyDescent="0.2">
      <c r="A393" s="5" t="s">
        <v>16313</v>
      </c>
      <c r="B393" s="5" t="s">
        <v>83</v>
      </c>
      <c r="C393" s="5"/>
      <c r="D393" s="5" t="s">
        <v>16312</v>
      </c>
      <c r="E393" s="5"/>
      <c r="F393" s="5" t="s">
        <v>16311</v>
      </c>
      <c r="G393" s="5" t="s">
        <v>173</v>
      </c>
      <c r="H393" s="5" t="s">
        <v>3</v>
      </c>
      <c r="I393" s="5"/>
      <c r="J393" s="5" t="s">
        <v>16310</v>
      </c>
    </row>
    <row r="394" spans="1:10" x14ac:dyDescent="0.2">
      <c r="A394" s="5" t="s">
        <v>16309</v>
      </c>
      <c r="B394" s="5" t="s">
        <v>83</v>
      </c>
      <c r="C394" s="5"/>
      <c r="D394" s="5" t="s">
        <v>16308</v>
      </c>
      <c r="E394" s="5"/>
      <c r="F394" s="5" t="s">
        <v>15642</v>
      </c>
      <c r="G394" s="5" t="s">
        <v>229</v>
      </c>
      <c r="H394" s="5" t="s">
        <v>3</v>
      </c>
      <c r="I394" s="5"/>
      <c r="J394" s="5" t="s">
        <v>16307</v>
      </c>
    </row>
    <row r="395" spans="1:10" x14ac:dyDescent="0.2">
      <c r="A395" s="5" t="s">
        <v>16306</v>
      </c>
      <c r="B395" s="5" t="s">
        <v>83</v>
      </c>
      <c r="C395" s="5"/>
      <c r="D395" s="5" t="s">
        <v>16305</v>
      </c>
      <c r="E395" s="5"/>
      <c r="F395" s="5" t="s">
        <v>16304</v>
      </c>
      <c r="G395" s="5" t="s">
        <v>148</v>
      </c>
      <c r="H395" s="5" t="s">
        <v>3</v>
      </c>
      <c r="I395" s="5"/>
      <c r="J395" s="5" t="s">
        <v>16303</v>
      </c>
    </row>
    <row r="396" spans="1:10" ht="25.5" x14ac:dyDescent="0.2">
      <c r="A396" s="5" t="s">
        <v>16302</v>
      </c>
      <c r="B396" s="5" t="s">
        <v>83</v>
      </c>
      <c r="C396" s="5"/>
      <c r="D396" s="5" t="s">
        <v>16301</v>
      </c>
      <c r="E396" s="5"/>
      <c r="F396" s="5" t="s">
        <v>9472</v>
      </c>
      <c r="G396" s="5" t="s">
        <v>80</v>
      </c>
      <c r="H396" s="5" t="s">
        <v>137</v>
      </c>
      <c r="I396" s="5" t="s">
        <v>16270</v>
      </c>
      <c r="J396" s="5" t="s">
        <v>16300</v>
      </c>
    </row>
    <row r="397" spans="1:10" ht="25.5" x14ac:dyDescent="0.2">
      <c r="A397" s="5" t="s">
        <v>16299</v>
      </c>
      <c r="B397" s="5" t="s">
        <v>83</v>
      </c>
      <c r="C397" s="5"/>
      <c r="D397" s="5" t="s">
        <v>16298</v>
      </c>
      <c r="E397" s="5"/>
      <c r="F397" s="5" t="s">
        <v>16297</v>
      </c>
      <c r="G397" s="5" t="s">
        <v>4028</v>
      </c>
      <c r="H397" s="5" t="s">
        <v>3</v>
      </c>
      <c r="I397" s="5"/>
      <c r="J397" s="5" t="s">
        <v>15634</v>
      </c>
    </row>
    <row r="398" spans="1:10" ht="25.5" x14ac:dyDescent="0.2">
      <c r="A398" s="5" t="s">
        <v>16296</v>
      </c>
      <c r="B398" s="5" t="s">
        <v>83</v>
      </c>
      <c r="C398" s="5"/>
      <c r="D398" s="5" t="s">
        <v>16295</v>
      </c>
      <c r="E398" s="5"/>
      <c r="F398" s="5" t="s">
        <v>12907</v>
      </c>
      <c r="G398" s="5" t="s">
        <v>328</v>
      </c>
      <c r="H398" s="5" t="s">
        <v>137</v>
      </c>
      <c r="I398" s="5" t="s">
        <v>7844</v>
      </c>
      <c r="J398" s="5" t="s">
        <v>16294</v>
      </c>
    </row>
    <row r="399" spans="1:10" ht="25.5" x14ac:dyDescent="0.2">
      <c r="A399" s="5" t="s">
        <v>16293</v>
      </c>
      <c r="B399" s="5" t="s">
        <v>83</v>
      </c>
      <c r="C399" s="5"/>
      <c r="D399" s="5" t="s">
        <v>16292</v>
      </c>
      <c r="E399" s="5"/>
      <c r="F399" s="5" t="s">
        <v>12907</v>
      </c>
      <c r="G399" s="5" t="s">
        <v>105</v>
      </c>
      <c r="H399" s="5" t="s">
        <v>137</v>
      </c>
      <c r="I399" s="5" t="s">
        <v>7844</v>
      </c>
      <c r="J399" s="5" t="s">
        <v>16291</v>
      </c>
    </row>
    <row r="400" spans="1:10" ht="25.5" x14ac:dyDescent="0.2">
      <c r="A400" s="5" t="s">
        <v>16290</v>
      </c>
      <c r="B400" s="5" t="s">
        <v>83</v>
      </c>
      <c r="C400" s="5"/>
      <c r="D400" s="5" t="s">
        <v>16289</v>
      </c>
      <c r="E400" s="5" t="s">
        <v>138</v>
      </c>
      <c r="F400" s="5" t="s">
        <v>12907</v>
      </c>
      <c r="G400" s="5" t="s">
        <v>91</v>
      </c>
      <c r="H400" s="5" t="s">
        <v>3</v>
      </c>
      <c r="I400" s="5"/>
      <c r="J400" s="5" t="s">
        <v>16288</v>
      </c>
    </row>
    <row r="401" spans="1:10" ht="25.5" x14ac:dyDescent="0.2">
      <c r="A401" s="5" t="s">
        <v>16287</v>
      </c>
      <c r="B401" s="5" t="s">
        <v>83</v>
      </c>
      <c r="C401" s="5"/>
      <c r="D401" s="5" t="s">
        <v>16286</v>
      </c>
      <c r="E401" s="5"/>
      <c r="F401" s="5" t="s">
        <v>4009</v>
      </c>
      <c r="G401" s="5" t="s">
        <v>283</v>
      </c>
      <c r="H401" s="5" t="s">
        <v>137</v>
      </c>
      <c r="I401" s="5" t="s">
        <v>7844</v>
      </c>
      <c r="J401" s="5" t="s">
        <v>16285</v>
      </c>
    </row>
    <row r="402" spans="1:10" ht="25.5" x14ac:dyDescent="0.2">
      <c r="A402" s="5" t="s">
        <v>16284</v>
      </c>
      <c r="B402" s="5" t="s">
        <v>83</v>
      </c>
      <c r="C402" s="5"/>
      <c r="D402" s="5" t="s">
        <v>16283</v>
      </c>
      <c r="E402" s="5"/>
      <c r="F402" s="5" t="s">
        <v>12907</v>
      </c>
      <c r="G402" s="5" t="s">
        <v>118</v>
      </c>
      <c r="H402" s="5" t="s">
        <v>137</v>
      </c>
      <c r="I402" s="5" t="s">
        <v>7844</v>
      </c>
      <c r="J402" s="5" t="s">
        <v>16282</v>
      </c>
    </row>
    <row r="403" spans="1:10" ht="25.5" x14ac:dyDescent="0.2">
      <c r="A403" s="5" t="s">
        <v>16281</v>
      </c>
      <c r="B403" s="5" t="s">
        <v>83</v>
      </c>
      <c r="C403" s="5"/>
      <c r="D403" s="5" t="s">
        <v>16280</v>
      </c>
      <c r="E403" s="5"/>
      <c r="F403" s="5" t="s">
        <v>12907</v>
      </c>
      <c r="G403" s="5" t="s">
        <v>118</v>
      </c>
      <c r="H403" s="5" t="s">
        <v>137</v>
      </c>
      <c r="I403" s="5" t="s">
        <v>7844</v>
      </c>
      <c r="J403" s="5" t="s">
        <v>16279</v>
      </c>
    </row>
    <row r="404" spans="1:10" ht="25.5" x14ac:dyDescent="0.2">
      <c r="A404" s="5" t="s">
        <v>16278</v>
      </c>
      <c r="B404" s="5" t="s">
        <v>83</v>
      </c>
      <c r="C404" s="5"/>
      <c r="D404" s="5" t="s">
        <v>16277</v>
      </c>
      <c r="E404" s="5"/>
      <c r="F404" s="5" t="s">
        <v>12907</v>
      </c>
      <c r="G404" s="5" t="s">
        <v>118</v>
      </c>
      <c r="H404" s="5" t="s">
        <v>137</v>
      </c>
      <c r="I404" s="5" t="s">
        <v>7844</v>
      </c>
      <c r="J404" s="5" t="s">
        <v>16276</v>
      </c>
    </row>
    <row r="405" spans="1:10" ht="25.5" x14ac:dyDescent="0.2">
      <c r="A405" s="5" t="s">
        <v>16275</v>
      </c>
      <c r="B405" s="5" t="s">
        <v>83</v>
      </c>
      <c r="C405" s="5"/>
      <c r="D405" s="5" t="s">
        <v>16274</v>
      </c>
      <c r="E405" s="5" t="s">
        <v>299</v>
      </c>
      <c r="F405" s="5" t="s">
        <v>12907</v>
      </c>
      <c r="G405" s="5" t="s">
        <v>195</v>
      </c>
      <c r="H405" s="5" t="s">
        <v>137</v>
      </c>
      <c r="I405" s="5" t="s">
        <v>7844</v>
      </c>
      <c r="J405" s="5" t="s">
        <v>16273</v>
      </c>
    </row>
    <row r="406" spans="1:10" ht="25.5" x14ac:dyDescent="0.2">
      <c r="A406" s="5" t="s">
        <v>16272</v>
      </c>
      <c r="B406" s="5" t="s">
        <v>83</v>
      </c>
      <c r="C406" s="5"/>
      <c r="D406" s="5" t="s">
        <v>16271</v>
      </c>
      <c r="E406" s="5"/>
      <c r="F406" s="5" t="s">
        <v>8472</v>
      </c>
      <c r="G406" s="5" t="s">
        <v>170</v>
      </c>
      <c r="H406" s="5" t="s">
        <v>137</v>
      </c>
      <c r="I406" s="5" t="s">
        <v>16270</v>
      </c>
      <c r="J406" s="5" t="s">
        <v>16269</v>
      </c>
    </row>
    <row r="407" spans="1:10" ht="25.5" x14ac:dyDescent="0.2">
      <c r="A407" s="5" t="s">
        <v>16268</v>
      </c>
      <c r="B407" s="5" t="s">
        <v>83</v>
      </c>
      <c r="C407" s="5"/>
      <c r="D407" s="5" t="s">
        <v>16267</v>
      </c>
      <c r="E407" s="5" t="s">
        <v>299</v>
      </c>
      <c r="F407" s="5" t="s">
        <v>16129</v>
      </c>
      <c r="G407" s="5" t="s">
        <v>195</v>
      </c>
      <c r="H407" s="5" t="s">
        <v>137</v>
      </c>
      <c r="I407" s="5" t="s">
        <v>7844</v>
      </c>
      <c r="J407" s="5" t="s">
        <v>16266</v>
      </c>
    </row>
    <row r="408" spans="1:10" ht="25.5" x14ac:dyDescent="0.2">
      <c r="A408" s="5" t="s">
        <v>16265</v>
      </c>
      <c r="B408" s="5" t="s">
        <v>83</v>
      </c>
      <c r="C408" s="5"/>
      <c r="D408" s="5" t="s">
        <v>16264</v>
      </c>
      <c r="E408" s="5" t="s">
        <v>299</v>
      </c>
      <c r="F408" s="5" t="s">
        <v>16129</v>
      </c>
      <c r="G408" s="5" t="s">
        <v>195</v>
      </c>
      <c r="H408" s="5" t="s">
        <v>137</v>
      </c>
      <c r="I408" s="5" t="s">
        <v>7844</v>
      </c>
      <c r="J408" s="5" t="s">
        <v>16263</v>
      </c>
    </row>
    <row r="409" spans="1:10" ht="25.5" x14ac:dyDescent="0.2">
      <c r="A409" s="5" t="s">
        <v>16262</v>
      </c>
      <c r="B409" s="5" t="s">
        <v>83</v>
      </c>
      <c r="C409" s="5"/>
      <c r="D409" s="5" t="s">
        <v>15612</v>
      </c>
      <c r="E409" s="5" t="s">
        <v>93</v>
      </c>
      <c r="F409" s="5" t="s">
        <v>15467</v>
      </c>
      <c r="G409" s="5" t="s">
        <v>91</v>
      </c>
      <c r="H409" s="5" t="s">
        <v>3</v>
      </c>
      <c r="I409" s="5"/>
      <c r="J409" s="5" t="s">
        <v>16261</v>
      </c>
    </row>
    <row r="410" spans="1:10" ht="25.5" x14ac:dyDescent="0.2">
      <c r="A410" s="5" t="s">
        <v>16260</v>
      </c>
      <c r="B410" s="5" t="s">
        <v>83</v>
      </c>
      <c r="C410" s="5"/>
      <c r="D410" s="5" t="s">
        <v>16259</v>
      </c>
      <c r="E410" s="5"/>
      <c r="F410" s="5" t="s">
        <v>16258</v>
      </c>
      <c r="G410" s="5" t="s">
        <v>170</v>
      </c>
      <c r="H410" s="5" t="s">
        <v>137</v>
      </c>
      <c r="I410" s="5" t="s">
        <v>7844</v>
      </c>
      <c r="J410" s="5" t="s">
        <v>15509</v>
      </c>
    </row>
    <row r="411" spans="1:10" ht="25.5" x14ac:dyDescent="0.2">
      <c r="A411" s="5" t="s">
        <v>16257</v>
      </c>
      <c r="B411" s="5" t="s">
        <v>83</v>
      </c>
      <c r="C411" s="5"/>
      <c r="D411" s="5" t="s">
        <v>15457</v>
      </c>
      <c r="E411" s="5" t="s">
        <v>93</v>
      </c>
      <c r="F411" s="5" t="s">
        <v>16256</v>
      </c>
      <c r="G411" s="5" t="s">
        <v>181</v>
      </c>
      <c r="H411" s="5" t="s">
        <v>3</v>
      </c>
      <c r="I411" s="5"/>
      <c r="J411" s="5" t="s">
        <v>15459</v>
      </c>
    </row>
    <row r="412" spans="1:10" x14ac:dyDescent="0.2">
      <c r="A412" s="5" t="s">
        <v>7908</v>
      </c>
      <c r="B412" s="5" t="s">
        <v>83</v>
      </c>
      <c r="C412" s="5"/>
      <c r="D412" s="5" t="s">
        <v>16255</v>
      </c>
      <c r="E412" s="5"/>
      <c r="F412" s="5" t="s">
        <v>9218</v>
      </c>
      <c r="G412" s="5" t="s">
        <v>118</v>
      </c>
      <c r="H412" s="5" t="s">
        <v>3</v>
      </c>
      <c r="I412" s="5"/>
      <c r="J412" s="5" t="s">
        <v>16254</v>
      </c>
    </row>
    <row r="413" spans="1:10" ht="25.5" x14ac:dyDescent="0.2">
      <c r="A413" s="5" t="s">
        <v>16253</v>
      </c>
      <c r="B413" s="5" t="s">
        <v>83</v>
      </c>
      <c r="C413" s="5"/>
      <c r="D413" s="5" t="s">
        <v>16252</v>
      </c>
      <c r="E413" s="5"/>
      <c r="F413" s="5"/>
      <c r="G413" s="5" t="s">
        <v>224</v>
      </c>
      <c r="H413" s="5" t="s">
        <v>137</v>
      </c>
      <c r="I413" s="5" t="s">
        <v>16251</v>
      </c>
      <c r="J413" s="5" t="s">
        <v>16250</v>
      </c>
    </row>
    <row r="414" spans="1:10" ht="25.5" x14ac:dyDescent="0.2">
      <c r="A414" s="5" t="s">
        <v>16249</v>
      </c>
      <c r="B414" s="5" t="s">
        <v>83</v>
      </c>
      <c r="C414" s="5"/>
      <c r="D414" s="5" t="s">
        <v>16248</v>
      </c>
      <c r="E414" s="5"/>
      <c r="F414" s="5" t="s">
        <v>358</v>
      </c>
      <c r="G414" s="5" t="s">
        <v>6404</v>
      </c>
      <c r="H414" s="5" t="s">
        <v>3</v>
      </c>
      <c r="I414" s="5"/>
      <c r="J414" s="5" t="s">
        <v>15621</v>
      </c>
    </row>
    <row r="415" spans="1:10" ht="25.5" x14ac:dyDescent="0.2">
      <c r="A415" s="5" t="s">
        <v>16247</v>
      </c>
      <c r="B415" s="5" t="s">
        <v>83</v>
      </c>
      <c r="C415" s="5"/>
      <c r="D415" s="5" t="s">
        <v>16246</v>
      </c>
      <c r="E415" s="5" t="s">
        <v>138</v>
      </c>
      <c r="F415" s="5" t="s">
        <v>16245</v>
      </c>
      <c r="G415" s="5" t="s">
        <v>382</v>
      </c>
      <c r="H415" s="5" t="s">
        <v>3</v>
      </c>
      <c r="I415" s="5"/>
      <c r="J415" s="5" t="s">
        <v>15452</v>
      </c>
    </row>
    <row r="416" spans="1:10" ht="25.5" x14ac:dyDescent="0.2">
      <c r="A416" s="5" t="s">
        <v>16244</v>
      </c>
      <c r="B416" s="5" t="s">
        <v>83</v>
      </c>
      <c r="C416" s="5"/>
      <c r="D416" s="5" t="s">
        <v>16243</v>
      </c>
      <c r="E416" s="5"/>
      <c r="F416" s="5" t="s">
        <v>16242</v>
      </c>
      <c r="G416" s="5" t="s">
        <v>105</v>
      </c>
      <c r="H416" s="5" t="s">
        <v>3</v>
      </c>
      <c r="I416" s="5"/>
      <c r="J416" s="5" t="s">
        <v>16241</v>
      </c>
    </row>
    <row r="417" spans="1:10" ht="25.5" x14ac:dyDescent="0.2">
      <c r="A417" s="5" t="s">
        <v>7894</v>
      </c>
      <c r="B417" s="5" t="s">
        <v>83</v>
      </c>
      <c r="C417" s="5"/>
      <c r="D417" s="5" t="s">
        <v>16240</v>
      </c>
      <c r="E417" s="5"/>
      <c r="F417" s="5" t="s">
        <v>9472</v>
      </c>
      <c r="G417" s="5" t="s">
        <v>80</v>
      </c>
      <c r="H417" s="5" t="s">
        <v>137</v>
      </c>
      <c r="I417" s="5" t="s">
        <v>15385</v>
      </c>
      <c r="J417" s="5" t="s">
        <v>9634</v>
      </c>
    </row>
    <row r="418" spans="1:10" x14ac:dyDescent="0.2">
      <c r="A418" s="5" t="s">
        <v>16239</v>
      </c>
      <c r="B418" s="5" t="s">
        <v>83</v>
      </c>
      <c r="C418" s="5"/>
      <c r="D418" s="5" t="s">
        <v>16238</v>
      </c>
      <c r="E418" s="5" t="s">
        <v>138</v>
      </c>
      <c r="F418" s="5" t="s">
        <v>16237</v>
      </c>
      <c r="G418" s="5" t="s">
        <v>181</v>
      </c>
      <c r="H418" s="5"/>
      <c r="I418" s="5"/>
      <c r="J418" s="5" t="s">
        <v>16236</v>
      </c>
    </row>
    <row r="419" spans="1:10" x14ac:dyDescent="0.2">
      <c r="A419" s="5" t="s">
        <v>16235</v>
      </c>
      <c r="B419" s="5" t="s">
        <v>83</v>
      </c>
      <c r="C419" s="5"/>
      <c r="D419" s="5" t="s">
        <v>6362</v>
      </c>
      <c r="E419" s="5"/>
      <c r="F419" s="5" t="s">
        <v>16234</v>
      </c>
      <c r="G419" s="5" t="s">
        <v>315</v>
      </c>
      <c r="H419" s="5" t="s">
        <v>3</v>
      </c>
      <c r="I419" s="5"/>
      <c r="J419" s="5" t="s">
        <v>16233</v>
      </c>
    </row>
    <row r="420" spans="1:10" x14ac:dyDescent="0.2">
      <c r="A420" s="5" t="s">
        <v>16232</v>
      </c>
      <c r="B420" s="5" t="s">
        <v>83</v>
      </c>
      <c r="C420" s="5"/>
      <c r="D420" s="5" t="s">
        <v>16231</v>
      </c>
      <c r="E420" s="5"/>
      <c r="F420" s="5" t="s">
        <v>7573</v>
      </c>
      <c r="G420" s="5" t="s">
        <v>315</v>
      </c>
      <c r="H420" s="5" t="s">
        <v>3</v>
      </c>
      <c r="I420" s="5"/>
      <c r="J420" s="5" t="s">
        <v>16230</v>
      </c>
    </row>
    <row r="421" spans="1:10" x14ac:dyDescent="0.2">
      <c r="A421" s="5" t="s">
        <v>16229</v>
      </c>
      <c r="B421" s="5" t="s">
        <v>83</v>
      </c>
      <c r="C421" s="5"/>
      <c r="D421" s="5" t="s">
        <v>16228</v>
      </c>
      <c r="E421" s="5"/>
      <c r="F421" s="5"/>
      <c r="G421" s="5" t="s">
        <v>229</v>
      </c>
      <c r="H421" s="5" t="s">
        <v>137</v>
      </c>
      <c r="I421" s="5"/>
      <c r="J421" s="5"/>
    </row>
    <row r="422" spans="1:10" x14ac:dyDescent="0.2">
      <c r="A422" s="5" t="s">
        <v>16227</v>
      </c>
      <c r="B422" s="5" t="s">
        <v>83</v>
      </c>
      <c r="C422" s="5"/>
      <c r="D422" s="5" t="s">
        <v>16226</v>
      </c>
      <c r="E422" s="5" t="s">
        <v>138</v>
      </c>
      <c r="F422" s="5" t="s">
        <v>16225</v>
      </c>
      <c r="G422" s="5" t="s">
        <v>148</v>
      </c>
      <c r="H422" s="5" t="s">
        <v>3</v>
      </c>
      <c r="I422" s="5"/>
      <c r="J422" s="5" t="s">
        <v>16224</v>
      </c>
    </row>
    <row r="423" spans="1:10" x14ac:dyDescent="0.2">
      <c r="A423" s="5" t="s">
        <v>16223</v>
      </c>
      <c r="B423" s="5" t="s">
        <v>83</v>
      </c>
      <c r="C423" s="5"/>
      <c r="D423" s="5" t="s">
        <v>16222</v>
      </c>
      <c r="E423" s="5"/>
      <c r="F423" s="5" t="s">
        <v>16221</v>
      </c>
      <c r="G423" s="5" t="s">
        <v>357</v>
      </c>
      <c r="H423" s="5" t="s">
        <v>137</v>
      </c>
      <c r="I423" s="5" t="s">
        <v>11789</v>
      </c>
      <c r="J423" s="5" t="s">
        <v>16220</v>
      </c>
    </row>
    <row r="424" spans="1:10" ht="38.25" x14ac:dyDescent="0.2">
      <c r="A424" s="5" t="s">
        <v>7642</v>
      </c>
      <c r="B424" s="5" t="s">
        <v>83</v>
      </c>
      <c r="C424" s="5"/>
      <c r="D424" s="5" t="s">
        <v>16219</v>
      </c>
      <c r="E424" s="5"/>
      <c r="F424" s="5" t="s">
        <v>7640</v>
      </c>
      <c r="G424" s="5" t="s">
        <v>199</v>
      </c>
      <c r="H424" s="5" t="s">
        <v>137</v>
      </c>
      <c r="I424" s="5" t="s">
        <v>15390</v>
      </c>
      <c r="J424" s="5" t="s">
        <v>16218</v>
      </c>
    </row>
    <row r="425" spans="1:10" ht="25.5" x14ac:dyDescent="0.2">
      <c r="A425" s="5" t="s">
        <v>16217</v>
      </c>
      <c r="B425" s="5" t="s">
        <v>83</v>
      </c>
      <c r="C425" s="5"/>
      <c r="D425" s="5" t="s">
        <v>16216</v>
      </c>
      <c r="E425" s="5"/>
      <c r="F425" s="5" t="s">
        <v>16215</v>
      </c>
      <c r="G425" s="5" t="s">
        <v>207</v>
      </c>
      <c r="H425" s="5" t="s">
        <v>137</v>
      </c>
      <c r="I425" s="5" t="s">
        <v>15488</v>
      </c>
      <c r="J425" s="5" t="s">
        <v>16214</v>
      </c>
    </row>
    <row r="426" spans="1:10" x14ac:dyDescent="0.2">
      <c r="A426" s="5" t="s">
        <v>16213</v>
      </c>
      <c r="B426" s="5" t="s">
        <v>83</v>
      </c>
      <c r="C426" s="5"/>
      <c r="D426" s="5" t="s">
        <v>16212</v>
      </c>
      <c r="E426" s="5" t="s">
        <v>138</v>
      </c>
      <c r="F426" s="5" t="s">
        <v>15407</v>
      </c>
      <c r="G426" s="5" t="s">
        <v>382</v>
      </c>
      <c r="H426" s="5" t="s">
        <v>3</v>
      </c>
      <c r="I426" s="5"/>
      <c r="J426" s="5"/>
    </row>
    <row r="427" spans="1:10" x14ac:dyDescent="0.2">
      <c r="A427" s="5" t="s">
        <v>16210</v>
      </c>
      <c r="B427" s="5" t="s">
        <v>83</v>
      </c>
      <c r="C427" s="5"/>
      <c r="D427" s="5" t="s">
        <v>16211</v>
      </c>
      <c r="E427" s="5"/>
      <c r="F427" s="5" t="s">
        <v>16210</v>
      </c>
      <c r="G427" s="5" t="s">
        <v>229</v>
      </c>
      <c r="H427" s="5" t="s">
        <v>3</v>
      </c>
      <c r="I427" s="5"/>
      <c r="J427" s="5"/>
    </row>
    <row r="428" spans="1:10" ht="38.25" x14ac:dyDescent="0.2">
      <c r="A428" s="5" t="s">
        <v>10253</v>
      </c>
      <c r="B428" s="5" t="s">
        <v>83</v>
      </c>
      <c r="C428" s="5"/>
      <c r="D428" s="5" t="s">
        <v>10252</v>
      </c>
      <c r="E428" s="5"/>
      <c r="F428" s="5" t="s">
        <v>16209</v>
      </c>
      <c r="G428" s="5" t="s">
        <v>229</v>
      </c>
      <c r="H428" s="5" t="s">
        <v>137</v>
      </c>
      <c r="I428" s="5" t="s">
        <v>15403</v>
      </c>
      <c r="J428" s="5" t="s">
        <v>10250</v>
      </c>
    </row>
    <row r="429" spans="1:10" ht="38.25" x14ac:dyDescent="0.2">
      <c r="A429" s="5" t="s">
        <v>16208</v>
      </c>
      <c r="B429" s="5" t="s">
        <v>83</v>
      </c>
      <c r="C429" s="5"/>
      <c r="D429" s="5" t="s">
        <v>16207</v>
      </c>
      <c r="E429" s="5"/>
      <c r="F429" s="5" t="s">
        <v>16206</v>
      </c>
      <c r="G429" s="5" t="s">
        <v>105</v>
      </c>
      <c r="H429" s="5" t="s">
        <v>137</v>
      </c>
      <c r="I429" s="5" t="s">
        <v>15403</v>
      </c>
      <c r="J429" s="5" t="s">
        <v>16205</v>
      </c>
    </row>
    <row r="430" spans="1:10" x14ac:dyDescent="0.2">
      <c r="A430" s="5" t="s">
        <v>16204</v>
      </c>
      <c r="B430" s="5" t="s">
        <v>83</v>
      </c>
      <c r="C430" s="5"/>
      <c r="D430" s="5" t="s">
        <v>16203</v>
      </c>
      <c r="E430" s="5"/>
      <c r="F430" s="5" t="s">
        <v>8406</v>
      </c>
      <c r="G430" s="5" t="s">
        <v>276</v>
      </c>
      <c r="H430" s="5" t="s">
        <v>3</v>
      </c>
      <c r="I430" s="5"/>
      <c r="J430" s="5" t="s">
        <v>16202</v>
      </c>
    </row>
    <row r="431" spans="1:10" ht="38.25" x14ac:dyDescent="0.2">
      <c r="A431" s="5" t="s">
        <v>16201</v>
      </c>
      <c r="B431" s="5" t="s">
        <v>83</v>
      </c>
      <c r="C431" s="5"/>
      <c r="D431" s="5" t="s">
        <v>16200</v>
      </c>
      <c r="E431" s="5"/>
      <c r="F431" s="5"/>
      <c r="G431" s="5" t="s">
        <v>224</v>
      </c>
      <c r="H431" s="5" t="s">
        <v>137</v>
      </c>
      <c r="I431" s="5" t="s">
        <v>15403</v>
      </c>
      <c r="J431" s="5" t="s">
        <v>16199</v>
      </c>
    </row>
    <row r="432" spans="1:10" ht="25.5" x14ac:dyDescent="0.2">
      <c r="A432" s="5" t="s">
        <v>16198</v>
      </c>
      <c r="B432" s="5" t="s">
        <v>83</v>
      </c>
      <c r="C432" s="5"/>
      <c r="D432" s="5" t="s">
        <v>15940</v>
      </c>
      <c r="E432" s="5"/>
      <c r="F432" s="5" t="s">
        <v>16197</v>
      </c>
      <c r="G432" s="5" t="s">
        <v>328</v>
      </c>
      <c r="H432" s="5" t="s">
        <v>137</v>
      </c>
      <c r="I432" s="5" t="s">
        <v>16196</v>
      </c>
      <c r="J432" s="5" t="s">
        <v>16195</v>
      </c>
    </row>
    <row r="433" spans="1:10" x14ac:dyDescent="0.2">
      <c r="A433" s="5" t="s">
        <v>16194</v>
      </c>
      <c r="B433" s="5" t="s">
        <v>83</v>
      </c>
      <c r="C433" s="5"/>
      <c r="D433" s="5" t="s">
        <v>16193</v>
      </c>
      <c r="E433" s="5"/>
      <c r="F433" s="5" t="s">
        <v>16183</v>
      </c>
      <c r="G433" s="5" t="s">
        <v>328</v>
      </c>
      <c r="H433" s="5" t="s">
        <v>3</v>
      </c>
      <c r="I433" s="5"/>
      <c r="J433" s="5" t="s">
        <v>16192</v>
      </c>
    </row>
    <row r="434" spans="1:10" ht="25.5" x14ac:dyDescent="0.2">
      <c r="A434" s="5" t="s">
        <v>7530</v>
      </c>
      <c r="B434" s="5" t="s">
        <v>83</v>
      </c>
      <c r="C434" s="5"/>
      <c r="D434" s="5" t="s">
        <v>7529</v>
      </c>
      <c r="E434" s="5"/>
      <c r="F434" s="5" t="s">
        <v>10816</v>
      </c>
      <c r="G434" s="5" t="s">
        <v>114</v>
      </c>
      <c r="H434" s="5" t="s">
        <v>3</v>
      </c>
      <c r="I434" s="5"/>
      <c r="J434" s="5" t="s">
        <v>16191</v>
      </c>
    </row>
    <row r="435" spans="1:10" x14ac:dyDescent="0.2">
      <c r="A435" s="5" t="s">
        <v>10246</v>
      </c>
      <c r="B435" s="5" t="s">
        <v>83</v>
      </c>
      <c r="C435" s="5"/>
      <c r="D435" s="5" t="s">
        <v>16190</v>
      </c>
      <c r="E435" s="5"/>
      <c r="F435" s="5"/>
      <c r="G435" s="5" t="s">
        <v>6584</v>
      </c>
      <c r="H435" s="5" t="s">
        <v>3</v>
      </c>
      <c r="I435" s="5"/>
      <c r="J435" s="5" t="s">
        <v>16189</v>
      </c>
    </row>
    <row r="436" spans="1:10" x14ac:dyDescent="0.2">
      <c r="A436" s="5" t="s">
        <v>16188</v>
      </c>
      <c r="B436" s="5" t="s">
        <v>83</v>
      </c>
      <c r="C436" s="5"/>
      <c r="D436" s="5" t="s">
        <v>16187</v>
      </c>
      <c r="E436" s="5"/>
      <c r="F436" s="5" t="s">
        <v>9148</v>
      </c>
      <c r="G436" s="5" t="s">
        <v>328</v>
      </c>
      <c r="H436" s="5" t="s">
        <v>3</v>
      </c>
      <c r="I436" s="5"/>
      <c r="J436" s="5" t="s">
        <v>16186</v>
      </c>
    </row>
    <row r="437" spans="1:10" x14ac:dyDescent="0.2">
      <c r="A437" s="5" t="s">
        <v>16185</v>
      </c>
      <c r="B437" s="5" t="s">
        <v>83</v>
      </c>
      <c r="C437" s="5"/>
      <c r="D437" s="5" t="s">
        <v>16184</v>
      </c>
      <c r="E437" s="5"/>
      <c r="F437" s="5" t="s">
        <v>16183</v>
      </c>
      <c r="G437" s="5" t="s">
        <v>173</v>
      </c>
      <c r="H437" s="5" t="s">
        <v>3</v>
      </c>
      <c r="I437" s="5"/>
      <c r="J437" s="5" t="s">
        <v>16182</v>
      </c>
    </row>
    <row r="438" spans="1:10" x14ac:dyDescent="0.2">
      <c r="A438" s="5" t="s">
        <v>16181</v>
      </c>
      <c r="B438" s="5" t="s">
        <v>83</v>
      </c>
      <c r="C438" s="5"/>
      <c r="D438" s="5" t="s">
        <v>16180</v>
      </c>
      <c r="E438" s="5"/>
      <c r="F438" s="5" t="s">
        <v>1554</v>
      </c>
      <c r="G438" s="5" t="s">
        <v>6530</v>
      </c>
      <c r="H438" s="5" t="s">
        <v>3</v>
      </c>
      <c r="I438" s="5"/>
      <c r="J438" s="5" t="s">
        <v>16179</v>
      </c>
    </row>
    <row r="439" spans="1:10" x14ac:dyDescent="0.2">
      <c r="A439" s="5" t="s">
        <v>16178</v>
      </c>
      <c r="B439" s="5" t="s">
        <v>83</v>
      </c>
      <c r="C439" s="5"/>
      <c r="D439" s="5" t="s">
        <v>16177</v>
      </c>
      <c r="E439" s="5"/>
      <c r="F439" s="5" t="s">
        <v>12277</v>
      </c>
      <c r="G439" s="5" t="s">
        <v>229</v>
      </c>
      <c r="H439" s="5" t="s">
        <v>3</v>
      </c>
      <c r="I439" s="5"/>
      <c r="J439" s="5"/>
    </row>
    <row r="440" spans="1:10" ht="25.5" x14ac:dyDescent="0.2">
      <c r="A440" s="5" t="s">
        <v>16176</v>
      </c>
      <c r="B440" s="5" t="s">
        <v>83</v>
      </c>
      <c r="C440" s="5"/>
      <c r="D440" s="5" t="s">
        <v>16175</v>
      </c>
      <c r="E440" s="5"/>
      <c r="F440" s="5" t="s">
        <v>15912</v>
      </c>
      <c r="G440" s="5" t="s">
        <v>7378</v>
      </c>
      <c r="H440" s="5" t="s">
        <v>137</v>
      </c>
      <c r="I440" s="5" t="s">
        <v>7844</v>
      </c>
      <c r="J440" s="5" t="s">
        <v>16174</v>
      </c>
    </row>
    <row r="441" spans="1:10" ht="25.5" x14ac:dyDescent="0.2">
      <c r="A441" s="5" t="s">
        <v>16173</v>
      </c>
      <c r="B441" s="5" t="s">
        <v>83</v>
      </c>
      <c r="C441" s="5"/>
      <c r="D441" s="5" t="s">
        <v>16172</v>
      </c>
      <c r="E441" s="5"/>
      <c r="F441" s="5" t="s">
        <v>358</v>
      </c>
      <c r="G441" s="5" t="s">
        <v>7296</v>
      </c>
      <c r="H441" s="5" t="s">
        <v>137</v>
      </c>
      <c r="I441" s="5" t="s">
        <v>7844</v>
      </c>
      <c r="J441" s="5" t="s">
        <v>15621</v>
      </c>
    </row>
    <row r="442" spans="1:10" ht="25.5" x14ac:dyDescent="0.2">
      <c r="A442" s="5" t="s">
        <v>16171</v>
      </c>
      <c r="B442" s="5" t="s">
        <v>83</v>
      </c>
      <c r="C442" s="5"/>
      <c r="D442" s="5" t="s">
        <v>16170</v>
      </c>
      <c r="E442" s="5"/>
      <c r="F442" s="5" t="s">
        <v>15912</v>
      </c>
      <c r="G442" s="5" t="s">
        <v>105</v>
      </c>
      <c r="H442" s="5" t="s">
        <v>3</v>
      </c>
      <c r="I442" s="5"/>
      <c r="J442" s="5" t="s">
        <v>16169</v>
      </c>
    </row>
    <row r="443" spans="1:10" ht="25.5" x14ac:dyDescent="0.2">
      <c r="A443" s="5" t="s">
        <v>16168</v>
      </c>
      <c r="B443" s="5" t="s">
        <v>83</v>
      </c>
      <c r="C443" s="5"/>
      <c r="D443" s="5" t="s">
        <v>16167</v>
      </c>
      <c r="E443" s="5"/>
      <c r="F443" s="5" t="s">
        <v>16166</v>
      </c>
      <c r="G443" s="5" t="s">
        <v>224</v>
      </c>
      <c r="H443" s="5" t="s">
        <v>137</v>
      </c>
      <c r="I443" s="5" t="s">
        <v>7844</v>
      </c>
      <c r="J443" s="5" t="s">
        <v>16165</v>
      </c>
    </row>
    <row r="444" spans="1:10" x14ac:dyDescent="0.2">
      <c r="A444" s="5" t="s">
        <v>10236</v>
      </c>
      <c r="B444" s="5" t="s">
        <v>83</v>
      </c>
      <c r="C444" s="5"/>
      <c r="D444" s="5" t="s">
        <v>15079</v>
      </c>
      <c r="E444" s="5"/>
      <c r="F444" s="5" t="s">
        <v>123</v>
      </c>
      <c r="G444" s="5" t="s">
        <v>224</v>
      </c>
      <c r="H444" s="5" t="s">
        <v>137</v>
      </c>
      <c r="I444" s="5"/>
      <c r="J444" s="5" t="s">
        <v>16164</v>
      </c>
    </row>
    <row r="445" spans="1:10" ht="25.5" x14ac:dyDescent="0.2">
      <c r="A445" s="5" t="s">
        <v>16163</v>
      </c>
      <c r="B445" s="5" t="s">
        <v>83</v>
      </c>
      <c r="C445" s="5"/>
      <c r="D445" s="5" t="s">
        <v>15079</v>
      </c>
      <c r="E445" s="5"/>
      <c r="F445" s="5" t="s">
        <v>16162</v>
      </c>
      <c r="G445" s="5" t="s">
        <v>224</v>
      </c>
      <c r="H445" s="5" t="s">
        <v>137</v>
      </c>
      <c r="I445" s="5" t="s">
        <v>7844</v>
      </c>
      <c r="J445" s="5" t="s">
        <v>16161</v>
      </c>
    </row>
    <row r="446" spans="1:10" ht="25.5" x14ac:dyDescent="0.2">
      <c r="A446" s="5" t="s">
        <v>16160</v>
      </c>
      <c r="B446" s="5" t="s">
        <v>83</v>
      </c>
      <c r="C446" s="5"/>
      <c r="D446" s="5" t="s">
        <v>16159</v>
      </c>
      <c r="E446" s="5"/>
      <c r="F446" s="5" t="s">
        <v>15912</v>
      </c>
      <c r="G446" s="5" t="s">
        <v>382</v>
      </c>
      <c r="H446" s="5" t="s">
        <v>137</v>
      </c>
      <c r="I446" s="5"/>
      <c r="J446" s="5" t="s">
        <v>16158</v>
      </c>
    </row>
    <row r="447" spans="1:10" ht="38.25" x14ac:dyDescent="0.2">
      <c r="A447" s="5" t="s">
        <v>16157</v>
      </c>
      <c r="B447" s="5" t="s">
        <v>83</v>
      </c>
      <c r="C447" s="5"/>
      <c r="D447" s="5" t="s">
        <v>10237</v>
      </c>
      <c r="E447" s="5"/>
      <c r="F447" s="5" t="s">
        <v>16123</v>
      </c>
      <c r="G447" s="5" t="s">
        <v>283</v>
      </c>
      <c r="H447" s="5" t="s">
        <v>137</v>
      </c>
      <c r="I447" s="5"/>
      <c r="J447" s="5" t="s">
        <v>16156</v>
      </c>
    </row>
    <row r="448" spans="1:10" x14ac:dyDescent="0.2">
      <c r="A448" s="5" t="s">
        <v>16155</v>
      </c>
      <c r="B448" s="5" t="s">
        <v>83</v>
      </c>
      <c r="C448" s="5"/>
      <c r="D448" s="5" t="s">
        <v>16154</v>
      </c>
      <c r="E448" s="5"/>
      <c r="F448" s="5"/>
      <c r="G448" s="5" t="s">
        <v>224</v>
      </c>
      <c r="H448" s="5" t="s">
        <v>3</v>
      </c>
      <c r="I448" s="5"/>
      <c r="J448" s="5" t="s">
        <v>16153</v>
      </c>
    </row>
    <row r="449" spans="1:10" ht="25.5" x14ac:dyDescent="0.2">
      <c r="A449" s="5" t="s">
        <v>16152</v>
      </c>
      <c r="B449" s="5" t="s">
        <v>83</v>
      </c>
      <c r="C449" s="5"/>
      <c r="D449" s="5" t="s">
        <v>16151</v>
      </c>
      <c r="E449" s="5"/>
      <c r="F449" s="5" t="s">
        <v>15912</v>
      </c>
      <c r="G449" s="5" t="s">
        <v>105</v>
      </c>
      <c r="H449" s="5" t="s">
        <v>137</v>
      </c>
      <c r="I449" s="5" t="s">
        <v>7844</v>
      </c>
      <c r="J449" s="5"/>
    </row>
    <row r="450" spans="1:10" x14ac:dyDescent="0.2">
      <c r="A450" s="5" t="s">
        <v>16150</v>
      </c>
      <c r="B450" s="5" t="s">
        <v>83</v>
      </c>
      <c r="C450" s="5"/>
      <c r="D450" s="5" t="s">
        <v>16149</v>
      </c>
      <c r="E450" s="5"/>
      <c r="F450" s="5" t="s">
        <v>16148</v>
      </c>
      <c r="G450" s="5" t="s">
        <v>6385</v>
      </c>
      <c r="H450" s="5" t="s">
        <v>3</v>
      </c>
      <c r="I450" s="5"/>
      <c r="J450" s="5"/>
    </row>
    <row r="451" spans="1:10" ht="25.5" x14ac:dyDescent="0.2">
      <c r="A451" s="5" t="s">
        <v>16147</v>
      </c>
      <c r="B451" s="5" t="s">
        <v>83</v>
      </c>
      <c r="C451" s="5"/>
      <c r="D451" s="5" t="s">
        <v>16146</v>
      </c>
      <c r="E451" s="5"/>
      <c r="F451" s="5" t="s">
        <v>106</v>
      </c>
      <c r="G451" s="5" t="s">
        <v>328</v>
      </c>
      <c r="H451" s="5" t="s">
        <v>137</v>
      </c>
      <c r="I451" s="5" t="s">
        <v>10232</v>
      </c>
      <c r="J451" s="5" t="s">
        <v>16145</v>
      </c>
    </row>
    <row r="452" spans="1:10" ht="25.5" x14ac:dyDescent="0.2">
      <c r="A452" s="5" t="s">
        <v>16144</v>
      </c>
      <c r="B452" s="5" t="s">
        <v>83</v>
      </c>
      <c r="C452" s="5"/>
      <c r="D452" s="5" t="s">
        <v>16143</v>
      </c>
      <c r="E452" s="5"/>
      <c r="F452" s="5" t="s">
        <v>12907</v>
      </c>
      <c r="G452" s="5" t="s">
        <v>229</v>
      </c>
      <c r="H452" s="5" t="s">
        <v>137</v>
      </c>
      <c r="I452" s="5" t="s">
        <v>7844</v>
      </c>
      <c r="J452" s="5" t="s">
        <v>16142</v>
      </c>
    </row>
    <row r="453" spans="1:10" ht="25.5" x14ac:dyDescent="0.2">
      <c r="A453" s="5" t="s">
        <v>16141</v>
      </c>
      <c r="B453" s="5" t="s">
        <v>83</v>
      </c>
      <c r="C453" s="5"/>
      <c r="D453" s="5" t="s">
        <v>16140</v>
      </c>
      <c r="E453" s="5"/>
      <c r="F453" s="5" t="s">
        <v>12907</v>
      </c>
      <c r="G453" s="5" t="s">
        <v>105</v>
      </c>
      <c r="H453" s="5" t="s">
        <v>137</v>
      </c>
      <c r="I453" s="5" t="s">
        <v>7844</v>
      </c>
      <c r="J453" s="5" t="s">
        <v>16139</v>
      </c>
    </row>
    <row r="454" spans="1:10" x14ac:dyDescent="0.2">
      <c r="A454" s="5" t="s">
        <v>16138</v>
      </c>
      <c r="B454" s="5" t="s">
        <v>83</v>
      </c>
      <c r="C454" s="5"/>
      <c r="D454" s="5" t="s">
        <v>16137</v>
      </c>
      <c r="E454" s="5"/>
      <c r="F454" s="5" t="s">
        <v>12907</v>
      </c>
      <c r="G454" s="5" t="s">
        <v>80</v>
      </c>
      <c r="H454" s="5" t="s">
        <v>137</v>
      </c>
      <c r="I454" s="5"/>
      <c r="J454" s="5" t="s">
        <v>16136</v>
      </c>
    </row>
    <row r="455" spans="1:10" x14ac:dyDescent="0.2">
      <c r="A455" s="5" t="s">
        <v>16135</v>
      </c>
      <c r="B455" s="5" t="s">
        <v>83</v>
      </c>
      <c r="C455" s="5"/>
      <c r="D455" s="5" t="s">
        <v>16134</v>
      </c>
      <c r="E455" s="5"/>
      <c r="F455" s="5" t="s">
        <v>349</v>
      </c>
      <c r="G455" s="5" t="s">
        <v>80</v>
      </c>
      <c r="H455" s="5" t="s">
        <v>3</v>
      </c>
      <c r="I455" s="5"/>
      <c r="J455" s="5" t="s">
        <v>9143</v>
      </c>
    </row>
    <row r="456" spans="1:10" x14ac:dyDescent="0.2">
      <c r="A456" s="5" t="s">
        <v>16133</v>
      </c>
      <c r="B456" s="5" t="s">
        <v>83</v>
      </c>
      <c r="C456" s="5"/>
      <c r="D456" s="5" t="s">
        <v>16132</v>
      </c>
      <c r="E456" s="5"/>
      <c r="F456" s="5" t="s">
        <v>9247</v>
      </c>
      <c r="G456" s="5" t="s">
        <v>148</v>
      </c>
      <c r="H456" s="5" t="s">
        <v>3</v>
      </c>
      <c r="I456" s="5"/>
      <c r="J456" s="5"/>
    </row>
    <row r="457" spans="1:10" ht="25.5" x14ac:dyDescent="0.2">
      <c r="A457" s="5" t="s">
        <v>16131</v>
      </c>
      <c r="B457" s="5" t="s">
        <v>83</v>
      </c>
      <c r="C457" s="5"/>
      <c r="D457" s="5" t="s">
        <v>16130</v>
      </c>
      <c r="E457" s="5" t="s">
        <v>138</v>
      </c>
      <c r="F457" s="5" t="s">
        <v>16129</v>
      </c>
      <c r="G457" s="5" t="s">
        <v>148</v>
      </c>
      <c r="H457" s="5" t="s">
        <v>137</v>
      </c>
      <c r="I457" s="5" t="s">
        <v>7844</v>
      </c>
      <c r="J457" s="5" t="s">
        <v>16128</v>
      </c>
    </row>
    <row r="458" spans="1:10" x14ac:dyDescent="0.2">
      <c r="A458" s="5" t="s">
        <v>16127</v>
      </c>
      <c r="B458" s="5" t="s">
        <v>83</v>
      </c>
      <c r="C458" s="5"/>
      <c r="D458" s="5" t="s">
        <v>16126</v>
      </c>
      <c r="E458" s="5" t="s">
        <v>138</v>
      </c>
      <c r="F458" s="5" t="s">
        <v>9247</v>
      </c>
      <c r="G458" s="5" t="s">
        <v>91</v>
      </c>
      <c r="H458" s="5" t="s">
        <v>3</v>
      </c>
      <c r="I458" s="5"/>
      <c r="J458" s="5"/>
    </row>
    <row r="459" spans="1:10" ht="25.5" x14ac:dyDescent="0.2">
      <c r="A459" s="5" t="s">
        <v>16125</v>
      </c>
      <c r="B459" s="5" t="s">
        <v>83</v>
      </c>
      <c r="C459" s="5"/>
      <c r="D459" s="5" t="s">
        <v>16124</v>
      </c>
      <c r="E459" s="5"/>
      <c r="F459" s="5" t="s">
        <v>16123</v>
      </c>
      <c r="G459" s="5" t="s">
        <v>148</v>
      </c>
      <c r="H459" s="5" t="s">
        <v>137</v>
      </c>
      <c r="I459" s="5" t="s">
        <v>7844</v>
      </c>
      <c r="J459" s="5" t="s">
        <v>16122</v>
      </c>
    </row>
    <row r="460" spans="1:10" ht="25.5" x14ac:dyDescent="0.2">
      <c r="A460" s="5" t="s">
        <v>16121</v>
      </c>
      <c r="B460" s="5" t="s">
        <v>83</v>
      </c>
      <c r="C460" s="5"/>
      <c r="D460" s="5" t="s">
        <v>16120</v>
      </c>
      <c r="E460" s="5" t="s">
        <v>138</v>
      </c>
      <c r="F460" s="5" t="s">
        <v>92</v>
      </c>
      <c r="G460" s="5" t="s">
        <v>91</v>
      </c>
      <c r="H460" s="5" t="s">
        <v>137</v>
      </c>
      <c r="I460" s="5" t="s">
        <v>7844</v>
      </c>
      <c r="J460" s="5" t="s">
        <v>16119</v>
      </c>
    </row>
    <row r="461" spans="1:10" ht="25.5" x14ac:dyDescent="0.2">
      <c r="A461" s="5" t="s">
        <v>16118</v>
      </c>
      <c r="B461" s="5" t="s">
        <v>83</v>
      </c>
      <c r="C461" s="5"/>
      <c r="D461" s="5" t="s">
        <v>16117</v>
      </c>
      <c r="E461" s="5"/>
      <c r="F461" s="5" t="s">
        <v>12907</v>
      </c>
      <c r="G461" s="5" t="s">
        <v>80</v>
      </c>
      <c r="H461" s="5" t="s">
        <v>137</v>
      </c>
      <c r="I461" s="5" t="s">
        <v>7844</v>
      </c>
      <c r="J461" s="5" t="s">
        <v>16116</v>
      </c>
    </row>
    <row r="462" spans="1:10" x14ac:dyDescent="0.2">
      <c r="A462" s="5" t="s">
        <v>16115</v>
      </c>
      <c r="B462" s="5" t="s">
        <v>83</v>
      </c>
      <c r="C462" s="5"/>
      <c r="D462" s="5" t="s">
        <v>16114</v>
      </c>
      <c r="E462" s="5"/>
      <c r="F462" s="5" t="s">
        <v>4589</v>
      </c>
      <c r="G462" s="5" t="s">
        <v>328</v>
      </c>
      <c r="H462" s="5" t="s">
        <v>3</v>
      </c>
      <c r="I462" s="5"/>
      <c r="J462" s="5" t="s">
        <v>16113</v>
      </c>
    </row>
    <row r="463" spans="1:10" ht="25.5" x14ac:dyDescent="0.2">
      <c r="A463" s="5" t="s">
        <v>16112</v>
      </c>
      <c r="B463" s="5" t="s">
        <v>83</v>
      </c>
      <c r="C463" s="5"/>
      <c r="D463" s="5" t="s">
        <v>15626</v>
      </c>
      <c r="E463" s="5"/>
      <c r="F463" s="5" t="s">
        <v>16111</v>
      </c>
      <c r="G463" s="5" t="s">
        <v>224</v>
      </c>
      <c r="H463" s="5" t="s">
        <v>3</v>
      </c>
      <c r="I463" s="5"/>
      <c r="J463" s="5"/>
    </row>
    <row r="464" spans="1:10" ht="25.5" x14ac:dyDescent="0.2">
      <c r="A464" s="5" t="s">
        <v>16110</v>
      </c>
      <c r="B464" s="5" t="s">
        <v>83</v>
      </c>
      <c r="C464" s="5"/>
      <c r="D464" s="5" t="s">
        <v>16109</v>
      </c>
      <c r="E464" s="5"/>
      <c r="F464" s="5" t="s">
        <v>16108</v>
      </c>
      <c r="G464" s="5" t="s">
        <v>86</v>
      </c>
      <c r="H464" s="5" t="s">
        <v>3</v>
      </c>
      <c r="I464" s="5"/>
      <c r="J464" s="5" t="s">
        <v>16107</v>
      </c>
    </row>
    <row r="465" spans="1:10" x14ac:dyDescent="0.2">
      <c r="A465" s="5" t="s">
        <v>16106</v>
      </c>
      <c r="B465" s="5" t="s">
        <v>83</v>
      </c>
      <c r="C465" s="5"/>
      <c r="D465" s="5" t="s">
        <v>16105</v>
      </c>
      <c r="E465" s="5"/>
      <c r="F465" s="5" t="s">
        <v>16101</v>
      </c>
      <c r="G465" s="5" t="s">
        <v>382</v>
      </c>
      <c r="H465" s="5" t="s">
        <v>137</v>
      </c>
      <c r="I465" s="5"/>
      <c r="J465" s="5" t="s">
        <v>16104</v>
      </c>
    </row>
    <row r="466" spans="1:10" x14ac:dyDescent="0.2">
      <c r="A466" s="5" t="s">
        <v>16103</v>
      </c>
      <c r="B466" s="5" t="s">
        <v>83</v>
      </c>
      <c r="C466" s="5"/>
      <c r="D466" s="5" t="s">
        <v>16102</v>
      </c>
      <c r="E466" s="5"/>
      <c r="F466" s="5" t="s">
        <v>16101</v>
      </c>
      <c r="G466" s="5" t="s">
        <v>382</v>
      </c>
      <c r="H466" s="5" t="s">
        <v>137</v>
      </c>
      <c r="I466" s="5"/>
      <c r="J466" s="5" t="s">
        <v>16100</v>
      </c>
    </row>
    <row r="467" spans="1:10" x14ac:dyDescent="0.2">
      <c r="A467" s="5" t="s">
        <v>16099</v>
      </c>
      <c r="B467" s="5" t="s">
        <v>83</v>
      </c>
      <c r="C467" s="5"/>
      <c r="D467" s="5" t="s">
        <v>16098</v>
      </c>
      <c r="E467" s="5"/>
      <c r="F467" s="5" t="s">
        <v>16097</v>
      </c>
      <c r="G467" s="5" t="s">
        <v>382</v>
      </c>
      <c r="H467" s="5" t="s">
        <v>137</v>
      </c>
      <c r="I467" s="5"/>
      <c r="J467" s="5" t="s">
        <v>16096</v>
      </c>
    </row>
    <row r="468" spans="1:10" ht="25.5" x14ac:dyDescent="0.2">
      <c r="A468" s="5" t="s">
        <v>16095</v>
      </c>
      <c r="B468" s="5" t="s">
        <v>83</v>
      </c>
      <c r="C468" s="5"/>
      <c r="D468" s="5" t="s">
        <v>16094</v>
      </c>
      <c r="E468" s="5"/>
      <c r="F468" s="5" t="s">
        <v>16079</v>
      </c>
      <c r="G468" s="5" t="s">
        <v>114</v>
      </c>
      <c r="H468" s="5" t="s">
        <v>3</v>
      </c>
      <c r="I468" s="5"/>
      <c r="J468" s="5" t="s">
        <v>16093</v>
      </c>
    </row>
    <row r="469" spans="1:10" ht="25.5" x14ac:dyDescent="0.2">
      <c r="A469" s="5" t="s">
        <v>16092</v>
      </c>
      <c r="B469" s="5" t="s">
        <v>83</v>
      </c>
      <c r="C469" s="5"/>
      <c r="D469" s="5" t="s">
        <v>16091</v>
      </c>
      <c r="E469" s="5"/>
      <c r="F469" s="5" t="s">
        <v>16079</v>
      </c>
      <c r="G469" s="5" t="s">
        <v>1064</v>
      </c>
      <c r="H469" s="5" t="s">
        <v>3</v>
      </c>
      <c r="I469" s="5"/>
      <c r="J469" s="5" t="s">
        <v>16090</v>
      </c>
    </row>
    <row r="470" spans="1:10" ht="38.25" x14ac:dyDescent="0.2">
      <c r="A470" s="5" t="s">
        <v>16089</v>
      </c>
      <c r="B470" s="5" t="s">
        <v>83</v>
      </c>
      <c r="C470" s="5"/>
      <c r="D470" s="5" t="s">
        <v>16088</v>
      </c>
      <c r="E470" s="5" t="s">
        <v>138</v>
      </c>
      <c r="F470" s="5" t="s">
        <v>16079</v>
      </c>
      <c r="G470" s="5" t="s">
        <v>91</v>
      </c>
      <c r="H470" s="5" t="s">
        <v>3</v>
      </c>
      <c r="I470" s="5"/>
      <c r="J470" s="5"/>
    </row>
    <row r="471" spans="1:10" ht="25.5" x14ac:dyDescent="0.2">
      <c r="A471" s="5" t="s">
        <v>16087</v>
      </c>
      <c r="B471" s="5" t="s">
        <v>83</v>
      </c>
      <c r="C471" s="5"/>
      <c r="D471" s="5" t="s">
        <v>16086</v>
      </c>
      <c r="E471" s="5"/>
      <c r="F471" s="5" t="s">
        <v>16079</v>
      </c>
      <c r="G471" s="5" t="s">
        <v>122</v>
      </c>
      <c r="H471" s="5" t="s">
        <v>3</v>
      </c>
      <c r="I471" s="5"/>
      <c r="J471" s="5" t="s">
        <v>16085</v>
      </c>
    </row>
    <row r="472" spans="1:10" ht="25.5" x14ac:dyDescent="0.2">
      <c r="A472" s="5" t="s">
        <v>16084</v>
      </c>
      <c r="B472" s="5" t="s">
        <v>83</v>
      </c>
      <c r="C472" s="5"/>
      <c r="D472" s="5" t="s">
        <v>16083</v>
      </c>
      <c r="E472" s="5"/>
      <c r="F472" s="5" t="s">
        <v>16079</v>
      </c>
      <c r="G472" s="5" t="s">
        <v>2308</v>
      </c>
      <c r="H472" s="5" t="s">
        <v>3</v>
      </c>
      <c r="I472" s="5"/>
      <c r="J472" s="5" t="s">
        <v>16082</v>
      </c>
    </row>
    <row r="473" spans="1:10" ht="25.5" x14ac:dyDescent="0.2">
      <c r="A473" s="5" t="s">
        <v>16081</v>
      </c>
      <c r="B473" s="5" t="s">
        <v>83</v>
      </c>
      <c r="C473" s="5"/>
      <c r="D473" s="5" t="s">
        <v>16080</v>
      </c>
      <c r="E473" s="5"/>
      <c r="F473" s="5" t="s">
        <v>16079</v>
      </c>
      <c r="G473" s="5" t="s">
        <v>7784</v>
      </c>
      <c r="H473" s="5" t="s">
        <v>3</v>
      </c>
      <c r="I473" s="5"/>
      <c r="J473" s="5" t="s">
        <v>16078</v>
      </c>
    </row>
    <row r="474" spans="1:10" x14ac:dyDescent="0.2">
      <c r="A474" s="5" t="s">
        <v>7501</v>
      </c>
      <c r="B474" s="5" t="s">
        <v>83</v>
      </c>
      <c r="C474" s="5"/>
      <c r="D474" s="5" t="s">
        <v>231</v>
      </c>
      <c r="E474" s="5"/>
      <c r="F474" s="5" t="s">
        <v>7500</v>
      </c>
      <c r="G474" s="5" t="s">
        <v>80</v>
      </c>
      <c r="H474" s="5" t="s">
        <v>3</v>
      </c>
      <c r="I474" s="5"/>
      <c r="J474" s="5" t="s">
        <v>7499</v>
      </c>
    </row>
    <row r="475" spans="1:10" x14ac:dyDescent="0.2">
      <c r="A475" s="5" t="s">
        <v>7498</v>
      </c>
      <c r="B475" s="5" t="s">
        <v>83</v>
      </c>
      <c r="C475" s="5"/>
      <c r="D475" s="5" t="s">
        <v>231</v>
      </c>
      <c r="E475" s="5"/>
      <c r="F475" s="5" t="s">
        <v>7495</v>
      </c>
      <c r="G475" s="5" t="s">
        <v>234</v>
      </c>
      <c r="H475" s="5" t="s">
        <v>3</v>
      </c>
      <c r="I475" s="5"/>
      <c r="J475" s="5" t="s">
        <v>7497</v>
      </c>
    </row>
    <row r="476" spans="1:10" x14ac:dyDescent="0.2">
      <c r="A476" s="5" t="s">
        <v>7496</v>
      </c>
      <c r="B476" s="5" t="s">
        <v>83</v>
      </c>
      <c r="C476" s="5"/>
      <c r="D476" s="5" t="s">
        <v>231</v>
      </c>
      <c r="E476" s="5"/>
      <c r="F476" s="5" t="s">
        <v>7495</v>
      </c>
      <c r="G476" s="5" t="s">
        <v>229</v>
      </c>
      <c r="H476" s="5" t="s">
        <v>3</v>
      </c>
      <c r="I476" s="5"/>
      <c r="J476" s="5" t="s">
        <v>7494</v>
      </c>
    </row>
    <row r="477" spans="1:10" x14ac:dyDescent="0.2">
      <c r="A477" s="5" t="s">
        <v>16076</v>
      </c>
      <c r="B477" s="5" t="s">
        <v>83</v>
      </c>
      <c r="C477" s="5"/>
      <c r="D477" s="5" t="s">
        <v>16077</v>
      </c>
      <c r="E477" s="5" t="s">
        <v>138</v>
      </c>
      <c r="F477" s="5" t="s">
        <v>16076</v>
      </c>
      <c r="G477" s="5" t="s">
        <v>91</v>
      </c>
      <c r="H477" s="5" t="s">
        <v>3</v>
      </c>
      <c r="I477" s="5"/>
      <c r="J477" s="5"/>
    </row>
    <row r="478" spans="1:10" x14ac:dyDescent="0.2">
      <c r="A478" s="5" t="s">
        <v>16075</v>
      </c>
      <c r="B478" s="5" t="s">
        <v>83</v>
      </c>
      <c r="C478" s="5"/>
      <c r="D478" s="5" t="s">
        <v>16074</v>
      </c>
      <c r="E478" s="5" t="s">
        <v>138</v>
      </c>
      <c r="F478" s="5" t="s">
        <v>15912</v>
      </c>
      <c r="G478" s="5" t="s">
        <v>91</v>
      </c>
      <c r="H478" s="5" t="s">
        <v>3</v>
      </c>
      <c r="I478" s="5"/>
      <c r="J478" s="5"/>
    </row>
    <row r="479" spans="1:10" x14ac:dyDescent="0.2">
      <c r="A479" s="5" t="s">
        <v>16073</v>
      </c>
      <c r="B479" s="5" t="s">
        <v>83</v>
      </c>
      <c r="C479" s="5"/>
      <c r="D479" s="5" t="s">
        <v>16072</v>
      </c>
      <c r="E479" s="5" t="s">
        <v>138</v>
      </c>
      <c r="F479" s="5" t="s">
        <v>15655</v>
      </c>
      <c r="G479" s="5" t="s">
        <v>91</v>
      </c>
      <c r="H479" s="5" t="s">
        <v>3</v>
      </c>
      <c r="I479" s="5"/>
      <c r="J479" s="5"/>
    </row>
    <row r="480" spans="1:10" ht="25.5" x14ac:dyDescent="0.2">
      <c r="A480" s="5" t="s">
        <v>16071</v>
      </c>
      <c r="B480" s="5" t="s">
        <v>83</v>
      </c>
      <c r="C480" s="5"/>
      <c r="D480" s="5" t="s">
        <v>16070</v>
      </c>
      <c r="E480" s="5" t="s">
        <v>150</v>
      </c>
      <c r="F480" s="5" t="s">
        <v>16069</v>
      </c>
      <c r="G480" s="5" t="s">
        <v>148</v>
      </c>
      <c r="H480" s="5" t="s">
        <v>3</v>
      </c>
      <c r="I480" s="5"/>
      <c r="J480" s="5" t="s">
        <v>16068</v>
      </c>
    </row>
    <row r="481" spans="1:10" ht="25.5" x14ac:dyDescent="0.2">
      <c r="A481" s="5" t="s">
        <v>16067</v>
      </c>
      <c r="B481" s="5" t="s">
        <v>83</v>
      </c>
      <c r="C481" s="5"/>
      <c r="D481" s="5" t="s">
        <v>16066</v>
      </c>
      <c r="E481" s="5"/>
      <c r="F481" s="5" t="s">
        <v>15655</v>
      </c>
      <c r="G481" s="5" t="s">
        <v>7378</v>
      </c>
      <c r="H481" s="5" t="s">
        <v>137</v>
      </c>
      <c r="I481" s="5" t="s">
        <v>15390</v>
      </c>
      <c r="J481" s="5" t="s">
        <v>16065</v>
      </c>
    </row>
    <row r="482" spans="1:10" ht="25.5" x14ac:dyDescent="0.2">
      <c r="A482" s="5" t="s">
        <v>16064</v>
      </c>
      <c r="B482" s="5" t="s">
        <v>83</v>
      </c>
      <c r="C482" s="5"/>
      <c r="D482" s="5" t="s">
        <v>16063</v>
      </c>
      <c r="E482" s="5"/>
      <c r="F482" s="5" t="s">
        <v>358</v>
      </c>
      <c r="G482" s="5" t="s">
        <v>7296</v>
      </c>
      <c r="H482" s="5" t="s">
        <v>137</v>
      </c>
      <c r="I482" s="5" t="s">
        <v>15390</v>
      </c>
      <c r="J482" s="5" t="s">
        <v>15621</v>
      </c>
    </row>
    <row r="483" spans="1:10" ht="25.5" x14ac:dyDescent="0.2">
      <c r="A483" s="5" t="s">
        <v>16062</v>
      </c>
      <c r="B483" s="5" t="s">
        <v>83</v>
      </c>
      <c r="C483" s="5"/>
      <c r="D483" s="5" t="s">
        <v>15652</v>
      </c>
      <c r="E483" s="5"/>
      <c r="F483" s="5" t="s">
        <v>123</v>
      </c>
      <c r="G483" s="5" t="s">
        <v>122</v>
      </c>
      <c r="H483" s="5" t="s">
        <v>137</v>
      </c>
      <c r="I483" s="5" t="s">
        <v>15305</v>
      </c>
      <c r="J483" s="5" t="s">
        <v>16058</v>
      </c>
    </row>
    <row r="484" spans="1:10" ht="25.5" x14ac:dyDescent="0.2">
      <c r="A484" s="5" t="s">
        <v>16061</v>
      </c>
      <c r="B484" s="5" t="s">
        <v>83</v>
      </c>
      <c r="C484" s="5"/>
      <c r="D484" s="5" t="s">
        <v>15652</v>
      </c>
      <c r="E484" s="5"/>
      <c r="F484" s="5" t="s">
        <v>123</v>
      </c>
      <c r="G484" s="5" t="s">
        <v>224</v>
      </c>
      <c r="H484" s="5" t="s">
        <v>137</v>
      </c>
      <c r="I484" s="5" t="s">
        <v>15305</v>
      </c>
      <c r="J484" s="5" t="s">
        <v>16060</v>
      </c>
    </row>
    <row r="485" spans="1:10" ht="25.5" x14ac:dyDescent="0.2">
      <c r="A485" s="5" t="s">
        <v>16059</v>
      </c>
      <c r="B485" s="5" t="s">
        <v>83</v>
      </c>
      <c r="C485" s="5"/>
      <c r="D485" s="5" t="s">
        <v>16056</v>
      </c>
      <c r="E485" s="5"/>
      <c r="F485" s="5" t="s">
        <v>123</v>
      </c>
      <c r="G485" s="5" t="s">
        <v>122</v>
      </c>
      <c r="H485" s="5" t="s">
        <v>137</v>
      </c>
      <c r="I485" s="5" t="s">
        <v>15305</v>
      </c>
      <c r="J485" s="5" t="s">
        <v>16058</v>
      </c>
    </row>
    <row r="486" spans="1:10" ht="25.5" x14ac:dyDescent="0.2">
      <c r="A486" s="5" t="s">
        <v>16057</v>
      </c>
      <c r="B486" s="5" t="s">
        <v>83</v>
      </c>
      <c r="C486" s="5"/>
      <c r="D486" s="5" t="s">
        <v>16056</v>
      </c>
      <c r="E486" s="5"/>
      <c r="F486" s="5" t="s">
        <v>16055</v>
      </c>
      <c r="G486" s="5" t="s">
        <v>224</v>
      </c>
      <c r="H486" s="5" t="s">
        <v>137</v>
      </c>
      <c r="I486" s="5" t="s">
        <v>15390</v>
      </c>
      <c r="J486" s="5" t="s">
        <v>16054</v>
      </c>
    </row>
    <row r="487" spans="1:10" ht="25.5" x14ac:dyDescent="0.2">
      <c r="A487" s="5" t="s">
        <v>16053</v>
      </c>
      <c r="B487" s="5" t="s">
        <v>83</v>
      </c>
      <c r="C487" s="5"/>
      <c r="D487" s="5" t="s">
        <v>16052</v>
      </c>
      <c r="E487" s="5"/>
      <c r="F487" s="5" t="s">
        <v>16051</v>
      </c>
      <c r="G487" s="5" t="s">
        <v>224</v>
      </c>
      <c r="H487" s="5" t="s">
        <v>137</v>
      </c>
      <c r="I487" s="5" t="s">
        <v>16048</v>
      </c>
      <c r="J487" s="5"/>
    </row>
    <row r="488" spans="1:10" ht="25.5" x14ac:dyDescent="0.2">
      <c r="A488" s="5" t="s">
        <v>16050</v>
      </c>
      <c r="B488" s="5" t="s">
        <v>83</v>
      </c>
      <c r="C488" s="5"/>
      <c r="D488" s="5" t="s">
        <v>16049</v>
      </c>
      <c r="E488" s="5"/>
      <c r="F488" s="5" t="s">
        <v>9767</v>
      </c>
      <c r="G488" s="5" t="s">
        <v>224</v>
      </c>
      <c r="H488" s="5" t="s">
        <v>137</v>
      </c>
      <c r="I488" s="5" t="s">
        <v>16048</v>
      </c>
      <c r="J488" s="5" t="s">
        <v>16047</v>
      </c>
    </row>
    <row r="489" spans="1:10" ht="25.5" x14ac:dyDescent="0.2">
      <c r="A489" s="5" t="s">
        <v>16046</v>
      </c>
      <c r="B489" s="5" t="s">
        <v>83</v>
      </c>
      <c r="C489" s="5"/>
      <c r="D489" s="5" t="s">
        <v>16045</v>
      </c>
      <c r="E489" s="5"/>
      <c r="F489" s="5" t="s">
        <v>16044</v>
      </c>
      <c r="G489" s="5" t="s">
        <v>896</v>
      </c>
      <c r="H489" s="5" t="s">
        <v>137</v>
      </c>
      <c r="I489" s="5" t="s">
        <v>16043</v>
      </c>
      <c r="J489" s="5" t="s">
        <v>16042</v>
      </c>
    </row>
    <row r="490" spans="1:10" ht="25.5" x14ac:dyDescent="0.2">
      <c r="A490" s="5" t="s">
        <v>16041</v>
      </c>
      <c r="B490" s="5" t="s">
        <v>83</v>
      </c>
      <c r="C490" s="5"/>
      <c r="D490" s="5" t="s">
        <v>16040</v>
      </c>
      <c r="E490" s="5"/>
      <c r="F490" s="5" t="s">
        <v>15655</v>
      </c>
      <c r="G490" s="5" t="s">
        <v>382</v>
      </c>
      <c r="H490" s="5" t="s">
        <v>137</v>
      </c>
      <c r="I490" s="5"/>
      <c r="J490" s="5" t="s">
        <v>16039</v>
      </c>
    </row>
    <row r="491" spans="1:10" ht="25.5" x14ac:dyDescent="0.2">
      <c r="A491" s="5" t="s">
        <v>16038</v>
      </c>
      <c r="B491" s="5" t="s">
        <v>83</v>
      </c>
      <c r="C491" s="5"/>
      <c r="D491" s="5" t="s">
        <v>15784</v>
      </c>
      <c r="E491" s="5"/>
      <c r="F491" s="5" t="s">
        <v>15519</v>
      </c>
      <c r="G491" s="5" t="s">
        <v>283</v>
      </c>
      <c r="H491" s="5" t="s">
        <v>137</v>
      </c>
      <c r="I491" s="5"/>
      <c r="J491" s="5" t="s">
        <v>16037</v>
      </c>
    </row>
    <row r="492" spans="1:10" x14ac:dyDescent="0.2">
      <c r="A492" s="5" t="s">
        <v>16036</v>
      </c>
      <c r="B492" s="5" t="s">
        <v>83</v>
      </c>
      <c r="C492" s="5"/>
      <c r="D492" s="5" t="s">
        <v>16035</v>
      </c>
      <c r="E492" s="5" t="s">
        <v>138</v>
      </c>
      <c r="F492" s="5" t="s">
        <v>16034</v>
      </c>
      <c r="G492" s="5" t="s">
        <v>382</v>
      </c>
      <c r="H492" s="5" t="s">
        <v>3</v>
      </c>
      <c r="I492" s="5"/>
      <c r="J492" s="5" t="s">
        <v>16033</v>
      </c>
    </row>
    <row r="493" spans="1:10" x14ac:dyDescent="0.2">
      <c r="A493" s="5" t="s">
        <v>16032</v>
      </c>
      <c r="B493" s="5" t="s">
        <v>83</v>
      </c>
      <c r="C493" s="5"/>
      <c r="D493" s="5" t="s">
        <v>16031</v>
      </c>
      <c r="E493" s="5" t="s">
        <v>138</v>
      </c>
      <c r="F493" s="5" t="s">
        <v>16030</v>
      </c>
      <c r="G493" s="5" t="s">
        <v>382</v>
      </c>
      <c r="H493" s="5" t="s">
        <v>3</v>
      </c>
      <c r="I493" s="5"/>
      <c r="J493" s="5" t="s">
        <v>16029</v>
      </c>
    </row>
    <row r="494" spans="1:10" x14ac:dyDescent="0.2">
      <c r="A494" s="5" t="s">
        <v>16028</v>
      </c>
      <c r="B494" s="5" t="s">
        <v>83</v>
      </c>
      <c r="C494" s="5"/>
      <c r="D494" s="5" t="s">
        <v>16027</v>
      </c>
      <c r="E494" s="5" t="s">
        <v>138</v>
      </c>
      <c r="F494" s="5" t="s">
        <v>331</v>
      </c>
      <c r="G494" s="5" t="s">
        <v>382</v>
      </c>
      <c r="H494" s="5" t="s">
        <v>3</v>
      </c>
      <c r="I494" s="5"/>
      <c r="J494" s="5" t="s">
        <v>16026</v>
      </c>
    </row>
    <row r="495" spans="1:10" ht="25.5" x14ac:dyDescent="0.2">
      <c r="A495" s="5" t="s">
        <v>16025</v>
      </c>
      <c r="B495" s="5" t="s">
        <v>83</v>
      </c>
      <c r="C495" s="5"/>
      <c r="D495" s="5" t="s">
        <v>16024</v>
      </c>
      <c r="E495" s="5"/>
      <c r="F495" s="5" t="s">
        <v>16023</v>
      </c>
      <c r="G495" s="5" t="s">
        <v>2672</v>
      </c>
      <c r="H495" s="5" t="s">
        <v>3</v>
      </c>
      <c r="I495" s="5"/>
      <c r="J495" s="5" t="s">
        <v>16022</v>
      </c>
    </row>
    <row r="496" spans="1:10" x14ac:dyDescent="0.2">
      <c r="A496" s="5" t="s">
        <v>16021</v>
      </c>
      <c r="B496" s="5" t="s">
        <v>83</v>
      </c>
      <c r="C496" s="5"/>
      <c r="D496" s="5" t="s">
        <v>16020</v>
      </c>
      <c r="E496" s="5"/>
      <c r="F496" s="5" t="s">
        <v>16019</v>
      </c>
      <c r="G496" s="5" t="s">
        <v>2672</v>
      </c>
      <c r="H496" s="5" t="s">
        <v>3</v>
      </c>
      <c r="I496" s="5"/>
      <c r="J496" s="5" t="s">
        <v>16018</v>
      </c>
    </row>
    <row r="497" spans="1:10" ht="25.5" x14ac:dyDescent="0.2">
      <c r="A497" s="5" t="s">
        <v>16017</v>
      </c>
      <c r="B497" s="5" t="s">
        <v>83</v>
      </c>
      <c r="C497" s="5"/>
      <c r="D497" s="5" t="s">
        <v>16016</v>
      </c>
      <c r="E497" s="5"/>
      <c r="F497" s="5" t="s">
        <v>16015</v>
      </c>
      <c r="G497" s="5" t="s">
        <v>224</v>
      </c>
      <c r="H497" s="5" t="s">
        <v>137</v>
      </c>
      <c r="I497" s="5" t="s">
        <v>15385</v>
      </c>
      <c r="J497" s="5" t="s">
        <v>16014</v>
      </c>
    </row>
    <row r="498" spans="1:10" ht="25.5" x14ac:dyDescent="0.2">
      <c r="A498" s="5" t="s">
        <v>16013</v>
      </c>
      <c r="B498" s="5" t="s">
        <v>83</v>
      </c>
      <c r="C498" s="5"/>
      <c r="D498" s="5" t="s">
        <v>16012</v>
      </c>
      <c r="E498" s="5"/>
      <c r="F498" s="5" t="s">
        <v>15998</v>
      </c>
      <c r="G498" s="5" t="s">
        <v>382</v>
      </c>
      <c r="H498" s="5" t="s">
        <v>137</v>
      </c>
      <c r="I498" s="5"/>
      <c r="J498" s="5" t="s">
        <v>16011</v>
      </c>
    </row>
    <row r="499" spans="1:10" ht="38.25" x14ac:dyDescent="0.2">
      <c r="A499" s="5" t="s">
        <v>16010</v>
      </c>
      <c r="B499" s="5" t="s">
        <v>83</v>
      </c>
      <c r="C499" s="5"/>
      <c r="D499" s="5" t="s">
        <v>16009</v>
      </c>
      <c r="E499" s="5"/>
      <c r="F499" s="5" t="s">
        <v>15998</v>
      </c>
      <c r="G499" s="5" t="s">
        <v>283</v>
      </c>
      <c r="H499" s="5" t="s">
        <v>137</v>
      </c>
      <c r="I499" s="5"/>
      <c r="J499" s="5" t="s">
        <v>16008</v>
      </c>
    </row>
    <row r="500" spans="1:10" ht="25.5" x14ac:dyDescent="0.2">
      <c r="A500" s="5" t="s">
        <v>16007</v>
      </c>
      <c r="B500" s="5" t="s">
        <v>83</v>
      </c>
      <c r="C500" s="5"/>
      <c r="D500" s="5" t="s">
        <v>15745</v>
      </c>
      <c r="E500" s="5" t="s">
        <v>299</v>
      </c>
      <c r="F500" s="5" t="s">
        <v>11284</v>
      </c>
      <c r="G500" s="5" t="s">
        <v>91</v>
      </c>
      <c r="H500" s="5" t="s">
        <v>137</v>
      </c>
      <c r="I500" s="5" t="s">
        <v>15385</v>
      </c>
      <c r="J500" s="5" t="s">
        <v>15565</v>
      </c>
    </row>
    <row r="501" spans="1:10" ht="25.5" x14ac:dyDescent="0.2">
      <c r="A501" s="5" t="s">
        <v>16006</v>
      </c>
      <c r="B501" s="5" t="s">
        <v>83</v>
      </c>
      <c r="C501" s="5"/>
      <c r="D501" s="5" t="s">
        <v>15745</v>
      </c>
      <c r="E501" s="5" t="s">
        <v>299</v>
      </c>
      <c r="F501" s="5" t="s">
        <v>11284</v>
      </c>
      <c r="G501" s="5" t="s">
        <v>91</v>
      </c>
      <c r="H501" s="5" t="s">
        <v>137</v>
      </c>
      <c r="I501" s="5" t="s">
        <v>15385</v>
      </c>
      <c r="J501" s="5" t="s">
        <v>15565</v>
      </c>
    </row>
    <row r="502" spans="1:10" ht="25.5" x14ac:dyDescent="0.2">
      <c r="A502" s="5" t="s">
        <v>16005</v>
      </c>
      <c r="B502" s="5" t="s">
        <v>83</v>
      </c>
      <c r="C502" s="5"/>
      <c r="D502" s="5" t="s">
        <v>15610</v>
      </c>
      <c r="E502" s="5"/>
      <c r="F502" s="5" t="s">
        <v>9247</v>
      </c>
      <c r="G502" s="5" t="s">
        <v>181</v>
      </c>
      <c r="H502" s="5" t="s">
        <v>3</v>
      </c>
      <c r="I502" s="5"/>
      <c r="J502" s="5" t="s">
        <v>16004</v>
      </c>
    </row>
    <row r="503" spans="1:10" ht="25.5" x14ac:dyDescent="0.2">
      <c r="A503" s="5" t="s">
        <v>16003</v>
      </c>
      <c r="B503" s="5" t="s">
        <v>83</v>
      </c>
      <c r="C503" s="5"/>
      <c r="D503" s="5" t="s">
        <v>15936</v>
      </c>
      <c r="E503" s="5"/>
      <c r="F503" s="5" t="s">
        <v>11284</v>
      </c>
      <c r="G503" s="5" t="s">
        <v>328</v>
      </c>
      <c r="H503" s="5" t="s">
        <v>137</v>
      </c>
      <c r="I503" s="5" t="s">
        <v>16002</v>
      </c>
      <c r="J503" s="5" t="s">
        <v>16001</v>
      </c>
    </row>
    <row r="504" spans="1:10" ht="38.25" x14ac:dyDescent="0.2">
      <c r="A504" s="5" t="s">
        <v>16000</v>
      </c>
      <c r="B504" s="5" t="s">
        <v>83</v>
      </c>
      <c r="C504" s="5"/>
      <c r="D504" s="5" t="s">
        <v>15999</v>
      </c>
      <c r="E504" s="5"/>
      <c r="F504" s="5" t="s">
        <v>15998</v>
      </c>
      <c r="G504" s="5" t="s">
        <v>170</v>
      </c>
      <c r="H504" s="5" t="s">
        <v>137</v>
      </c>
      <c r="I504" s="5" t="s">
        <v>15385</v>
      </c>
      <c r="J504" s="5" t="s">
        <v>15997</v>
      </c>
    </row>
    <row r="505" spans="1:10" ht="25.5" x14ac:dyDescent="0.2">
      <c r="A505" s="5" t="s">
        <v>15996</v>
      </c>
      <c r="B505" s="5" t="s">
        <v>83</v>
      </c>
      <c r="C505" s="5"/>
      <c r="D505" s="5" t="s">
        <v>15995</v>
      </c>
      <c r="E505" s="5"/>
      <c r="F505" s="5" t="s">
        <v>15655</v>
      </c>
      <c r="G505" s="5" t="s">
        <v>105</v>
      </c>
      <c r="H505" s="5" t="s">
        <v>137</v>
      </c>
      <c r="I505" s="5" t="s">
        <v>15390</v>
      </c>
      <c r="J505" s="5"/>
    </row>
    <row r="506" spans="1:10" ht="25.5" x14ac:dyDescent="0.2">
      <c r="A506" s="5" t="s">
        <v>15994</v>
      </c>
      <c r="B506" s="5" t="s">
        <v>83</v>
      </c>
      <c r="C506" s="5"/>
      <c r="D506" s="5" t="s">
        <v>15938</v>
      </c>
      <c r="E506" s="5"/>
      <c r="F506" s="5" t="s">
        <v>106</v>
      </c>
      <c r="G506" s="5" t="s">
        <v>328</v>
      </c>
      <c r="H506" s="5" t="s">
        <v>137</v>
      </c>
      <c r="I506" s="5" t="s">
        <v>15305</v>
      </c>
      <c r="J506" s="5" t="s">
        <v>15993</v>
      </c>
    </row>
    <row r="507" spans="1:10" ht="25.5" x14ac:dyDescent="0.2">
      <c r="A507" s="5" t="s">
        <v>15992</v>
      </c>
      <c r="B507" s="5" t="s">
        <v>83</v>
      </c>
      <c r="C507" s="5"/>
      <c r="D507" s="5" t="s">
        <v>15991</v>
      </c>
      <c r="E507" s="5"/>
      <c r="F507" s="5" t="s">
        <v>7353</v>
      </c>
      <c r="G507" s="5" t="s">
        <v>283</v>
      </c>
      <c r="H507" s="5" t="s">
        <v>137</v>
      </c>
      <c r="I507" s="5" t="s">
        <v>15390</v>
      </c>
      <c r="J507" s="5" t="s">
        <v>15990</v>
      </c>
    </row>
    <row r="508" spans="1:10" ht="25.5" x14ac:dyDescent="0.2">
      <c r="A508" s="5" t="s">
        <v>15989</v>
      </c>
      <c r="B508" s="5" t="s">
        <v>83</v>
      </c>
      <c r="C508" s="5"/>
      <c r="D508" s="5" t="s">
        <v>15988</v>
      </c>
      <c r="E508" s="5"/>
      <c r="F508" s="5" t="s">
        <v>7353</v>
      </c>
      <c r="G508" s="5" t="s">
        <v>105</v>
      </c>
      <c r="H508" s="5" t="s">
        <v>137</v>
      </c>
      <c r="I508" s="5" t="s">
        <v>15390</v>
      </c>
      <c r="J508" s="5" t="s">
        <v>15987</v>
      </c>
    </row>
    <row r="509" spans="1:10" x14ac:dyDescent="0.2">
      <c r="A509" s="5" t="s">
        <v>15986</v>
      </c>
      <c r="B509" s="5" t="s">
        <v>83</v>
      </c>
      <c r="C509" s="5"/>
      <c r="D509" s="5" t="s">
        <v>15985</v>
      </c>
      <c r="E509" s="5"/>
      <c r="F509" s="5" t="s">
        <v>349</v>
      </c>
      <c r="G509" s="5" t="s">
        <v>80</v>
      </c>
      <c r="H509" s="5" t="s">
        <v>3</v>
      </c>
      <c r="I509" s="5"/>
      <c r="J509" s="5" t="s">
        <v>9143</v>
      </c>
    </row>
    <row r="510" spans="1:10" x14ac:dyDescent="0.2">
      <c r="A510" s="5" t="s">
        <v>15984</v>
      </c>
      <c r="B510" s="5" t="s">
        <v>83</v>
      </c>
      <c r="C510" s="5"/>
      <c r="D510" s="5" t="s">
        <v>15983</v>
      </c>
      <c r="E510" s="5"/>
      <c r="F510" s="5" t="s">
        <v>9247</v>
      </c>
      <c r="G510" s="5" t="s">
        <v>148</v>
      </c>
      <c r="H510" s="5" t="s">
        <v>3</v>
      </c>
      <c r="I510" s="5"/>
      <c r="J510" s="5"/>
    </row>
    <row r="511" spans="1:10" ht="25.5" x14ac:dyDescent="0.2">
      <c r="A511" s="5" t="s">
        <v>15982</v>
      </c>
      <c r="B511" s="5" t="s">
        <v>83</v>
      </c>
      <c r="C511" s="5"/>
      <c r="D511" s="5" t="s">
        <v>15981</v>
      </c>
      <c r="E511" s="5" t="s">
        <v>138</v>
      </c>
      <c r="F511" s="5" t="s">
        <v>15239</v>
      </c>
      <c r="G511" s="5" t="s">
        <v>91</v>
      </c>
      <c r="H511" s="5" t="s">
        <v>137</v>
      </c>
      <c r="I511" s="5" t="s">
        <v>15390</v>
      </c>
      <c r="J511" s="5"/>
    </row>
    <row r="512" spans="1:10" ht="25.5" x14ac:dyDescent="0.2">
      <c r="A512" s="5" t="s">
        <v>15980</v>
      </c>
      <c r="B512" s="5" t="s">
        <v>83</v>
      </c>
      <c r="C512" s="5"/>
      <c r="D512" s="5" t="s">
        <v>15979</v>
      </c>
      <c r="E512" s="5" t="s">
        <v>138</v>
      </c>
      <c r="F512" s="5" t="s">
        <v>15239</v>
      </c>
      <c r="G512" s="5" t="s">
        <v>148</v>
      </c>
      <c r="H512" s="5" t="s">
        <v>137</v>
      </c>
      <c r="I512" s="5" t="s">
        <v>15390</v>
      </c>
      <c r="J512" s="5" t="s">
        <v>15978</v>
      </c>
    </row>
    <row r="513" spans="1:10" x14ac:dyDescent="0.2">
      <c r="A513" s="5" t="s">
        <v>15977</v>
      </c>
      <c r="B513" s="5" t="s">
        <v>83</v>
      </c>
      <c r="C513" s="5"/>
      <c r="D513" s="5" t="s">
        <v>15976</v>
      </c>
      <c r="E513" s="5"/>
      <c r="F513" s="5" t="s">
        <v>9247</v>
      </c>
      <c r="G513" s="5" t="s">
        <v>148</v>
      </c>
      <c r="H513" s="5" t="s">
        <v>3</v>
      </c>
      <c r="I513" s="5"/>
      <c r="J513" s="5"/>
    </row>
    <row r="514" spans="1:10" ht="25.5" x14ac:dyDescent="0.2">
      <c r="A514" s="5" t="s">
        <v>15975</v>
      </c>
      <c r="B514" s="5" t="s">
        <v>83</v>
      </c>
      <c r="C514" s="5"/>
      <c r="D514" s="5" t="s">
        <v>15974</v>
      </c>
      <c r="E514" s="5" t="s">
        <v>138</v>
      </c>
      <c r="F514" s="5" t="s">
        <v>92</v>
      </c>
      <c r="G514" s="5" t="s">
        <v>91</v>
      </c>
      <c r="H514" s="5" t="s">
        <v>137</v>
      </c>
      <c r="I514" s="5" t="s">
        <v>15390</v>
      </c>
      <c r="J514" s="5" t="s">
        <v>15973</v>
      </c>
    </row>
    <row r="515" spans="1:10" ht="25.5" x14ac:dyDescent="0.2">
      <c r="A515" s="5" t="s">
        <v>15972</v>
      </c>
      <c r="B515" s="5" t="s">
        <v>83</v>
      </c>
      <c r="C515" s="5"/>
      <c r="D515" s="5" t="s">
        <v>15971</v>
      </c>
      <c r="E515" s="5"/>
      <c r="F515" s="5" t="s">
        <v>7353</v>
      </c>
      <c r="G515" s="5" t="s">
        <v>80</v>
      </c>
      <c r="H515" s="5" t="s">
        <v>137</v>
      </c>
      <c r="I515" s="5" t="s">
        <v>15390</v>
      </c>
      <c r="J515" s="5" t="s">
        <v>15970</v>
      </c>
    </row>
    <row r="516" spans="1:10" x14ac:dyDescent="0.2">
      <c r="A516" s="5" t="s">
        <v>7465</v>
      </c>
      <c r="B516" s="5" t="s">
        <v>83</v>
      </c>
      <c r="C516" s="5"/>
      <c r="D516" s="5" t="s">
        <v>15969</v>
      </c>
      <c r="E516" s="5"/>
      <c r="F516" s="5" t="s">
        <v>7463</v>
      </c>
      <c r="G516" s="5" t="s">
        <v>882</v>
      </c>
      <c r="H516" s="5"/>
      <c r="I516" s="5"/>
      <c r="J516" s="5" t="s">
        <v>7462</v>
      </c>
    </row>
    <row r="517" spans="1:10" ht="25.5" x14ac:dyDescent="0.2">
      <c r="A517" s="5" t="s">
        <v>15968</v>
      </c>
      <c r="B517" s="5" t="s">
        <v>83</v>
      </c>
      <c r="C517" s="5"/>
      <c r="D517" s="5" t="s">
        <v>15926</v>
      </c>
      <c r="E517" s="5" t="s">
        <v>150</v>
      </c>
      <c r="F517" s="5" t="s">
        <v>15965</v>
      </c>
      <c r="G517" s="5" t="s">
        <v>148</v>
      </c>
      <c r="H517" s="5" t="s">
        <v>137</v>
      </c>
      <c r="I517" s="5" t="s">
        <v>15390</v>
      </c>
      <c r="J517" s="5" t="s">
        <v>15967</v>
      </c>
    </row>
    <row r="518" spans="1:10" ht="25.5" x14ac:dyDescent="0.2">
      <c r="A518" s="5" t="s">
        <v>15966</v>
      </c>
      <c r="B518" s="5" t="s">
        <v>83</v>
      </c>
      <c r="C518" s="5"/>
      <c r="D518" s="5" t="s">
        <v>15922</v>
      </c>
      <c r="E518" s="5" t="s">
        <v>665</v>
      </c>
      <c r="F518" s="5" t="s">
        <v>15965</v>
      </c>
      <c r="G518" s="5" t="s">
        <v>91</v>
      </c>
      <c r="H518" s="5" t="s">
        <v>137</v>
      </c>
      <c r="I518" s="5" t="s">
        <v>15390</v>
      </c>
      <c r="J518" s="5" t="s">
        <v>15964</v>
      </c>
    </row>
    <row r="519" spans="1:10" ht="25.5" x14ac:dyDescent="0.2">
      <c r="A519" s="5" t="s">
        <v>15963</v>
      </c>
      <c r="B519" s="5" t="s">
        <v>83</v>
      </c>
      <c r="C519" s="5"/>
      <c r="D519" s="5" t="s">
        <v>15962</v>
      </c>
      <c r="E519" s="5"/>
      <c r="F519" s="5" t="s">
        <v>7440</v>
      </c>
      <c r="G519" s="5" t="s">
        <v>173</v>
      </c>
      <c r="H519" s="5" t="s">
        <v>3</v>
      </c>
      <c r="I519" s="5"/>
      <c r="J519" s="5" t="s">
        <v>15961</v>
      </c>
    </row>
    <row r="520" spans="1:10" ht="25.5" x14ac:dyDescent="0.2">
      <c r="A520" s="5" t="s">
        <v>15960</v>
      </c>
      <c r="B520" s="5" t="s">
        <v>83</v>
      </c>
      <c r="C520" s="5"/>
      <c r="D520" s="5" t="s">
        <v>15959</v>
      </c>
      <c r="E520" s="5"/>
      <c r="F520" s="5" t="s">
        <v>7440</v>
      </c>
      <c r="G520" s="5" t="s">
        <v>173</v>
      </c>
      <c r="H520" s="5" t="s">
        <v>3</v>
      </c>
      <c r="I520" s="5"/>
      <c r="J520" s="5" t="s">
        <v>15958</v>
      </c>
    </row>
    <row r="521" spans="1:10" x14ac:dyDescent="0.2">
      <c r="A521" s="5" t="s">
        <v>15957</v>
      </c>
      <c r="B521" s="5" t="s">
        <v>83</v>
      </c>
      <c r="C521" s="5"/>
      <c r="D521" s="5">
        <v>1</v>
      </c>
      <c r="E521" s="5"/>
      <c r="F521" s="5" t="s">
        <v>7853</v>
      </c>
      <c r="G521" s="5" t="s">
        <v>382</v>
      </c>
      <c r="H521" s="5" t="s">
        <v>3</v>
      </c>
      <c r="I521" s="5"/>
      <c r="J521" s="5"/>
    </row>
    <row r="522" spans="1:10" ht="25.5" x14ac:dyDescent="0.2">
      <c r="A522" s="5" t="s">
        <v>15956</v>
      </c>
      <c r="B522" s="5" t="s">
        <v>83</v>
      </c>
      <c r="C522" s="5"/>
      <c r="D522" s="5" t="s">
        <v>15955</v>
      </c>
      <c r="E522" s="5"/>
      <c r="F522" s="5" t="s">
        <v>15954</v>
      </c>
      <c r="G522" s="5" t="s">
        <v>105</v>
      </c>
      <c r="H522" s="5" t="s">
        <v>3</v>
      </c>
      <c r="I522" s="5"/>
      <c r="J522" s="5" t="s">
        <v>15953</v>
      </c>
    </row>
    <row r="523" spans="1:10" ht="25.5" x14ac:dyDescent="0.2">
      <c r="A523" s="5" t="s">
        <v>15952</v>
      </c>
      <c r="B523" s="5" t="s">
        <v>83</v>
      </c>
      <c r="C523" s="5"/>
      <c r="D523" s="5" t="s">
        <v>15951</v>
      </c>
      <c r="E523" s="5" t="s">
        <v>368</v>
      </c>
      <c r="F523" s="5"/>
      <c r="G523" s="5" t="s">
        <v>382</v>
      </c>
      <c r="H523" s="5" t="s">
        <v>137</v>
      </c>
      <c r="I523" s="5" t="s">
        <v>7761</v>
      </c>
      <c r="J523" s="5" t="s">
        <v>15950</v>
      </c>
    </row>
    <row r="524" spans="1:10" ht="25.5" x14ac:dyDescent="0.2">
      <c r="A524" s="5" t="s">
        <v>15949</v>
      </c>
      <c r="B524" s="5" t="s">
        <v>83</v>
      </c>
      <c r="C524" s="5"/>
      <c r="D524" s="5" t="s">
        <v>15948</v>
      </c>
      <c r="E524" s="5"/>
      <c r="F524" s="5"/>
      <c r="G524" s="5" t="s">
        <v>118</v>
      </c>
      <c r="H524" s="5" t="s">
        <v>137</v>
      </c>
      <c r="I524" s="5" t="s">
        <v>7761</v>
      </c>
      <c r="J524" s="5" t="s">
        <v>15947</v>
      </c>
    </row>
    <row r="525" spans="1:10" x14ac:dyDescent="0.2">
      <c r="A525" s="5" t="s">
        <v>15946</v>
      </c>
      <c r="B525" s="5" t="s">
        <v>83</v>
      </c>
      <c r="C525" s="5"/>
      <c r="D525" s="5" t="s">
        <v>15945</v>
      </c>
      <c r="E525" s="5"/>
      <c r="F525" s="5"/>
      <c r="G525" s="5" t="s">
        <v>224</v>
      </c>
      <c r="H525" s="5" t="s">
        <v>137</v>
      </c>
      <c r="I525" s="5" t="s">
        <v>7761</v>
      </c>
      <c r="J525" s="5"/>
    </row>
    <row r="526" spans="1:10" x14ac:dyDescent="0.2">
      <c r="A526" s="5" t="s">
        <v>15944</v>
      </c>
      <c r="B526" s="5" t="s">
        <v>83</v>
      </c>
      <c r="C526" s="5"/>
      <c r="D526" s="5" t="s">
        <v>15943</v>
      </c>
      <c r="E526" s="5"/>
      <c r="F526" s="5" t="s">
        <v>15942</v>
      </c>
      <c r="G526" s="5" t="s">
        <v>382</v>
      </c>
      <c r="H526" s="5" t="s">
        <v>3</v>
      </c>
      <c r="I526" s="5"/>
      <c r="J526" s="5"/>
    </row>
    <row r="527" spans="1:10" x14ac:dyDescent="0.2">
      <c r="A527" s="5" t="s">
        <v>15941</v>
      </c>
      <c r="B527" s="5" t="s">
        <v>83</v>
      </c>
      <c r="C527" s="5"/>
      <c r="D527" s="5" t="s">
        <v>15940</v>
      </c>
      <c r="E527" s="5"/>
      <c r="F527" s="5" t="s">
        <v>5537</v>
      </c>
      <c r="G527" s="5" t="s">
        <v>173</v>
      </c>
      <c r="H527" s="5" t="s">
        <v>137</v>
      </c>
      <c r="I527" s="5"/>
      <c r="J527" s="5"/>
    </row>
    <row r="528" spans="1:10" ht="25.5" x14ac:dyDescent="0.2">
      <c r="A528" s="5" t="s">
        <v>15939</v>
      </c>
      <c r="B528" s="5" t="s">
        <v>83</v>
      </c>
      <c r="C528" s="5"/>
      <c r="D528" s="5" t="s">
        <v>15938</v>
      </c>
      <c r="E528" s="5"/>
      <c r="F528" s="5" t="s">
        <v>5537</v>
      </c>
      <c r="G528" s="5" t="s">
        <v>173</v>
      </c>
      <c r="H528" s="5" t="s">
        <v>137</v>
      </c>
      <c r="I528" s="5" t="s">
        <v>15390</v>
      </c>
      <c r="J528" s="5"/>
    </row>
    <row r="529" spans="1:10" x14ac:dyDescent="0.2">
      <c r="A529" s="5" t="s">
        <v>15937</v>
      </c>
      <c r="B529" s="5" t="s">
        <v>83</v>
      </c>
      <c r="C529" s="5"/>
      <c r="D529" s="5" t="s">
        <v>15936</v>
      </c>
      <c r="E529" s="5"/>
      <c r="F529" s="5" t="s">
        <v>8479</v>
      </c>
      <c r="G529" s="5" t="s">
        <v>328</v>
      </c>
      <c r="H529" s="5" t="s">
        <v>3</v>
      </c>
      <c r="I529" s="5"/>
      <c r="J529" s="5"/>
    </row>
    <row r="530" spans="1:10" ht="25.5" x14ac:dyDescent="0.2">
      <c r="A530" s="5" t="s">
        <v>15935</v>
      </c>
      <c r="B530" s="5" t="s">
        <v>83</v>
      </c>
      <c r="C530" s="5"/>
      <c r="D530" s="5" t="s">
        <v>15934</v>
      </c>
      <c r="E530" s="5"/>
      <c r="F530" s="5"/>
      <c r="G530" s="5" t="s">
        <v>118</v>
      </c>
      <c r="H530" s="5" t="s">
        <v>137</v>
      </c>
      <c r="I530" s="5" t="s">
        <v>7761</v>
      </c>
      <c r="J530" s="5" t="s">
        <v>15933</v>
      </c>
    </row>
    <row r="531" spans="1:10" x14ac:dyDescent="0.2">
      <c r="A531" s="5" t="s">
        <v>15932</v>
      </c>
      <c r="B531" s="5" t="s">
        <v>83</v>
      </c>
      <c r="C531" s="5"/>
      <c r="D531" s="5" t="s">
        <v>15931</v>
      </c>
      <c r="E531" s="5"/>
      <c r="F531" s="5"/>
      <c r="G531" s="5" t="s">
        <v>4028</v>
      </c>
      <c r="H531" s="5" t="s">
        <v>137</v>
      </c>
      <c r="I531" s="5" t="s">
        <v>7761</v>
      </c>
      <c r="J531" s="5"/>
    </row>
    <row r="532" spans="1:10" ht="25.5" x14ac:dyDescent="0.2">
      <c r="A532" s="5" t="s">
        <v>15930</v>
      </c>
      <c r="B532" s="5" t="s">
        <v>83</v>
      </c>
      <c r="C532" s="5"/>
      <c r="D532" s="5" t="s">
        <v>15929</v>
      </c>
      <c r="E532" s="5" t="s">
        <v>10624</v>
      </c>
      <c r="F532" s="5"/>
      <c r="G532" s="5" t="s">
        <v>328</v>
      </c>
      <c r="H532" s="5" t="s">
        <v>137</v>
      </c>
      <c r="I532" s="5" t="s">
        <v>7761</v>
      </c>
      <c r="J532" s="5" t="s">
        <v>15928</v>
      </c>
    </row>
    <row r="533" spans="1:10" ht="25.5" x14ac:dyDescent="0.2">
      <c r="A533" s="5" t="s">
        <v>15927</v>
      </c>
      <c r="B533" s="5" t="s">
        <v>83</v>
      </c>
      <c r="C533" s="5"/>
      <c r="D533" s="5" t="s">
        <v>15926</v>
      </c>
      <c r="E533" s="5" t="s">
        <v>150</v>
      </c>
      <c r="F533" s="5" t="s">
        <v>15925</v>
      </c>
      <c r="G533" s="5" t="s">
        <v>148</v>
      </c>
      <c r="H533" s="5" t="s">
        <v>137</v>
      </c>
      <c r="I533" s="5" t="s">
        <v>15390</v>
      </c>
      <c r="J533" s="5" t="s">
        <v>15924</v>
      </c>
    </row>
    <row r="534" spans="1:10" ht="25.5" x14ac:dyDescent="0.2">
      <c r="A534" s="5" t="s">
        <v>15923</v>
      </c>
      <c r="B534" s="5" t="s">
        <v>83</v>
      </c>
      <c r="C534" s="5"/>
      <c r="D534" s="5" t="s">
        <v>15922</v>
      </c>
      <c r="E534" s="5" t="s">
        <v>665</v>
      </c>
      <c r="F534" s="5" t="s">
        <v>15921</v>
      </c>
      <c r="G534" s="5" t="s">
        <v>148</v>
      </c>
      <c r="H534" s="5" t="s">
        <v>137</v>
      </c>
      <c r="I534" s="5" t="s">
        <v>15390</v>
      </c>
      <c r="J534" s="5" t="s">
        <v>15920</v>
      </c>
    </row>
    <row r="535" spans="1:10" x14ac:dyDescent="0.2">
      <c r="A535" s="5" t="s">
        <v>15919</v>
      </c>
      <c r="B535" s="5" t="s">
        <v>83</v>
      </c>
      <c r="C535" s="5"/>
      <c r="D535" s="5" t="s">
        <v>15703</v>
      </c>
      <c r="E535" s="5"/>
      <c r="F535" s="5" t="s">
        <v>15918</v>
      </c>
      <c r="G535" s="5" t="s">
        <v>229</v>
      </c>
      <c r="H535" s="5" t="s">
        <v>3</v>
      </c>
      <c r="I535" s="5"/>
      <c r="J535" s="5" t="s">
        <v>15917</v>
      </c>
    </row>
    <row r="536" spans="1:10" x14ac:dyDescent="0.2">
      <c r="A536" s="5" t="s">
        <v>15916</v>
      </c>
      <c r="B536" s="5" t="s">
        <v>83</v>
      </c>
      <c r="C536" s="5"/>
      <c r="D536" s="5" t="s">
        <v>15626</v>
      </c>
      <c r="E536" s="5"/>
      <c r="F536" s="5" t="s">
        <v>358</v>
      </c>
      <c r="G536" s="5" t="s">
        <v>7296</v>
      </c>
      <c r="H536" s="5" t="s">
        <v>3</v>
      </c>
      <c r="I536" s="5"/>
      <c r="J536" s="5" t="s">
        <v>15915</v>
      </c>
    </row>
    <row r="537" spans="1:10" x14ac:dyDescent="0.2">
      <c r="A537" s="5" t="s">
        <v>15914</v>
      </c>
      <c r="B537" s="5" t="s">
        <v>83</v>
      </c>
      <c r="C537" s="5"/>
      <c r="D537" s="5" t="s">
        <v>15913</v>
      </c>
      <c r="E537" s="5"/>
      <c r="F537" s="5" t="s">
        <v>15912</v>
      </c>
      <c r="G537" s="5" t="s">
        <v>4</v>
      </c>
      <c r="H537" s="5" t="s">
        <v>3</v>
      </c>
      <c r="I537" s="5"/>
      <c r="J537" s="5" t="s">
        <v>15911</v>
      </c>
    </row>
    <row r="538" spans="1:10" ht="25.5" x14ac:dyDescent="0.2">
      <c r="A538" s="5" t="s">
        <v>15910</v>
      </c>
      <c r="B538" s="5" t="s">
        <v>83</v>
      </c>
      <c r="C538" s="5"/>
      <c r="D538" s="5" t="s">
        <v>15909</v>
      </c>
      <c r="E538" s="5"/>
      <c r="F538" s="5" t="s">
        <v>15908</v>
      </c>
      <c r="G538" s="5" t="s">
        <v>4028</v>
      </c>
      <c r="H538" s="5" t="s">
        <v>137</v>
      </c>
      <c r="I538" s="5" t="s">
        <v>15907</v>
      </c>
      <c r="J538" s="5" t="s">
        <v>15906</v>
      </c>
    </row>
    <row r="539" spans="1:10" ht="25.5" x14ac:dyDescent="0.2">
      <c r="A539" s="5" t="s">
        <v>15903</v>
      </c>
      <c r="B539" s="5" t="s">
        <v>83</v>
      </c>
      <c r="C539" s="5"/>
      <c r="D539" s="5" t="s">
        <v>15905</v>
      </c>
      <c r="E539" s="5"/>
      <c r="F539" s="5" t="s">
        <v>15904</v>
      </c>
      <c r="G539" s="5" t="s">
        <v>114</v>
      </c>
      <c r="H539" s="5" t="s">
        <v>137</v>
      </c>
      <c r="I539" s="5" t="s">
        <v>15903</v>
      </c>
      <c r="J539" s="5" t="s">
        <v>15902</v>
      </c>
    </row>
    <row r="540" spans="1:10" ht="25.5" x14ac:dyDescent="0.2">
      <c r="A540" s="5" t="s">
        <v>15901</v>
      </c>
      <c r="B540" s="5" t="s">
        <v>83</v>
      </c>
      <c r="C540" s="5"/>
      <c r="D540" s="5" t="s">
        <v>15900</v>
      </c>
      <c r="E540" s="5"/>
      <c r="F540" s="5"/>
      <c r="G540" s="5" t="s">
        <v>328</v>
      </c>
      <c r="H540" s="5" t="s">
        <v>137</v>
      </c>
      <c r="I540" s="5" t="s">
        <v>15899</v>
      </c>
      <c r="J540" s="5" t="s">
        <v>15898</v>
      </c>
    </row>
    <row r="541" spans="1:10" ht="25.5" x14ac:dyDescent="0.2">
      <c r="A541" s="5" t="s">
        <v>15896</v>
      </c>
      <c r="B541" s="5" t="s">
        <v>83</v>
      </c>
      <c r="C541" s="5"/>
      <c r="D541" s="5" t="s">
        <v>15897</v>
      </c>
      <c r="E541" s="5"/>
      <c r="F541" s="5" t="s">
        <v>15896</v>
      </c>
      <c r="G541" s="5" t="s">
        <v>118</v>
      </c>
      <c r="H541" s="5" t="s">
        <v>137</v>
      </c>
      <c r="I541" s="5"/>
      <c r="J541" s="5" t="s">
        <v>15895</v>
      </c>
    </row>
    <row r="542" spans="1:10" ht="25.5" x14ac:dyDescent="0.2">
      <c r="A542" s="5" t="s">
        <v>15894</v>
      </c>
      <c r="B542" s="5" t="s">
        <v>83</v>
      </c>
      <c r="C542" s="5"/>
      <c r="D542" s="5" t="s">
        <v>15893</v>
      </c>
      <c r="E542" s="5"/>
      <c r="F542" s="5" t="s">
        <v>15892</v>
      </c>
      <c r="G542" s="5" t="s">
        <v>4028</v>
      </c>
      <c r="H542" s="5" t="s">
        <v>137</v>
      </c>
      <c r="I542" s="5" t="s">
        <v>15891</v>
      </c>
      <c r="J542" s="5" t="s">
        <v>15890</v>
      </c>
    </row>
    <row r="543" spans="1:10" x14ac:dyDescent="0.2">
      <c r="A543" s="5" t="s">
        <v>15889</v>
      </c>
      <c r="B543" s="5" t="s">
        <v>83</v>
      </c>
      <c r="C543" s="5"/>
      <c r="D543" s="5" t="s">
        <v>15888</v>
      </c>
      <c r="E543" s="5"/>
      <c r="F543" s="5" t="s">
        <v>15887</v>
      </c>
      <c r="G543" s="5" t="s">
        <v>315</v>
      </c>
      <c r="H543" s="5" t="s">
        <v>3</v>
      </c>
      <c r="I543" s="5"/>
      <c r="J543" s="5" t="s">
        <v>15886</v>
      </c>
    </row>
    <row r="544" spans="1:10" ht="25.5" x14ac:dyDescent="0.2">
      <c r="A544" s="5" t="s">
        <v>15885</v>
      </c>
      <c r="B544" s="5" t="s">
        <v>83</v>
      </c>
      <c r="C544" s="5"/>
      <c r="D544" s="5" t="s">
        <v>15884</v>
      </c>
      <c r="E544" s="5"/>
      <c r="F544" s="5" t="s">
        <v>10934</v>
      </c>
      <c r="G544" s="5" t="s">
        <v>114</v>
      </c>
      <c r="H544" s="5" t="s">
        <v>137</v>
      </c>
      <c r="I544" s="5" t="s">
        <v>15852</v>
      </c>
      <c r="J544" s="5" t="s">
        <v>15883</v>
      </c>
    </row>
    <row r="545" spans="1:10" x14ac:dyDescent="0.2">
      <c r="A545" s="5" t="s">
        <v>15882</v>
      </c>
      <c r="B545" s="5" t="s">
        <v>83</v>
      </c>
      <c r="C545" s="5"/>
      <c r="D545" s="5" t="s">
        <v>15881</v>
      </c>
      <c r="E545" s="5"/>
      <c r="F545" s="5"/>
      <c r="G545" s="5" t="s">
        <v>122</v>
      </c>
      <c r="H545" s="5" t="s">
        <v>3</v>
      </c>
      <c r="I545" s="5"/>
      <c r="J545" s="5"/>
    </row>
    <row r="546" spans="1:10" ht="25.5" x14ac:dyDescent="0.2">
      <c r="A546" s="5" t="s">
        <v>15880</v>
      </c>
      <c r="B546" s="5" t="s">
        <v>83</v>
      </c>
      <c r="C546" s="5"/>
      <c r="D546" s="5" t="s">
        <v>15879</v>
      </c>
      <c r="E546" s="5"/>
      <c r="F546" s="5" t="s">
        <v>15878</v>
      </c>
      <c r="G546" s="5" t="s">
        <v>114</v>
      </c>
      <c r="H546" s="5" t="s">
        <v>137</v>
      </c>
      <c r="I546" s="5" t="s">
        <v>15852</v>
      </c>
      <c r="J546" s="5" t="s">
        <v>15877</v>
      </c>
    </row>
    <row r="547" spans="1:10" ht="25.5" x14ac:dyDescent="0.2">
      <c r="A547" s="5" t="s">
        <v>15876</v>
      </c>
      <c r="B547" s="5" t="s">
        <v>83</v>
      </c>
      <c r="C547" s="5"/>
      <c r="D547" s="5" t="s">
        <v>15875</v>
      </c>
      <c r="E547" s="5"/>
      <c r="F547" s="5" t="s">
        <v>15874</v>
      </c>
      <c r="G547" s="5" t="s">
        <v>114</v>
      </c>
      <c r="H547" s="5" t="s">
        <v>137</v>
      </c>
      <c r="I547" s="5" t="s">
        <v>15852</v>
      </c>
      <c r="J547" s="5" t="s">
        <v>15873</v>
      </c>
    </row>
    <row r="548" spans="1:10" ht="25.5" x14ac:dyDescent="0.2">
      <c r="A548" s="5" t="s">
        <v>15872</v>
      </c>
      <c r="B548" s="5" t="s">
        <v>83</v>
      </c>
      <c r="C548" s="5"/>
      <c r="D548" s="5" t="s">
        <v>15871</v>
      </c>
      <c r="E548" s="5"/>
      <c r="F548" s="5" t="s">
        <v>15870</v>
      </c>
      <c r="G548" s="5" t="s">
        <v>114</v>
      </c>
      <c r="H548" s="5" t="s">
        <v>137</v>
      </c>
      <c r="I548" s="5" t="s">
        <v>15852</v>
      </c>
      <c r="J548" s="5" t="s">
        <v>15869</v>
      </c>
    </row>
    <row r="549" spans="1:10" ht="25.5" x14ac:dyDescent="0.2">
      <c r="A549" s="5" t="s">
        <v>15867</v>
      </c>
      <c r="B549" s="5" t="s">
        <v>83</v>
      </c>
      <c r="C549" s="5"/>
      <c r="D549" s="5" t="s">
        <v>15868</v>
      </c>
      <c r="E549" s="5"/>
      <c r="F549" s="5" t="s">
        <v>11284</v>
      </c>
      <c r="G549" s="5" t="s">
        <v>114</v>
      </c>
      <c r="H549" s="5" t="s">
        <v>137</v>
      </c>
      <c r="I549" s="5" t="s">
        <v>15867</v>
      </c>
      <c r="J549" s="5" t="s">
        <v>15866</v>
      </c>
    </row>
    <row r="550" spans="1:10" ht="25.5" x14ac:dyDescent="0.2">
      <c r="A550" s="5" t="s">
        <v>15865</v>
      </c>
      <c r="B550" s="5" t="s">
        <v>83</v>
      </c>
      <c r="C550" s="5"/>
      <c r="D550" s="5" t="s">
        <v>15864</v>
      </c>
      <c r="E550" s="5"/>
      <c r="F550" s="5" t="s">
        <v>3053</v>
      </c>
      <c r="G550" s="5" t="s">
        <v>114</v>
      </c>
      <c r="H550" s="5" t="s">
        <v>137</v>
      </c>
      <c r="I550" s="5" t="s">
        <v>15852</v>
      </c>
      <c r="J550" s="5" t="s">
        <v>15863</v>
      </c>
    </row>
    <row r="551" spans="1:10" ht="25.5" x14ac:dyDescent="0.2">
      <c r="A551" s="5" t="s">
        <v>15862</v>
      </c>
      <c r="B551" s="5" t="s">
        <v>83</v>
      </c>
      <c r="C551" s="5"/>
      <c r="D551" s="5" t="s">
        <v>15861</v>
      </c>
      <c r="E551" s="5"/>
      <c r="F551" s="5" t="s">
        <v>11003</v>
      </c>
      <c r="G551" s="5" t="s">
        <v>114</v>
      </c>
      <c r="H551" s="5" t="s">
        <v>137</v>
      </c>
      <c r="I551" s="5" t="s">
        <v>15852</v>
      </c>
      <c r="J551" s="5" t="s">
        <v>15860</v>
      </c>
    </row>
    <row r="552" spans="1:10" ht="25.5" x14ac:dyDescent="0.2">
      <c r="A552" s="5" t="s">
        <v>15859</v>
      </c>
      <c r="B552" s="5" t="s">
        <v>83</v>
      </c>
      <c r="C552" s="5"/>
      <c r="D552" s="5" t="s">
        <v>15858</v>
      </c>
      <c r="E552" s="5"/>
      <c r="F552" s="5" t="s">
        <v>15857</v>
      </c>
      <c r="G552" s="5" t="s">
        <v>114</v>
      </c>
      <c r="H552" s="5" t="s">
        <v>137</v>
      </c>
      <c r="I552" s="5" t="s">
        <v>15852</v>
      </c>
      <c r="J552" s="5" t="s">
        <v>15856</v>
      </c>
    </row>
    <row r="553" spans="1:10" ht="25.5" x14ac:dyDescent="0.2">
      <c r="A553" s="5" t="s">
        <v>15855</v>
      </c>
      <c r="B553" s="5" t="s">
        <v>83</v>
      </c>
      <c r="C553" s="5"/>
      <c r="D553" s="5" t="s">
        <v>15854</v>
      </c>
      <c r="E553" s="5"/>
      <c r="F553" s="5" t="s">
        <v>15853</v>
      </c>
      <c r="G553" s="5" t="s">
        <v>114</v>
      </c>
      <c r="H553" s="5" t="s">
        <v>137</v>
      </c>
      <c r="I553" s="5" t="s">
        <v>15852</v>
      </c>
      <c r="J553" s="5" t="s">
        <v>15851</v>
      </c>
    </row>
    <row r="554" spans="1:10" ht="25.5" x14ac:dyDescent="0.2">
      <c r="A554" s="5" t="s">
        <v>15850</v>
      </c>
      <c r="B554" s="5" t="s">
        <v>83</v>
      </c>
      <c r="C554" s="5"/>
      <c r="D554" s="5" t="s">
        <v>15849</v>
      </c>
      <c r="E554" s="5"/>
      <c r="F554" s="5" t="s">
        <v>15848</v>
      </c>
      <c r="G554" s="5" t="s">
        <v>303</v>
      </c>
      <c r="H554" s="5" t="s">
        <v>137</v>
      </c>
      <c r="I554" s="5" t="s">
        <v>15488</v>
      </c>
      <c r="J554" s="5" t="s">
        <v>15848</v>
      </c>
    </row>
    <row r="555" spans="1:10" ht="25.5" x14ac:dyDescent="0.2">
      <c r="A555" s="5" t="s">
        <v>10221</v>
      </c>
      <c r="B555" s="5" t="s">
        <v>83</v>
      </c>
      <c r="C555" s="5"/>
      <c r="D555" s="5" t="s">
        <v>15847</v>
      </c>
      <c r="E555" s="5" t="s">
        <v>368</v>
      </c>
      <c r="F555" s="5"/>
      <c r="G555" s="5" t="s">
        <v>382</v>
      </c>
      <c r="H555" s="5" t="s">
        <v>137</v>
      </c>
      <c r="I555" s="5" t="s">
        <v>7761</v>
      </c>
      <c r="J555" s="5" t="s">
        <v>15846</v>
      </c>
    </row>
    <row r="556" spans="1:10" x14ac:dyDescent="0.2">
      <c r="A556" s="5" t="s">
        <v>10219</v>
      </c>
      <c r="B556" s="5" t="s">
        <v>83</v>
      </c>
      <c r="C556" s="5"/>
      <c r="D556" s="5" t="s">
        <v>10218</v>
      </c>
      <c r="E556" s="5"/>
      <c r="F556" s="5"/>
      <c r="G556" s="5" t="s">
        <v>118</v>
      </c>
      <c r="H556" s="5" t="s">
        <v>137</v>
      </c>
      <c r="I556" s="5" t="s">
        <v>10195</v>
      </c>
      <c r="J556" s="5"/>
    </row>
    <row r="557" spans="1:10" ht="25.5" x14ac:dyDescent="0.2">
      <c r="A557" s="5" t="s">
        <v>10217</v>
      </c>
      <c r="B557" s="5" t="s">
        <v>83</v>
      </c>
      <c r="C557" s="5"/>
      <c r="D557" s="5" t="s">
        <v>15845</v>
      </c>
      <c r="E557" s="5"/>
      <c r="F557" s="5" t="s">
        <v>7970</v>
      </c>
      <c r="G557" s="5" t="s">
        <v>122</v>
      </c>
      <c r="H557" s="5" t="s">
        <v>137</v>
      </c>
      <c r="I557" s="5" t="s">
        <v>10207</v>
      </c>
      <c r="J557" s="5" t="s">
        <v>7966</v>
      </c>
    </row>
    <row r="558" spans="1:10" ht="25.5" x14ac:dyDescent="0.2">
      <c r="A558" s="5" t="s">
        <v>10215</v>
      </c>
      <c r="B558" s="5" t="s">
        <v>83</v>
      </c>
      <c r="C558" s="5"/>
      <c r="D558" s="5" t="s">
        <v>15844</v>
      </c>
      <c r="E558" s="5" t="s">
        <v>138</v>
      </c>
      <c r="F558" s="5" t="s">
        <v>7569</v>
      </c>
      <c r="G558" s="5" t="s">
        <v>91</v>
      </c>
      <c r="H558" s="5" t="s">
        <v>137</v>
      </c>
      <c r="I558" s="5" t="s">
        <v>10207</v>
      </c>
      <c r="J558" s="5" t="s">
        <v>10213</v>
      </c>
    </row>
    <row r="559" spans="1:10" ht="25.5" x14ac:dyDescent="0.2">
      <c r="A559" s="5" t="s">
        <v>10212</v>
      </c>
      <c r="B559" s="5" t="s">
        <v>83</v>
      </c>
      <c r="C559" s="5"/>
      <c r="D559" s="5" t="s">
        <v>15843</v>
      </c>
      <c r="E559" s="5" t="s">
        <v>368</v>
      </c>
      <c r="F559" s="5"/>
      <c r="G559" s="5" t="s">
        <v>382</v>
      </c>
      <c r="H559" s="5" t="s">
        <v>137</v>
      </c>
      <c r="I559" s="5" t="s">
        <v>10207</v>
      </c>
      <c r="J559" s="5"/>
    </row>
    <row r="560" spans="1:10" ht="25.5" x14ac:dyDescent="0.2">
      <c r="A560" s="5" t="s">
        <v>10210</v>
      </c>
      <c r="B560" s="5" t="s">
        <v>83</v>
      </c>
      <c r="C560" s="5"/>
      <c r="D560" s="5" t="s">
        <v>15842</v>
      </c>
      <c r="E560" s="5" t="s">
        <v>368</v>
      </c>
      <c r="F560" s="5" t="s">
        <v>10208</v>
      </c>
      <c r="G560" s="5" t="s">
        <v>91</v>
      </c>
      <c r="H560" s="5" t="s">
        <v>137</v>
      </c>
      <c r="I560" s="5" t="s">
        <v>10207</v>
      </c>
      <c r="J560" s="5" t="s">
        <v>10206</v>
      </c>
    </row>
    <row r="561" spans="1:10" x14ac:dyDescent="0.2">
      <c r="A561" s="5" t="s">
        <v>10205</v>
      </c>
      <c r="B561" s="5" t="s">
        <v>83</v>
      </c>
      <c r="C561" s="5"/>
      <c r="D561" s="5" t="s">
        <v>10204</v>
      </c>
      <c r="E561" s="5"/>
      <c r="F561" s="5"/>
      <c r="G561" s="5" t="s">
        <v>224</v>
      </c>
      <c r="H561" s="5" t="s">
        <v>137</v>
      </c>
      <c r="I561" s="5" t="s">
        <v>10195</v>
      </c>
      <c r="J561" s="5"/>
    </row>
    <row r="562" spans="1:10" ht="25.5" x14ac:dyDescent="0.2">
      <c r="A562" s="5" t="s">
        <v>10203</v>
      </c>
      <c r="B562" s="5" t="s">
        <v>83</v>
      </c>
      <c r="C562" s="5"/>
      <c r="D562" s="5" t="s">
        <v>15841</v>
      </c>
      <c r="E562" s="5" t="s">
        <v>138</v>
      </c>
      <c r="F562" s="5"/>
      <c r="G562" s="5" t="s">
        <v>91</v>
      </c>
      <c r="H562" s="5" t="s">
        <v>3</v>
      </c>
      <c r="I562" s="5"/>
      <c r="J562" s="5"/>
    </row>
    <row r="563" spans="1:10" ht="25.5" x14ac:dyDescent="0.2">
      <c r="A563" s="5" t="s">
        <v>10202</v>
      </c>
      <c r="B563" s="5" t="s">
        <v>83</v>
      </c>
      <c r="C563" s="5"/>
      <c r="D563" s="5" t="s">
        <v>15840</v>
      </c>
      <c r="E563" s="5" t="s">
        <v>368</v>
      </c>
      <c r="F563" s="5"/>
      <c r="G563" s="5" t="s">
        <v>382</v>
      </c>
      <c r="H563" s="5" t="s">
        <v>3</v>
      </c>
      <c r="I563" s="5"/>
      <c r="J563" s="5" t="s">
        <v>15839</v>
      </c>
    </row>
    <row r="564" spans="1:10" x14ac:dyDescent="0.2">
      <c r="A564" s="5" t="s">
        <v>15838</v>
      </c>
      <c r="B564" s="5" t="s">
        <v>83</v>
      </c>
      <c r="C564" s="5"/>
      <c r="D564" s="5" t="s">
        <v>15837</v>
      </c>
      <c r="E564" s="5"/>
      <c r="F564" s="5" t="s">
        <v>15655</v>
      </c>
      <c r="G564" s="5" t="s">
        <v>4</v>
      </c>
      <c r="H564" s="5" t="s">
        <v>3</v>
      </c>
      <c r="I564" s="5"/>
      <c r="J564" s="5" t="s">
        <v>15836</v>
      </c>
    </row>
    <row r="565" spans="1:10" ht="38.25" x14ac:dyDescent="0.2">
      <c r="A565" s="5" t="s">
        <v>15835</v>
      </c>
      <c r="B565" s="5" t="s">
        <v>83</v>
      </c>
      <c r="C565" s="5"/>
      <c r="D565" s="5" t="s">
        <v>15834</v>
      </c>
      <c r="E565" s="5"/>
      <c r="F565" s="5" t="s">
        <v>24</v>
      </c>
      <c r="G565" s="5" t="s">
        <v>4</v>
      </c>
      <c r="H565" s="5" t="s">
        <v>3</v>
      </c>
      <c r="I565" s="5"/>
      <c r="J565" s="5" t="s">
        <v>15833</v>
      </c>
    </row>
    <row r="566" spans="1:10" x14ac:dyDescent="0.2">
      <c r="A566" s="5" t="s">
        <v>15832</v>
      </c>
      <c r="B566" s="5" t="s">
        <v>83</v>
      </c>
      <c r="C566" s="5"/>
      <c r="D566" s="5" t="s">
        <v>15831</v>
      </c>
      <c r="E566" s="5" t="s">
        <v>6367</v>
      </c>
      <c r="F566" s="5" t="s">
        <v>15830</v>
      </c>
      <c r="G566" s="5" t="s">
        <v>4</v>
      </c>
      <c r="H566" s="5" t="s">
        <v>3</v>
      </c>
      <c r="I566" s="5"/>
      <c r="J566" s="5"/>
    </row>
    <row r="567" spans="1:10" x14ac:dyDescent="0.2">
      <c r="A567" s="5" t="s">
        <v>10201</v>
      </c>
      <c r="B567" s="5" t="s">
        <v>83</v>
      </c>
      <c r="C567" s="5"/>
      <c r="D567" s="5" t="s">
        <v>10200</v>
      </c>
      <c r="E567" s="5"/>
      <c r="F567" s="5"/>
      <c r="G567" s="5" t="s">
        <v>118</v>
      </c>
      <c r="H567" s="5" t="s">
        <v>137</v>
      </c>
      <c r="I567" s="5" t="s">
        <v>10195</v>
      </c>
      <c r="J567" s="5"/>
    </row>
    <row r="568" spans="1:10" x14ac:dyDescent="0.2">
      <c r="A568" s="5" t="s">
        <v>10199</v>
      </c>
      <c r="B568" s="5" t="s">
        <v>83</v>
      </c>
      <c r="C568" s="5"/>
      <c r="D568" s="5" t="s">
        <v>10198</v>
      </c>
      <c r="E568" s="5"/>
      <c r="F568" s="5"/>
      <c r="G568" s="5" t="s">
        <v>4028</v>
      </c>
      <c r="H568" s="5" t="s">
        <v>137</v>
      </c>
      <c r="I568" s="5" t="s">
        <v>10195</v>
      </c>
      <c r="J568" s="5"/>
    </row>
    <row r="569" spans="1:10" x14ac:dyDescent="0.2">
      <c r="A569" s="5" t="s">
        <v>10197</v>
      </c>
      <c r="B569" s="5" t="s">
        <v>83</v>
      </c>
      <c r="C569" s="5"/>
      <c r="D569" s="5" t="s">
        <v>10196</v>
      </c>
      <c r="E569" s="5" t="s">
        <v>10624</v>
      </c>
      <c r="F569" s="5"/>
      <c r="G569" s="5" t="s">
        <v>328</v>
      </c>
      <c r="H569" s="5" t="s">
        <v>137</v>
      </c>
      <c r="I569" s="5" t="s">
        <v>10195</v>
      </c>
      <c r="J569" s="5"/>
    </row>
    <row r="570" spans="1:10" ht="25.5" x14ac:dyDescent="0.2">
      <c r="A570" s="5" t="s">
        <v>9435</v>
      </c>
      <c r="B570" s="5" t="s">
        <v>83</v>
      </c>
      <c r="C570" s="5"/>
      <c r="D570" s="5" t="s">
        <v>15829</v>
      </c>
      <c r="E570" s="5"/>
      <c r="F570" s="5" t="s">
        <v>9433</v>
      </c>
      <c r="G570" s="5" t="s">
        <v>105</v>
      </c>
      <c r="H570" s="5" t="s">
        <v>137</v>
      </c>
      <c r="I570" s="5" t="s">
        <v>7844</v>
      </c>
      <c r="J570" s="5" t="s">
        <v>9432</v>
      </c>
    </row>
    <row r="571" spans="1:10" ht="25.5" x14ac:dyDescent="0.2">
      <c r="A571" s="5" t="s">
        <v>15828</v>
      </c>
      <c r="B571" s="5" t="s">
        <v>83</v>
      </c>
      <c r="C571" s="5"/>
      <c r="D571" s="5" t="s">
        <v>15827</v>
      </c>
      <c r="E571" s="5"/>
      <c r="F571" s="5" t="s">
        <v>15826</v>
      </c>
      <c r="G571" s="5" t="s">
        <v>105</v>
      </c>
      <c r="H571" s="5" t="s">
        <v>3</v>
      </c>
      <c r="I571" s="5"/>
      <c r="J571" s="5"/>
    </row>
    <row r="572" spans="1:10" ht="25.5" x14ac:dyDescent="0.2">
      <c r="A572" s="5" t="s">
        <v>15825</v>
      </c>
      <c r="B572" s="5" t="s">
        <v>83</v>
      </c>
      <c r="C572" s="5"/>
      <c r="D572" s="5" t="s">
        <v>15824</v>
      </c>
      <c r="E572" s="5" t="s">
        <v>138</v>
      </c>
      <c r="F572" s="5" t="s">
        <v>15823</v>
      </c>
      <c r="G572" s="5" t="s">
        <v>382</v>
      </c>
      <c r="H572" s="5" t="s">
        <v>3</v>
      </c>
      <c r="I572" s="5"/>
      <c r="J572" s="5" t="s">
        <v>15822</v>
      </c>
    </row>
    <row r="573" spans="1:10" ht="25.5" x14ac:dyDescent="0.2">
      <c r="A573" s="5" t="s">
        <v>15821</v>
      </c>
      <c r="B573" s="5" t="s">
        <v>83</v>
      </c>
      <c r="C573" s="5"/>
      <c r="D573" s="5" t="s">
        <v>15820</v>
      </c>
      <c r="E573" s="5"/>
      <c r="F573" s="5" t="s">
        <v>15787</v>
      </c>
      <c r="G573" s="5" t="s">
        <v>229</v>
      </c>
      <c r="H573" s="5" t="s">
        <v>3</v>
      </c>
      <c r="I573" s="5"/>
      <c r="J573" s="5" t="s">
        <v>15819</v>
      </c>
    </row>
    <row r="574" spans="1:10" ht="25.5" x14ac:dyDescent="0.2">
      <c r="A574" s="5" t="s">
        <v>15818</v>
      </c>
      <c r="B574" s="5" t="s">
        <v>83</v>
      </c>
      <c r="C574" s="5"/>
      <c r="D574" s="5" t="s">
        <v>15817</v>
      </c>
      <c r="E574" s="5"/>
      <c r="F574" s="5" t="s">
        <v>15791</v>
      </c>
      <c r="G574" s="5" t="s">
        <v>224</v>
      </c>
      <c r="H574" s="5" t="s">
        <v>3</v>
      </c>
      <c r="I574" s="5"/>
      <c r="J574" s="5" t="s">
        <v>15790</v>
      </c>
    </row>
    <row r="575" spans="1:10" ht="25.5" x14ac:dyDescent="0.2">
      <c r="A575" s="5" t="s">
        <v>15816</v>
      </c>
      <c r="B575" s="5" t="s">
        <v>83</v>
      </c>
      <c r="C575" s="5"/>
      <c r="D575" s="5" t="s">
        <v>15815</v>
      </c>
      <c r="E575" s="5"/>
      <c r="F575" s="5"/>
      <c r="G575" s="5" t="s">
        <v>8604</v>
      </c>
      <c r="H575" s="5"/>
      <c r="I575" s="5"/>
      <c r="J575" s="5"/>
    </row>
    <row r="576" spans="1:10" ht="25.5" x14ac:dyDescent="0.2">
      <c r="A576" s="5" t="s">
        <v>15814</v>
      </c>
      <c r="B576" s="5" t="s">
        <v>83</v>
      </c>
      <c r="C576" s="5"/>
      <c r="D576" s="5" t="s">
        <v>15813</v>
      </c>
      <c r="E576" s="5"/>
      <c r="F576" s="5" t="s">
        <v>15812</v>
      </c>
      <c r="G576" s="5" t="s">
        <v>80</v>
      </c>
      <c r="H576" s="5" t="s">
        <v>3</v>
      </c>
      <c r="I576" s="5"/>
      <c r="J576" s="5" t="s">
        <v>15811</v>
      </c>
    </row>
    <row r="577" spans="1:10" ht="25.5" x14ac:dyDescent="0.2">
      <c r="A577" s="5" t="s">
        <v>15810</v>
      </c>
      <c r="B577" s="5" t="s">
        <v>83</v>
      </c>
      <c r="C577" s="5"/>
      <c r="D577" s="5" t="s">
        <v>15809</v>
      </c>
      <c r="E577" s="5"/>
      <c r="F577" s="5" t="s">
        <v>15808</v>
      </c>
      <c r="G577" s="5" t="s">
        <v>80</v>
      </c>
      <c r="H577" s="5" t="s">
        <v>3</v>
      </c>
      <c r="I577" s="5"/>
      <c r="J577" s="5" t="s">
        <v>15807</v>
      </c>
    </row>
    <row r="578" spans="1:10" x14ac:dyDescent="0.2">
      <c r="A578" s="5" t="s">
        <v>15806</v>
      </c>
      <c r="B578" s="5" t="s">
        <v>83</v>
      </c>
      <c r="C578" s="5"/>
      <c r="D578" s="5" t="s">
        <v>15805</v>
      </c>
      <c r="E578" s="5"/>
      <c r="F578" s="5" t="s">
        <v>15804</v>
      </c>
      <c r="G578" s="5" t="s">
        <v>6584</v>
      </c>
      <c r="H578" s="5" t="s">
        <v>3</v>
      </c>
      <c r="I578" s="5"/>
      <c r="J578" s="5" t="s">
        <v>15804</v>
      </c>
    </row>
    <row r="579" spans="1:10" ht="25.5" x14ac:dyDescent="0.2">
      <c r="A579" s="5" t="s">
        <v>15803</v>
      </c>
      <c r="B579" s="5" t="s">
        <v>83</v>
      </c>
      <c r="C579" s="5"/>
      <c r="D579" s="5" t="s">
        <v>15802</v>
      </c>
      <c r="E579" s="5" t="s">
        <v>665</v>
      </c>
      <c r="F579" s="5" t="s">
        <v>15801</v>
      </c>
      <c r="G579" s="5" t="s">
        <v>148</v>
      </c>
      <c r="H579" s="5" t="s">
        <v>3</v>
      </c>
      <c r="I579" s="5"/>
      <c r="J579" s="5" t="s">
        <v>15800</v>
      </c>
    </row>
    <row r="580" spans="1:10" ht="25.5" x14ac:dyDescent="0.2">
      <c r="A580" s="5" t="s">
        <v>15799</v>
      </c>
      <c r="B580" s="5" t="s">
        <v>83</v>
      </c>
      <c r="C580" s="5"/>
      <c r="D580" s="5" t="s">
        <v>15798</v>
      </c>
      <c r="E580" s="5"/>
      <c r="F580" s="5" t="s">
        <v>15797</v>
      </c>
      <c r="G580" s="5" t="s">
        <v>122</v>
      </c>
      <c r="H580" s="5" t="s">
        <v>3</v>
      </c>
      <c r="I580" s="5"/>
      <c r="J580" s="5" t="s">
        <v>15796</v>
      </c>
    </row>
    <row r="581" spans="1:10" ht="25.5" x14ac:dyDescent="0.2">
      <c r="A581" s="5" t="s">
        <v>7315</v>
      </c>
      <c r="B581" s="5" t="s">
        <v>83</v>
      </c>
      <c r="C581" s="5"/>
      <c r="D581" s="5" t="s">
        <v>7314</v>
      </c>
      <c r="E581" s="5"/>
      <c r="F581" s="5" t="s">
        <v>7313</v>
      </c>
      <c r="G581" s="5" t="s">
        <v>224</v>
      </c>
      <c r="H581" s="5" t="s">
        <v>3</v>
      </c>
      <c r="I581" s="5"/>
      <c r="J581" s="5" t="s">
        <v>7312</v>
      </c>
    </row>
    <row r="582" spans="1:10" ht="25.5" x14ac:dyDescent="0.2">
      <c r="A582" s="5" t="s">
        <v>7311</v>
      </c>
      <c r="B582" s="5" t="s">
        <v>83</v>
      </c>
      <c r="C582" s="5"/>
      <c r="D582" s="5" t="s">
        <v>7310</v>
      </c>
      <c r="E582" s="5"/>
      <c r="F582" s="5" t="s">
        <v>7309</v>
      </c>
      <c r="G582" s="5" t="s">
        <v>80</v>
      </c>
      <c r="H582" s="5" t="s">
        <v>3</v>
      </c>
      <c r="I582" s="5"/>
      <c r="J582" s="5" t="s">
        <v>7308</v>
      </c>
    </row>
    <row r="583" spans="1:10" ht="25.5" x14ac:dyDescent="0.2">
      <c r="A583" s="5" t="s">
        <v>15795</v>
      </c>
      <c r="B583" s="5" t="s">
        <v>83</v>
      </c>
      <c r="C583" s="5"/>
      <c r="D583" s="5" t="s">
        <v>15794</v>
      </c>
      <c r="E583" s="5"/>
      <c r="F583" s="5" t="s">
        <v>15787</v>
      </c>
      <c r="G583" s="5" t="s">
        <v>86</v>
      </c>
      <c r="H583" s="5" t="s">
        <v>137</v>
      </c>
      <c r="I583" s="5"/>
      <c r="J583" s="5" t="s">
        <v>15786</v>
      </c>
    </row>
    <row r="584" spans="1:10" ht="25.5" x14ac:dyDescent="0.2">
      <c r="A584" s="5" t="s">
        <v>15793</v>
      </c>
      <c r="B584" s="5" t="s">
        <v>83</v>
      </c>
      <c r="C584" s="5"/>
      <c r="D584" s="5" t="s">
        <v>15792</v>
      </c>
      <c r="E584" s="5"/>
      <c r="F584" s="5" t="s">
        <v>15791</v>
      </c>
      <c r="G584" s="5" t="s">
        <v>224</v>
      </c>
      <c r="H584" s="5" t="s">
        <v>3</v>
      </c>
      <c r="I584" s="5"/>
      <c r="J584" s="5" t="s">
        <v>15790</v>
      </c>
    </row>
    <row r="585" spans="1:10" ht="25.5" x14ac:dyDescent="0.2">
      <c r="A585" s="5" t="s">
        <v>15789</v>
      </c>
      <c r="B585" s="5" t="s">
        <v>83</v>
      </c>
      <c r="C585" s="5"/>
      <c r="D585" s="5" t="s">
        <v>15788</v>
      </c>
      <c r="E585" s="5"/>
      <c r="F585" s="5" t="s">
        <v>15787</v>
      </c>
      <c r="G585" s="5" t="s">
        <v>86</v>
      </c>
      <c r="H585" s="5" t="s">
        <v>137</v>
      </c>
      <c r="I585" s="5"/>
      <c r="J585" s="5" t="s">
        <v>15786</v>
      </c>
    </row>
    <row r="586" spans="1:10" ht="25.5" x14ac:dyDescent="0.2">
      <c r="A586" s="5" t="s">
        <v>15785</v>
      </c>
      <c r="B586" s="5" t="s">
        <v>83</v>
      </c>
      <c r="C586" s="5"/>
      <c r="D586" s="5" t="s">
        <v>15784</v>
      </c>
      <c r="E586" s="5"/>
      <c r="F586" s="5" t="s">
        <v>7292</v>
      </c>
      <c r="G586" s="5" t="s">
        <v>86</v>
      </c>
      <c r="H586" s="5" t="s">
        <v>3</v>
      </c>
      <c r="I586" s="5"/>
      <c r="J586" s="5" t="s">
        <v>15783</v>
      </c>
    </row>
    <row r="587" spans="1:10" ht="25.5" x14ac:dyDescent="0.2">
      <c r="A587" s="5" t="s">
        <v>15782</v>
      </c>
      <c r="B587" s="5" t="s">
        <v>83</v>
      </c>
      <c r="C587" s="5"/>
      <c r="D587" s="5" t="s">
        <v>15781</v>
      </c>
      <c r="E587" s="5"/>
      <c r="F587" s="5" t="s">
        <v>8101</v>
      </c>
      <c r="G587" s="5" t="s">
        <v>224</v>
      </c>
      <c r="H587" s="5" t="s">
        <v>137</v>
      </c>
      <c r="I587" s="5" t="s">
        <v>15488</v>
      </c>
      <c r="J587" s="5" t="s">
        <v>15780</v>
      </c>
    </row>
    <row r="588" spans="1:10" ht="25.5" x14ac:dyDescent="0.2">
      <c r="A588" s="5" t="s">
        <v>15779</v>
      </c>
      <c r="B588" s="5" t="s">
        <v>83</v>
      </c>
      <c r="C588" s="5"/>
      <c r="D588" s="5" t="s">
        <v>15778</v>
      </c>
      <c r="E588" s="5"/>
      <c r="F588" s="5" t="s">
        <v>7892</v>
      </c>
      <c r="G588" s="5" t="s">
        <v>80</v>
      </c>
      <c r="H588" s="5" t="s">
        <v>137</v>
      </c>
      <c r="I588" s="5" t="s">
        <v>15142</v>
      </c>
      <c r="J588" s="5" t="s">
        <v>15777</v>
      </c>
    </row>
    <row r="589" spans="1:10" x14ac:dyDescent="0.2">
      <c r="A589" s="5" t="s">
        <v>15776</v>
      </c>
      <c r="B589" s="5" t="s">
        <v>83</v>
      </c>
      <c r="C589" s="5"/>
      <c r="D589" s="5" t="s">
        <v>15775</v>
      </c>
      <c r="E589" s="5" t="s">
        <v>368</v>
      </c>
      <c r="F589" s="5" t="s">
        <v>15774</v>
      </c>
      <c r="G589" s="5" t="s">
        <v>303</v>
      </c>
      <c r="H589" s="5" t="s">
        <v>3</v>
      </c>
      <c r="I589" s="5"/>
      <c r="J589" s="5" t="s">
        <v>15774</v>
      </c>
    </row>
    <row r="590" spans="1:10" x14ac:dyDescent="0.2">
      <c r="A590" s="5" t="s">
        <v>15773</v>
      </c>
      <c r="B590" s="5" t="s">
        <v>83</v>
      </c>
      <c r="C590" s="5"/>
      <c r="D590" s="5" t="s">
        <v>15772</v>
      </c>
      <c r="E590" s="5" t="s">
        <v>368</v>
      </c>
      <c r="F590" s="5" t="s">
        <v>15771</v>
      </c>
      <c r="G590" s="5" t="s">
        <v>91</v>
      </c>
      <c r="H590" s="5" t="s">
        <v>3</v>
      </c>
      <c r="I590" s="5"/>
      <c r="J590" s="5" t="s">
        <v>15770</v>
      </c>
    </row>
    <row r="591" spans="1:10" ht="25.5" x14ac:dyDescent="0.2">
      <c r="A591" s="5" t="s">
        <v>15769</v>
      </c>
      <c r="B591" s="5" t="s">
        <v>83</v>
      </c>
      <c r="C591" s="5"/>
      <c r="D591" s="5" t="s">
        <v>15768</v>
      </c>
      <c r="E591" s="5"/>
      <c r="F591" s="5" t="s">
        <v>15767</v>
      </c>
      <c r="G591" s="5" t="s">
        <v>303</v>
      </c>
      <c r="H591" s="5" t="s">
        <v>137</v>
      </c>
      <c r="I591" s="5" t="s">
        <v>15488</v>
      </c>
      <c r="J591" s="5" t="s">
        <v>15766</v>
      </c>
    </row>
    <row r="592" spans="1:10" x14ac:dyDescent="0.2">
      <c r="A592" s="5" t="s">
        <v>15765</v>
      </c>
      <c r="B592" s="5" t="s">
        <v>83</v>
      </c>
      <c r="C592" s="5"/>
      <c r="D592" s="5" t="s">
        <v>15764</v>
      </c>
      <c r="E592" s="5"/>
      <c r="F592" s="5" t="s">
        <v>6621</v>
      </c>
      <c r="G592" s="5" t="s">
        <v>105</v>
      </c>
      <c r="H592" s="5" t="s">
        <v>3</v>
      </c>
      <c r="I592" s="5"/>
      <c r="J592" s="5" t="s">
        <v>15763</v>
      </c>
    </row>
    <row r="593" spans="1:10" ht="25.5" x14ac:dyDescent="0.2">
      <c r="A593" s="5" t="s">
        <v>15762</v>
      </c>
      <c r="B593" s="5" t="s">
        <v>83</v>
      </c>
      <c r="C593" s="5"/>
      <c r="D593" s="5" t="s">
        <v>15761</v>
      </c>
      <c r="E593" s="5"/>
      <c r="F593" s="5" t="s">
        <v>15760</v>
      </c>
      <c r="G593" s="5" t="s">
        <v>122</v>
      </c>
      <c r="H593" s="5" t="s">
        <v>3</v>
      </c>
      <c r="I593" s="5"/>
      <c r="J593" s="5" t="s">
        <v>15759</v>
      </c>
    </row>
    <row r="594" spans="1:10" x14ac:dyDescent="0.2">
      <c r="A594" s="5" t="s">
        <v>15758</v>
      </c>
      <c r="B594" s="5" t="s">
        <v>83</v>
      </c>
      <c r="C594" s="5"/>
      <c r="D594" s="5" t="s">
        <v>15757</v>
      </c>
      <c r="E594" s="5"/>
      <c r="F594" s="5" t="s">
        <v>15756</v>
      </c>
      <c r="G594" s="5" t="s">
        <v>229</v>
      </c>
      <c r="H594" s="5" t="s">
        <v>3</v>
      </c>
      <c r="I594" s="5"/>
      <c r="J594" s="5" t="s">
        <v>15755</v>
      </c>
    </row>
    <row r="595" spans="1:10" x14ac:dyDescent="0.2">
      <c r="A595" s="5" t="s">
        <v>15754</v>
      </c>
      <c r="B595" s="5" t="s">
        <v>83</v>
      </c>
      <c r="C595" s="5"/>
      <c r="D595" s="5" t="s">
        <v>15753</v>
      </c>
      <c r="E595" s="5"/>
      <c r="F595" s="5" t="s">
        <v>15752</v>
      </c>
      <c r="G595" s="5" t="s">
        <v>80</v>
      </c>
      <c r="H595" s="5" t="s">
        <v>3</v>
      </c>
      <c r="I595" s="5"/>
      <c r="J595" s="5" t="s">
        <v>15751</v>
      </c>
    </row>
    <row r="596" spans="1:10" ht="25.5" x14ac:dyDescent="0.2">
      <c r="A596" s="5" t="s">
        <v>15750</v>
      </c>
      <c r="B596" s="5" t="s">
        <v>83</v>
      </c>
      <c r="C596" s="5"/>
      <c r="D596" s="5" t="s">
        <v>15749</v>
      </c>
      <c r="E596" s="5"/>
      <c r="F596" s="5" t="s">
        <v>15748</v>
      </c>
      <c r="G596" s="5" t="s">
        <v>105</v>
      </c>
      <c r="H596" s="5" t="s">
        <v>3</v>
      </c>
      <c r="I596" s="5"/>
      <c r="J596" s="5" t="s">
        <v>15747</v>
      </c>
    </row>
    <row r="597" spans="1:10" x14ac:dyDescent="0.2">
      <c r="A597" s="5" t="s">
        <v>6578</v>
      </c>
      <c r="B597" s="5" t="s">
        <v>83</v>
      </c>
      <c r="C597" s="5"/>
      <c r="D597" s="5" t="s">
        <v>15746</v>
      </c>
      <c r="E597" s="5"/>
      <c r="F597" s="5" t="s">
        <v>2219</v>
      </c>
      <c r="G597" s="5" t="s">
        <v>229</v>
      </c>
      <c r="H597" s="5" t="s">
        <v>137</v>
      </c>
      <c r="I597" s="5" t="s">
        <v>10195</v>
      </c>
      <c r="J597" s="5"/>
    </row>
    <row r="598" spans="1:10" ht="25.5" x14ac:dyDescent="0.2">
      <c r="A598" s="5" t="s">
        <v>6576</v>
      </c>
      <c r="B598" s="5" t="s">
        <v>83</v>
      </c>
      <c r="C598" s="5"/>
      <c r="D598" s="5" t="s">
        <v>15745</v>
      </c>
      <c r="E598" s="5" t="s">
        <v>299</v>
      </c>
      <c r="F598" s="5" t="s">
        <v>2452</v>
      </c>
      <c r="G598" s="5" t="s">
        <v>91</v>
      </c>
      <c r="H598" s="5" t="s">
        <v>137</v>
      </c>
      <c r="I598" s="5" t="s">
        <v>15385</v>
      </c>
      <c r="J598" s="5" t="s">
        <v>15744</v>
      </c>
    </row>
    <row r="599" spans="1:10" ht="25.5" x14ac:dyDescent="0.2">
      <c r="A599" s="5" t="s">
        <v>15743</v>
      </c>
      <c r="B599" s="5" t="s">
        <v>83</v>
      </c>
      <c r="C599" s="5"/>
      <c r="D599" s="5" t="s">
        <v>15742</v>
      </c>
      <c r="E599" s="5" t="s">
        <v>299</v>
      </c>
      <c r="F599" s="5" t="s">
        <v>6478</v>
      </c>
      <c r="G599" s="5" t="s">
        <v>91</v>
      </c>
      <c r="H599" s="5" t="s">
        <v>3</v>
      </c>
      <c r="I599" s="5"/>
      <c r="J599" s="5" t="s">
        <v>15739</v>
      </c>
    </row>
    <row r="600" spans="1:10" x14ac:dyDescent="0.2">
      <c r="A600" s="5" t="s">
        <v>15741</v>
      </c>
      <c r="B600" s="5" t="s">
        <v>83</v>
      </c>
      <c r="C600" s="5"/>
      <c r="D600" s="5" t="s">
        <v>15740</v>
      </c>
      <c r="E600" s="5" t="s">
        <v>299</v>
      </c>
      <c r="F600" s="5" t="s">
        <v>6478</v>
      </c>
      <c r="G600" s="5" t="s">
        <v>91</v>
      </c>
      <c r="H600" s="5" t="s">
        <v>137</v>
      </c>
      <c r="I600" s="5"/>
      <c r="J600" s="5" t="s">
        <v>15739</v>
      </c>
    </row>
    <row r="601" spans="1:10" ht="25.5" x14ac:dyDescent="0.2">
      <c r="A601" s="5" t="s">
        <v>15738</v>
      </c>
      <c r="B601" s="5" t="s">
        <v>83</v>
      </c>
      <c r="C601" s="5"/>
      <c r="D601" s="5" t="s">
        <v>15736</v>
      </c>
      <c r="E601" s="5" t="s">
        <v>368</v>
      </c>
      <c r="F601" s="5" t="s">
        <v>6555</v>
      </c>
      <c r="G601" s="5" t="s">
        <v>702</v>
      </c>
      <c r="H601" s="5" t="s">
        <v>3</v>
      </c>
      <c r="I601" s="5"/>
      <c r="J601" s="5" t="s">
        <v>15735</v>
      </c>
    </row>
    <row r="602" spans="1:10" ht="25.5" x14ac:dyDescent="0.2">
      <c r="A602" s="5" t="s">
        <v>15737</v>
      </c>
      <c r="B602" s="5" t="s">
        <v>83</v>
      </c>
      <c r="C602" s="5"/>
      <c r="D602" s="5" t="s">
        <v>15736</v>
      </c>
      <c r="E602" s="5" t="s">
        <v>368</v>
      </c>
      <c r="F602" s="5" t="s">
        <v>6555</v>
      </c>
      <c r="G602" s="5" t="s">
        <v>702</v>
      </c>
      <c r="H602" s="5" t="s">
        <v>137</v>
      </c>
      <c r="I602" s="5"/>
      <c r="J602" s="5" t="s">
        <v>15735</v>
      </c>
    </row>
    <row r="603" spans="1:10" ht="25.5" x14ac:dyDescent="0.2">
      <c r="A603" s="5" t="s">
        <v>15734</v>
      </c>
      <c r="B603" s="5" t="s">
        <v>83</v>
      </c>
      <c r="C603" s="5"/>
      <c r="D603" s="5" t="s">
        <v>15733</v>
      </c>
      <c r="E603" s="5"/>
      <c r="F603" s="5"/>
      <c r="G603" s="5" t="s">
        <v>170</v>
      </c>
      <c r="H603" s="5" t="s">
        <v>3</v>
      </c>
      <c r="I603" s="5"/>
      <c r="J603" s="5" t="s">
        <v>15732</v>
      </c>
    </row>
    <row r="604" spans="1:10" ht="25.5" x14ac:dyDescent="0.2">
      <c r="A604" s="5" t="s">
        <v>15731</v>
      </c>
      <c r="B604" s="5" t="s">
        <v>83</v>
      </c>
      <c r="C604" s="5"/>
      <c r="D604" s="5" t="s">
        <v>15730</v>
      </c>
      <c r="E604" s="5"/>
      <c r="F604" s="5"/>
      <c r="G604" s="5" t="s">
        <v>170</v>
      </c>
      <c r="H604" s="5" t="s">
        <v>3</v>
      </c>
      <c r="I604" s="5"/>
      <c r="J604" s="5" t="s">
        <v>15729</v>
      </c>
    </row>
    <row r="605" spans="1:10" ht="38.25" x14ac:dyDescent="0.2">
      <c r="A605" s="5" t="s">
        <v>15728</v>
      </c>
      <c r="B605" s="5" t="s">
        <v>83</v>
      </c>
      <c r="C605" s="5"/>
      <c r="D605" s="5" t="s">
        <v>15727</v>
      </c>
      <c r="E605" s="5"/>
      <c r="F605" s="5"/>
      <c r="G605" s="5" t="s">
        <v>170</v>
      </c>
      <c r="H605" s="5" t="s">
        <v>3</v>
      </c>
      <c r="I605" s="5"/>
      <c r="J605" s="5" t="s">
        <v>15726</v>
      </c>
    </row>
    <row r="606" spans="1:10" ht="25.5" x14ac:dyDescent="0.2">
      <c r="A606" s="5" t="s">
        <v>13929</v>
      </c>
      <c r="B606" s="5" t="s">
        <v>83</v>
      </c>
      <c r="C606" s="5"/>
      <c r="D606" s="5" t="s">
        <v>15725</v>
      </c>
      <c r="E606" s="5"/>
      <c r="F606" s="5" t="s">
        <v>13929</v>
      </c>
      <c r="G606" s="5" t="s">
        <v>6584</v>
      </c>
      <c r="H606" s="5" t="s">
        <v>3</v>
      </c>
      <c r="I606" s="5"/>
      <c r="J606" s="5"/>
    </row>
    <row r="607" spans="1:10" ht="25.5" x14ac:dyDescent="0.2">
      <c r="A607" s="5" t="s">
        <v>15724</v>
      </c>
      <c r="B607" s="5" t="s">
        <v>83</v>
      </c>
      <c r="C607" s="5"/>
      <c r="D607" s="5" t="s">
        <v>15723</v>
      </c>
      <c r="E607" s="5"/>
      <c r="F607" s="5" t="s">
        <v>13929</v>
      </c>
      <c r="G607" s="5" t="s">
        <v>6584</v>
      </c>
      <c r="H607" s="5" t="s">
        <v>3</v>
      </c>
      <c r="I607" s="5"/>
      <c r="J607" s="5" t="s">
        <v>15722</v>
      </c>
    </row>
    <row r="608" spans="1:10" x14ac:dyDescent="0.2">
      <c r="A608" s="5" t="s">
        <v>13680</v>
      </c>
      <c r="B608" s="5" t="s">
        <v>83</v>
      </c>
      <c r="C608" s="5"/>
      <c r="D608" s="5" t="s">
        <v>6362</v>
      </c>
      <c r="E608" s="5"/>
      <c r="F608" s="5" t="s">
        <v>9416</v>
      </c>
      <c r="G608" s="5" t="s">
        <v>118</v>
      </c>
      <c r="H608" s="5" t="s">
        <v>3</v>
      </c>
      <c r="I608" s="5"/>
      <c r="J608" s="5" t="s">
        <v>15721</v>
      </c>
    </row>
    <row r="609" spans="1:10" x14ac:dyDescent="0.2">
      <c r="A609" s="5" t="s">
        <v>10425</v>
      </c>
      <c r="B609" s="5" t="s">
        <v>83</v>
      </c>
      <c r="C609" s="5"/>
      <c r="D609" s="5" t="s">
        <v>15720</v>
      </c>
      <c r="E609" s="5" t="s">
        <v>138</v>
      </c>
      <c r="F609" s="5" t="s">
        <v>2219</v>
      </c>
      <c r="G609" s="5" t="s">
        <v>91</v>
      </c>
      <c r="H609" s="5" t="s">
        <v>137</v>
      </c>
      <c r="I609" s="5" t="s">
        <v>10195</v>
      </c>
      <c r="J609" s="5" t="s">
        <v>2218</v>
      </c>
    </row>
    <row r="610" spans="1:10" ht="25.5" x14ac:dyDescent="0.2">
      <c r="A610" s="5" t="s">
        <v>15719</v>
      </c>
      <c r="B610" s="5" t="s">
        <v>83</v>
      </c>
      <c r="C610" s="5"/>
      <c r="D610" s="5" t="s">
        <v>15718</v>
      </c>
      <c r="E610" s="5"/>
      <c r="F610" s="5" t="s">
        <v>15717</v>
      </c>
      <c r="G610" s="5" t="s">
        <v>224</v>
      </c>
      <c r="H610" s="5" t="s">
        <v>3</v>
      </c>
      <c r="I610" s="5"/>
      <c r="J610" s="5" t="s">
        <v>15717</v>
      </c>
    </row>
    <row r="611" spans="1:10" x14ac:dyDescent="0.2">
      <c r="A611" s="5" t="s">
        <v>15716</v>
      </c>
      <c r="B611" s="5" t="s">
        <v>83</v>
      </c>
      <c r="C611" s="5"/>
      <c r="D611" s="5" t="s">
        <v>15715</v>
      </c>
      <c r="E611" s="5"/>
      <c r="F611" s="5"/>
      <c r="G611" s="5" t="s">
        <v>195</v>
      </c>
      <c r="H611" s="5" t="s">
        <v>3</v>
      </c>
      <c r="I611" s="5"/>
      <c r="J611" s="5" t="s">
        <v>15714</v>
      </c>
    </row>
    <row r="612" spans="1:10" ht="25.5" x14ac:dyDescent="0.2">
      <c r="A612" s="5" t="s">
        <v>15713</v>
      </c>
      <c r="B612" s="5" t="s">
        <v>83</v>
      </c>
      <c r="C612" s="5"/>
      <c r="D612" s="5" t="s">
        <v>15712</v>
      </c>
      <c r="E612" s="5" t="s">
        <v>368</v>
      </c>
      <c r="F612" s="5"/>
      <c r="G612" s="5" t="s">
        <v>382</v>
      </c>
      <c r="H612" s="5" t="s">
        <v>137</v>
      </c>
      <c r="I612" s="5" t="s">
        <v>15711</v>
      </c>
      <c r="J612" s="5"/>
    </row>
    <row r="613" spans="1:10" x14ac:dyDescent="0.2">
      <c r="A613" s="5" t="s">
        <v>11678</v>
      </c>
      <c r="B613" s="5" t="s">
        <v>83</v>
      </c>
      <c r="C613" s="5"/>
      <c r="D613" s="5" t="s">
        <v>15710</v>
      </c>
      <c r="E613" s="5" t="s">
        <v>150</v>
      </c>
      <c r="F613" s="5" t="s">
        <v>15709</v>
      </c>
      <c r="G613" s="5" t="s">
        <v>283</v>
      </c>
      <c r="H613" s="5" t="s">
        <v>3</v>
      </c>
      <c r="I613" s="5"/>
      <c r="J613" s="5" t="s">
        <v>11676</v>
      </c>
    </row>
    <row r="614" spans="1:10" ht="25.5" x14ac:dyDescent="0.2">
      <c r="A614" s="5" t="s">
        <v>14034</v>
      </c>
      <c r="B614" s="5" t="s">
        <v>83</v>
      </c>
      <c r="C614" s="5"/>
      <c r="D614" s="5" t="s">
        <v>15708</v>
      </c>
      <c r="E614" s="5"/>
      <c r="F614" s="5"/>
      <c r="G614" s="5" t="s">
        <v>276</v>
      </c>
      <c r="H614" s="5" t="s">
        <v>3</v>
      </c>
      <c r="I614" s="5"/>
      <c r="J614" s="5"/>
    </row>
    <row r="615" spans="1:10" x14ac:dyDescent="0.2">
      <c r="A615" s="5" t="s">
        <v>10422</v>
      </c>
      <c r="B615" s="5" t="s">
        <v>83</v>
      </c>
      <c r="C615" s="5"/>
      <c r="D615" s="5" t="s">
        <v>15707</v>
      </c>
      <c r="E615" s="5" t="s">
        <v>138</v>
      </c>
      <c r="F615" s="5" t="s">
        <v>10421</v>
      </c>
      <c r="G615" s="5" t="s">
        <v>91</v>
      </c>
      <c r="H615" s="5" t="s">
        <v>137</v>
      </c>
      <c r="I615" s="5" t="s">
        <v>10195</v>
      </c>
      <c r="J615" s="5" t="s">
        <v>10420</v>
      </c>
    </row>
    <row r="616" spans="1:10" ht="25.5" x14ac:dyDescent="0.2">
      <c r="A616" s="5" t="s">
        <v>6448</v>
      </c>
      <c r="B616" s="5" t="s">
        <v>83</v>
      </c>
      <c r="C616" s="5"/>
      <c r="D616" s="5" t="s">
        <v>15706</v>
      </c>
      <c r="E616" s="5"/>
      <c r="F616" s="5" t="s">
        <v>6448</v>
      </c>
      <c r="G616" s="5" t="s">
        <v>105</v>
      </c>
      <c r="H616" s="5" t="s">
        <v>3</v>
      </c>
      <c r="I616" s="5"/>
      <c r="J616" s="5"/>
    </row>
    <row r="617" spans="1:10" ht="25.5" x14ac:dyDescent="0.2">
      <c r="A617" s="5" t="s">
        <v>6444</v>
      </c>
      <c r="B617" s="5" t="s">
        <v>83</v>
      </c>
      <c r="C617" s="5"/>
      <c r="D617" s="5" t="s">
        <v>15705</v>
      </c>
      <c r="E617" s="5"/>
      <c r="F617" s="5" t="s">
        <v>6442</v>
      </c>
      <c r="G617" s="5" t="s">
        <v>224</v>
      </c>
      <c r="H617" s="5" t="s">
        <v>3</v>
      </c>
      <c r="I617" s="5"/>
      <c r="J617" s="5" t="s">
        <v>6441</v>
      </c>
    </row>
    <row r="618" spans="1:10" x14ac:dyDescent="0.2">
      <c r="A618" s="5" t="s">
        <v>15704</v>
      </c>
      <c r="B618" s="5" t="s">
        <v>83</v>
      </c>
      <c r="C618" s="5"/>
      <c r="D618" s="5" t="s">
        <v>15703</v>
      </c>
      <c r="E618" s="5"/>
      <c r="F618" s="5" t="s">
        <v>15702</v>
      </c>
      <c r="G618" s="5" t="s">
        <v>229</v>
      </c>
      <c r="H618" s="5" t="s">
        <v>3</v>
      </c>
      <c r="I618" s="5"/>
      <c r="J618" s="5" t="s">
        <v>15701</v>
      </c>
    </row>
    <row r="619" spans="1:10" ht="25.5" x14ac:dyDescent="0.2">
      <c r="A619" s="5" t="s">
        <v>15700</v>
      </c>
      <c r="B619" s="5" t="s">
        <v>83</v>
      </c>
      <c r="C619" s="5"/>
      <c r="D619" s="5" t="s">
        <v>15699</v>
      </c>
      <c r="E619" s="5"/>
      <c r="F619" s="5"/>
      <c r="G619" s="5" t="s">
        <v>91</v>
      </c>
      <c r="H619" s="5" t="s">
        <v>137</v>
      </c>
      <c r="I619" s="5" t="s">
        <v>15488</v>
      </c>
      <c r="J619" s="5"/>
    </row>
    <row r="620" spans="1:10" x14ac:dyDescent="0.2">
      <c r="A620" s="5" t="s">
        <v>15698</v>
      </c>
      <c r="B620" s="5" t="s">
        <v>83</v>
      </c>
      <c r="C620" s="5"/>
      <c r="D620" s="5" t="s">
        <v>15697</v>
      </c>
      <c r="E620" s="5" t="s">
        <v>138</v>
      </c>
      <c r="F620" s="5" t="s">
        <v>2215</v>
      </c>
      <c r="G620" s="5" t="s">
        <v>91</v>
      </c>
      <c r="H620" s="5" t="s">
        <v>3</v>
      </c>
      <c r="I620" s="5"/>
      <c r="J620" s="5" t="s">
        <v>15696</v>
      </c>
    </row>
    <row r="621" spans="1:10" ht="38.25" x14ac:dyDescent="0.2">
      <c r="A621" s="5" t="s">
        <v>15694</v>
      </c>
      <c r="B621" s="5" t="s">
        <v>83</v>
      </c>
      <c r="C621" s="5"/>
      <c r="D621" s="5" t="s">
        <v>15695</v>
      </c>
      <c r="E621" s="5"/>
      <c r="F621" s="5" t="s">
        <v>15694</v>
      </c>
      <c r="G621" s="5" t="s">
        <v>229</v>
      </c>
      <c r="H621" s="5" t="s">
        <v>3</v>
      </c>
      <c r="I621" s="5"/>
      <c r="J621" s="5" t="s">
        <v>15693</v>
      </c>
    </row>
    <row r="622" spans="1:10" x14ac:dyDescent="0.2">
      <c r="A622" s="5" t="s">
        <v>6372</v>
      </c>
      <c r="B622" s="5" t="s">
        <v>83</v>
      </c>
      <c r="C622" s="5"/>
      <c r="D622" s="5" t="s">
        <v>15692</v>
      </c>
      <c r="E622" s="5" t="s">
        <v>368</v>
      </c>
      <c r="F622" s="5"/>
      <c r="G622" s="5" t="s">
        <v>382</v>
      </c>
      <c r="H622" s="5" t="s">
        <v>3</v>
      </c>
      <c r="I622" s="5"/>
      <c r="J622" s="5" t="s">
        <v>15691</v>
      </c>
    </row>
    <row r="623" spans="1:10" ht="25.5" x14ac:dyDescent="0.2">
      <c r="A623" s="5" t="s">
        <v>15690</v>
      </c>
      <c r="B623" s="5" t="s">
        <v>83</v>
      </c>
      <c r="C623" s="5"/>
      <c r="D623" s="5" t="s">
        <v>15689</v>
      </c>
      <c r="E623" s="5" t="s">
        <v>138</v>
      </c>
      <c r="F623" s="5" t="s">
        <v>7353</v>
      </c>
      <c r="G623" s="5" t="s">
        <v>181</v>
      </c>
      <c r="H623" s="5" t="s">
        <v>137</v>
      </c>
      <c r="I623" s="5" t="s">
        <v>15390</v>
      </c>
      <c r="J623" s="5" t="s">
        <v>90</v>
      </c>
    </row>
    <row r="624" spans="1:10" ht="25.5" x14ac:dyDescent="0.2">
      <c r="A624" s="5" t="s">
        <v>15688</v>
      </c>
      <c r="B624" s="5" t="s">
        <v>83</v>
      </c>
      <c r="C624" s="5"/>
      <c r="D624" s="5" t="s">
        <v>15594</v>
      </c>
      <c r="E624" s="5"/>
      <c r="F624" s="5" t="s">
        <v>8472</v>
      </c>
      <c r="G624" s="5" t="s">
        <v>80</v>
      </c>
      <c r="H624" s="5" t="s">
        <v>137</v>
      </c>
      <c r="I624" s="5" t="s">
        <v>15553</v>
      </c>
      <c r="J624" s="5" t="s">
        <v>15687</v>
      </c>
    </row>
    <row r="625" spans="1:10" ht="25.5" x14ac:dyDescent="0.2">
      <c r="A625" s="5" t="s">
        <v>15686</v>
      </c>
      <c r="B625" s="5" t="s">
        <v>83</v>
      </c>
      <c r="C625" s="5"/>
      <c r="D625" s="5" t="s">
        <v>15685</v>
      </c>
      <c r="E625" s="5"/>
      <c r="F625" s="5" t="s">
        <v>15684</v>
      </c>
      <c r="G625" s="5" t="s">
        <v>207</v>
      </c>
      <c r="H625" s="5" t="s">
        <v>137</v>
      </c>
      <c r="I625" s="5"/>
      <c r="J625" s="5" t="s">
        <v>15683</v>
      </c>
    </row>
    <row r="626" spans="1:10" ht="25.5" x14ac:dyDescent="0.2">
      <c r="A626" s="5" t="s">
        <v>15682</v>
      </c>
      <c r="B626" s="5" t="s">
        <v>83</v>
      </c>
      <c r="C626" s="5"/>
      <c r="D626" s="5" t="s">
        <v>15681</v>
      </c>
      <c r="E626" s="5"/>
      <c r="F626" s="5" t="s">
        <v>15680</v>
      </c>
      <c r="G626" s="5" t="s">
        <v>7296</v>
      </c>
      <c r="H626" s="5" t="s">
        <v>137</v>
      </c>
      <c r="I626" s="5"/>
      <c r="J626" s="5" t="s">
        <v>15679</v>
      </c>
    </row>
    <row r="627" spans="1:10" ht="25.5" x14ac:dyDescent="0.2">
      <c r="A627" s="5" t="s">
        <v>15678</v>
      </c>
      <c r="B627" s="5" t="s">
        <v>83</v>
      </c>
      <c r="C627" s="5"/>
      <c r="D627" s="5" t="s">
        <v>15677</v>
      </c>
      <c r="E627" s="5"/>
      <c r="F627" s="5" t="s">
        <v>15239</v>
      </c>
      <c r="G627" s="5" t="s">
        <v>118</v>
      </c>
      <c r="H627" s="5" t="s">
        <v>137</v>
      </c>
      <c r="I627" s="5" t="s">
        <v>15553</v>
      </c>
      <c r="J627" s="5" t="s">
        <v>15676</v>
      </c>
    </row>
    <row r="628" spans="1:10" ht="25.5" x14ac:dyDescent="0.2">
      <c r="A628" s="5" t="s">
        <v>15675</v>
      </c>
      <c r="B628" s="5" t="s">
        <v>83</v>
      </c>
      <c r="C628" s="5"/>
      <c r="D628" s="5" t="s">
        <v>15674</v>
      </c>
      <c r="E628" s="5"/>
      <c r="F628" s="5" t="s">
        <v>15642</v>
      </c>
      <c r="G628" s="5" t="s">
        <v>118</v>
      </c>
      <c r="H628" s="5" t="s">
        <v>137</v>
      </c>
      <c r="I628" s="5" t="s">
        <v>15553</v>
      </c>
      <c r="J628" s="5" t="s">
        <v>15673</v>
      </c>
    </row>
    <row r="629" spans="1:10" ht="25.5" x14ac:dyDescent="0.2">
      <c r="A629" s="5" t="s">
        <v>15672</v>
      </c>
      <c r="B629" s="5" t="s">
        <v>83</v>
      </c>
      <c r="C629" s="5"/>
      <c r="D629" s="5" t="s">
        <v>15671</v>
      </c>
      <c r="E629" s="5" t="s">
        <v>93</v>
      </c>
      <c r="F629" s="5" t="s">
        <v>15642</v>
      </c>
      <c r="G629" s="5" t="s">
        <v>118</v>
      </c>
      <c r="H629" s="5" t="s">
        <v>137</v>
      </c>
      <c r="I629" s="5" t="s">
        <v>15553</v>
      </c>
      <c r="J629" s="5" t="s">
        <v>15670</v>
      </c>
    </row>
    <row r="630" spans="1:10" x14ac:dyDescent="0.2">
      <c r="A630" s="5" t="s">
        <v>4053</v>
      </c>
      <c r="B630" s="5" t="s">
        <v>83</v>
      </c>
      <c r="C630" s="5"/>
      <c r="D630" s="5" t="s">
        <v>15669</v>
      </c>
      <c r="E630" s="5"/>
      <c r="F630" s="5" t="s">
        <v>106</v>
      </c>
      <c r="G630" s="5" t="s">
        <v>882</v>
      </c>
      <c r="H630" s="5" t="s">
        <v>3</v>
      </c>
      <c r="I630" s="5"/>
      <c r="J630" s="5" t="s">
        <v>15668</v>
      </c>
    </row>
    <row r="631" spans="1:10" x14ac:dyDescent="0.2">
      <c r="A631" s="5" t="s">
        <v>21</v>
      </c>
      <c r="B631" s="5" t="s">
        <v>83</v>
      </c>
      <c r="C631" s="5"/>
      <c r="D631" s="5" t="s">
        <v>15667</v>
      </c>
      <c r="E631" s="5"/>
      <c r="F631" s="5" t="s">
        <v>4053</v>
      </c>
      <c r="G631" s="5" t="s">
        <v>4028</v>
      </c>
      <c r="H631" s="5" t="s">
        <v>3</v>
      </c>
      <c r="I631" s="5"/>
      <c r="J631" s="5" t="s">
        <v>106</v>
      </c>
    </row>
    <row r="632" spans="1:10" ht="25.5" x14ac:dyDescent="0.2">
      <c r="A632" s="5" t="s">
        <v>15666</v>
      </c>
      <c r="B632" s="5" t="s">
        <v>83</v>
      </c>
      <c r="C632" s="5"/>
      <c r="D632" s="5" t="s">
        <v>15665</v>
      </c>
      <c r="E632" s="5"/>
      <c r="F632" s="5" t="s">
        <v>15664</v>
      </c>
      <c r="G632" s="5" t="s">
        <v>170</v>
      </c>
      <c r="H632" s="5" t="s">
        <v>3</v>
      </c>
      <c r="I632" s="5"/>
      <c r="J632" s="5"/>
    </row>
    <row r="633" spans="1:10" ht="25.5" x14ac:dyDescent="0.2">
      <c r="A633" s="5" t="s">
        <v>15663</v>
      </c>
      <c r="B633" s="5" t="s">
        <v>83</v>
      </c>
      <c r="C633" s="5"/>
      <c r="D633" s="5" t="s">
        <v>15662</v>
      </c>
      <c r="E633" s="5"/>
      <c r="F633" s="5" t="s">
        <v>15661</v>
      </c>
      <c r="G633" s="5" t="s">
        <v>229</v>
      </c>
      <c r="H633" s="5" t="s">
        <v>137</v>
      </c>
      <c r="I633" s="5"/>
      <c r="J633" s="5"/>
    </row>
    <row r="634" spans="1:10" ht="25.5" x14ac:dyDescent="0.2">
      <c r="A634" s="5" t="s">
        <v>1532</v>
      </c>
      <c r="B634" s="5" t="s">
        <v>83</v>
      </c>
      <c r="C634" s="5"/>
      <c r="D634" s="5" t="s">
        <v>15660</v>
      </c>
      <c r="E634" s="5"/>
      <c r="F634" s="5" t="s">
        <v>15659</v>
      </c>
      <c r="G634" s="5" t="s">
        <v>1542</v>
      </c>
      <c r="H634" s="5" t="s">
        <v>137</v>
      </c>
      <c r="I634" s="5" t="s">
        <v>15387</v>
      </c>
      <c r="J634" s="5" t="s">
        <v>8858</v>
      </c>
    </row>
    <row r="635" spans="1:10" ht="25.5" x14ac:dyDescent="0.2">
      <c r="A635" s="5" t="s">
        <v>5426</v>
      </c>
      <c r="B635" s="5" t="s">
        <v>83</v>
      </c>
      <c r="C635" s="5"/>
      <c r="D635" s="5" t="s">
        <v>15658</v>
      </c>
      <c r="E635" s="5"/>
      <c r="F635" s="5" t="s">
        <v>15494</v>
      </c>
      <c r="G635" s="5" t="s">
        <v>118</v>
      </c>
      <c r="H635" s="5" t="s">
        <v>137</v>
      </c>
      <c r="I635" s="5" t="s">
        <v>15390</v>
      </c>
      <c r="J635" s="5"/>
    </row>
    <row r="636" spans="1:10" ht="25.5" x14ac:dyDescent="0.2">
      <c r="A636" s="5" t="s">
        <v>15657</v>
      </c>
      <c r="B636" s="5" t="s">
        <v>83</v>
      </c>
      <c r="C636" s="5"/>
      <c r="D636" s="5" t="s">
        <v>15656</v>
      </c>
      <c r="E636" s="5"/>
      <c r="F636" s="5" t="s">
        <v>15655</v>
      </c>
      <c r="G636" s="5" t="s">
        <v>148</v>
      </c>
      <c r="H636" s="5" t="s">
        <v>137</v>
      </c>
      <c r="I636" s="5"/>
      <c r="J636" s="5" t="s">
        <v>15654</v>
      </c>
    </row>
    <row r="637" spans="1:10" x14ac:dyDescent="0.2">
      <c r="A637" s="5" t="s">
        <v>15653</v>
      </c>
      <c r="B637" s="5" t="s">
        <v>83</v>
      </c>
      <c r="C637" s="5"/>
      <c r="D637" s="5" t="s">
        <v>15652</v>
      </c>
      <c r="E637" s="5"/>
      <c r="F637" s="5" t="s">
        <v>15651</v>
      </c>
      <c r="G637" s="5" t="s">
        <v>224</v>
      </c>
      <c r="H637" s="5" t="s">
        <v>137</v>
      </c>
      <c r="I637" s="5"/>
      <c r="J637" s="5" t="s">
        <v>15650</v>
      </c>
    </row>
    <row r="638" spans="1:10" x14ac:dyDescent="0.2">
      <c r="A638" s="5" t="s">
        <v>8841</v>
      </c>
      <c r="B638" s="5" t="s">
        <v>83</v>
      </c>
      <c r="C638" s="5"/>
      <c r="D638" s="5" t="s">
        <v>15649</v>
      </c>
      <c r="E638" s="5"/>
      <c r="F638" s="5" t="s">
        <v>4272</v>
      </c>
      <c r="G638" s="5" t="s">
        <v>4028</v>
      </c>
      <c r="H638" s="5" t="s">
        <v>3</v>
      </c>
      <c r="I638" s="5"/>
      <c r="J638" s="5" t="s">
        <v>15648</v>
      </c>
    </row>
    <row r="639" spans="1:10" x14ac:dyDescent="0.2">
      <c r="A639" s="5" t="s">
        <v>3939</v>
      </c>
      <c r="B639" s="5" t="s">
        <v>83</v>
      </c>
      <c r="C639" s="5"/>
      <c r="D639" s="5" t="s">
        <v>8572</v>
      </c>
      <c r="E639" s="5"/>
      <c r="F639" s="5" t="s">
        <v>8572</v>
      </c>
      <c r="G639" s="5" t="s">
        <v>382</v>
      </c>
      <c r="H639" s="5" t="s">
        <v>3</v>
      </c>
      <c r="I639" s="5"/>
      <c r="J639" s="5"/>
    </row>
    <row r="640" spans="1:10" ht="25.5" x14ac:dyDescent="0.2">
      <c r="A640" s="5" t="s">
        <v>15647</v>
      </c>
      <c r="B640" s="5" t="s">
        <v>83</v>
      </c>
      <c r="C640" s="5"/>
      <c r="D640" s="5" t="s">
        <v>15646</v>
      </c>
      <c r="E640" s="5"/>
      <c r="F640" s="5" t="s">
        <v>15239</v>
      </c>
      <c r="G640" s="5" t="s">
        <v>118</v>
      </c>
      <c r="H640" s="5" t="s">
        <v>137</v>
      </c>
      <c r="I640" s="5" t="s">
        <v>15553</v>
      </c>
      <c r="J640" s="5" t="s">
        <v>15645</v>
      </c>
    </row>
    <row r="641" spans="1:10" ht="25.5" x14ac:dyDescent="0.2">
      <c r="A641" s="5" t="s">
        <v>15644</v>
      </c>
      <c r="B641" s="5" t="s">
        <v>83</v>
      </c>
      <c r="C641" s="5"/>
      <c r="D641" s="5" t="s">
        <v>15643</v>
      </c>
      <c r="E641" s="5"/>
      <c r="F641" s="5" t="s">
        <v>15642</v>
      </c>
      <c r="G641" s="5" t="s">
        <v>118</v>
      </c>
      <c r="H641" s="5" t="s">
        <v>137</v>
      </c>
      <c r="I641" s="5" t="s">
        <v>15553</v>
      </c>
      <c r="J641" s="5" t="s">
        <v>15641</v>
      </c>
    </row>
    <row r="642" spans="1:10" ht="25.5" x14ac:dyDescent="0.2">
      <c r="A642" s="5" t="s">
        <v>15640</v>
      </c>
      <c r="B642" s="5" t="s">
        <v>83</v>
      </c>
      <c r="C642" s="5"/>
      <c r="D642" s="5" t="s">
        <v>15639</v>
      </c>
      <c r="E642" s="5"/>
      <c r="F642" s="5"/>
      <c r="G642" s="5" t="s">
        <v>105</v>
      </c>
      <c r="H642" s="5" t="s">
        <v>3</v>
      </c>
      <c r="I642" s="5"/>
      <c r="J642" s="5" t="s">
        <v>15638</v>
      </c>
    </row>
    <row r="643" spans="1:10" ht="25.5" x14ac:dyDescent="0.2">
      <c r="A643" s="5" t="s">
        <v>15637</v>
      </c>
      <c r="B643" s="5" t="s">
        <v>83</v>
      </c>
      <c r="C643" s="5"/>
      <c r="D643" s="5" t="s">
        <v>15636</v>
      </c>
      <c r="E643" s="5"/>
      <c r="F643" s="5" t="s">
        <v>15635</v>
      </c>
      <c r="G643" s="5" t="s">
        <v>4028</v>
      </c>
      <c r="H643" s="5" t="s">
        <v>3</v>
      </c>
      <c r="I643" s="5"/>
      <c r="J643" s="5" t="s">
        <v>15634</v>
      </c>
    </row>
    <row r="644" spans="1:10" ht="25.5" x14ac:dyDescent="0.2">
      <c r="A644" s="5" t="s">
        <v>15633</v>
      </c>
      <c r="B644" s="5" t="s">
        <v>83</v>
      </c>
      <c r="C644" s="5"/>
      <c r="D644" s="5" t="s">
        <v>15632</v>
      </c>
      <c r="E644" s="5"/>
      <c r="F644" s="5" t="s">
        <v>7353</v>
      </c>
      <c r="G644" s="5" t="s">
        <v>328</v>
      </c>
      <c r="H644" s="5" t="s">
        <v>137</v>
      </c>
      <c r="I644" s="5" t="s">
        <v>15390</v>
      </c>
      <c r="J644" s="5" t="s">
        <v>15631</v>
      </c>
    </row>
    <row r="645" spans="1:10" ht="25.5" x14ac:dyDescent="0.2">
      <c r="A645" s="5" t="s">
        <v>15630</v>
      </c>
      <c r="B645" s="5" t="s">
        <v>83</v>
      </c>
      <c r="C645" s="5"/>
      <c r="D645" s="5" t="s">
        <v>15629</v>
      </c>
      <c r="E645" s="5"/>
      <c r="F645" s="5" t="s">
        <v>7353</v>
      </c>
      <c r="G645" s="5" t="s">
        <v>105</v>
      </c>
      <c r="H645" s="5" t="s">
        <v>137</v>
      </c>
      <c r="I645" s="5" t="s">
        <v>15390</v>
      </c>
      <c r="J645" s="5" t="s">
        <v>15628</v>
      </c>
    </row>
    <row r="646" spans="1:10" ht="25.5" x14ac:dyDescent="0.2">
      <c r="A646" s="5" t="s">
        <v>15627</v>
      </c>
      <c r="B646" s="5" t="s">
        <v>83</v>
      </c>
      <c r="C646" s="5"/>
      <c r="D646" s="5" t="s">
        <v>15626</v>
      </c>
      <c r="E646" s="5"/>
      <c r="F646" s="5" t="s">
        <v>358</v>
      </c>
      <c r="G646" s="5" t="s">
        <v>7296</v>
      </c>
      <c r="H646" s="5" t="s">
        <v>3</v>
      </c>
      <c r="I646" s="5"/>
      <c r="J646" s="5" t="s">
        <v>15621</v>
      </c>
    </row>
    <row r="647" spans="1:10" ht="25.5" x14ac:dyDescent="0.2">
      <c r="A647" s="5" t="s">
        <v>15625</v>
      </c>
      <c r="B647" s="5" t="s">
        <v>83</v>
      </c>
      <c r="C647" s="5"/>
      <c r="D647" s="5" t="s">
        <v>15624</v>
      </c>
      <c r="E647" s="5"/>
      <c r="F647" s="5" t="s">
        <v>358</v>
      </c>
      <c r="G647" s="5" t="s">
        <v>7296</v>
      </c>
      <c r="H647" s="5" t="s">
        <v>3</v>
      </c>
      <c r="I647" s="5"/>
      <c r="J647" s="5" t="s">
        <v>15621</v>
      </c>
    </row>
    <row r="648" spans="1:10" ht="25.5" x14ac:dyDescent="0.2">
      <c r="A648" s="5" t="s">
        <v>15623</v>
      </c>
      <c r="B648" s="5" t="s">
        <v>83</v>
      </c>
      <c r="C648" s="5"/>
      <c r="D648" s="5" t="s">
        <v>15622</v>
      </c>
      <c r="E648" s="5"/>
      <c r="F648" s="5" t="s">
        <v>358</v>
      </c>
      <c r="G648" s="5" t="s">
        <v>7296</v>
      </c>
      <c r="H648" s="5" t="s">
        <v>3</v>
      </c>
      <c r="I648" s="5"/>
      <c r="J648" s="5" t="s">
        <v>15621</v>
      </c>
    </row>
    <row r="649" spans="1:10" x14ac:dyDescent="0.2">
      <c r="A649" s="5" t="s">
        <v>15619</v>
      </c>
      <c r="B649" s="5" t="s">
        <v>83</v>
      </c>
      <c r="C649" s="5"/>
      <c r="D649" s="5" t="s">
        <v>15620</v>
      </c>
      <c r="E649" s="5" t="s">
        <v>138</v>
      </c>
      <c r="F649" s="5" t="s">
        <v>15619</v>
      </c>
      <c r="G649" s="5" t="s">
        <v>382</v>
      </c>
      <c r="H649" s="5" t="s">
        <v>3</v>
      </c>
      <c r="I649" s="5"/>
      <c r="J649" s="5"/>
    </row>
    <row r="650" spans="1:10" ht="25.5" x14ac:dyDescent="0.2">
      <c r="A650" s="5" t="s">
        <v>15618</v>
      </c>
      <c r="B650" s="5" t="s">
        <v>83</v>
      </c>
      <c r="C650" s="5"/>
      <c r="D650" s="5" t="s">
        <v>15617</v>
      </c>
      <c r="E650" s="5" t="s">
        <v>138</v>
      </c>
      <c r="F650" s="5" t="s">
        <v>15600</v>
      </c>
      <c r="G650" s="5" t="s">
        <v>181</v>
      </c>
      <c r="H650" s="5" t="s">
        <v>137</v>
      </c>
      <c r="I650" s="5" t="s">
        <v>15599</v>
      </c>
      <c r="J650" s="5" t="s">
        <v>15598</v>
      </c>
    </row>
    <row r="651" spans="1:10" x14ac:dyDescent="0.2">
      <c r="A651" s="5" t="s">
        <v>15616</v>
      </c>
      <c r="B651" s="5" t="s">
        <v>83</v>
      </c>
      <c r="C651" s="5"/>
      <c r="D651" s="5" t="s">
        <v>15615</v>
      </c>
      <c r="E651" s="5" t="s">
        <v>93</v>
      </c>
      <c r="F651" s="5" t="s">
        <v>9247</v>
      </c>
      <c r="G651" s="5" t="s">
        <v>148</v>
      </c>
      <c r="H651" s="5" t="s">
        <v>3</v>
      </c>
      <c r="I651" s="5" t="s">
        <v>15449</v>
      </c>
      <c r="J651" s="5" t="s">
        <v>15614</v>
      </c>
    </row>
    <row r="652" spans="1:10" ht="25.5" x14ac:dyDescent="0.2">
      <c r="A652" s="5" t="s">
        <v>15613</v>
      </c>
      <c r="B652" s="5" t="s">
        <v>83</v>
      </c>
      <c r="C652" s="5"/>
      <c r="D652" s="5" t="s">
        <v>15612</v>
      </c>
      <c r="E652" s="5"/>
      <c r="F652" s="5" t="s">
        <v>2215</v>
      </c>
      <c r="G652" s="5" t="s">
        <v>148</v>
      </c>
      <c r="H652" s="5" t="s">
        <v>137</v>
      </c>
      <c r="I652" s="5" t="s">
        <v>7844</v>
      </c>
      <c r="J652" s="5"/>
    </row>
    <row r="653" spans="1:10" ht="25.5" x14ac:dyDescent="0.2">
      <c r="A653" s="5" t="s">
        <v>15611</v>
      </c>
      <c r="B653" s="5" t="s">
        <v>83</v>
      </c>
      <c r="C653" s="5"/>
      <c r="D653" s="5" t="s">
        <v>15610</v>
      </c>
      <c r="E653" s="5"/>
      <c r="F653" s="5" t="s">
        <v>2215</v>
      </c>
      <c r="G653" s="5" t="s">
        <v>148</v>
      </c>
      <c r="H653" s="5" t="s">
        <v>137</v>
      </c>
      <c r="I653" s="5" t="s">
        <v>15390</v>
      </c>
      <c r="J653" s="5"/>
    </row>
    <row r="654" spans="1:10" ht="25.5" x14ac:dyDescent="0.2">
      <c r="A654" s="5" t="s">
        <v>15609</v>
      </c>
      <c r="B654" s="5" t="s">
        <v>83</v>
      </c>
      <c r="C654" s="5"/>
      <c r="D654" s="5" t="s">
        <v>15516</v>
      </c>
      <c r="E654" s="5"/>
      <c r="F654" s="5" t="s">
        <v>2215</v>
      </c>
      <c r="G654" s="5" t="s">
        <v>148</v>
      </c>
      <c r="H654" s="5" t="s">
        <v>137</v>
      </c>
      <c r="I654" s="5" t="s">
        <v>15390</v>
      </c>
      <c r="J654" s="5"/>
    </row>
    <row r="655" spans="1:10" ht="25.5" x14ac:dyDescent="0.2">
      <c r="A655" s="5" t="s">
        <v>15608</v>
      </c>
      <c r="B655" s="5" t="s">
        <v>83</v>
      </c>
      <c r="C655" s="5"/>
      <c r="D655" s="5" t="s">
        <v>15607</v>
      </c>
      <c r="E655" s="5" t="s">
        <v>93</v>
      </c>
      <c r="F655" s="5" t="s">
        <v>15606</v>
      </c>
      <c r="G655" s="5" t="s">
        <v>181</v>
      </c>
      <c r="H655" s="5" t="s">
        <v>3</v>
      </c>
      <c r="I655" s="5"/>
      <c r="J655" s="5" t="s">
        <v>15459</v>
      </c>
    </row>
    <row r="656" spans="1:10" ht="25.5" x14ac:dyDescent="0.2">
      <c r="A656" s="5" t="s">
        <v>15605</v>
      </c>
      <c r="B656" s="5" t="s">
        <v>83</v>
      </c>
      <c r="C656" s="5"/>
      <c r="D656" s="5" t="s">
        <v>15604</v>
      </c>
      <c r="E656" s="5" t="s">
        <v>93</v>
      </c>
      <c r="F656" s="5" t="s">
        <v>15603</v>
      </c>
      <c r="G656" s="5" t="s">
        <v>181</v>
      </c>
      <c r="H656" s="5" t="s">
        <v>3</v>
      </c>
      <c r="I656" s="5"/>
      <c r="J656" s="5" t="s">
        <v>15452</v>
      </c>
    </row>
    <row r="657" spans="1:10" ht="25.5" x14ac:dyDescent="0.2">
      <c r="A657" s="5" t="s">
        <v>15602</v>
      </c>
      <c r="B657" s="5" t="s">
        <v>83</v>
      </c>
      <c r="C657" s="5"/>
      <c r="D657" s="5" t="s">
        <v>15601</v>
      </c>
      <c r="E657" s="5" t="s">
        <v>138</v>
      </c>
      <c r="F657" s="5" t="s">
        <v>15600</v>
      </c>
      <c r="G657" s="5" t="s">
        <v>181</v>
      </c>
      <c r="H657" s="5" t="s">
        <v>137</v>
      </c>
      <c r="I657" s="5" t="s">
        <v>15599</v>
      </c>
      <c r="J657" s="5" t="s">
        <v>15598</v>
      </c>
    </row>
    <row r="658" spans="1:10" ht="25.5" x14ac:dyDescent="0.2">
      <c r="A658" s="5" t="s">
        <v>15597</v>
      </c>
      <c r="B658" s="5" t="s">
        <v>83</v>
      </c>
      <c r="C658" s="5"/>
      <c r="D658" s="5" t="s">
        <v>14997</v>
      </c>
      <c r="E658" s="5"/>
      <c r="F658" s="5" t="s">
        <v>4009</v>
      </c>
      <c r="G658" s="5" t="s">
        <v>283</v>
      </c>
      <c r="H658" s="5" t="s">
        <v>137</v>
      </c>
      <c r="I658" s="5" t="s">
        <v>15390</v>
      </c>
      <c r="J658" s="5" t="s">
        <v>15596</v>
      </c>
    </row>
    <row r="659" spans="1:10" ht="25.5" x14ac:dyDescent="0.2">
      <c r="A659" s="5" t="s">
        <v>15595</v>
      </c>
      <c r="B659" s="5" t="s">
        <v>83</v>
      </c>
      <c r="C659" s="5"/>
      <c r="D659" s="5" t="s">
        <v>15594</v>
      </c>
      <c r="E659" s="5"/>
      <c r="F659" s="5" t="s">
        <v>9472</v>
      </c>
      <c r="G659" s="5" t="s">
        <v>80</v>
      </c>
      <c r="H659" s="5" t="s">
        <v>137</v>
      </c>
      <c r="I659" s="5" t="s">
        <v>15553</v>
      </c>
      <c r="J659" s="5" t="s">
        <v>15593</v>
      </c>
    </row>
    <row r="660" spans="1:10" ht="25.5" x14ac:dyDescent="0.2">
      <c r="A660" s="5" t="s">
        <v>15592</v>
      </c>
      <c r="B660" s="5" t="s">
        <v>83</v>
      </c>
      <c r="C660" s="5"/>
      <c r="D660" s="5" t="s">
        <v>15591</v>
      </c>
      <c r="E660" s="5"/>
      <c r="F660" s="5" t="s">
        <v>11284</v>
      </c>
      <c r="G660" s="5" t="s">
        <v>118</v>
      </c>
      <c r="H660" s="5" t="s">
        <v>137</v>
      </c>
      <c r="I660" s="5" t="s">
        <v>15385</v>
      </c>
      <c r="J660" s="5" t="s">
        <v>15590</v>
      </c>
    </row>
    <row r="661" spans="1:10" ht="25.5" x14ac:dyDescent="0.2">
      <c r="A661" s="5" t="s">
        <v>15589</v>
      </c>
      <c r="B661" s="5" t="s">
        <v>83</v>
      </c>
      <c r="C661" s="5"/>
      <c r="D661" s="5" t="s">
        <v>15588</v>
      </c>
      <c r="E661" s="5"/>
      <c r="F661" s="5" t="s">
        <v>11284</v>
      </c>
      <c r="G661" s="5" t="s">
        <v>118</v>
      </c>
      <c r="H661" s="5" t="s">
        <v>137</v>
      </c>
      <c r="I661" s="5" t="s">
        <v>15385</v>
      </c>
      <c r="J661" s="5" t="s">
        <v>15587</v>
      </c>
    </row>
    <row r="662" spans="1:10" ht="25.5" x14ac:dyDescent="0.2">
      <c r="A662" s="5" t="s">
        <v>15586</v>
      </c>
      <c r="B662" s="5" t="s">
        <v>83</v>
      </c>
      <c r="C662" s="5"/>
      <c r="D662" s="5" t="s">
        <v>15585</v>
      </c>
      <c r="E662" s="5"/>
      <c r="F662" s="5" t="s">
        <v>11284</v>
      </c>
      <c r="G662" s="5" t="s">
        <v>118</v>
      </c>
      <c r="H662" s="5" t="s">
        <v>137</v>
      </c>
      <c r="I662" s="5" t="s">
        <v>15385</v>
      </c>
      <c r="J662" s="5" t="s">
        <v>15584</v>
      </c>
    </row>
    <row r="663" spans="1:10" ht="25.5" x14ac:dyDescent="0.2">
      <c r="A663" s="5" t="s">
        <v>15583</v>
      </c>
      <c r="B663" s="5" t="s">
        <v>83</v>
      </c>
      <c r="C663" s="5"/>
      <c r="D663" s="5" t="s">
        <v>15582</v>
      </c>
      <c r="E663" s="5" t="s">
        <v>138</v>
      </c>
      <c r="F663" s="5" t="s">
        <v>15581</v>
      </c>
      <c r="G663" s="5" t="s">
        <v>91</v>
      </c>
      <c r="H663" s="5" t="s">
        <v>137</v>
      </c>
      <c r="I663" s="5" t="s">
        <v>15385</v>
      </c>
      <c r="J663" s="5" t="s">
        <v>15580</v>
      </c>
    </row>
    <row r="664" spans="1:10" ht="25.5" x14ac:dyDescent="0.2">
      <c r="A664" s="5" t="s">
        <v>15579</v>
      </c>
      <c r="B664" s="5" t="s">
        <v>83</v>
      </c>
      <c r="C664" s="5"/>
      <c r="D664" s="5" t="s">
        <v>15578</v>
      </c>
      <c r="E664" s="5"/>
      <c r="F664" s="5" t="s">
        <v>8858</v>
      </c>
      <c r="G664" s="5" t="s">
        <v>315</v>
      </c>
      <c r="H664" s="5" t="s">
        <v>137</v>
      </c>
      <c r="I664" s="5" t="s">
        <v>15385</v>
      </c>
      <c r="J664" s="5" t="s">
        <v>15577</v>
      </c>
    </row>
    <row r="665" spans="1:10" ht="25.5" x14ac:dyDescent="0.2">
      <c r="A665" s="5" t="s">
        <v>15576</v>
      </c>
      <c r="B665" s="5" t="s">
        <v>83</v>
      </c>
      <c r="C665" s="5"/>
      <c r="D665" s="5" t="s">
        <v>15575</v>
      </c>
      <c r="E665" s="5"/>
      <c r="F665" s="5" t="s">
        <v>15574</v>
      </c>
      <c r="G665" s="5" t="s">
        <v>224</v>
      </c>
      <c r="H665" s="5" t="s">
        <v>137</v>
      </c>
      <c r="I665" s="5" t="s">
        <v>15385</v>
      </c>
      <c r="J665" s="5" t="s">
        <v>5235</v>
      </c>
    </row>
    <row r="666" spans="1:10" ht="25.5" x14ac:dyDescent="0.2">
      <c r="A666" s="5" t="s">
        <v>15573</v>
      </c>
      <c r="B666" s="5" t="s">
        <v>83</v>
      </c>
      <c r="C666" s="5"/>
      <c r="D666" s="5" t="s">
        <v>15572</v>
      </c>
      <c r="E666" s="5"/>
      <c r="F666" s="5" t="s">
        <v>11284</v>
      </c>
      <c r="G666" s="5" t="s">
        <v>105</v>
      </c>
      <c r="H666" s="5" t="s">
        <v>137</v>
      </c>
      <c r="I666" s="5" t="s">
        <v>15385</v>
      </c>
      <c r="J666" s="5" t="s">
        <v>15571</v>
      </c>
    </row>
    <row r="667" spans="1:10" ht="25.5" x14ac:dyDescent="0.2">
      <c r="A667" s="5" t="s">
        <v>15570</v>
      </c>
      <c r="B667" s="5" t="s">
        <v>83</v>
      </c>
      <c r="C667" s="5"/>
      <c r="D667" s="5" t="s">
        <v>15569</v>
      </c>
      <c r="E667" s="5"/>
      <c r="F667" s="5" t="s">
        <v>11284</v>
      </c>
      <c r="G667" s="5" t="s">
        <v>4028</v>
      </c>
      <c r="H667" s="5" t="s">
        <v>137</v>
      </c>
      <c r="I667" s="5" t="s">
        <v>15385</v>
      </c>
      <c r="J667" s="5" t="s">
        <v>15568</v>
      </c>
    </row>
    <row r="668" spans="1:10" ht="25.5" x14ac:dyDescent="0.2">
      <c r="A668" s="5" t="s">
        <v>15567</v>
      </c>
      <c r="B668" s="5" t="s">
        <v>83</v>
      </c>
      <c r="C668" s="5"/>
      <c r="D668" s="5" t="s">
        <v>15566</v>
      </c>
      <c r="E668" s="5" t="s">
        <v>299</v>
      </c>
      <c r="F668" s="5" t="s">
        <v>11284</v>
      </c>
      <c r="G668" s="5" t="s">
        <v>91</v>
      </c>
      <c r="H668" s="5" t="s">
        <v>137</v>
      </c>
      <c r="I668" s="5" t="s">
        <v>15385</v>
      </c>
      <c r="J668" s="5" t="s">
        <v>15565</v>
      </c>
    </row>
    <row r="669" spans="1:10" ht="25.5" x14ac:dyDescent="0.2">
      <c r="A669" s="5" t="s">
        <v>15564</v>
      </c>
      <c r="B669" s="5" t="s">
        <v>83</v>
      </c>
      <c r="C669" s="5"/>
      <c r="D669" s="5" t="s">
        <v>15563</v>
      </c>
      <c r="E669" s="5" t="s">
        <v>299</v>
      </c>
      <c r="F669" s="5" t="s">
        <v>11284</v>
      </c>
      <c r="G669" s="5" t="s">
        <v>91</v>
      </c>
      <c r="H669" s="5" t="s">
        <v>137</v>
      </c>
      <c r="I669" s="5" t="s">
        <v>15385</v>
      </c>
      <c r="J669" s="5" t="s">
        <v>15562</v>
      </c>
    </row>
    <row r="670" spans="1:10" ht="25.5" x14ac:dyDescent="0.2">
      <c r="A670" s="5" t="s">
        <v>15561</v>
      </c>
      <c r="B670" s="5" t="s">
        <v>83</v>
      </c>
      <c r="C670" s="5"/>
      <c r="D670" s="5" t="s">
        <v>15560</v>
      </c>
      <c r="E670" s="5"/>
      <c r="F670" s="5" t="s">
        <v>15559</v>
      </c>
      <c r="G670" s="5" t="s">
        <v>4028</v>
      </c>
      <c r="H670" s="5" t="s">
        <v>137</v>
      </c>
      <c r="I670" s="5" t="s">
        <v>15385</v>
      </c>
      <c r="J670" s="5" t="s">
        <v>15558</v>
      </c>
    </row>
    <row r="671" spans="1:10" ht="25.5" x14ac:dyDescent="0.2">
      <c r="A671" s="5" t="s">
        <v>15557</v>
      </c>
      <c r="B671" s="5" t="s">
        <v>83</v>
      </c>
      <c r="C671" s="5"/>
      <c r="D671" s="5" t="s">
        <v>15556</v>
      </c>
      <c r="E671" s="5" t="s">
        <v>299</v>
      </c>
      <c r="F671" s="5" t="s">
        <v>7353</v>
      </c>
      <c r="G671" s="5" t="s">
        <v>195</v>
      </c>
      <c r="H671" s="5" t="s">
        <v>137</v>
      </c>
      <c r="I671" s="5" t="s">
        <v>15390</v>
      </c>
      <c r="J671" s="5" t="s">
        <v>15555</v>
      </c>
    </row>
    <row r="672" spans="1:10" ht="25.5" x14ac:dyDescent="0.2">
      <c r="A672" s="5" t="s">
        <v>9109</v>
      </c>
      <c r="B672" s="5" t="s">
        <v>83</v>
      </c>
      <c r="C672" s="5"/>
      <c r="D672" s="5" t="s">
        <v>15554</v>
      </c>
      <c r="E672" s="5"/>
      <c r="F672" s="5" t="s">
        <v>8472</v>
      </c>
      <c r="G672" s="5" t="s">
        <v>170</v>
      </c>
      <c r="H672" s="5" t="s">
        <v>137</v>
      </c>
      <c r="I672" s="5" t="s">
        <v>15553</v>
      </c>
      <c r="J672" s="5" t="s">
        <v>15552</v>
      </c>
    </row>
    <row r="673" spans="1:10" ht="25.5" x14ac:dyDescent="0.2">
      <c r="A673" s="5" t="s">
        <v>15551</v>
      </c>
      <c r="B673" s="5" t="s">
        <v>83</v>
      </c>
      <c r="C673" s="5"/>
      <c r="D673" s="5" t="s">
        <v>15550</v>
      </c>
      <c r="E673" s="5"/>
      <c r="F673" s="5" t="s">
        <v>15519</v>
      </c>
      <c r="G673" s="5" t="s">
        <v>6530</v>
      </c>
      <c r="H673" s="5" t="s">
        <v>137</v>
      </c>
      <c r="I673" s="5" t="s">
        <v>15390</v>
      </c>
      <c r="J673" s="5" t="s">
        <v>15549</v>
      </c>
    </row>
    <row r="674" spans="1:10" ht="25.5" x14ac:dyDescent="0.2">
      <c r="A674" s="5" t="s">
        <v>15548</v>
      </c>
      <c r="B674" s="5" t="s">
        <v>83</v>
      </c>
      <c r="C674" s="5"/>
      <c r="D674" s="5" t="s">
        <v>15547</v>
      </c>
      <c r="E674" s="5"/>
      <c r="F674" s="5" t="s">
        <v>15239</v>
      </c>
      <c r="G674" s="5" t="s">
        <v>7378</v>
      </c>
      <c r="H674" s="5" t="s">
        <v>137</v>
      </c>
      <c r="I674" s="5" t="s">
        <v>15390</v>
      </c>
      <c r="J674" s="5" t="s">
        <v>15546</v>
      </c>
    </row>
    <row r="675" spans="1:10" ht="25.5" x14ac:dyDescent="0.2">
      <c r="A675" s="5" t="s">
        <v>15545</v>
      </c>
      <c r="B675" s="5" t="s">
        <v>83</v>
      </c>
      <c r="C675" s="5"/>
      <c r="D675" s="5" t="s">
        <v>15544</v>
      </c>
      <c r="E675" s="5"/>
      <c r="F675" s="5" t="s">
        <v>15519</v>
      </c>
      <c r="G675" s="5" t="s">
        <v>382</v>
      </c>
      <c r="H675" s="5" t="s">
        <v>137</v>
      </c>
      <c r="I675" s="5" t="s">
        <v>15390</v>
      </c>
      <c r="J675" s="5" t="s">
        <v>15543</v>
      </c>
    </row>
    <row r="676" spans="1:10" ht="25.5" x14ac:dyDescent="0.2">
      <c r="A676" s="5" t="s">
        <v>15542</v>
      </c>
      <c r="B676" s="5" t="s">
        <v>83</v>
      </c>
      <c r="C676" s="5"/>
      <c r="D676" s="5" t="s">
        <v>15541</v>
      </c>
      <c r="E676" s="5" t="s">
        <v>138</v>
      </c>
      <c r="F676" s="5" t="s">
        <v>7357</v>
      </c>
      <c r="G676" s="5" t="s">
        <v>91</v>
      </c>
      <c r="H676" s="5" t="s">
        <v>137</v>
      </c>
      <c r="I676" s="5" t="s">
        <v>15390</v>
      </c>
      <c r="J676" s="5" t="s">
        <v>15540</v>
      </c>
    </row>
    <row r="677" spans="1:10" ht="25.5" x14ac:dyDescent="0.2">
      <c r="A677" s="5" t="s">
        <v>15539</v>
      </c>
      <c r="B677" s="5" t="s">
        <v>83</v>
      </c>
      <c r="C677" s="5"/>
      <c r="D677" s="5" t="s">
        <v>15538</v>
      </c>
      <c r="E677" s="5"/>
      <c r="F677" s="5" t="s">
        <v>15519</v>
      </c>
      <c r="G677" s="5" t="s">
        <v>6530</v>
      </c>
      <c r="H677" s="5" t="s">
        <v>137</v>
      </c>
      <c r="I677" s="5" t="s">
        <v>15390</v>
      </c>
      <c r="J677" s="5" t="s">
        <v>15537</v>
      </c>
    </row>
    <row r="678" spans="1:10" ht="25.5" x14ac:dyDescent="0.2">
      <c r="A678" s="5" t="s">
        <v>15536</v>
      </c>
      <c r="B678" s="5" t="s">
        <v>83</v>
      </c>
      <c r="C678" s="5"/>
      <c r="D678" s="5" t="s">
        <v>15535</v>
      </c>
      <c r="E678" s="5"/>
      <c r="F678" s="5" t="s">
        <v>15519</v>
      </c>
      <c r="G678" s="5" t="s">
        <v>6530</v>
      </c>
      <c r="H678" s="5" t="s">
        <v>137</v>
      </c>
      <c r="I678" s="5" t="s">
        <v>15390</v>
      </c>
      <c r="J678" s="5" t="s">
        <v>15534</v>
      </c>
    </row>
    <row r="679" spans="1:10" ht="25.5" x14ac:dyDescent="0.2">
      <c r="A679" s="5" t="s">
        <v>15533</v>
      </c>
      <c r="B679" s="5" t="s">
        <v>83</v>
      </c>
      <c r="C679" s="5"/>
      <c r="D679" s="5" t="s">
        <v>15532</v>
      </c>
      <c r="E679" s="5"/>
      <c r="F679" s="5" t="s">
        <v>15519</v>
      </c>
      <c r="G679" s="5" t="s">
        <v>6530</v>
      </c>
      <c r="H679" s="5" t="s">
        <v>137</v>
      </c>
      <c r="I679" s="5" t="s">
        <v>15390</v>
      </c>
      <c r="J679" s="5" t="s">
        <v>15531</v>
      </c>
    </row>
    <row r="680" spans="1:10" ht="25.5" x14ac:dyDescent="0.2">
      <c r="A680" s="5" t="s">
        <v>15530</v>
      </c>
      <c r="B680" s="5" t="s">
        <v>83</v>
      </c>
      <c r="C680" s="5"/>
      <c r="D680" s="5" t="s">
        <v>15529</v>
      </c>
      <c r="E680" s="5"/>
      <c r="F680" s="5" t="s">
        <v>15519</v>
      </c>
      <c r="G680" s="5" t="s">
        <v>6530</v>
      </c>
      <c r="H680" s="5" t="s">
        <v>137</v>
      </c>
      <c r="I680" s="5" t="s">
        <v>15390</v>
      </c>
      <c r="J680" s="5" t="s">
        <v>15528</v>
      </c>
    </row>
    <row r="681" spans="1:10" ht="25.5" x14ac:dyDescent="0.2">
      <c r="A681" s="5" t="s">
        <v>15527</v>
      </c>
      <c r="B681" s="5" t="s">
        <v>83</v>
      </c>
      <c r="C681" s="5"/>
      <c r="D681" s="5" t="s">
        <v>15526</v>
      </c>
      <c r="E681" s="5"/>
      <c r="F681" s="5" t="s">
        <v>15519</v>
      </c>
      <c r="G681" s="5" t="s">
        <v>6530</v>
      </c>
      <c r="H681" s="5" t="s">
        <v>137</v>
      </c>
      <c r="I681" s="5" t="s">
        <v>15390</v>
      </c>
      <c r="J681" s="5" t="s">
        <v>15525</v>
      </c>
    </row>
    <row r="682" spans="1:10" ht="25.5" x14ac:dyDescent="0.2">
      <c r="A682" s="5" t="s">
        <v>15524</v>
      </c>
      <c r="B682" s="5" t="s">
        <v>83</v>
      </c>
      <c r="C682" s="5"/>
      <c r="D682" s="5" t="s">
        <v>15523</v>
      </c>
      <c r="E682" s="5" t="s">
        <v>138</v>
      </c>
      <c r="F682" s="5" t="s">
        <v>15239</v>
      </c>
      <c r="G682" s="5" t="s">
        <v>91</v>
      </c>
      <c r="H682" s="5" t="s">
        <v>137</v>
      </c>
      <c r="I682" s="5" t="s">
        <v>15390</v>
      </c>
      <c r="J682" s="5" t="s">
        <v>15522</v>
      </c>
    </row>
    <row r="683" spans="1:10" ht="25.5" x14ac:dyDescent="0.2">
      <c r="A683" s="5" t="s">
        <v>15521</v>
      </c>
      <c r="B683" s="5" t="s">
        <v>83</v>
      </c>
      <c r="C683" s="5"/>
      <c r="D683" s="5" t="s">
        <v>15520</v>
      </c>
      <c r="E683" s="5"/>
      <c r="F683" s="5" t="s">
        <v>15519</v>
      </c>
      <c r="G683" s="5" t="s">
        <v>6530</v>
      </c>
      <c r="H683" s="5" t="s">
        <v>137</v>
      </c>
      <c r="I683" s="5" t="s">
        <v>15390</v>
      </c>
      <c r="J683" s="5" t="s">
        <v>15518</v>
      </c>
    </row>
    <row r="684" spans="1:10" x14ac:dyDescent="0.2">
      <c r="A684" s="5" t="s">
        <v>15517</v>
      </c>
      <c r="B684" s="5" t="s">
        <v>83</v>
      </c>
      <c r="C684" s="5"/>
      <c r="D684" s="5" t="s">
        <v>15516</v>
      </c>
      <c r="E684" s="5" t="s">
        <v>93</v>
      </c>
      <c r="F684" s="5" t="s">
        <v>15515</v>
      </c>
      <c r="G684" s="5" t="s">
        <v>91</v>
      </c>
      <c r="H684" s="5" t="s">
        <v>3</v>
      </c>
      <c r="I684" s="5"/>
      <c r="J684" s="5" t="s">
        <v>15514</v>
      </c>
    </row>
    <row r="685" spans="1:10" ht="25.5" x14ac:dyDescent="0.2">
      <c r="A685" s="5" t="s">
        <v>790</v>
      </c>
      <c r="B685" s="5" t="s">
        <v>83</v>
      </c>
      <c r="C685" s="5"/>
      <c r="D685" s="5" t="s">
        <v>15513</v>
      </c>
      <c r="E685" s="5"/>
      <c r="F685" s="5" t="s">
        <v>15494</v>
      </c>
      <c r="G685" s="5" t="s">
        <v>118</v>
      </c>
      <c r="H685" s="5" t="s">
        <v>137</v>
      </c>
      <c r="I685" s="5" t="s">
        <v>15390</v>
      </c>
      <c r="J685" s="5"/>
    </row>
    <row r="686" spans="1:10" ht="25.5" x14ac:dyDescent="0.2">
      <c r="A686" s="5" t="s">
        <v>15512</v>
      </c>
      <c r="B686" s="5" t="s">
        <v>83</v>
      </c>
      <c r="C686" s="5"/>
      <c r="D686" s="5" t="s">
        <v>15511</v>
      </c>
      <c r="E686" s="5"/>
      <c r="F686" s="5" t="s">
        <v>15510</v>
      </c>
      <c r="G686" s="5" t="s">
        <v>170</v>
      </c>
      <c r="H686" s="5" t="s">
        <v>137</v>
      </c>
      <c r="I686" s="5" t="s">
        <v>15390</v>
      </c>
      <c r="J686" s="5" t="s">
        <v>15509</v>
      </c>
    </row>
    <row r="687" spans="1:10" x14ac:dyDescent="0.2">
      <c r="A687" s="5" t="s">
        <v>474</v>
      </c>
      <c r="B687" s="5" t="s">
        <v>83</v>
      </c>
      <c r="C687" s="5"/>
      <c r="D687" s="5" t="s">
        <v>15508</v>
      </c>
      <c r="E687" s="5"/>
      <c r="F687" s="5" t="s">
        <v>7699</v>
      </c>
      <c r="G687" s="5" t="s">
        <v>328</v>
      </c>
      <c r="H687" s="5" t="s">
        <v>3</v>
      </c>
      <c r="I687" s="5"/>
      <c r="J687" s="5" t="s">
        <v>15505</v>
      </c>
    </row>
    <row r="688" spans="1:10" ht="25.5" x14ac:dyDescent="0.2">
      <c r="A688" s="5" t="s">
        <v>15507</v>
      </c>
      <c r="B688" s="5" t="s">
        <v>83</v>
      </c>
      <c r="C688" s="5"/>
      <c r="D688" s="5" t="s">
        <v>15506</v>
      </c>
      <c r="E688" s="5"/>
      <c r="F688" s="5" t="s">
        <v>7699</v>
      </c>
      <c r="G688" s="5" t="s">
        <v>328</v>
      </c>
      <c r="H688" s="5" t="s">
        <v>3</v>
      </c>
      <c r="I688" s="5"/>
      <c r="J688" s="5" t="s">
        <v>15505</v>
      </c>
    </row>
    <row r="689" spans="1:10" ht="25.5" x14ac:dyDescent="0.2">
      <c r="A689" s="5" t="s">
        <v>15504</v>
      </c>
      <c r="B689" s="5" t="s">
        <v>83</v>
      </c>
      <c r="C689" s="5"/>
      <c r="D689" s="5" t="s">
        <v>15503</v>
      </c>
      <c r="E689" s="5"/>
      <c r="F689" s="5" t="s">
        <v>15502</v>
      </c>
      <c r="G689" s="5" t="s">
        <v>255</v>
      </c>
      <c r="H689" s="5" t="s">
        <v>137</v>
      </c>
      <c r="I689" s="5" t="s">
        <v>15449</v>
      </c>
      <c r="J689" s="5" t="s">
        <v>15501</v>
      </c>
    </row>
    <row r="690" spans="1:10" x14ac:dyDescent="0.2">
      <c r="A690" s="5" t="s">
        <v>15500</v>
      </c>
      <c r="B690" s="5" t="s">
        <v>83</v>
      </c>
      <c r="C690" s="5"/>
      <c r="D690" s="5" t="s">
        <v>15499</v>
      </c>
      <c r="E690" s="5"/>
      <c r="F690" s="5" t="s">
        <v>15498</v>
      </c>
      <c r="G690" s="5" t="s">
        <v>255</v>
      </c>
      <c r="H690" s="5" t="s">
        <v>137</v>
      </c>
      <c r="I690" s="5" t="s">
        <v>15393</v>
      </c>
      <c r="J690" s="5" t="s">
        <v>15497</v>
      </c>
    </row>
    <row r="691" spans="1:10" ht="25.5" x14ac:dyDescent="0.2">
      <c r="A691" s="5" t="s">
        <v>15496</v>
      </c>
      <c r="B691" s="5" t="s">
        <v>83</v>
      </c>
      <c r="C691" s="5"/>
      <c r="D691" s="5" t="s">
        <v>15495</v>
      </c>
      <c r="E691" s="5"/>
      <c r="F691" s="5" t="s">
        <v>15494</v>
      </c>
      <c r="G691" s="5" t="s">
        <v>2672</v>
      </c>
      <c r="H691" s="5" t="s">
        <v>137</v>
      </c>
      <c r="I691" s="5" t="s">
        <v>15390</v>
      </c>
      <c r="J691" s="5"/>
    </row>
    <row r="692" spans="1:10" x14ac:dyDescent="0.2">
      <c r="A692" s="5" t="s">
        <v>15493</v>
      </c>
      <c r="B692" s="5" t="s">
        <v>83</v>
      </c>
      <c r="C692" s="5"/>
      <c r="D692" s="5" t="s">
        <v>15492</v>
      </c>
      <c r="E692" s="5"/>
      <c r="F692" s="5" t="s">
        <v>14838</v>
      </c>
      <c r="G692" s="5" t="s">
        <v>118</v>
      </c>
      <c r="H692" s="5"/>
      <c r="I692" s="5"/>
      <c r="J692" s="5" t="s">
        <v>15491</v>
      </c>
    </row>
    <row r="693" spans="1:10" ht="25.5" x14ac:dyDescent="0.2">
      <c r="A693" s="5" t="s">
        <v>15490</v>
      </c>
      <c r="B693" s="5" t="s">
        <v>83</v>
      </c>
      <c r="C693" s="5"/>
      <c r="D693" s="5" t="s">
        <v>15489</v>
      </c>
      <c r="E693" s="5"/>
      <c r="F693" s="5"/>
      <c r="G693" s="5" t="s">
        <v>91</v>
      </c>
      <c r="H693" s="5" t="s">
        <v>137</v>
      </c>
      <c r="I693" s="5" t="s">
        <v>15488</v>
      </c>
      <c r="J693" s="5" t="s">
        <v>15487</v>
      </c>
    </row>
    <row r="694" spans="1:10" x14ac:dyDescent="0.2">
      <c r="A694" s="5" t="s">
        <v>15486</v>
      </c>
      <c r="B694" s="5" t="s">
        <v>83</v>
      </c>
      <c r="C694" s="5"/>
      <c r="D694" s="5" t="s">
        <v>15485</v>
      </c>
      <c r="E694" s="5" t="s">
        <v>299</v>
      </c>
      <c r="F694" s="5" t="s">
        <v>15484</v>
      </c>
      <c r="G694" s="5" t="s">
        <v>303</v>
      </c>
      <c r="H694" s="5" t="s">
        <v>3</v>
      </c>
      <c r="I694" s="5"/>
      <c r="J694" s="5" t="s">
        <v>15483</v>
      </c>
    </row>
    <row r="695" spans="1:10" ht="25.5" x14ac:dyDescent="0.2">
      <c r="A695" s="5" t="s">
        <v>15482</v>
      </c>
      <c r="B695" s="5" t="s">
        <v>83</v>
      </c>
      <c r="C695" s="5"/>
      <c r="D695" s="5" t="s">
        <v>15481</v>
      </c>
      <c r="E695" s="5"/>
      <c r="F695" s="5" t="s">
        <v>11886</v>
      </c>
      <c r="G695" s="5" t="s">
        <v>199</v>
      </c>
      <c r="H695" s="5" t="s">
        <v>3</v>
      </c>
      <c r="I695" s="5"/>
      <c r="J695" s="5" t="s">
        <v>15478</v>
      </c>
    </row>
    <row r="696" spans="1:10" ht="25.5" x14ac:dyDescent="0.2">
      <c r="A696" s="5" t="s">
        <v>15480</v>
      </c>
      <c r="B696" s="5" t="s">
        <v>83</v>
      </c>
      <c r="C696" s="5"/>
      <c r="D696" s="5" t="s">
        <v>15479</v>
      </c>
      <c r="E696" s="5"/>
      <c r="F696" s="5" t="s">
        <v>11886</v>
      </c>
      <c r="G696" s="5" t="s">
        <v>199</v>
      </c>
      <c r="H696" s="5" t="s">
        <v>3</v>
      </c>
      <c r="I696" s="5"/>
      <c r="J696" s="5" t="s">
        <v>15478</v>
      </c>
    </row>
    <row r="697" spans="1:10" ht="25.5" x14ac:dyDescent="0.2">
      <c r="A697" s="5" t="s">
        <v>15477</v>
      </c>
      <c r="B697" s="5" t="s">
        <v>83</v>
      </c>
      <c r="C697" s="5"/>
      <c r="D697" s="5" t="s">
        <v>15476</v>
      </c>
      <c r="E697" s="5"/>
      <c r="F697" s="5" t="s">
        <v>15475</v>
      </c>
      <c r="G697" s="5" t="s">
        <v>3059</v>
      </c>
      <c r="H697" s="5" t="s">
        <v>3</v>
      </c>
      <c r="I697" s="5"/>
      <c r="J697" s="5" t="s">
        <v>15474</v>
      </c>
    </row>
    <row r="698" spans="1:10" ht="25.5" x14ac:dyDescent="0.2">
      <c r="A698" s="5" t="s">
        <v>15473</v>
      </c>
      <c r="B698" s="5" t="s">
        <v>83</v>
      </c>
      <c r="C698" s="5"/>
      <c r="D698" s="5" t="s">
        <v>15472</v>
      </c>
      <c r="E698" s="5"/>
      <c r="F698" s="5" t="s">
        <v>15471</v>
      </c>
      <c r="G698" s="5" t="s">
        <v>114</v>
      </c>
      <c r="H698" s="5" t="s">
        <v>3</v>
      </c>
      <c r="I698" s="5"/>
      <c r="J698" s="5" t="s">
        <v>15470</v>
      </c>
    </row>
    <row r="699" spans="1:10" ht="25.5" x14ac:dyDescent="0.2">
      <c r="A699" s="5" t="s">
        <v>15469</v>
      </c>
      <c r="B699" s="5" t="s">
        <v>83</v>
      </c>
      <c r="C699" s="5"/>
      <c r="D699" s="5" t="s">
        <v>15468</v>
      </c>
      <c r="E699" s="5" t="s">
        <v>93</v>
      </c>
      <c r="F699" s="5" t="s">
        <v>15467</v>
      </c>
      <c r="G699" s="5" t="s">
        <v>91</v>
      </c>
      <c r="H699" s="5" t="s">
        <v>3</v>
      </c>
      <c r="I699" s="5"/>
      <c r="J699" s="5" t="s">
        <v>15466</v>
      </c>
    </row>
    <row r="700" spans="1:10" ht="25.5" x14ac:dyDescent="0.2">
      <c r="A700" s="5" t="s">
        <v>331</v>
      </c>
      <c r="B700" s="5" t="s">
        <v>83</v>
      </c>
      <c r="C700" s="5"/>
      <c r="D700" s="5" t="s">
        <v>15465</v>
      </c>
      <c r="E700" s="5" t="s">
        <v>93</v>
      </c>
      <c r="F700" s="5" t="s">
        <v>15464</v>
      </c>
      <c r="G700" s="5" t="s">
        <v>181</v>
      </c>
      <c r="H700" s="5" t="s">
        <v>137</v>
      </c>
      <c r="I700" s="5" t="s">
        <v>15387</v>
      </c>
      <c r="J700" s="5" t="s">
        <v>15463</v>
      </c>
    </row>
    <row r="701" spans="1:10" x14ac:dyDescent="0.2">
      <c r="A701" s="5" t="s">
        <v>15462</v>
      </c>
      <c r="B701" s="5" t="s">
        <v>83</v>
      </c>
      <c r="C701" s="5"/>
      <c r="D701" s="5" t="s">
        <v>15453</v>
      </c>
      <c r="E701" s="5" t="s">
        <v>93</v>
      </c>
      <c r="F701" s="5" t="s">
        <v>331</v>
      </c>
      <c r="G701" s="5" t="s">
        <v>195</v>
      </c>
      <c r="H701" s="5" t="s">
        <v>137</v>
      </c>
      <c r="I701" s="5" t="s">
        <v>15393</v>
      </c>
      <c r="J701" s="5" t="s">
        <v>15461</v>
      </c>
    </row>
    <row r="702" spans="1:10" ht="25.5" x14ac:dyDescent="0.2">
      <c r="A702" s="5" t="s">
        <v>15460</v>
      </c>
      <c r="B702" s="5" t="s">
        <v>83</v>
      </c>
      <c r="C702" s="5"/>
      <c r="D702" s="5" t="s">
        <v>15450</v>
      </c>
      <c r="E702" s="5" t="s">
        <v>93</v>
      </c>
      <c r="F702" s="5" t="s">
        <v>331</v>
      </c>
      <c r="G702" s="5" t="s">
        <v>195</v>
      </c>
      <c r="H702" s="5" t="s">
        <v>137</v>
      </c>
      <c r="I702" s="5" t="s">
        <v>15449</v>
      </c>
      <c r="J702" s="5" t="s">
        <v>15459</v>
      </c>
    </row>
    <row r="703" spans="1:10" ht="25.5" x14ac:dyDescent="0.2">
      <c r="A703" s="5" t="s">
        <v>15458</v>
      </c>
      <c r="B703" s="5" t="s">
        <v>83</v>
      </c>
      <c r="C703" s="5"/>
      <c r="D703" s="5" t="s">
        <v>15457</v>
      </c>
      <c r="E703" s="5" t="s">
        <v>93</v>
      </c>
      <c r="F703" s="5" t="s">
        <v>15456</v>
      </c>
      <c r="G703" s="5" t="s">
        <v>181</v>
      </c>
      <c r="H703" s="5"/>
      <c r="I703" s="5"/>
      <c r="J703" s="5" t="s">
        <v>15455</v>
      </c>
    </row>
    <row r="704" spans="1:10" x14ac:dyDescent="0.2">
      <c r="A704" s="5" t="s">
        <v>15454</v>
      </c>
      <c r="B704" s="5" t="s">
        <v>83</v>
      </c>
      <c r="C704" s="5"/>
      <c r="D704" s="5" t="s">
        <v>15453</v>
      </c>
      <c r="E704" s="5" t="s">
        <v>93</v>
      </c>
      <c r="F704" s="5" t="s">
        <v>331</v>
      </c>
      <c r="G704" s="5" t="s">
        <v>195</v>
      </c>
      <c r="H704" s="5" t="s">
        <v>137</v>
      </c>
      <c r="I704" s="5" t="s">
        <v>15393</v>
      </c>
      <c r="J704" s="5" t="s">
        <v>15452</v>
      </c>
    </row>
    <row r="705" spans="1:10" ht="25.5" x14ac:dyDescent="0.2">
      <c r="A705" s="5" t="s">
        <v>15451</v>
      </c>
      <c r="B705" s="5" t="s">
        <v>83</v>
      </c>
      <c r="C705" s="5"/>
      <c r="D705" s="5" t="s">
        <v>15450</v>
      </c>
      <c r="E705" s="5" t="s">
        <v>93</v>
      </c>
      <c r="F705" s="5" t="s">
        <v>331</v>
      </c>
      <c r="G705" s="5" t="s">
        <v>195</v>
      </c>
      <c r="H705" s="5" t="s">
        <v>137</v>
      </c>
      <c r="I705" s="5" t="s">
        <v>15449</v>
      </c>
      <c r="J705" s="5" t="s">
        <v>15448</v>
      </c>
    </row>
    <row r="706" spans="1:10" x14ac:dyDescent="0.2">
      <c r="A706" s="5" t="s">
        <v>15447</v>
      </c>
      <c r="B706" s="5" t="s">
        <v>83</v>
      </c>
      <c r="C706" s="5"/>
      <c r="D706" s="5" t="s">
        <v>15446</v>
      </c>
      <c r="E706" s="5"/>
      <c r="F706" s="5" t="s">
        <v>15445</v>
      </c>
      <c r="G706" s="5" t="s">
        <v>224</v>
      </c>
      <c r="H706" s="5" t="s">
        <v>3</v>
      </c>
      <c r="I706" s="5"/>
      <c r="J706" s="5" t="s">
        <v>15444</v>
      </c>
    </row>
    <row r="707" spans="1:10" x14ac:dyDescent="0.2">
      <c r="A707" s="5" t="s">
        <v>15443</v>
      </c>
      <c r="B707" s="5" t="s">
        <v>83</v>
      </c>
      <c r="C707" s="5"/>
      <c r="D707" s="5" t="s">
        <v>8572</v>
      </c>
      <c r="E707" s="5"/>
      <c r="F707" s="5" t="s">
        <v>15443</v>
      </c>
      <c r="G707" s="5" t="s">
        <v>283</v>
      </c>
      <c r="H707" s="5" t="s">
        <v>3</v>
      </c>
      <c r="I707" s="5"/>
      <c r="J707" s="5"/>
    </row>
    <row r="708" spans="1:10" ht="25.5" x14ac:dyDescent="0.2">
      <c r="A708" s="5" t="s">
        <v>242</v>
      </c>
      <c r="B708" s="5" t="s">
        <v>83</v>
      </c>
      <c r="C708" s="5"/>
      <c r="D708" s="5" t="s">
        <v>241</v>
      </c>
      <c r="E708" s="5"/>
      <c r="F708" s="5" t="s">
        <v>237</v>
      </c>
      <c r="G708" s="5" t="s">
        <v>114</v>
      </c>
      <c r="H708" s="5" t="s">
        <v>3</v>
      </c>
      <c r="I708" s="5"/>
      <c r="J708" s="5" t="s">
        <v>15442</v>
      </c>
    </row>
    <row r="709" spans="1:10" ht="25.5" x14ac:dyDescent="0.2">
      <c r="A709" s="5" t="s">
        <v>239</v>
      </c>
      <c r="B709" s="5" t="s">
        <v>83</v>
      </c>
      <c r="C709" s="5"/>
      <c r="D709" s="5" t="s">
        <v>238</v>
      </c>
      <c r="E709" s="5"/>
      <c r="F709" s="5" t="s">
        <v>237</v>
      </c>
      <c r="G709" s="5" t="s">
        <v>80</v>
      </c>
      <c r="H709" s="5" t="s">
        <v>3</v>
      </c>
      <c r="I709" s="5"/>
      <c r="J709" s="5" t="s">
        <v>236</v>
      </c>
    </row>
    <row r="710" spans="1:10" ht="25.5" x14ac:dyDescent="0.2">
      <c r="A710" s="5" t="s">
        <v>235</v>
      </c>
      <c r="B710" s="5" t="s">
        <v>83</v>
      </c>
      <c r="C710" s="5"/>
      <c r="D710" s="5" t="s">
        <v>231</v>
      </c>
      <c r="E710" s="5"/>
      <c r="F710" s="5" t="s">
        <v>230</v>
      </c>
      <c r="G710" s="5" t="s">
        <v>234</v>
      </c>
      <c r="H710" s="5" t="s">
        <v>3</v>
      </c>
      <c r="I710" s="5"/>
      <c r="J710" s="5" t="s">
        <v>233</v>
      </c>
    </row>
    <row r="711" spans="1:10" ht="25.5" x14ac:dyDescent="0.2">
      <c r="A711" s="5" t="s">
        <v>232</v>
      </c>
      <c r="B711" s="5" t="s">
        <v>83</v>
      </c>
      <c r="C711" s="5"/>
      <c r="D711" s="5" t="s">
        <v>231</v>
      </c>
      <c r="E711" s="5"/>
      <c r="F711" s="5" t="s">
        <v>230</v>
      </c>
      <c r="G711" s="5" t="s">
        <v>229</v>
      </c>
      <c r="H711" s="5" t="s">
        <v>3</v>
      </c>
      <c r="I711" s="5"/>
      <c r="J711" s="5" t="s">
        <v>228</v>
      </c>
    </row>
    <row r="712" spans="1:10" x14ac:dyDescent="0.2">
      <c r="A712" s="5" t="s">
        <v>15441</v>
      </c>
      <c r="B712" s="5" t="s">
        <v>83</v>
      </c>
      <c r="C712" s="5"/>
      <c r="D712" s="5" t="s">
        <v>15440</v>
      </c>
      <c r="E712" s="5"/>
      <c r="F712" s="5" t="s">
        <v>237</v>
      </c>
      <c r="G712" s="5" t="s">
        <v>80</v>
      </c>
      <c r="H712" s="5" t="s">
        <v>3</v>
      </c>
      <c r="I712" s="5"/>
      <c r="J712" s="5"/>
    </row>
    <row r="713" spans="1:10" ht="25.5" x14ac:dyDescent="0.2">
      <c r="A713" s="5" t="s">
        <v>8674</v>
      </c>
      <c r="B713" s="5" t="s">
        <v>83</v>
      </c>
      <c r="C713" s="5"/>
      <c r="D713" s="5" t="s">
        <v>15439</v>
      </c>
      <c r="E713" s="5"/>
      <c r="F713" s="5" t="s">
        <v>8170</v>
      </c>
      <c r="G713" s="5" t="s">
        <v>80</v>
      </c>
      <c r="H713" s="5" t="s">
        <v>3</v>
      </c>
      <c r="I713" s="5"/>
      <c r="J713" s="5" t="s">
        <v>15437</v>
      </c>
    </row>
    <row r="714" spans="1:10" x14ac:dyDescent="0.2">
      <c r="A714" s="5" t="s">
        <v>8914</v>
      </c>
      <c r="B714" s="5" t="s">
        <v>83</v>
      </c>
      <c r="C714" s="5"/>
      <c r="D714" s="5" t="s">
        <v>15438</v>
      </c>
      <c r="E714" s="5"/>
      <c r="F714" s="5" t="s">
        <v>8170</v>
      </c>
      <c r="G714" s="5" t="s">
        <v>80</v>
      </c>
      <c r="H714" s="5" t="s">
        <v>3</v>
      </c>
      <c r="I714" s="5"/>
      <c r="J714" s="5" t="s">
        <v>15437</v>
      </c>
    </row>
    <row r="715" spans="1:10" ht="25.5" x14ac:dyDescent="0.2">
      <c r="A715" s="5" t="s">
        <v>14308</v>
      </c>
      <c r="B715" s="5" t="s">
        <v>83</v>
      </c>
      <c r="C715" s="5"/>
      <c r="D715" s="5" t="s">
        <v>15436</v>
      </c>
      <c r="E715" s="5"/>
      <c r="F715" s="5" t="s">
        <v>14306</v>
      </c>
      <c r="G715" s="5" t="s">
        <v>105</v>
      </c>
      <c r="H715" s="5" t="s">
        <v>3</v>
      </c>
      <c r="I715" s="5"/>
      <c r="J715" s="5" t="s">
        <v>15435</v>
      </c>
    </row>
    <row r="716" spans="1:10" x14ac:dyDescent="0.2">
      <c r="A716" s="5" t="s">
        <v>15434</v>
      </c>
      <c r="B716" s="5" t="s">
        <v>83</v>
      </c>
      <c r="C716" s="5"/>
      <c r="D716" s="5" t="s">
        <v>15433</v>
      </c>
      <c r="E716" s="5"/>
      <c r="F716" s="5" t="s">
        <v>15432</v>
      </c>
      <c r="G716" s="5" t="s">
        <v>328</v>
      </c>
      <c r="H716" s="5" t="s">
        <v>137</v>
      </c>
      <c r="I716" s="5"/>
      <c r="J716" s="5" t="s">
        <v>15431</v>
      </c>
    </row>
    <row r="717" spans="1:10" x14ac:dyDescent="0.2">
      <c r="A717" s="5" t="s">
        <v>15430</v>
      </c>
      <c r="B717" s="5" t="s">
        <v>83</v>
      </c>
      <c r="C717" s="5"/>
      <c r="D717" s="5" t="s">
        <v>15429</v>
      </c>
      <c r="E717" s="5"/>
      <c r="F717" s="5" t="s">
        <v>165</v>
      </c>
      <c r="G717" s="5" t="s">
        <v>105</v>
      </c>
      <c r="H717" s="5" t="s">
        <v>3</v>
      </c>
      <c r="I717" s="5"/>
      <c r="J717" s="5"/>
    </row>
    <row r="718" spans="1:10" ht="25.5" x14ac:dyDescent="0.2">
      <c r="A718" s="5" t="s">
        <v>15428</v>
      </c>
      <c r="B718" s="5" t="s">
        <v>83</v>
      </c>
      <c r="C718" s="5"/>
      <c r="D718" s="5" t="s">
        <v>15427</v>
      </c>
      <c r="E718" s="5"/>
      <c r="F718" s="5" t="s">
        <v>12907</v>
      </c>
      <c r="G718" s="5" t="s">
        <v>199</v>
      </c>
      <c r="H718" s="5" t="s">
        <v>137</v>
      </c>
      <c r="I718" s="5" t="s">
        <v>7844</v>
      </c>
      <c r="J718" s="5" t="s">
        <v>15426</v>
      </c>
    </row>
    <row r="719" spans="1:10" ht="25.5" x14ac:dyDescent="0.2">
      <c r="A719" s="5" t="s">
        <v>15425</v>
      </c>
      <c r="B719" s="5" t="s">
        <v>83</v>
      </c>
      <c r="C719" s="5"/>
      <c r="D719" s="5" t="s">
        <v>15424</v>
      </c>
      <c r="E719" s="5"/>
      <c r="F719" s="5" t="s">
        <v>15423</v>
      </c>
      <c r="G719" s="5" t="s">
        <v>6584</v>
      </c>
      <c r="H719" s="5" t="s">
        <v>3</v>
      </c>
      <c r="I719" s="5"/>
      <c r="J719" s="5" t="s">
        <v>15422</v>
      </c>
    </row>
    <row r="720" spans="1:10" ht="38.25" x14ac:dyDescent="0.2">
      <c r="A720" s="5" t="s">
        <v>15421</v>
      </c>
      <c r="B720" s="5" t="s">
        <v>83</v>
      </c>
      <c r="C720" s="5"/>
      <c r="D720" s="5" t="s">
        <v>15420</v>
      </c>
      <c r="E720" s="5"/>
      <c r="F720" s="5" t="s">
        <v>10313</v>
      </c>
      <c r="G720" s="5" t="s">
        <v>80</v>
      </c>
      <c r="H720" s="5" t="s">
        <v>3</v>
      </c>
      <c r="I720" s="5"/>
      <c r="J720" s="5" t="s">
        <v>15419</v>
      </c>
    </row>
    <row r="721" spans="1:10" x14ac:dyDescent="0.2">
      <c r="A721" s="5" t="s">
        <v>15418</v>
      </c>
      <c r="B721" s="5" t="s">
        <v>83</v>
      </c>
      <c r="C721" s="5"/>
      <c r="D721" s="5" t="s">
        <v>15417</v>
      </c>
      <c r="E721" s="5"/>
      <c r="F721" s="5" t="s">
        <v>15416</v>
      </c>
      <c r="G721" s="5" t="s">
        <v>276</v>
      </c>
      <c r="H721" s="5" t="s">
        <v>3</v>
      </c>
      <c r="I721" s="5"/>
      <c r="J721" s="5" t="s">
        <v>15415</v>
      </c>
    </row>
    <row r="722" spans="1:10" ht="25.5" x14ac:dyDescent="0.2">
      <c r="A722" s="5" t="s">
        <v>15414</v>
      </c>
      <c r="B722" s="5" t="s">
        <v>83</v>
      </c>
      <c r="C722" s="5"/>
      <c r="D722" s="5" t="s">
        <v>15413</v>
      </c>
      <c r="E722" s="5"/>
      <c r="F722" s="5" t="s">
        <v>110</v>
      </c>
      <c r="G722" s="5" t="s">
        <v>199</v>
      </c>
      <c r="H722" s="5" t="s">
        <v>137</v>
      </c>
      <c r="I722" s="5" t="s">
        <v>15385</v>
      </c>
      <c r="J722" s="5" t="s">
        <v>15412</v>
      </c>
    </row>
    <row r="723" spans="1:10" x14ac:dyDescent="0.2">
      <c r="A723" s="5" t="s">
        <v>9148</v>
      </c>
      <c r="B723" s="5" t="s">
        <v>83</v>
      </c>
      <c r="C723" s="5"/>
      <c r="D723" s="5" t="s">
        <v>15411</v>
      </c>
      <c r="E723" s="5"/>
      <c r="F723" s="5" t="s">
        <v>15410</v>
      </c>
      <c r="G723" s="5" t="s">
        <v>80</v>
      </c>
      <c r="H723" s="5" t="s">
        <v>3</v>
      </c>
      <c r="I723" s="5"/>
      <c r="J723" s="5" t="s">
        <v>15409</v>
      </c>
    </row>
    <row r="724" spans="1:10" x14ac:dyDescent="0.2">
      <c r="A724" s="5" t="s">
        <v>15407</v>
      </c>
      <c r="B724" s="5" t="s">
        <v>83</v>
      </c>
      <c r="C724" s="5"/>
      <c r="D724" s="5" t="s">
        <v>15408</v>
      </c>
      <c r="E724" s="5" t="s">
        <v>138</v>
      </c>
      <c r="F724" s="5" t="s">
        <v>15407</v>
      </c>
      <c r="G724" s="5" t="s">
        <v>382</v>
      </c>
      <c r="H724" s="5" t="s">
        <v>3</v>
      </c>
      <c r="I724" s="5"/>
      <c r="J724" s="5"/>
    </row>
    <row r="725" spans="1:10" x14ac:dyDescent="0.2">
      <c r="A725" s="5" t="s">
        <v>12357</v>
      </c>
      <c r="B725" s="5" t="s">
        <v>83</v>
      </c>
      <c r="C725" s="5"/>
      <c r="D725" s="5" t="s">
        <v>12356</v>
      </c>
      <c r="E725" s="5" t="s">
        <v>150</v>
      </c>
      <c r="F725" s="5" t="s">
        <v>12355</v>
      </c>
      <c r="G725" s="5" t="s">
        <v>148</v>
      </c>
      <c r="H725" s="5" t="s">
        <v>3</v>
      </c>
      <c r="I725" s="5"/>
      <c r="J725" s="5" t="s">
        <v>15406</v>
      </c>
    </row>
    <row r="726" spans="1:10" ht="38.25" x14ac:dyDescent="0.2">
      <c r="A726" s="5" t="s">
        <v>60</v>
      </c>
      <c r="B726" s="5" t="s">
        <v>8</v>
      </c>
      <c r="C726" s="5"/>
      <c r="D726" s="5" t="s">
        <v>15405</v>
      </c>
      <c r="E726" s="5"/>
      <c r="F726" s="5"/>
      <c r="G726" s="5"/>
      <c r="H726" s="5"/>
      <c r="I726" s="5"/>
      <c r="J726" s="5" t="s">
        <v>15404</v>
      </c>
    </row>
    <row r="727" spans="1:10" x14ac:dyDescent="0.2">
      <c r="A727" s="5" t="s">
        <v>15403</v>
      </c>
      <c r="B727" s="5" t="s">
        <v>8</v>
      </c>
      <c r="C727" s="5"/>
      <c r="D727" s="5" t="s">
        <v>15402</v>
      </c>
      <c r="E727" s="5"/>
      <c r="F727" s="5"/>
      <c r="G727" s="5"/>
      <c r="H727" s="5"/>
      <c r="I727" s="5"/>
      <c r="J727" s="5" t="s">
        <v>15401</v>
      </c>
    </row>
    <row r="728" spans="1:10" ht="25.5" x14ac:dyDescent="0.2">
      <c r="A728" s="5" t="s">
        <v>53</v>
      </c>
      <c r="B728" s="5" t="s">
        <v>8</v>
      </c>
      <c r="C728" s="5"/>
      <c r="D728" s="5" t="s">
        <v>52</v>
      </c>
      <c r="E728" s="5"/>
      <c r="F728" s="5"/>
      <c r="G728" s="5"/>
      <c r="H728" s="5"/>
      <c r="I728" s="5"/>
      <c r="J728" s="5" t="s">
        <v>51</v>
      </c>
    </row>
    <row r="729" spans="1:10" ht="25.5" x14ac:dyDescent="0.2">
      <c r="A729" s="5" t="s">
        <v>15400</v>
      </c>
      <c r="B729" s="5" t="s">
        <v>8</v>
      </c>
      <c r="C729" s="5"/>
      <c r="D729" s="5" t="s">
        <v>15399</v>
      </c>
      <c r="E729" s="5"/>
      <c r="F729" s="5"/>
      <c r="G729" s="5"/>
      <c r="H729" s="5"/>
      <c r="I729" s="5"/>
      <c r="J729" s="5"/>
    </row>
    <row r="730" spans="1:10" ht="25.5" x14ac:dyDescent="0.2">
      <c r="A730" s="5" t="s">
        <v>7844</v>
      </c>
      <c r="B730" s="5" t="s">
        <v>8</v>
      </c>
      <c r="C730" s="5"/>
      <c r="D730" s="5" t="s">
        <v>15398</v>
      </c>
      <c r="E730" s="5"/>
      <c r="F730" s="5"/>
      <c r="G730" s="5"/>
      <c r="H730" s="5"/>
      <c r="I730" s="5"/>
      <c r="J730" s="5" t="s">
        <v>15397</v>
      </c>
    </row>
    <row r="731" spans="1:10" x14ac:dyDescent="0.2">
      <c r="A731" s="5" t="s">
        <v>15396</v>
      </c>
      <c r="B731" s="5" t="s">
        <v>8</v>
      </c>
      <c r="C731" s="5"/>
      <c r="D731" s="5" t="s">
        <v>15395</v>
      </c>
      <c r="E731" s="5"/>
      <c r="F731" s="5"/>
      <c r="G731" s="5"/>
      <c r="H731" s="5"/>
      <c r="I731" s="5"/>
      <c r="J731" s="5" t="s">
        <v>15394</v>
      </c>
    </row>
    <row r="732" spans="1:10" ht="25.5" x14ac:dyDescent="0.2">
      <c r="A732" s="5" t="s">
        <v>15393</v>
      </c>
      <c r="B732" s="5" t="s">
        <v>8</v>
      </c>
      <c r="C732" s="5"/>
      <c r="D732" s="5" t="s">
        <v>15392</v>
      </c>
      <c r="E732" s="5"/>
      <c r="F732" s="5"/>
      <c r="G732" s="5"/>
      <c r="H732" s="5"/>
      <c r="I732" s="5"/>
      <c r="J732" s="5" t="s">
        <v>15391</v>
      </c>
    </row>
    <row r="733" spans="1:10" ht="25.5" x14ac:dyDescent="0.2">
      <c r="A733" s="5" t="s">
        <v>15390</v>
      </c>
      <c r="B733" s="5" t="s">
        <v>8</v>
      </c>
      <c r="C733" s="5"/>
      <c r="D733" s="5" t="s">
        <v>15389</v>
      </c>
      <c r="E733" s="5"/>
      <c r="F733" s="5"/>
      <c r="G733" s="5"/>
      <c r="H733" s="5"/>
      <c r="I733" s="5"/>
      <c r="J733" s="5" t="s">
        <v>15388</v>
      </c>
    </row>
    <row r="734" spans="1:10" x14ac:dyDescent="0.2">
      <c r="A734" s="5" t="s">
        <v>15387</v>
      </c>
      <c r="B734" s="5" t="s">
        <v>8</v>
      </c>
      <c r="C734" s="5"/>
      <c r="D734" s="5" t="s">
        <v>15386</v>
      </c>
      <c r="E734" s="5"/>
      <c r="F734" s="5"/>
      <c r="G734" s="5"/>
      <c r="H734" s="5"/>
      <c r="I734" s="5"/>
      <c r="J734" s="5"/>
    </row>
    <row r="735" spans="1:10" ht="38.25" x14ac:dyDescent="0.2">
      <c r="A735" s="5" t="s">
        <v>15385</v>
      </c>
      <c r="B735" s="5" t="s">
        <v>8</v>
      </c>
      <c r="C735" s="5"/>
      <c r="D735" s="5" t="s">
        <v>15384</v>
      </c>
      <c r="E735" s="5"/>
      <c r="F735" s="5"/>
      <c r="G735" s="5"/>
      <c r="H735" s="5"/>
      <c r="I735" s="5"/>
      <c r="J735" s="5" t="s">
        <v>15383</v>
      </c>
    </row>
    <row r="736" spans="1:10" x14ac:dyDescent="0.2">
      <c r="A736" s="5" t="s">
        <v>6</v>
      </c>
      <c r="B736" s="5" t="s">
        <v>0</v>
      </c>
      <c r="C736" s="5"/>
      <c r="D736" s="5" t="s">
        <v>7375</v>
      </c>
      <c r="E736" s="5"/>
      <c r="F736" s="5" t="s">
        <v>4</v>
      </c>
      <c r="G736" s="5" t="s">
        <v>3</v>
      </c>
      <c r="H736" s="5"/>
      <c r="I736" s="5"/>
      <c r="J736" s="5" t="s">
        <v>2</v>
      </c>
    </row>
    <row r="737" spans="1:10" x14ac:dyDescent="0.2">
      <c r="A737" s="5" t="s">
        <v>1</v>
      </c>
      <c r="B737" s="5" t="s">
        <v>0</v>
      </c>
      <c r="C737" s="5"/>
      <c r="D737" s="5">
        <v>233</v>
      </c>
      <c r="E737" s="5"/>
      <c r="F737" s="5"/>
      <c r="G737" s="5"/>
      <c r="H737" s="5"/>
      <c r="I737" s="5"/>
      <c r="J737" s="5"/>
    </row>
    <row r="738" spans="1:10" x14ac:dyDescent="0.2">
      <c r="A738" s="5" t="s">
        <v>15382</v>
      </c>
      <c r="B738" s="5" t="s">
        <v>0</v>
      </c>
      <c r="C738" s="5"/>
      <c r="D738" s="5">
        <v>219</v>
      </c>
      <c r="E738" s="5"/>
      <c r="F738" s="5"/>
      <c r="G738" s="5"/>
      <c r="H738" s="5"/>
      <c r="I738" s="5"/>
      <c r="J738" s="5"/>
    </row>
  </sheetData>
  <autoFilter ref="A3:M3" xr:uid="{B2F118FD-E5B2-4E44-9BD3-D0682A1C8D44}"/>
  <mergeCells count="1">
    <mergeCell ref="G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39B4-E0DA-449B-8C94-58054AEA9B1C}">
  <sheetPr codeName="Sheet14"/>
  <dimension ref="A1:Y469"/>
  <sheetViews>
    <sheetView workbookViewId="0">
      <pane ySplit="6435" topLeftCell="A26"/>
      <selection activeCell="A4" sqref="A4"/>
      <selection pane="bottomLeft" activeCell="B9" sqref="B9"/>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8406</v>
      </c>
      <c r="C1" s="14"/>
      <c r="D1" s="14"/>
      <c r="E1" s="14"/>
      <c r="F1" s="13" t="s">
        <v>8892</v>
      </c>
      <c r="G1" s="16">
        <v>45538</v>
      </c>
      <c r="H1" s="16"/>
      <c r="I1" s="16"/>
      <c r="J1" s="11" t="str">
        <f ca="1">MID(CELL("filename",$A$1),FIND("]",CELL("filename",$A$1))+1,256)</f>
        <v>CHIT</v>
      </c>
    </row>
    <row r="2" spans="1:25" ht="18" x14ac:dyDescent="0.2">
      <c r="A2" s="14">
        <f ca="1">COUNTA(OFFSET(A3,1,0,2222,1))</f>
        <v>466</v>
      </c>
      <c r="B2" s="15"/>
      <c r="C2" s="14">
        <f ca="1">MAX(OFFSET(C3,1,0,2222,1))</f>
        <v>281</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8406</v>
      </c>
      <c r="G4" s="5" t="s">
        <v>229</v>
      </c>
      <c r="H4" s="5" t="s">
        <v>3</v>
      </c>
      <c r="I4" s="5"/>
      <c r="J4" s="5" t="s">
        <v>8874</v>
      </c>
    </row>
    <row r="5" spans="1:25" ht="38.25" x14ac:dyDescent="0.2">
      <c r="A5" s="5" t="s">
        <v>9300</v>
      </c>
      <c r="B5" s="5" t="s">
        <v>8584</v>
      </c>
      <c r="C5" s="5">
        <v>0</v>
      </c>
      <c r="D5" s="5"/>
      <c r="E5" s="5"/>
      <c r="F5" s="5" t="s">
        <v>17183</v>
      </c>
      <c r="G5" s="5" t="s">
        <v>2308</v>
      </c>
      <c r="H5" s="5" t="s">
        <v>3</v>
      </c>
      <c r="I5" s="5"/>
      <c r="J5" s="5" t="s">
        <v>17182</v>
      </c>
    </row>
    <row r="6" spans="1:25" ht="38.25" x14ac:dyDescent="0.2">
      <c r="A6" s="5" t="s">
        <v>17181</v>
      </c>
      <c r="B6" s="5" t="s">
        <v>8584</v>
      </c>
      <c r="C6" s="5">
        <v>0</v>
      </c>
      <c r="D6" s="5"/>
      <c r="E6" s="5"/>
      <c r="F6" s="5" t="s">
        <v>7702</v>
      </c>
      <c r="G6" s="5" t="s">
        <v>229</v>
      </c>
      <c r="H6" s="5" t="s">
        <v>3</v>
      </c>
      <c r="I6" s="5"/>
      <c r="J6" s="5" t="s">
        <v>17180</v>
      </c>
    </row>
    <row r="7" spans="1:25" x14ac:dyDescent="0.2">
      <c r="A7" s="5" t="s">
        <v>7375</v>
      </c>
      <c r="B7" s="5" t="s">
        <v>8584</v>
      </c>
      <c r="C7" s="5">
        <v>1</v>
      </c>
      <c r="D7" s="5"/>
      <c r="E7" s="5"/>
      <c r="F7" s="5" t="s">
        <v>9245</v>
      </c>
      <c r="G7" s="5" t="s">
        <v>4</v>
      </c>
      <c r="H7" s="5" t="s">
        <v>3</v>
      </c>
      <c r="I7" s="5"/>
      <c r="J7" s="5"/>
    </row>
    <row r="8" spans="1:25" ht="25.5" x14ac:dyDescent="0.2">
      <c r="A8" s="5" t="s">
        <v>17178</v>
      </c>
      <c r="B8" s="5" t="s">
        <v>8584</v>
      </c>
      <c r="C8" s="5">
        <v>1</v>
      </c>
      <c r="D8" s="5"/>
      <c r="E8" s="5"/>
      <c r="F8" s="5" t="s">
        <v>17177</v>
      </c>
      <c r="G8" s="5" t="s">
        <v>105</v>
      </c>
      <c r="H8" s="5"/>
      <c r="I8" s="5"/>
      <c r="J8" s="5" t="s">
        <v>17177</v>
      </c>
    </row>
    <row r="9" spans="1:25" ht="25.5" x14ac:dyDescent="0.2">
      <c r="A9" s="5" t="s">
        <v>17176</v>
      </c>
      <c r="B9" s="5" t="s">
        <v>8584</v>
      </c>
      <c r="C9" s="5">
        <v>2</v>
      </c>
      <c r="D9" s="5"/>
      <c r="E9" s="5" t="s">
        <v>150</v>
      </c>
      <c r="F9" s="5" t="s">
        <v>7361</v>
      </c>
      <c r="G9" s="5" t="s">
        <v>148</v>
      </c>
      <c r="H9" s="5" t="s">
        <v>3</v>
      </c>
      <c r="I9" s="5"/>
      <c r="J9" s="5" t="s">
        <v>18492</v>
      </c>
    </row>
    <row r="10" spans="1:25" ht="25.5" x14ac:dyDescent="0.2">
      <c r="A10" s="5" t="s">
        <v>18493</v>
      </c>
      <c r="B10" s="5" t="s">
        <v>8584</v>
      </c>
      <c r="C10" s="5">
        <v>2</v>
      </c>
      <c r="D10" s="5"/>
      <c r="E10" s="5" t="s">
        <v>213</v>
      </c>
      <c r="F10" s="5" t="s">
        <v>7361</v>
      </c>
      <c r="G10" s="5" t="s">
        <v>91</v>
      </c>
      <c r="H10" s="5" t="s">
        <v>3</v>
      </c>
      <c r="I10" s="5"/>
      <c r="J10" s="5" t="s">
        <v>18492</v>
      </c>
    </row>
    <row r="11" spans="1:25" s="2" customFormat="1" ht="25.5" x14ac:dyDescent="0.2">
      <c r="A11" s="5" t="s">
        <v>17175</v>
      </c>
      <c r="B11" s="5" t="s">
        <v>8584</v>
      </c>
      <c r="C11" s="5">
        <v>3</v>
      </c>
      <c r="D11" s="5"/>
      <c r="E11" s="5" t="s">
        <v>665</v>
      </c>
      <c r="F11" s="5" t="s">
        <v>7361</v>
      </c>
      <c r="G11" s="5" t="s">
        <v>382</v>
      </c>
      <c r="H11" s="5" t="s">
        <v>3</v>
      </c>
      <c r="I11" s="5"/>
      <c r="J11" s="5" t="s">
        <v>18491</v>
      </c>
      <c r="M11" s="1"/>
      <c r="N11"/>
      <c r="O11"/>
      <c r="P11"/>
      <c r="Q11"/>
      <c r="R11"/>
      <c r="S11"/>
      <c r="T11"/>
      <c r="U11"/>
      <c r="V11"/>
      <c r="W11"/>
      <c r="X11"/>
      <c r="Y11"/>
    </row>
    <row r="12" spans="1:25" s="2" customFormat="1" x14ac:dyDescent="0.2">
      <c r="A12" s="5" t="s">
        <v>7539</v>
      </c>
      <c r="B12" s="5" t="s">
        <v>8584</v>
      </c>
      <c r="C12" s="5">
        <v>4</v>
      </c>
      <c r="D12" s="5"/>
      <c r="E12" s="5" t="s">
        <v>150</v>
      </c>
      <c r="F12" s="5" t="s">
        <v>4589</v>
      </c>
      <c r="G12" s="5" t="s">
        <v>148</v>
      </c>
      <c r="H12" s="5" t="s">
        <v>3</v>
      </c>
      <c r="I12" s="5"/>
      <c r="J12" s="5" t="s">
        <v>7536</v>
      </c>
      <c r="M12" s="1"/>
      <c r="N12"/>
      <c r="O12"/>
      <c r="P12"/>
      <c r="Q12"/>
      <c r="R12"/>
      <c r="S12"/>
      <c r="T12"/>
      <c r="U12"/>
      <c r="V12"/>
      <c r="W12"/>
      <c r="X12"/>
      <c r="Y12"/>
    </row>
    <row r="13" spans="1:25" s="2" customFormat="1" x14ac:dyDescent="0.2">
      <c r="A13" s="5" t="s">
        <v>17173</v>
      </c>
      <c r="B13" s="5" t="s">
        <v>8584</v>
      </c>
      <c r="C13" s="5">
        <v>4</v>
      </c>
      <c r="D13" s="5"/>
      <c r="E13" s="5" t="s">
        <v>213</v>
      </c>
      <c r="F13" s="5" t="s">
        <v>4589</v>
      </c>
      <c r="G13" s="5" t="s">
        <v>91</v>
      </c>
      <c r="H13" s="5" t="s">
        <v>3</v>
      </c>
      <c r="I13" s="5"/>
      <c r="J13" s="5" t="s">
        <v>7536</v>
      </c>
      <c r="M13" s="1"/>
      <c r="N13"/>
      <c r="O13"/>
      <c r="P13"/>
      <c r="Q13"/>
      <c r="R13"/>
      <c r="S13"/>
      <c r="T13"/>
      <c r="U13"/>
      <c r="V13"/>
      <c r="W13"/>
      <c r="X13"/>
      <c r="Y13"/>
    </row>
    <row r="14" spans="1:25" s="2" customFormat="1" ht="25.5" x14ac:dyDescent="0.2">
      <c r="A14" s="5" t="s">
        <v>7525</v>
      </c>
      <c r="B14" s="5" t="s">
        <v>8584</v>
      </c>
      <c r="C14" s="5">
        <v>5</v>
      </c>
      <c r="D14" s="5"/>
      <c r="E14" s="5" t="s">
        <v>665</v>
      </c>
      <c r="F14" s="5" t="s">
        <v>18490</v>
      </c>
      <c r="G14" s="5" t="s">
        <v>181</v>
      </c>
      <c r="H14" s="5"/>
      <c r="I14" s="5"/>
      <c r="J14" s="5" t="s">
        <v>16949</v>
      </c>
      <c r="M14" s="1"/>
      <c r="N14"/>
      <c r="O14"/>
      <c r="P14"/>
      <c r="Q14"/>
      <c r="R14"/>
      <c r="S14"/>
      <c r="T14"/>
      <c r="U14"/>
      <c r="V14"/>
      <c r="W14"/>
      <c r="X14"/>
      <c r="Y14"/>
    </row>
    <row r="15" spans="1:25" s="2" customFormat="1" x14ac:dyDescent="0.2">
      <c r="A15" s="5" t="s">
        <v>15377</v>
      </c>
      <c r="B15" s="5" t="s">
        <v>8584</v>
      </c>
      <c r="C15" s="5">
        <v>6</v>
      </c>
      <c r="D15" s="5"/>
      <c r="E15" s="5"/>
      <c r="F15" s="5" t="s">
        <v>7364</v>
      </c>
      <c r="G15" s="5" t="s">
        <v>114</v>
      </c>
      <c r="H15" s="5" t="s">
        <v>3</v>
      </c>
      <c r="I15" s="5"/>
      <c r="J15" s="5" t="s">
        <v>16107</v>
      </c>
      <c r="M15" s="1"/>
      <c r="N15"/>
      <c r="O15"/>
      <c r="P15"/>
      <c r="Q15"/>
      <c r="R15"/>
      <c r="S15"/>
      <c r="T15"/>
      <c r="U15"/>
      <c r="V15"/>
      <c r="W15"/>
      <c r="X15"/>
      <c r="Y15"/>
    </row>
    <row r="16" spans="1:25" s="2" customFormat="1" x14ac:dyDescent="0.2">
      <c r="A16" s="5" t="s">
        <v>18489</v>
      </c>
      <c r="B16" s="5" t="s">
        <v>8584</v>
      </c>
      <c r="C16" s="5">
        <v>7</v>
      </c>
      <c r="D16" s="5"/>
      <c r="E16" s="5"/>
      <c r="F16" s="5" t="s">
        <v>7661</v>
      </c>
      <c r="G16" s="5" t="s">
        <v>207</v>
      </c>
      <c r="H16" s="5" t="s">
        <v>3</v>
      </c>
      <c r="I16" s="5"/>
      <c r="J16" s="5"/>
      <c r="M16" s="1"/>
      <c r="N16"/>
      <c r="O16"/>
      <c r="P16"/>
      <c r="Q16"/>
      <c r="R16"/>
      <c r="S16"/>
      <c r="T16"/>
      <c r="U16"/>
      <c r="V16"/>
      <c r="W16"/>
      <c r="X16"/>
      <c r="Y16"/>
    </row>
    <row r="17" spans="1:25" s="2" customFormat="1" x14ac:dyDescent="0.2">
      <c r="A17" s="5" t="s">
        <v>18488</v>
      </c>
      <c r="B17" s="5" t="s">
        <v>8584</v>
      </c>
      <c r="C17" s="5">
        <v>8</v>
      </c>
      <c r="D17" s="5"/>
      <c r="E17" s="5"/>
      <c r="F17" s="5" t="s">
        <v>18042</v>
      </c>
      <c r="G17" s="5" t="s">
        <v>224</v>
      </c>
      <c r="H17" s="5" t="s">
        <v>137</v>
      </c>
      <c r="I17" s="5" t="s">
        <v>18040</v>
      </c>
      <c r="J17" s="5" t="s">
        <v>18042</v>
      </c>
      <c r="M17" s="1"/>
      <c r="N17"/>
      <c r="O17"/>
      <c r="P17"/>
      <c r="Q17"/>
      <c r="R17"/>
      <c r="S17"/>
      <c r="T17"/>
      <c r="U17"/>
      <c r="V17"/>
      <c r="W17"/>
      <c r="X17"/>
      <c r="Y17"/>
    </row>
    <row r="18" spans="1:25" s="2" customFormat="1" ht="38.25" x14ac:dyDescent="0.2">
      <c r="A18" s="5" t="s">
        <v>17071</v>
      </c>
      <c r="B18" s="5" t="s">
        <v>8584</v>
      </c>
      <c r="C18" s="5">
        <v>9</v>
      </c>
      <c r="D18" s="5"/>
      <c r="E18" s="5"/>
      <c r="F18" s="5" t="s">
        <v>18487</v>
      </c>
      <c r="G18" s="5" t="s">
        <v>6385</v>
      </c>
      <c r="H18" s="5" t="s">
        <v>3</v>
      </c>
      <c r="I18" s="5"/>
      <c r="J18" s="5" t="s">
        <v>17069</v>
      </c>
      <c r="M18" s="1"/>
      <c r="N18"/>
      <c r="O18"/>
      <c r="P18"/>
      <c r="Q18"/>
      <c r="R18"/>
      <c r="S18"/>
      <c r="T18"/>
      <c r="U18"/>
      <c r="V18"/>
      <c r="W18"/>
      <c r="X18"/>
      <c r="Y18"/>
    </row>
    <row r="19" spans="1:25" s="2" customFormat="1" ht="25.5" x14ac:dyDescent="0.2">
      <c r="A19" s="5" t="s">
        <v>17058</v>
      </c>
      <c r="B19" s="5" t="s">
        <v>8584</v>
      </c>
      <c r="C19" s="5">
        <v>10</v>
      </c>
      <c r="D19" s="5"/>
      <c r="E19" s="5"/>
      <c r="F19" s="5" t="s">
        <v>17718</v>
      </c>
      <c r="G19" s="5" t="s">
        <v>148</v>
      </c>
      <c r="H19" s="5" t="s">
        <v>3</v>
      </c>
      <c r="I19" s="5"/>
      <c r="J19" s="5" t="s">
        <v>17056</v>
      </c>
      <c r="M19" s="1"/>
      <c r="N19"/>
      <c r="O19"/>
      <c r="P19"/>
      <c r="Q19"/>
      <c r="R19"/>
      <c r="S19"/>
      <c r="T19"/>
      <c r="U19"/>
      <c r="V19"/>
      <c r="W19"/>
      <c r="X19"/>
      <c r="Y19"/>
    </row>
    <row r="20" spans="1:25" s="2" customFormat="1" ht="25.5" x14ac:dyDescent="0.2">
      <c r="A20" s="5" t="s">
        <v>16912</v>
      </c>
      <c r="B20" s="5" t="s">
        <v>8584</v>
      </c>
      <c r="C20" s="5">
        <v>11</v>
      </c>
      <c r="D20" s="5"/>
      <c r="E20" s="5" t="s">
        <v>11304</v>
      </c>
      <c r="F20" s="5" t="s">
        <v>18486</v>
      </c>
      <c r="G20" s="5" t="s">
        <v>393</v>
      </c>
      <c r="H20" s="5" t="s">
        <v>137</v>
      </c>
      <c r="I20" s="5" t="s">
        <v>16251</v>
      </c>
      <c r="J20" s="5" t="s">
        <v>16910</v>
      </c>
      <c r="M20" s="1"/>
      <c r="N20"/>
      <c r="O20"/>
      <c r="P20"/>
      <c r="Q20"/>
      <c r="R20"/>
      <c r="S20"/>
      <c r="T20"/>
      <c r="U20"/>
      <c r="V20"/>
      <c r="W20"/>
      <c r="X20"/>
      <c r="Y20"/>
    </row>
    <row r="21" spans="1:25" s="2" customFormat="1" ht="25.5" x14ac:dyDescent="0.2">
      <c r="A21" s="5" t="s">
        <v>16907</v>
      </c>
      <c r="B21" s="5" t="s">
        <v>8584</v>
      </c>
      <c r="C21" s="5">
        <v>12</v>
      </c>
      <c r="D21" s="5"/>
      <c r="E21" s="5"/>
      <c r="F21" s="5" t="s">
        <v>18485</v>
      </c>
      <c r="G21" s="5" t="s">
        <v>118</v>
      </c>
      <c r="H21" s="5" t="s">
        <v>3</v>
      </c>
      <c r="I21" s="5"/>
      <c r="J21" s="5" t="s">
        <v>16905</v>
      </c>
      <c r="M21" s="1"/>
      <c r="N21"/>
      <c r="O21"/>
      <c r="P21"/>
      <c r="Q21"/>
      <c r="R21"/>
      <c r="S21"/>
      <c r="T21"/>
      <c r="U21"/>
      <c r="V21"/>
      <c r="W21"/>
      <c r="X21"/>
      <c r="Y21"/>
    </row>
    <row r="22" spans="1:25" s="2" customFormat="1" x14ac:dyDescent="0.2">
      <c r="A22" s="5" t="s">
        <v>17055</v>
      </c>
      <c r="B22" s="5" t="s">
        <v>8584</v>
      </c>
      <c r="C22" s="5">
        <v>13</v>
      </c>
      <c r="D22" s="5"/>
      <c r="E22" s="5"/>
      <c r="F22" s="5" t="s">
        <v>18066</v>
      </c>
      <c r="G22" s="5" t="s">
        <v>229</v>
      </c>
      <c r="H22" s="5" t="s">
        <v>137</v>
      </c>
      <c r="I22" s="5" t="s">
        <v>17055</v>
      </c>
      <c r="J22" s="5" t="s">
        <v>17053</v>
      </c>
      <c r="M22" s="1"/>
      <c r="N22"/>
      <c r="O22"/>
      <c r="P22"/>
      <c r="Q22"/>
      <c r="R22"/>
      <c r="S22"/>
      <c r="T22"/>
      <c r="U22"/>
      <c r="V22"/>
      <c r="W22"/>
      <c r="X22"/>
      <c r="Y22"/>
    </row>
    <row r="23" spans="1:25" s="2" customFormat="1" ht="25.5" x14ac:dyDescent="0.2">
      <c r="A23" s="5" t="s">
        <v>16820</v>
      </c>
      <c r="B23" s="5" t="s">
        <v>8584</v>
      </c>
      <c r="C23" s="5">
        <v>14</v>
      </c>
      <c r="D23" s="5"/>
      <c r="E23" s="5"/>
      <c r="F23" s="5" t="s">
        <v>18484</v>
      </c>
      <c r="G23" s="5" t="s">
        <v>315</v>
      </c>
      <c r="H23" s="5" t="s">
        <v>137</v>
      </c>
      <c r="I23" s="5"/>
      <c r="J23" s="5" t="s">
        <v>16819</v>
      </c>
      <c r="M23" s="1"/>
      <c r="N23"/>
      <c r="O23"/>
      <c r="P23"/>
      <c r="Q23"/>
      <c r="R23"/>
      <c r="S23"/>
      <c r="T23"/>
      <c r="U23"/>
      <c r="V23"/>
      <c r="W23"/>
      <c r="X23"/>
      <c r="Y23"/>
    </row>
    <row r="24" spans="1:25" s="2" customFormat="1" ht="38.25" x14ac:dyDescent="0.2">
      <c r="A24" s="5" t="s">
        <v>8728</v>
      </c>
      <c r="B24" s="5" t="s">
        <v>8584</v>
      </c>
      <c r="C24" s="5">
        <v>15</v>
      </c>
      <c r="D24" s="5"/>
      <c r="E24" s="5"/>
      <c r="F24" s="5" t="s">
        <v>16801</v>
      </c>
      <c r="G24" s="5" t="s">
        <v>11680</v>
      </c>
      <c r="H24" s="5" t="s">
        <v>137</v>
      </c>
      <c r="I24" s="5" t="s">
        <v>15305</v>
      </c>
      <c r="J24" s="5" t="s">
        <v>16800</v>
      </c>
      <c r="M24" s="1"/>
      <c r="N24"/>
      <c r="O24"/>
      <c r="P24"/>
      <c r="Q24"/>
      <c r="R24"/>
      <c r="S24"/>
      <c r="T24"/>
      <c r="U24"/>
      <c r="V24"/>
      <c r="W24"/>
      <c r="X24"/>
      <c r="Y24"/>
    </row>
    <row r="25" spans="1:25" s="2" customFormat="1" ht="25.5" x14ac:dyDescent="0.2">
      <c r="A25" s="5" t="s">
        <v>11411</v>
      </c>
      <c r="B25" s="5" t="s">
        <v>8584</v>
      </c>
      <c r="C25" s="5">
        <v>16</v>
      </c>
      <c r="D25" s="5"/>
      <c r="E25" s="5"/>
      <c r="F25" s="5" t="s">
        <v>10998</v>
      </c>
      <c r="G25" s="5" t="s">
        <v>207</v>
      </c>
      <c r="H25" s="5" t="s">
        <v>137</v>
      </c>
      <c r="I25" s="5" t="s">
        <v>11411</v>
      </c>
      <c r="J25" s="5" t="s">
        <v>16888</v>
      </c>
      <c r="M25" s="1"/>
      <c r="N25"/>
      <c r="O25"/>
      <c r="P25"/>
      <c r="Q25"/>
      <c r="R25"/>
      <c r="S25"/>
      <c r="T25"/>
      <c r="U25"/>
      <c r="V25"/>
      <c r="W25"/>
      <c r="X25"/>
      <c r="Y25"/>
    </row>
    <row r="26" spans="1:25" s="2" customFormat="1" ht="25.5" x14ac:dyDescent="0.2">
      <c r="A26" s="5" t="s">
        <v>17076</v>
      </c>
      <c r="B26" s="5" t="s">
        <v>8584</v>
      </c>
      <c r="C26" s="5">
        <v>17</v>
      </c>
      <c r="D26" s="5"/>
      <c r="E26" s="5"/>
      <c r="F26" s="5" t="s">
        <v>17075</v>
      </c>
      <c r="G26" s="5" t="s">
        <v>224</v>
      </c>
      <c r="H26" s="5" t="s">
        <v>137</v>
      </c>
      <c r="I26" s="5"/>
      <c r="J26" s="5" t="s">
        <v>17074</v>
      </c>
      <c r="M26" s="1"/>
      <c r="N26"/>
      <c r="O26"/>
      <c r="P26"/>
      <c r="Q26"/>
      <c r="R26"/>
      <c r="S26"/>
      <c r="T26"/>
      <c r="U26"/>
      <c r="V26"/>
      <c r="W26"/>
      <c r="X26"/>
      <c r="Y26"/>
    </row>
    <row r="27" spans="1:25" s="2" customFormat="1" ht="25.5" x14ac:dyDescent="0.2">
      <c r="A27" s="5" t="s">
        <v>158</v>
      </c>
      <c r="B27" s="5" t="s">
        <v>8584</v>
      </c>
      <c r="C27" s="5">
        <v>18</v>
      </c>
      <c r="D27" s="5"/>
      <c r="E27" s="5"/>
      <c r="F27" s="5" t="s">
        <v>18483</v>
      </c>
      <c r="G27" s="5" t="s">
        <v>207</v>
      </c>
      <c r="H27" s="5" t="s">
        <v>137</v>
      </c>
      <c r="I27" s="5" t="s">
        <v>11411</v>
      </c>
      <c r="J27" s="5" t="s">
        <v>18482</v>
      </c>
      <c r="M27" s="1"/>
      <c r="N27"/>
      <c r="O27"/>
      <c r="P27"/>
      <c r="Q27"/>
      <c r="R27"/>
      <c r="S27"/>
      <c r="T27"/>
      <c r="U27"/>
      <c r="V27"/>
      <c r="W27"/>
      <c r="X27"/>
      <c r="Y27"/>
    </row>
    <row r="28" spans="1:25" s="2" customFormat="1" ht="25.5" x14ac:dyDescent="0.2">
      <c r="A28" s="5" t="s">
        <v>18481</v>
      </c>
      <c r="B28" s="5" t="s">
        <v>8584</v>
      </c>
      <c r="C28" s="5">
        <v>19</v>
      </c>
      <c r="D28" s="5"/>
      <c r="E28" s="5"/>
      <c r="F28" s="5" t="s">
        <v>18480</v>
      </c>
      <c r="G28" s="5" t="s">
        <v>207</v>
      </c>
      <c r="H28" s="5" t="s">
        <v>3</v>
      </c>
      <c r="I28" s="5"/>
      <c r="J28" s="5" t="s">
        <v>18479</v>
      </c>
      <c r="M28" s="1"/>
      <c r="N28"/>
      <c r="O28"/>
      <c r="P28"/>
      <c r="Q28"/>
      <c r="R28"/>
      <c r="S28"/>
      <c r="T28"/>
      <c r="U28"/>
      <c r="V28"/>
      <c r="W28"/>
      <c r="X28"/>
      <c r="Y28"/>
    </row>
    <row r="29" spans="1:25" s="2" customFormat="1" ht="25.5" x14ac:dyDescent="0.2">
      <c r="A29" s="5" t="s">
        <v>17838</v>
      </c>
      <c r="B29" s="5" t="s">
        <v>8584</v>
      </c>
      <c r="C29" s="5">
        <v>20</v>
      </c>
      <c r="D29" s="5"/>
      <c r="E29" s="5"/>
      <c r="F29" s="5" t="s">
        <v>18477</v>
      </c>
      <c r="G29" s="5" t="s">
        <v>86</v>
      </c>
      <c r="H29" s="5" t="s">
        <v>137</v>
      </c>
      <c r="I29" s="5" t="s">
        <v>17838</v>
      </c>
      <c r="J29" s="5" t="s">
        <v>18477</v>
      </c>
      <c r="M29" s="1"/>
      <c r="N29"/>
      <c r="O29"/>
      <c r="P29"/>
      <c r="Q29"/>
      <c r="R29"/>
      <c r="S29"/>
      <c r="T29"/>
      <c r="U29"/>
      <c r="V29"/>
      <c r="W29"/>
      <c r="X29"/>
      <c r="Y29"/>
    </row>
    <row r="30" spans="1:25" s="2" customFormat="1" x14ac:dyDescent="0.2">
      <c r="A30" s="5" t="s">
        <v>18478</v>
      </c>
      <c r="B30" s="5" t="s">
        <v>8584</v>
      </c>
      <c r="C30" s="5">
        <v>21</v>
      </c>
      <c r="D30" s="5"/>
      <c r="E30" s="5"/>
      <c r="F30" s="5" t="s">
        <v>18477</v>
      </c>
      <c r="G30" s="5" t="s">
        <v>170</v>
      </c>
      <c r="H30" s="5" t="s">
        <v>3</v>
      </c>
      <c r="I30" s="5"/>
      <c r="J30" s="5" t="s">
        <v>18476</v>
      </c>
      <c r="M30" s="1"/>
      <c r="N30"/>
      <c r="O30"/>
      <c r="P30"/>
      <c r="Q30"/>
      <c r="R30"/>
      <c r="S30"/>
      <c r="T30"/>
      <c r="U30"/>
      <c r="V30"/>
      <c r="W30"/>
      <c r="X30"/>
      <c r="Y30"/>
    </row>
    <row r="31" spans="1:25" s="2" customFormat="1" ht="25.5" x14ac:dyDescent="0.2">
      <c r="A31" s="5" t="s">
        <v>18475</v>
      </c>
      <c r="B31" s="5" t="s">
        <v>8584</v>
      </c>
      <c r="C31" s="5">
        <v>22</v>
      </c>
      <c r="D31" s="5"/>
      <c r="E31" s="5"/>
      <c r="F31" s="5" t="s">
        <v>18474</v>
      </c>
      <c r="G31" s="5" t="s">
        <v>122</v>
      </c>
      <c r="H31" s="5" t="s">
        <v>137</v>
      </c>
      <c r="I31" s="5" t="s">
        <v>17838</v>
      </c>
      <c r="J31" s="5" t="s">
        <v>18473</v>
      </c>
      <c r="M31" s="1"/>
      <c r="N31"/>
      <c r="O31"/>
      <c r="P31"/>
      <c r="Q31"/>
      <c r="R31"/>
      <c r="S31"/>
      <c r="T31"/>
      <c r="U31"/>
      <c r="V31"/>
      <c r="W31"/>
      <c r="X31"/>
      <c r="Y31"/>
    </row>
    <row r="32" spans="1:25" s="2" customFormat="1" x14ac:dyDescent="0.2">
      <c r="A32" s="5" t="s">
        <v>18472</v>
      </c>
      <c r="B32" s="5" t="s">
        <v>8584</v>
      </c>
      <c r="C32" s="5">
        <v>23</v>
      </c>
      <c r="D32" s="5"/>
      <c r="E32" s="5"/>
      <c r="F32" s="5" t="s">
        <v>18471</v>
      </c>
      <c r="G32" s="5" t="s">
        <v>122</v>
      </c>
      <c r="H32" s="5" t="s">
        <v>3</v>
      </c>
      <c r="I32" s="5"/>
      <c r="J32" s="5"/>
      <c r="M32" s="1"/>
      <c r="N32"/>
      <c r="O32"/>
      <c r="P32"/>
      <c r="Q32"/>
      <c r="R32"/>
      <c r="S32"/>
      <c r="T32"/>
      <c r="U32"/>
      <c r="V32"/>
      <c r="W32"/>
      <c r="X32"/>
      <c r="Y32"/>
    </row>
    <row r="33" spans="1:25" s="2" customFormat="1" ht="25.5" x14ac:dyDescent="0.2">
      <c r="A33" s="5" t="s">
        <v>10232</v>
      </c>
      <c r="B33" s="5" t="s">
        <v>8584</v>
      </c>
      <c r="C33" s="5">
        <v>26</v>
      </c>
      <c r="D33" s="5"/>
      <c r="E33" s="5"/>
      <c r="F33" s="5" t="s">
        <v>12907</v>
      </c>
      <c r="G33" s="5" t="s">
        <v>6530</v>
      </c>
      <c r="H33" s="5" t="s">
        <v>137</v>
      </c>
      <c r="I33" s="5" t="s">
        <v>10232</v>
      </c>
      <c r="J33" s="5" t="s">
        <v>17144</v>
      </c>
      <c r="M33" s="1"/>
      <c r="N33"/>
      <c r="O33"/>
      <c r="P33"/>
      <c r="Q33"/>
      <c r="R33"/>
      <c r="S33"/>
      <c r="T33"/>
      <c r="U33"/>
      <c r="V33"/>
      <c r="W33"/>
      <c r="X33"/>
      <c r="Y33"/>
    </row>
    <row r="34" spans="1:25" s="2" customFormat="1" ht="25.5" x14ac:dyDescent="0.2">
      <c r="A34" s="5" t="s">
        <v>10237</v>
      </c>
      <c r="B34" s="5" t="s">
        <v>8584</v>
      </c>
      <c r="C34" s="5">
        <v>27</v>
      </c>
      <c r="D34" s="5"/>
      <c r="E34" s="5"/>
      <c r="F34" s="5" t="s">
        <v>12907</v>
      </c>
      <c r="G34" s="5" t="s">
        <v>122</v>
      </c>
      <c r="H34" s="5" t="s">
        <v>137</v>
      </c>
      <c r="I34" s="5" t="s">
        <v>10232</v>
      </c>
      <c r="J34" s="5" t="s">
        <v>18470</v>
      </c>
      <c r="M34" s="1"/>
      <c r="N34"/>
      <c r="O34"/>
      <c r="P34"/>
      <c r="Q34"/>
      <c r="R34"/>
      <c r="S34"/>
      <c r="T34"/>
      <c r="U34"/>
      <c r="V34"/>
      <c r="W34"/>
      <c r="X34"/>
      <c r="Y34"/>
    </row>
    <row r="35" spans="1:25" s="2" customFormat="1" ht="25.5" x14ac:dyDescent="0.2">
      <c r="A35" s="5" t="s">
        <v>10239</v>
      </c>
      <c r="B35" s="5" t="s">
        <v>8584</v>
      </c>
      <c r="C35" s="5">
        <v>28</v>
      </c>
      <c r="D35" s="5"/>
      <c r="E35" s="5"/>
      <c r="F35" s="5" t="s">
        <v>12907</v>
      </c>
      <c r="G35" s="5" t="s">
        <v>896</v>
      </c>
      <c r="H35" s="5" t="s">
        <v>137</v>
      </c>
      <c r="I35" s="5" t="s">
        <v>10232</v>
      </c>
      <c r="J35" s="5" t="s">
        <v>18469</v>
      </c>
      <c r="M35" s="1"/>
      <c r="N35"/>
      <c r="O35"/>
      <c r="P35"/>
      <c r="Q35"/>
      <c r="R35"/>
      <c r="S35"/>
      <c r="T35"/>
      <c r="U35"/>
      <c r="V35"/>
      <c r="W35"/>
      <c r="X35"/>
      <c r="Y35"/>
    </row>
    <row r="36" spans="1:25" s="2" customFormat="1" ht="25.5" x14ac:dyDescent="0.2">
      <c r="A36" s="5" t="s">
        <v>17131</v>
      </c>
      <c r="B36" s="5" t="s">
        <v>8584</v>
      </c>
      <c r="C36" s="5">
        <v>29</v>
      </c>
      <c r="D36" s="5"/>
      <c r="E36" s="5"/>
      <c r="F36" s="5" t="s">
        <v>6487</v>
      </c>
      <c r="G36" s="5" t="s">
        <v>1527</v>
      </c>
      <c r="H36" s="5" t="s">
        <v>137</v>
      </c>
      <c r="I36" s="5" t="s">
        <v>10232</v>
      </c>
      <c r="J36" s="5" t="s">
        <v>18468</v>
      </c>
      <c r="M36" s="1"/>
      <c r="N36"/>
      <c r="O36"/>
      <c r="P36"/>
      <c r="Q36"/>
      <c r="R36"/>
      <c r="S36"/>
      <c r="T36"/>
      <c r="U36"/>
      <c r="V36"/>
      <c r="W36"/>
      <c r="X36"/>
      <c r="Y36"/>
    </row>
    <row r="37" spans="1:25" s="2" customFormat="1" ht="25.5" x14ac:dyDescent="0.2">
      <c r="A37" s="5" t="s">
        <v>18467</v>
      </c>
      <c r="B37" s="5" t="s">
        <v>8584</v>
      </c>
      <c r="C37" s="5">
        <v>30</v>
      </c>
      <c r="D37" s="5"/>
      <c r="E37" s="5" t="s">
        <v>138</v>
      </c>
      <c r="F37" s="5" t="s">
        <v>12907</v>
      </c>
      <c r="G37" s="5" t="s">
        <v>181</v>
      </c>
      <c r="H37" s="5" t="s">
        <v>137</v>
      </c>
      <c r="I37" s="5" t="s">
        <v>10232</v>
      </c>
      <c r="J37" s="5" t="s">
        <v>18466</v>
      </c>
      <c r="M37" s="1"/>
      <c r="N37"/>
      <c r="O37"/>
      <c r="P37"/>
      <c r="Q37"/>
      <c r="R37"/>
      <c r="S37"/>
      <c r="T37"/>
      <c r="U37"/>
      <c r="V37"/>
      <c r="W37"/>
      <c r="X37"/>
      <c r="Y37"/>
    </row>
    <row r="38" spans="1:25" s="2" customFormat="1" ht="25.5" x14ac:dyDescent="0.2">
      <c r="A38" s="5" t="s">
        <v>16125</v>
      </c>
      <c r="B38" s="5" t="s">
        <v>8584</v>
      </c>
      <c r="C38" s="5">
        <v>31</v>
      </c>
      <c r="D38" s="5"/>
      <c r="E38" s="5" t="s">
        <v>138</v>
      </c>
      <c r="F38" s="5" t="s">
        <v>12907</v>
      </c>
      <c r="G38" s="5" t="s">
        <v>181</v>
      </c>
      <c r="H38" s="5" t="s">
        <v>137</v>
      </c>
      <c r="I38" s="5" t="s">
        <v>10232</v>
      </c>
      <c r="J38" s="5" t="s">
        <v>18465</v>
      </c>
      <c r="M38" s="1"/>
      <c r="N38"/>
      <c r="O38"/>
      <c r="P38"/>
      <c r="Q38"/>
      <c r="R38"/>
      <c r="S38"/>
      <c r="T38"/>
      <c r="U38"/>
      <c r="V38"/>
      <c r="W38"/>
      <c r="X38"/>
      <c r="Y38"/>
    </row>
    <row r="39" spans="1:25" s="2" customFormat="1" ht="25.5" x14ac:dyDescent="0.2">
      <c r="A39" s="5" t="s">
        <v>10234</v>
      </c>
      <c r="B39" s="5" t="s">
        <v>8584</v>
      </c>
      <c r="C39" s="5">
        <v>32</v>
      </c>
      <c r="D39" s="5"/>
      <c r="E39" s="5" t="s">
        <v>138</v>
      </c>
      <c r="F39" s="5" t="s">
        <v>12907</v>
      </c>
      <c r="G39" s="5" t="s">
        <v>195</v>
      </c>
      <c r="H39" s="5" t="s">
        <v>137</v>
      </c>
      <c r="I39" s="5" t="s">
        <v>10232</v>
      </c>
      <c r="J39" s="5" t="s">
        <v>18464</v>
      </c>
      <c r="M39" s="1"/>
      <c r="N39"/>
      <c r="O39"/>
      <c r="P39"/>
      <c r="Q39"/>
      <c r="R39"/>
      <c r="S39"/>
      <c r="T39"/>
      <c r="U39"/>
      <c r="V39"/>
      <c r="W39"/>
      <c r="X39"/>
      <c r="Y39"/>
    </row>
    <row r="40" spans="1:25" s="2" customFormat="1" ht="25.5" x14ac:dyDescent="0.2">
      <c r="A40" s="5" t="s">
        <v>17128</v>
      </c>
      <c r="B40" s="5" t="s">
        <v>8584</v>
      </c>
      <c r="C40" s="5">
        <v>33</v>
      </c>
      <c r="D40" s="5"/>
      <c r="E40" s="5" t="s">
        <v>138</v>
      </c>
      <c r="F40" s="5" t="s">
        <v>12907</v>
      </c>
      <c r="G40" s="5" t="s">
        <v>195</v>
      </c>
      <c r="H40" s="5" t="s">
        <v>137</v>
      </c>
      <c r="I40" s="5" t="s">
        <v>10232</v>
      </c>
      <c r="J40" s="5" t="s">
        <v>18463</v>
      </c>
      <c r="M40" s="1"/>
      <c r="N40"/>
      <c r="O40"/>
      <c r="P40"/>
      <c r="Q40"/>
      <c r="R40"/>
      <c r="S40"/>
      <c r="T40"/>
      <c r="U40"/>
      <c r="V40"/>
      <c r="W40"/>
      <c r="X40"/>
      <c r="Y40"/>
    </row>
    <row r="41" spans="1:25" s="2" customFormat="1" ht="25.5" x14ac:dyDescent="0.2">
      <c r="A41" s="5" t="s">
        <v>18462</v>
      </c>
      <c r="B41" s="5" t="s">
        <v>8584</v>
      </c>
      <c r="C41" s="5">
        <v>34</v>
      </c>
      <c r="D41" s="5"/>
      <c r="E41" s="5" t="s">
        <v>138</v>
      </c>
      <c r="F41" s="5" t="s">
        <v>18461</v>
      </c>
      <c r="G41" s="5" t="s">
        <v>181</v>
      </c>
      <c r="H41" s="5" t="s">
        <v>137</v>
      </c>
      <c r="I41" s="5" t="s">
        <v>10232</v>
      </c>
      <c r="J41" s="5" t="s">
        <v>18460</v>
      </c>
      <c r="M41" s="1"/>
      <c r="N41"/>
      <c r="O41"/>
      <c r="P41"/>
      <c r="Q41"/>
      <c r="R41"/>
      <c r="S41"/>
      <c r="T41"/>
      <c r="U41"/>
      <c r="V41"/>
      <c r="W41"/>
      <c r="X41"/>
      <c r="Y41"/>
    </row>
    <row r="42" spans="1:25" s="2" customFormat="1" ht="25.5" x14ac:dyDescent="0.2">
      <c r="A42" s="5" t="s">
        <v>18459</v>
      </c>
      <c r="B42" s="5" t="s">
        <v>8584</v>
      </c>
      <c r="C42" s="5">
        <v>35</v>
      </c>
      <c r="D42" s="5"/>
      <c r="E42" s="5"/>
      <c r="F42" s="5" t="s">
        <v>12907</v>
      </c>
      <c r="G42" s="5" t="s">
        <v>276</v>
      </c>
      <c r="H42" s="5" t="s">
        <v>137</v>
      </c>
      <c r="I42" s="5" t="s">
        <v>10232</v>
      </c>
      <c r="J42" s="5" t="s">
        <v>18458</v>
      </c>
      <c r="M42" s="1"/>
      <c r="N42"/>
      <c r="O42"/>
      <c r="P42"/>
      <c r="Q42"/>
      <c r="R42"/>
      <c r="S42"/>
      <c r="T42"/>
      <c r="U42"/>
      <c r="V42"/>
      <c r="W42"/>
      <c r="X42"/>
      <c r="Y42"/>
    </row>
    <row r="43" spans="1:25" s="2" customFormat="1" ht="25.5" x14ac:dyDescent="0.2">
      <c r="A43" s="5" t="s">
        <v>18457</v>
      </c>
      <c r="B43" s="5" t="s">
        <v>8584</v>
      </c>
      <c r="C43" s="5">
        <v>36</v>
      </c>
      <c r="D43" s="5"/>
      <c r="E43" s="5"/>
      <c r="F43" s="5" t="s">
        <v>15463</v>
      </c>
      <c r="G43" s="5" t="s">
        <v>207</v>
      </c>
      <c r="H43" s="5" t="s">
        <v>137</v>
      </c>
      <c r="I43" s="5" t="s">
        <v>10232</v>
      </c>
      <c r="J43" s="5" t="s">
        <v>18456</v>
      </c>
      <c r="M43" s="1"/>
      <c r="N43"/>
      <c r="O43"/>
      <c r="P43"/>
      <c r="Q43"/>
      <c r="R43"/>
      <c r="S43"/>
      <c r="T43"/>
      <c r="U43"/>
      <c r="V43"/>
      <c r="W43"/>
      <c r="X43"/>
      <c r="Y43"/>
    </row>
    <row r="44" spans="1:25" s="2" customFormat="1" ht="25.5" x14ac:dyDescent="0.2">
      <c r="A44" s="5" t="s">
        <v>18455</v>
      </c>
      <c r="B44" s="5" t="s">
        <v>8584</v>
      </c>
      <c r="C44" s="5">
        <v>37</v>
      </c>
      <c r="D44" s="5"/>
      <c r="E44" s="5" t="s">
        <v>138</v>
      </c>
      <c r="F44" s="5" t="s">
        <v>92</v>
      </c>
      <c r="G44" s="5" t="s">
        <v>181</v>
      </c>
      <c r="H44" s="5" t="s">
        <v>137</v>
      </c>
      <c r="I44" s="5" t="s">
        <v>10232</v>
      </c>
      <c r="J44" s="5" t="s">
        <v>18454</v>
      </c>
      <c r="M44" s="1"/>
      <c r="N44"/>
      <c r="O44"/>
      <c r="P44"/>
      <c r="Q44"/>
      <c r="R44"/>
      <c r="S44"/>
      <c r="T44"/>
      <c r="U44"/>
      <c r="V44"/>
      <c r="W44"/>
      <c r="X44"/>
      <c r="Y44"/>
    </row>
    <row r="45" spans="1:25" s="2" customFormat="1" ht="25.5" x14ac:dyDescent="0.2">
      <c r="A45" s="5" t="s">
        <v>18453</v>
      </c>
      <c r="B45" s="5" t="s">
        <v>8584</v>
      </c>
      <c r="C45" s="5">
        <v>38</v>
      </c>
      <c r="D45" s="5"/>
      <c r="E45" s="5" t="s">
        <v>138</v>
      </c>
      <c r="F45" s="5" t="s">
        <v>92</v>
      </c>
      <c r="G45" s="5" t="s">
        <v>181</v>
      </c>
      <c r="H45" s="5" t="s">
        <v>137</v>
      </c>
      <c r="I45" s="5" t="s">
        <v>10232</v>
      </c>
      <c r="J45" s="5" t="s">
        <v>18452</v>
      </c>
      <c r="M45" s="1"/>
      <c r="N45"/>
      <c r="O45"/>
      <c r="P45"/>
      <c r="Q45"/>
      <c r="R45"/>
      <c r="S45"/>
      <c r="T45"/>
      <c r="U45"/>
      <c r="V45"/>
      <c r="W45"/>
      <c r="X45"/>
      <c r="Y45"/>
    </row>
    <row r="46" spans="1:25" s="2" customFormat="1" ht="38.25" x14ac:dyDescent="0.2">
      <c r="A46" s="5" t="s">
        <v>17067</v>
      </c>
      <c r="B46" s="5" t="s">
        <v>8584</v>
      </c>
      <c r="C46" s="5">
        <v>38</v>
      </c>
      <c r="D46" s="5"/>
      <c r="E46" s="5"/>
      <c r="F46" s="5"/>
      <c r="G46" s="5" t="s">
        <v>105</v>
      </c>
      <c r="H46" s="5" t="s">
        <v>3</v>
      </c>
      <c r="I46" s="5"/>
      <c r="J46" s="5" t="s">
        <v>17066</v>
      </c>
      <c r="M46" s="1"/>
      <c r="N46"/>
      <c r="O46"/>
      <c r="P46"/>
      <c r="Q46"/>
      <c r="R46"/>
      <c r="S46"/>
      <c r="T46"/>
      <c r="U46"/>
      <c r="V46"/>
      <c r="W46"/>
      <c r="X46"/>
      <c r="Y46"/>
    </row>
    <row r="47" spans="1:25" s="2" customFormat="1" ht="25.5" x14ac:dyDescent="0.2">
      <c r="A47" s="5" t="s">
        <v>18451</v>
      </c>
      <c r="B47" s="5" t="s">
        <v>8584</v>
      </c>
      <c r="C47" s="5">
        <v>39</v>
      </c>
      <c r="D47" s="5"/>
      <c r="E47" s="5" t="s">
        <v>138</v>
      </c>
      <c r="F47" s="5" t="s">
        <v>18410</v>
      </c>
      <c r="G47" s="5" t="s">
        <v>181</v>
      </c>
      <c r="H47" s="5" t="s">
        <v>137</v>
      </c>
      <c r="I47" s="5" t="s">
        <v>10232</v>
      </c>
      <c r="J47" s="5" t="s">
        <v>18450</v>
      </c>
      <c r="M47" s="1"/>
      <c r="N47"/>
      <c r="O47"/>
      <c r="P47"/>
      <c r="Q47"/>
      <c r="R47"/>
      <c r="S47"/>
      <c r="T47"/>
      <c r="U47"/>
      <c r="V47"/>
      <c r="W47"/>
      <c r="X47"/>
      <c r="Y47"/>
    </row>
    <row r="48" spans="1:25" s="2" customFormat="1" ht="25.5" x14ac:dyDescent="0.2">
      <c r="A48" s="5" t="s">
        <v>18449</v>
      </c>
      <c r="B48" s="5" t="s">
        <v>8584</v>
      </c>
      <c r="C48" s="5">
        <v>40</v>
      </c>
      <c r="D48" s="5"/>
      <c r="E48" s="5" t="s">
        <v>138</v>
      </c>
      <c r="F48" s="5" t="s">
        <v>16129</v>
      </c>
      <c r="G48" s="5" t="s">
        <v>181</v>
      </c>
      <c r="H48" s="5" t="s">
        <v>137</v>
      </c>
      <c r="I48" s="5" t="s">
        <v>10232</v>
      </c>
      <c r="J48" s="5" t="s">
        <v>18448</v>
      </c>
      <c r="M48" s="1"/>
      <c r="N48"/>
      <c r="O48"/>
      <c r="P48"/>
      <c r="Q48"/>
      <c r="R48"/>
      <c r="S48"/>
      <c r="T48"/>
      <c r="U48"/>
      <c r="V48"/>
      <c r="W48"/>
      <c r="X48"/>
      <c r="Y48"/>
    </row>
    <row r="49" spans="1:25" s="2" customFormat="1" ht="25.5" x14ac:dyDescent="0.2">
      <c r="A49" s="5" t="s">
        <v>18447</v>
      </c>
      <c r="B49" s="5" t="s">
        <v>8584</v>
      </c>
      <c r="C49" s="5">
        <v>41</v>
      </c>
      <c r="D49" s="5"/>
      <c r="E49" s="5" t="s">
        <v>138</v>
      </c>
      <c r="F49" s="5" t="s">
        <v>16129</v>
      </c>
      <c r="G49" s="5" t="s">
        <v>181</v>
      </c>
      <c r="H49" s="5" t="s">
        <v>137</v>
      </c>
      <c r="I49" s="5" t="s">
        <v>10232</v>
      </c>
      <c r="J49" s="5" t="s">
        <v>18446</v>
      </c>
      <c r="M49" s="1"/>
      <c r="N49"/>
      <c r="O49"/>
      <c r="P49"/>
      <c r="Q49"/>
      <c r="R49"/>
      <c r="S49"/>
      <c r="T49"/>
      <c r="U49"/>
      <c r="V49"/>
      <c r="W49"/>
      <c r="X49"/>
      <c r="Y49"/>
    </row>
    <row r="50" spans="1:25" s="2" customFormat="1" ht="25.5" x14ac:dyDescent="0.2">
      <c r="A50" s="5" t="s">
        <v>18445</v>
      </c>
      <c r="B50" s="5" t="s">
        <v>8584</v>
      </c>
      <c r="C50" s="5">
        <v>42</v>
      </c>
      <c r="D50" s="5"/>
      <c r="E50" s="5" t="s">
        <v>138</v>
      </c>
      <c r="F50" s="5" t="s">
        <v>16129</v>
      </c>
      <c r="G50" s="5" t="s">
        <v>181</v>
      </c>
      <c r="H50" s="5" t="s">
        <v>137</v>
      </c>
      <c r="I50" s="5" t="s">
        <v>10232</v>
      </c>
      <c r="J50" s="5" t="s">
        <v>18444</v>
      </c>
      <c r="M50" s="1"/>
      <c r="N50"/>
      <c r="O50"/>
      <c r="P50"/>
      <c r="Q50"/>
      <c r="R50"/>
      <c r="S50"/>
      <c r="T50"/>
      <c r="U50"/>
      <c r="V50"/>
      <c r="W50"/>
      <c r="X50"/>
      <c r="Y50"/>
    </row>
    <row r="51" spans="1:25" s="2" customFormat="1" ht="25.5" x14ac:dyDescent="0.2">
      <c r="A51" s="5" t="s">
        <v>18443</v>
      </c>
      <c r="B51" s="5" t="s">
        <v>8584</v>
      </c>
      <c r="C51" s="5">
        <v>43</v>
      </c>
      <c r="D51" s="5"/>
      <c r="E51" s="5" t="s">
        <v>138</v>
      </c>
      <c r="F51" s="5" t="s">
        <v>16129</v>
      </c>
      <c r="G51" s="5" t="s">
        <v>181</v>
      </c>
      <c r="H51" s="5" t="s">
        <v>137</v>
      </c>
      <c r="I51" s="5" t="s">
        <v>10232</v>
      </c>
      <c r="J51" s="5" t="s">
        <v>18442</v>
      </c>
      <c r="M51" s="1"/>
      <c r="N51"/>
      <c r="O51"/>
      <c r="P51"/>
      <c r="Q51"/>
      <c r="R51"/>
      <c r="S51"/>
      <c r="T51"/>
      <c r="U51"/>
      <c r="V51"/>
      <c r="W51"/>
      <c r="X51"/>
      <c r="Y51"/>
    </row>
    <row r="52" spans="1:25" s="2" customFormat="1" ht="25.5" x14ac:dyDescent="0.2">
      <c r="A52" s="5" t="s">
        <v>18441</v>
      </c>
      <c r="B52" s="5" t="s">
        <v>8584</v>
      </c>
      <c r="C52" s="5">
        <v>44</v>
      </c>
      <c r="D52" s="5"/>
      <c r="E52" s="5" t="s">
        <v>138</v>
      </c>
      <c r="F52" s="5" t="s">
        <v>12907</v>
      </c>
      <c r="G52" s="5" t="s">
        <v>181</v>
      </c>
      <c r="H52" s="5" t="s">
        <v>137</v>
      </c>
      <c r="I52" s="5" t="s">
        <v>10232</v>
      </c>
      <c r="J52" s="5" t="s">
        <v>18440</v>
      </c>
      <c r="M52" s="1"/>
      <c r="N52"/>
      <c r="O52"/>
      <c r="P52"/>
      <c r="Q52"/>
      <c r="R52"/>
      <c r="S52"/>
      <c r="T52"/>
      <c r="U52"/>
      <c r="V52"/>
      <c r="W52"/>
      <c r="X52"/>
      <c r="Y52"/>
    </row>
    <row r="53" spans="1:25" s="2" customFormat="1" ht="25.5" x14ac:dyDescent="0.2">
      <c r="A53" s="5" t="s">
        <v>18439</v>
      </c>
      <c r="B53" s="5" t="s">
        <v>8584</v>
      </c>
      <c r="C53" s="5">
        <v>45</v>
      </c>
      <c r="D53" s="5"/>
      <c r="E53" s="5"/>
      <c r="F53" s="5" t="s">
        <v>16129</v>
      </c>
      <c r="G53" s="5" t="s">
        <v>229</v>
      </c>
      <c r="H53" s="5" t="s">
        <v>137</v>
      </c>
      <c r="I53" s="5" t="s">
        <v>10232</v>
      </c>
      <c r="J53" s="5" t="s">
        <v>18438</v>
      </c>
      <c r="M53" s="1"/>
      <c r="N53"/>
      <c r="O53"/>
      <c r="P53"/>
      <c r="Q53"/>
      <c r="R53"/>
      <c r="S53"/>
      <c r="T53"/>
      <c r="U53"/>
      <c r="V53"/>
      <c r="W53"/>
      <c r="X53"/>
      <c r="Y53"/>
    </row>
    <row r="54" spans="1:25" s="2" customFormat="1" ht="25.5" x14ac:dyDescent="0.2">
      <c r="A54" s="5" t="s">
        <v>18437</v>
      </c>
      <c r="B54" s="5" t="s">
        <v>8584</v>
      </c>
      <c r="C54" s="5">
        <v>46</v>
      </c>
      <c r="D54" s="5"/>
      <c r="E54" s="5"/>
      <c r="F54" s="5" t="s">
        <v>18436</v>
      </c>
      <c r="G54" s="5" t="s">
        <v>122</v>
      </c>
      <c r="H54" s="5" t="s">
        <v>137</v>
      </c>
      <c r="I54" s="5" t="s">
        <v>10232</v>
      </c>
      <c r="J54" s="5" t="s">
        <v>18435</v>
      </c>
      <c r="M54" s="1"/>
      <c r="N54"/>
      <c r="O54"/>
      <c r="P54"/>
      <c r="Q54"/>
      <c r="R54"/>
      <c r="S54"/>
      <c r="T54"/>
      <c r="U54"/>
      <c r="V54"/>
      <c r="W54"/>
      <c r="X54"/>
      <c r="Y54"/>
    </row>
    <row r="55" spans="1:25" s="2" customFormat="1" ht="25.5" x14ac:dyDescent="0.2">
      <c r="A55" s="5" t="s">
        <v>18434</v>
      </c>
      <c r="B55" s="5" t="s">
        <v>8584</v>
      </c>
      <c r="C55" s="5">
        <v>47</v>
      </c>
      <c r="D55" s="5"/>
      <c r="E55" s="5" t="s">
        <v>138</v>
      </c>
      <c r="F55" s="5" t="s">
        <v>18393</v>
      </c>
      <c r="G55" s="5" t="s">
        <v>91</v>
      </c>
      <c r="H55" s="5" t="s">
        <v>137</v>
      </c>
      <c r="I55" s="5" t="s">
        <v>10232</v>
      </c>
      <c r="J55" s="5" t="s">
        <v>18433</v>
      </c>
      <c r="M55" s="1"/>
      <c r="N55"/>
      <c r="O55"/>
      <c r="P55"/>
      <c r="Q55"/>
      <c r="R55"/>
      <c r="S55"/>
      <c r="T55"/>
      <c r="U55"/>
      <c r="V55"/>
      <c r="W55"/>
      <c r="X55"/>
      <c r="Y55"/>
    </row>
    <row r="56" spans="1:25" s="2" customFormat="1" ht="25.5" x14ac:dyDescent="0.2">
      <c r="A56" s="5" t="s">
        <v>16002</v>
      </c>
      <c r="B56" s="5" t="s">
        <v>8584</v>
      </c>
      <c r="C56" s="5">
        <v>48</v>
      </c>
      <c r="D56" s="5"/>
      <c r="E56" s="5"/>
      <c r="F56" s="5" t="s">
        <v>15998</v>
      </c>
      <c r="G56" s="5" t="s">
        <v>502</v>
      </c>
      <c r="H56" s="5" t="s">
        <v>137</v>
      </c>
      <c r="I56" s="5" t="s">
        <v>15385</v>
      </c>
      <c r="J56" s="5" t="s">
        <v>16960</v>
      </c>
      <c r="M56" s="1"/>
      <c r="N56"/>
      <c r="O56"/>
      <c r="P56"/>
      <c r="Q56"/>
      <c r="R56"/>
      <c r="S56"/>
      <c r="T56"/>
      <c r="U56"/>
      <c r="V56"/>
      <c r="W56"/>
      <c r="X56"/>
      <c r="Y56"/>
    </row>
    <row r="57" spans="1:25" s="2" customFormat="1" ht="25.5" x14ac:dyDescent="0.2">
      <c r="A57" s="5" t="s">
        <v>16009</v>
      </c>
      <c r="B57" s="5" t="s">
        <v>8584</v>
      </c>
      <c r="C57" s="5">
        <v>49</v>
      </c>
      <c r="D57" s="5"/>
      <c r="E57" s="5"/>
      <c r="F57" s="5" t="s">
        <v>16957</v>
      </c>
      <c r="G57" s="5" t="s">
        <v>2672</v>
      </c>
      <c r="H57" s="5" t="s">
        <v>137</v>
      </c>
      <c r="I57" s="5" t="s">
        <v>15385</v>
      </c>
      <c r="J57" s="5" t="s">
        <v>16956</v>
      </c>
      <c r="M57" s="1"/>
      <c r="N57"/>
      <c r="O57"/>
      <c r="P57"/>
      <c r="Q57"/>
      <c r="R57"/>
      <c r="S57"/>
      <c r="T57"/>
      <c r="U57"/>
      <c r="V57"/>
      <c r="W57"/>
      <c r="X57"/>
      <c r="Y57"/>
    </row>
    <row r="58" spans="1:25" s="2" customFormat="1" ht="25.5" x14ac:dyDescent="0.2">
      <c r="A58" s="5" t="s">
        <v>16953</v>
      </c>
      <c r="B58" s="5" t="s">
        <v>8584</v>
      </c>
      <c r="C58" s="5">
        <v>50</v>
      </c>
      <c r="D58" s="5"/>
      <c r="E58" s="5" t="s">
        <v>138</v>
      </c>
      <c r="F58" s="5" t="s">
        <v>11284</v>
      </c>
      <c r="G58" s="5" t="s">
        <v>91</v>
      </c>
      <c r="H58" s="5" t="s">
        <v>137</v>
      </c>
      <c r="I58" s="5" t="s">
        <v>15385</v>
      </c>
      <c r="J58" s="5" t="s">
        <v>16952</v>
      </c>
      <c r="M58" s="1"/>
      <c r="N58"/>
      <c r="O58"/>
      <c r="P58"/>
      <c r="Q58"/>
      <c r="R58"/>
      <c r="S58"/>
      <c r="T58"/>
      <c r="U58"/>
      <c r="V58"/>
      <c r="W58"/>
      <c r="X58"/>
      <c r="Y58"/>
    </row>
    <row r="59" spans="1:25" s="2" customFormat="1" x14ac:dyDescent="0.2">
      <c r="A59" s="5" t="s">
        <v>16885</v>
      </c>
      <c r="B59" s="5" t="s">
        <v>8584</v>
      </c>
      <c r="C59" s="5">
        <v>51</v>
      </c>
      <c r="D59" s="5"/>
      <c r="E59" s="5"/>
      <c r="F59" s="5" t="s">
        <v>7699</v>
      </c>
      <c r="G59" s="5" t="s">
        <v>118</v>
      </c>
      <c r="H59" s="5"/>
      <c r="I59" s="5"/>
      <c r="J59" s="5" t="s">
        <v>16884</v>
      </c>
      <c r="M59" s="1"/>
      <c r="N59"/>
      <c r="O59"/>
      <c r="P59"/>
      <c r="Q59"/>
      <c r="R59"/>
      <c r="S59"/>
      <c r="T59"/>
      <c r="U59"/>
      <c r="V59"/>
      <c r="W59"/>
      <c r="X59"/>
      <c r="Y59"/>
    </row>
    <row r="60" spans="1:25" s="2" customFormat="1" x14ac:dyDescent="0.2">
      <c r="A60" s="5" t="s">
        <v>16881</v>
      </c>
      <c r="B60" s="5" t="s">
        <v>8584</v>
      </c>
      <c r="C60" s="5">
        <v>52</v>
      </c>
      <c r="D60" s="5"/>
      <c r="E60" s="5"/>
      <c r="F60" s="5" t="s">
        <v>16748</v>
      </c>
      <c r="G60" s="5" t="s">
        <v>80</v>
      </c>
      <c r="H60" s="5"/>
      <c r="I60" s="5"/>
      <c r="J60" s="5" t="s">
        <v>16880</v>
      </c>
      <c r="M60" s="1"/>
      <c r="N60"/>
      <c r="O60"/>
      <c r="P60"/>
      <c r="Q60"/>
      <c r="R60"/>
      <c r="S60"/>
      <c r="T60"/>
      <c r="U60"/>
      <c r="V60"/>
      <c r="W60"/>
      <c r="X60"/>
      <c r="Y60"/>
    </row>
    <row r="61" spans="1:25" s="2" customFormat="1" ht="25.5" x14ac:dyDescent="0.2">
      <c r="A61" s="5" t="s">
        <v>16822</v>
      </c>
      <c r="B61" s="5" t="s">
        <v>8584</v>
      </c>
      <c r="C61" s="5">
        <v>53</v>
      </c>
      <c r="D61" s="5"/>
      <c r="E61" s="5"/>
      <c r="F61" s="5" t="s">
        <v>7841</v>
      </c>
      <c r="G61" s="5" t="s">
        <v>315</v>
      </c>
      <c r="H61" s="5" t="s">
        <v>137</v>
      </c>
      <c r="I61" s="5" t="s">
        <v>15385</v>
      </c>
      <c r="J61" s="5" t="s">
        <v>16821</v>
      </c>
      <c r="M61" s="1"/>
      <c r="N61"/>
      <c r="O61"/>
      <c r="P61"/>
      <c r="Q61"/>
      <c r="R61"/>
      <c r="S61"/>
      <c r="T61"/>
      <c r="U61"/>
      <c r="V61"/>
      <c r="W61"/>
      <c r="X61"/>
      <c r="Y61"/>
    </row>
    <row r="62" spans="1:25" s="2" customFormat="1" x14ac:dyDescent="0.2">
      <c r="A62" s="5" t="s">
        <v>16941</v>
      </c>
      <c r="B62" s="5" t="s">
        <v>8584</v>
      </c>
      <c r="C62" s="5">
        <v>54</v>
      </c>
      <c r="D62" s="5"/>
      <c r="E62" s="5"/>
      <c r="F62" s="5" t="s">
        <v>16856</v>
      </c>
      <c r="G62" s="5" t="s">
        <v>16940</v>
      </c>
      <c r="H62" s="5" t="s">
        <v>137</v>
      </c>
      <c r="I62" s="5" t="s">
        <v>7761</v>
      </c>
      <c r="J62" s="5" t="s">
        <v>18432</v>
      </c>
      <c r="M62" s="1"/>
      <c r="N62"/>
      <c r="O62"/>
      <c r="P62"/>
      <c r="Q62"/>
      <c r="R62"/>
      <c r="S62"/>
      <c r="T62"/>
      <c r="U62"/>
      <c r="V62"/>
      <c r="W62"/>
      <c r="X62"/>
      <c r="Y62"/>
    </row>
    <row r="63" spans="1:25" s="2" customFormat="1" x14ac:dyDescent="0.2">
      <c r="A63" s="5" t="s">
        <v>16935</v>
      </c>
      <c r="B63" s="5" t="s">
        <v>8584</v>
      </c>
      <c r="C63" s="5">
        <v>55</v>
      </c>
      <c r="D63" s="5"/>
      <c r="E63" s="5"/>
      <c r="F63" s="5" t="s">
        <v>16856</v>
      </c>
      <c r="G63" s="5" t="s">
        <v>148</v>
      </c>
      <c r="H63" s="5" t="s">
        <v>137</v>
      </c>
      <c r="I63" s="5" t="s">
        <v>7761</v>
      </c>
      <c r="J63" s="5" t="s">
        <v>16934</v>
      </c>
      <c r="M63" s="1"/>
      <c r="N63"/>
      <c r="O63"/>
      <c r="P63"/>
      <c r="Q63"/>
      <c r="R63"/>
      <c r="S63"/>
      <c r="T63"/>
      <c r="U63"/>
      <c r="V63"/>
      <c r="W63"/>
      <c r="X63"/>
      <c r="Y63"/>
    </row>
    <row r="64" spans="1:25" s="2" customFormat="1" x14ac:dyDescent="0.2">
      <c r="A64" s="5" t="s">
        <v>16857</v>
      </c>
      <c r="B64" s="5" t="s">
        <v>8584</v>
      </c>
      <c r="C64" s="5">
        <v>56</v>
      </c>
      <c r="D64" s="5"/>
      <c r="E64" s="5" t="s">
        <v>138</v>
      </c>
      <c r="F64" s="5" t="s">
        <v>16856</v>
      </c>
      <c r="G64" s="5" t="s">
        <v>148</v>
      </c>
      <c r="H64" s="5" t="s">
        <v>137</v>
      </c>
      <c r="I64" s="5" t="s">
        <v>7761</v>
      </c>
      <c r="J64" s="5" t="s">
        <v>16855</v>
      </c>
      <c r="M64" s="1"/>
      <c r="N64"/>
      <c r="O64"/>
      <c r="P64"/>
      <c r="Q64"/>
      <c r="R64"/>
      <c r="S64"/>
      <c r="T64"/>
      <c r="U64"/>
      <c r="V64"/>
      <c r="W64"/>
      <c r="X64"/>
      <c r="Y64"/>
    </row>
    <row r="65" spans="1:25" s="2" customFormat="1" ht="25.5" x14ac:dyDescent="0.2">
      <c r="A65" s="5" t="s">
        <v>15305</v>
      </c>
      <c r="B65" s="5" t="s">
        <v>8584</v>
      </c>
      <c r="C65" s="5">
        <v>58</v>
      </c>
      <c r="D65" s="5"/>
      <c r="E65" s="5"/>
      <c r="F65" s="5" t="s">
        <v>7353</v>
      </c>
      <c r="G65" s="5" t="s">
        <v>6530</v>
      </c>
      <c r="H65" s="5" t="s">
        <v>137</v>
      </c>
      <c r="I65" s="5" t="s">
        <v>15305</v>
      </c>
      <c r="J65" s="5" t="s">
        <v>17122</v>
      </c>
      <c r="M65" s="1"/>
      <c r="N65"/>
      <c r="O65"/>
      <c r="P65"/>
      <c r="Q65"/>
      <c r="R65"/>
      <c r="S65"/>
      <c r="T65"/>
      <c r="U65"/>
      <c r="V65"/>
      <c r="W65"/>
      <c r="X65"/>
      <c r="Y65"/>
    </row>
    <row r="66" spans="1:25" s="2" customFormat="1" ht="25.5" x14ac:dyDescent="0.2">
      <c r="A66" s="5" t="s">
        <v>15784</v>
      </c>
      <c r="B66" s="5" t="s">
        <v>8584</v>
      </c>
      <c r="C66" s="5">
        <v>59</v>
      </c>
      <c r="D66" s="5"/>
      <c r="E66" s="5"/>
      <c r="F66" s="5" t="s">
        <v>7353</v>
      </c>
      <c r="G66" s="5" t="s">
        <v>122</v>
      </c>
      <c r="H66" s="5" t="s">
        <v>137</v>
      </c>
      <c r="I66" s="5" t="s">
        <v>15305</v>
      </c>
      <c r="J66" s="5" t="s">
        <v>18431</v>
      </c>
      <c r="M66" s="1"/>
      <c r="N66"/>
      <c r="O66"/>
      <c r="P66"/>
      <c r="Q66"/>
      <c r="R66"/>
      <c r="S66"/>
      <c r="T66"/>
      <c r="U66"/>
      <c r="V66"/>
      <c r="W66"/>
      <c r="X66"/>
      <c r="Y66"/>
    </row>
    <row r="67" spans="1:25" s="2" customFormat="1" ht="25.5" x14ac:dyDescent="0.2">
      <c r="A67" s="5" t="s">
        <v>17010</v>
      </c>
      <c r="B67" s="5" t="s">
        <v>8584</v>
      </c>
      <c r="C67" s="5">
        <v>60</v>
      </c>
      <c r="D67" s="5"/>
      <c r="E67" s="5"/>
      <c r="F67" s="5" t="s">
        <v>7353</v>
      </c>
      <c r="G67" s="5" t="s">
        <v>896</v>
      </c>
      <c r="H67" s="5" t="s">
        <v>137</v>
      </c>
      <c r="I67" s="5" t="s">
        <v>15305</v>
      </c>
      <c r="J67" s="5" t="s">
        <v>18430</v>
      </c>
      <c r="M67" s="1"/>
      <c r="N67"/>
      <c r="O67"/>
      <c r="P67"/>
      <c r="Q67"/>
      <c r="R67"/>
      <c r="S67"/>
      <c r="T67"/>
      <c r="U67"/>
      <c r="V67"/>
      <c r="W67"/>
      <c r="X67"/>
      <c r="Y67"/>
    </row>
    <row r="68" spans="1:25" s="2" customFormat="1" ht="25.5" x14ac:dyDescent="0.2">
      <c r="A68" s="5" t="s">
        <v>17114</v>
      </c>
      <c r="B68" s="5" t="s">
        <v>8584</v>
      </c>
      <c r="C68" s="5">
        <v>61</v>
      </c>
      <c r="D68" s="5"/>
      <c r="E68" s="5"/>
      <c r="F68" s="5" t="s">
        <v>6487</v>
      </c>
      <c r="G68" s="5" t="s">
        <v>1527</v>
      </c>
      <c r="H68" s="5" t="s">
        <v>137</v>
      </c>
      <c r="I68" s="5" t="s">
        <v>15305</v>
      </c>
      <c r="J68" s="5" t="s">
        <v>18429</v>
      </c>
      <c r="M68" s="1"/>
      <c r="N68"/>
      <c r="O68"/>
      <c r="P68"/>
      <c r="Q68"/>
      <c r="R68"/>
      <c r="S68"/>
      <c r="T68"/>
      <c r="U68"/>
      <c r="V68"/>
      <c r="W68"/>
      <c r="X68"/>
      <c r="Y68"/>
    </row>
    <row r="69" spans="1:25" s="2" customFormat="1" ht="25.5" x14ac:dyDescent="0.2">
      <c r="A69" s="5" t="s">
        <v>18428</v>
      </c>
      <c r="B69" s="5" t="s">
        <v>8584</v>
      </c>
      <c r="C69" s="5">
        <v>62</v>
      </c>
      <c r="D69" s="5"/>
      <c r="E69" s="5" t="s">
        <v>138</v>
      </c>
      <c r="F69" s="5" t="s">
        <v>7353</v>
      </c>
      <c r="G69" s="5" t="s">
        <v>181</v>
      </c>
      <c r="H69" s="5" t="s">
        <v>137</v>
      </c>
      <c r="I69" s="5" t="s">
        <v>15305</v>
      </c>
      <c r="J69" s="5" t="s">
        <v>18427</v>
      </c>
      <c r="M69" s="1"/>
      <c r="N69"/>
      <c r="O69"/>
      <c r="P69"/>
      <c r="Q69"/>
      <c r="R69"/>
      <c r="S69"/>
      <c r="T69"/>
      <c r="U69"/>
      <c r="V69"/>
      <c r="W69"/>
      <c r="X69"/>
      <c r="Y69"/>
    </row>
    <row r="70" spans="1:25" s="2" customFormat="1" ht="25.5" x14ac:dyDescent="0.2">
      <c r="A70" s="5" t="s">
        <v>18426</v>
      </c>
      <c r="B70" s="5" t="s">
        <v>8584</v>
      </c>
      <c r="C70" s="5">
        <v>63</v>
      </c>
      <c r="D70" s="5"/>
      <c r="E70" s="5" t="s">
        <v>138</v>
      </c>
      <c r="F70" s="5" t="s">
        <v>7353</v>
      </c>
      <c r="G70" s="5" t="s">
        <v>181</v>
      </c>
      <c r="H70" s="5" t="s">
        <v>137</v>
      </c>
      <c r="I70" s="5" t="s">
        <v>15305</v>
      </c>
      <c r="J70" s="5" t="s">
        <v>18425</v>
      </c>
      <c r="M70" s="1"/>
      <c r="N70"/>
      <c r="O70"/>
      <c r="P70"/>
      <c r="Q70"/>
      <c r="R70"/>
      <c r="S70"/>
      <c r="T70"/>
      <c r="U70"/>
      <c r="V70"/>
      <c r="W70"/>
      <c r="X70"/>
      <c r="Y70"/>
    </row>
    <row r="71" spans="1:25" s="2" customFormat="1" ht="25.5" x14ac:dyDescent="0.2">
      <c r="A71" s="5" t="s">
        <v>17112</v>
      </c>
      <c r="B71" s="5" t="s">
        <v>8584</v>
      </c>
      <c r="C71" s="5">
        <v>64</v>
      </c>
      <c r="D71" s="5"/>
      <c r="E71" s="5" t="s">
        <v>138</v>
      </c>
      <c r="F71" s="5" t="s">
        <v>7353</v>
      </c>
      <c r="G71" s="5" t="s">
        <v>195</v>
      </c>
      <c r="H71" s="5" t="s">
        <v>137</v>
      </c>
      <c r="I71" s="5" t="s">
        <v>15305</v>
      </c>
      <c r="J71" s="5" t="s">
        <v>18424</v>
      </c>
      <c r="M71" s="1"/>
      <c r="N71"/>
      <c r="O71"/>
      <c r="P71"/>
      <c r="Q71"/>
      <c r="R71"/>
      <c r="S71"/>
      <c r="T71"/>
      <c r="U71"/>
      <c r="V71"/>
      <c r="W71"/>
      <c r="X71"/>
      <c r="Y71"/>
    </row>
    <row r="72" spans="1:25" s="2" customFormat="1" ht="25.5" x14ac:dyDescent="0.2">
      <c r="A72" s="5" t="s">
        <v>17110</v>
      </c>
      <c r="B72" s="5" t="s">
        <v>8584</v>
      </c>
      <c r="C72" s="5">
        <v>65</v>
      </c>
      <c r="D72" s="5"/>
      <c r="E72" s="5" t="s">
        <v>138</v>
      </c>
      <c r="F72" s="5" t="s">
        <v>7353</v>
      </c>
      <c r="G72" s="5" t="s">
        <v>195</v>
      </c>
      <c r="H72" s="5" t="s">
        <v>137</v>
      </c>
      <c r="I72" s="5" t="s">
        <v>15305</v>
      </c>
      <c r="J72" s="5" t="s">
        <v>18423</v>
      </c>
      <c r="M72" s="1"/>
      <c r="N72"/>
      <c r="O72"/>
      <c r="P72"/>
      <c r="Q72"/>
      <c r="R72"/>
      <c r="S72"/>
      <c r="T72"/>
      <c r="U72"/>
      <c r="V72"/>
      <c r="W72"/>
      <c r="X72"/>
      <c r="Y72"/>
    </row>
    <row r="73" spans="1:25" s="2" customFormat="1" ht="25.5" x14ac:dyDescent="0.2">
      <c r="A73" s="5" t="s">
        <v>7480</v>
      </c>
      <c r="B73" s="5" t="s">
        <v>8584</v>
      </c>
      <c r="C73" s="5">
        <v>66</v>
      </c>
      <c r="D73" s="5"/>
      <c r="E73" s="5" t="s">
        <v>138</v>
      </c>
      <c r="F73" s="5" t="s">
        <v>7353</v>
      </c>
      <c r="G73" s="5" t="s">
        <v>91</v>
      </c>
      <c r="H73" s="5" t="s">
        <v>137</v>
      </c>
      <c r="I73" s="5" t="s">
        <v>15305</v>
      </c>
      <c r="J73" s="5" t="s">
        <v>18422</v>
      </c>
      <c r="M73" s="1"/>
      <c r="N73"/>
      <c r="O73"/>
      <c r="P73"/>
      <c r="Q73"/>
      <c r="R73"/>
      <c r="S73"/>
      <c r="T73"/>
      <c r="U73"/>
      <c r="V73"/>
      <c r="W73"/>
      <c r="X73"/>
      <c r="Y73"/>
    </row>
    <row r="74" spans="1:25" s="2" customFormat="1" ht="25.5" x14ac:dyDescent="0.2">
      <c r="A74" s="5" t="s">
        <v>18421</v>
      </c>
      <c r="B74" s="5" t="s">
        <v>8584</v>
      </c>
      <c r="C74" s="5">
        <v>67</v>
      </c>
      <c r="D74" s="5"/>
      <c r="E74" s="5"/>
      <c r="F74" s="5" t="s">
        <v>7353</v>
      </c>
      <c r="G74" s="5" t="s">
        <v>276</v>
      </c>
      <c r="H74" s="5" t="s">
        <v>137</v>
      </c>
      <c r="I74" s="5" t="s">
        <v>15305</v>
      </c>
      <c r="J74" s="5" t="s">
        <v>18420</v>
      </c>
      <c r="M74" s="1"/>
      <c r="N74"/>
      <c r="O74"/>
      <c r="P74"/>
      <c r="Q74"/>
      <c r="R74"/>
      <c r="S74"/>
      <c r="T74"/>
      <c r="U74"/>
      <c r="V74"/>
      <c r="W74"/>
      <c r="X74"/>
      <c r="Y74"/>
    </row>
    <row r="75" spans="1:25" s="2" customFormat="1" ht="25.5" x14ac:dyDescent="0.2">
      <c r="A75" s="5" t="s">
        <v>17104</v>
      </c>
      <c r="B75" s="5" t="s">
        <v>8584</v>
      </c>
      <c r="C75" s="5">
        <v>73</v>
      </c>
      <c r="D75" s="5"/>
      <c r="E75" s="5"/>
      <c r="F75" s="5" t="s">
        <v>15239</v>
      </c>
      <c r="G75" s="5" t="s">
        <v>229</v>
      </c>
      <c r="H75" s="5" t="s">
        <v>137</v>
      </c>
      <c r="I75" s="5" t="s">
        <v>15305</v>
      </c>
      <c r="J75" s="5" t="s">
        <v>18069</v>
      </c>
      <c r="M75" s="1"/>
      <c r="N75"/>
      <c r="O75"/>
      <c r="P75"/>
      <c r="Q75"/>
      <c r="R75"/>
      <c r="S75"/>
      <c r="T75"/>
      <c r="U75"/>
      <c r="V75"/>
      <c r="W75"/>
      <c r="X75"/>
      <c r="Y75"/>
    </row>
    <row r="76" spans="1:25" s="2" customFormat="1" ht="25.5" x14ac:dyDescent="0.2">
      <c r="A76" s="5" t="s">
        <v>18419</v>
      </c>
      <c r="B76" s="5" t="s">
        <v>8584</v>
      </c>
      <c r="C76" s="5">
        <v>74</v>
      </c>
      <c r="D76" s="5"/>
      <c r="E76" s="5"/>
      <c r="F76" s="5" t="s">
        <v>18418</v>
      </c>
      <c r="G76" s="5" t="s">
        <v>207</v>
      </c>
      <c r="H76" s="5" t="s">
        <v>137</v>
      </c>
      <c r="I76" s="5" t="s">
        <v>15305</v>
      </c>
      <c r="J76" s="5" t="s">
        <v>18417</v>
      </c>
      <c r="M76" s="1"/>
      <c r="N76"/>
      <c r="O76"/>
      <c r="P76"/>
      <c r="Q76"/>
      <c r="R76"/>
      <c r="S76"/>
      <c r="T76"/>
      <c r="U76"/>
      <c r="V76"/>
      <c r="W76"/>
      <c r="X76"/>
      <c r="Y76"/>
    </row>
    <row r="77" spans="1:25" s="2" customFormat="1" ht="25.5" x14ac:dyDescent="0.2">
      <c r="A77" s="5" t="s">
        <v>18416</v>
      </c>
      <c r="B77" s="5" t="s">
        <v>8584</v>
      </c>
      <c r="C77" s="5">
        <v>75</v>
      </c>
      <c r="D77" s="5"/>
      <c r="E77" s="5" t="s">
        <v>138</v>
      </c>
      <c r="F77" s="5" t="s">
        <v>18415</v>
      </c>
      <c r="G77" s="5" t="s">
        <v>181</v>
      </c>
      <c r="H77" s="5" t="s">
        <v>137</v>
      </c>
      <c r="I77" s="5" t="s">
        <v>15305</v>
      </c>
      <c r="J77" s="5" t="s">
        <v>18414</v>
      </c>
      <c r="M77" s="1"/>
      <c r="N77"/>
      <c r="O77"/>
      <c r="P77"/>
      <c r="Q77"/>
      <c r="R77"/>
      <c r="S77"/>
      <c r="T77"/>
      <c r="U77"/>
      <c r="V77"/>
      <c r="W77"/>
      <c r="X77"/>
      <c r="Y77"/>
    </row>
    <row r="78" spans="1:25" s="2" customFormat="1" ht="25.5" x14ac:dyDescent="0.2">
      <c r="A78" s="5" t="s">
        <v>18413</v>
      </c>
      <c r="B78" s="5" t="s">
        <v>8584</v>
      </c>
      <c r="C78" s="5">
        <v>76</v>
      </c>
      <c r="D78" s="5"/>
      <c r="E78" s="5" t="s">
        <v>138</v>
      </c>
      <c r="F78" s="5" t="s">
        <v>92</v>
      </c>
      <c r="G78" s="5" t="s">
        <v>181</v>
      </c>
      <c r="H78" s="5" t="s">
        <v>137</v>
      </c>
      <c r="I78" s="5" t="s">
        <v>15305</v>
      </c>
      <c r="J78" s="5" t="s">
        <v>18412</v>
      </c>
      <c r="M78" s="1"/>
      <c r="N78"/>
      <c r="O78"/>
      <c r="P78"/>
      <c r="Q78"/>
      <c r="R78"/>
      <c r="S78"/>
      <c r="T78"/>
      <c r="U78"/>
      <c r="V78"/>
      <c r="W78"/>
      <c r="X78"/>
      <c r="Y78"/>
    </row>
    <row r="79" spans="1:25" s="2" customFormat="1" ht="25.5" x14ac:dyDescent="0.2">
      <c r="A79" s="5" t="s">
        <v>18411</v>
      </c>
      <c r="B79" s="5" t="s">
        <v>8584</v>
      </c>
      <c r="C79" s="5">
        <v>77</v>
      </c>
      <c r="D79" s="5"/>
      <c r="E79" s="5" t="s">
        <v>138</v>
      </c>
      <c r="F79" s="5" t="s">
        <v>18410</v>
      </c>
      <c r="G79" s="5" t="s">
        <v>181</v>
      </c>
      <c r="H79" s="5" t="s">
        <v>137</v>
      </c>
      <c r="I79" s="5" t="s">
        <v>15305</v>
      </c>
      <c r="J79" s="5" t="s">
        <v>18409</v>
      </c>
      <c r="M79" s="1"/>
      <c r="N79"/>
      <c r="O79"/>
      <c r="P79"/>
      <c r="Q79"/>
      <c r="R79"/>
      <c r="S79"/>
      <c r="T79"/>
      <c r="U79"/>
      <c r="V79"/>
      <c r="W79"/>
      <c r="X79"/>
      <c r="Y79"/>
    </row>
    <row r="80" spans="1:25" s="2" customFormat="1" ht="25.5" x14ac:dyDescent="0.2">
      <c r="A80" s="5" t="s">
        <v>18408</v>
      </c>
      <c r="B80" s="5" t="s">
        <v>8584</v>
      </c>
      <c r="C80" s="5">
        <v>78</v>
      </c>
      <c r="D80" s="5"/>
      <c r="E80" s="5" t="s">
        <v>138</v>
      </c>
      <c r="F80" s="5" t="s">
        <v>15239</v>
      </c>
      <c r="G80" s="5" t="s">
        <v>181</v>
      </c>
      <c r="H80" s="5" t="s">
        <v>137</v>
      </c>
      <c r="I80" s="5" t="s">
        <v>15305</v>
      </c>
      <c r="J80" s="5" t="s">
        <v>18407</v>
      </c>
      <c r="M80" s="1"/>
      <c r="N80"/>
      <c r="O80"/>
      <c r="P80"/>
      <c r="Q80"/>
      <c r="R80"/>
      <c r="S80"/>
      <c r="T80"/>
      <c r="U80"/>
      <c r="V80"/>
      <c r="W80"/>
      <c r="X80"/>
      <c r="Y80"/>
    </row>
    <row r="81" spans="1:25" s="2" customFormat="1" ht="25.5" x14ac:dyDescent="0.2">
      <c r="A81" s="5" t="s">
        <v>18406</v>
      </c>
      <c r="B81" s="5" t="s">
        <v>8584</v>
      </c>
      <c r="C81" s="5">
        <v>79</v>
      </c>
      <c r="D81" s="5"/>
      <c r="E81" s="5" t="s">
        <v>138</v>
      </c>
      <c r="F81" s="5" t="s">
        <v>15239</v>
      </c>
      <c r="G81" s="5" t="s">
        <v>181</v>
      </c>
      <c r="H81" s="5" t="s">
        <v>137</v>
      </c>
      <c r="I81" s="5" t="s">
        <v>15305</v>
      </c>
      <c r="J81" s="5" t="s">
        <v>18405</v>
      </c>
      <c r="M81" s="1"/>
      <c r="N81"/>
      <c r="O81"/>
      <c r="P81"/>
      <c r="Q81"/>
      <c r="R81"/>
      <c r="S81"/>
      <c r="T81"/>
      <c r="U81"/>
      <c r="V81"/>
      <c r="W81"/>
      <c r="X81"/>
      <c r="Y81"/>
    </row>
    <row r="82" spans="1:25" s="2" customFormat="1" ht="25.5" x14ac:dyDescent="0.2">
      <c r="A82" s="5" t="s">
        <v>18404</v>
      </c>
      <c r="B82" s="5" t="s">
        <v>8584</v>
      </c>
      <c r="C82" s="5">
        <v>80</v>
      </c>
      <c r="D82" s="5"/>
      <c r="E82" s="5" t="s">
        <v>138</v>
      </c>
      <c r="F82" s="5" t="s">
        <v>15239</v>
      </c>
      <c r="G82" s="5" t="s">
        <v>181</v>
      </c>
      <c r="H82" s="5" t="s">
        <v>137</v>
      </c>
      <c r="I82" s="5" t="s">
        <v>15305</v>
      </c>
      <c r="J82" s="5" t="s">
        <v>18403</v>
      </c>
      <c r="M82" s="1"/>
      <c r="N82"/>
      <c r="O82"/>
      <c r="P82"/>
      <c r="Q82"/>
      <c r="R82"/>
      <c r="S82"/>
      <c r="T82"/>
      <c r="U82"/>
      <c r="V82"/>
      <c r="W82"/>
      <c r="X82"/>
      <c r="Y82"/>
    </row>
    <row r="83" spans="1:25" s="2" customFormat="1" ht="25.5" x14ac:dyDescent="0.2">
      <c r="A83" s="5" t="s">
        <v>18402</v>
      </c>
      <c r="B83" s="5" t="s">
        <v>8584</v>
      </c>
      <c r="C83" s="5">
        <v>81</v>
      </c>
      <c r="D83" s="5"/>
      <c r="E83" s="5" t="s">
        <v>138</v>
      </c>
      <c r="F83" s="5" t="s">
        <v>15239</v>
      </c>
      <c r="G83" s="5" t="s">
        <v>181</v>
      </c>
      <c r="H83" s="5" t="s">
        <v>137</v>
      </c>
      <c r="I83" s="5" t="s">
        <v>15305</v>
      </c>
      <c r="J83" s="5" t="s">
        <v>18401</v>
      </c>
      <c r="M83" s="1"/>
      <c r="N83"/>
      <c r="O83"/>
      <c r="P83"/>
      <c r="Q83"/>
      <c r="R83"/>
      <c r="S83"/>
      <c r="T83"/>
      <c r="U83"/>
      <c r="V83"/>
      <c r="W83"/>
      <c r="X83"/>
      <c r="Y83"/>
    </row>
    <row r="84" spans="1:25" s="2" customFormat="1" ht="25.5" x14ac:dyDescent="0.2">
      <c r="A84" s="5" t="s">
        <v>18400</v>
      </c>
      <c r="B84" s="5" t="s">
        <v>8584</v>
      </c>
      <c r="C84" s="5">
        <v>82</v>
      </c>
      <c r="D84" s="5"/>
      <c r="E84" s="5" t="s">
        <v>138</v>
      </c>
      <c r="F84" s="5" t="s">
        <v>7353</v>
      </c>
      <c r="G84" s="5" t="s">
        <v>181</v>
      </c>
      <c r="H84" s="5" t="s">
        <v>137</v>
      </c>
      <c r="I84" s="5" t="s">
        <v>15305</v>
      </c>
      <c r="J84" s="5" t="s">
        <v>18399</v>
      </c>
      <c r="M84" s="1"/>
      <c r="N84"/>
      <c r="O84"/>
      <c r="P84"/>
      <c r="Q84"/>
      <c r="R84"/>
      <c r="S84"/>
      <c r="T84"/>
      <c r="U84"/>
      <c r="V84"/>
      <c r="W84"/>
      <c r="X84"/>
      <c r="Y84"/>
    </row>
    <row r="85" spans="1:25" s="2" customFormat="1" ht="25.5" x14ac:dyDescent="0.2">
      <c r="A85" s="5" t="s">
        <v>18398</v>
      </c>
      <c r="B85" s="5" t="s">
        <v>8584</v>
      </c>
      <c r="C85" s="5">
        <v>83</v>
      </c>
      <c r="D85" s="5"/>
      <c r="E85" s="5"/>
      <c r="F85" s="5" t="s">
        <v>16129</v>
      </c>
      <c r="G85" s="5" t="s">
        <v>229</v>
      </c>
      <c r="H85" s="5" t="s">
        <v>137</v>
      </c>
      <c r="I85" s="5" t="s">
        <v>15305</v>
      </c>
      <c r="J85" s="5" t="s">
        <v>18397</v>
      </c>
      <c r="M85" s="1"/>
      <c r="N85"/>
      <c r="O85"/>
      <c r="P85"/>
      <c r="Q85"/>
      <c r="R85"/>
      <c r="S85"/>
      <c r="T85"/>
      <c r="U85"/>
      <c r="V85"/>
      <c r="W85"/>
      <c r="X85"/>
      <c r="Y85"/>
    </row>
    <row r="86" spans="1:25" s="2" customFormat="1" ht="25.5" x14ac:dyDescent="0.2">
      <c r="A86" s="5" t="s">
        <v>18396</v>
      </c>
      <c r="B86" s="5" t="s">
        <v>8584</v>
      </c>
      <c r="C86" s="5">
        <v>84</v>
      </c>
      <c r="D86" s="5"/>
      <c r="E86" s="5"/>
      <c r="F86" s="5" t="s">
        <v>15239</v>
      </c>
      <c r="G86" s="5" t="s">
        <v>122</v>
      </c>
      <c r="H86" s="5" t="s">
        <v>137</v>
      </c>
      <c r="I86" s="5" t="s">
        <v>15305</v>
      </c>
      <c r="J86" s="5" t="s">
        <v>18395</v>
      </c>
      <c r="M86" s="1"/>
      <c r="N86"/>
      <c r="O86"/>
      <c r="P86"/>
      <c r="Q86"/>
      <c r="R86"/>
      <c r="S86"/>
      <c r="T86"/>
      <c r="U86"/>
      <c r="V86"/>
      <c r="W86"/>
      <c r="X86"/>
      <c r="Y86"/>
    </row>
    <row r="87" spans="1:25" s="2" customFormat="1" ht="25.5" x14ac:dyDescent="0.2">
      <c r="A87" s="5" t="s">
        <v>18394</v>
      </c>
      <c r="B87" s="5" t="s">
        <v>8584</v>
      </c>
      <c r="C87" s="5">
        <v>85</v>
      </c>
      <c r="D87" s="5"/>
      <c r="E87" s="5" t="s">
        <v>138</v>
      </c>
      <c r="F87" s="5" t="s">
        <v>18393</v>
      </c>
      <c r="G87" s="5" t="s">
        <v>91</v>
      </c>
      <c r="H87" s="5" t="s">
        <v>137</v>
      </c>
      <c r="I87" s="5" t="s">
        <v>15305</v>
      </c>
      <c r="J87" s="5" t="s">
        <v>18392</v>
      </c>
      <c r="M87" s="1"/>
      <c r="N87"/>
      <c r="O87"/>
      <c r="P87"/>
      <c r="Q87"/>
      <c r="R87"/>
      <c r="S87"/>
      <c r="T87"/>
      <c r="U87"/>
      <c r="V87"/>
      <c r="W87"/>
      <c r="X87"/>
      <c r="Y87"/>
    </row>
    <row r="88" spans="1:25" s="2" customFormat="1" ht="25.5" x14ac:dyDescent="0.2">
      <c r="A88" s="5" t="s">
        <v>16630</v>
      </c>
      <c r="B88" s="5" t="s">
        <v>8584</v>
      </c>
      <c r="C88" s="5">
        <v>86</v>
      </c>
      <c r="D88" s="5"/>
      <c r="E88" s="5"/>
      <c r="F88" s="5" t="s">
        <v>15239</v>
      </c>
      <c r="G88" s="5" t="s">
        <v>118</v>
      </c>
      <c r="H88" s="5" t="s">
        <v>137</v>
      </c>
      <c r="I88" s="5" t="s">
        <v>15305</v>
      </c>
      <c r="J88" s="5" t="s">
        <v>16629</v>
      </c>
      <c r="M88" s="1"/>
      <c r="N88"/>
      <c r="O88"/>
      <c r="P88"/>
      <c r="Q88"/>
      <c r="R88"/>
      <c r="S88"/>
      <c r="T88"/>
      <c r="U88"/>
      <c r="V88"/>
      <c r="W88"/>
      <c r="X88"/>
      <c r="Y88"/>
    </row>
    <row r="89" spans="1:25" s="2" customFormat="1" ht="25.5" x14ac:dyDescent="0.2">
      <c r="A89" s="5" t="s">
        <v>16628</v>
      </c>
      <c r="B89" s="5" t="s">
        <v>8584</v>
      </c>
      <c r="C89" s="5">
        <v>87</v>
      </c>
      <c r="D89" s="5"/>
      <c r="E89" s="5"/>
      <c r="F89" s="5" t="s">
        <v>8685</v>
      </c>
      <c r="G89" s="5" t="s">
        <v>173</v>
      </c>
      <c r="H89" s="5" t="s">
        <v>137</v>
      </c>
      <c r="I89" s="5" t="s">
        <v>15305</v>
      </c>
      <c r="J89" s="5" t="s">
        <v>16627</v>
      </c>
      <c r="M89" s="1"/>
      <c r="N89"/>
      <c r="O89"/>
      <c r="P89"/>
      <c r="Q89"/>
      <c r="R89"/>
      <c r="S89"/>
      <c r="T89"/>
      <c r="U89"/>
      <c r="V89"/>
      <c r="W89"/>
      <c r="X89"/>
      <c r="Y89"/>
    </row>
    <row r="90" spans="1:25" s="2" customFormat="1" ht="25.5" x14ac:dyDescent="0.2">
      <c r="A90" s="5" t="s">
        <v>16626</v>
      </c>
      <c r="B90" s="5" t="s">
        <v>8584</v>
      </c>
      <c r="C90" s="5">
        <v>88</v>
      </c>
      <c r="D90" s="5"/>
      <c r="E90" s="5"/>
      <c r="F90" s="5" t="s">
        <v>7569</v>
      </c>
      <c r="G90" s="5" t="s">
        <v>181</v>
      </c>
      <c r="H90" s="5" t="s">
        <v>137</v>
      </c>
      <c r="I90" s="5" t="s">
        <v>15305</v>
      </c>
      <c r="J90" s="5" t="s">
        <v>16625</v>
      </c>
      <c r="M90" s="1"/>
      <c r="N90"/>
      <c r="O90"/>
      <c r="P90"/>
      <c r="Q90"/>
      <c r="R90"/>
      <c r="S90"/>
      <c r="T90"/>
      <c r="U90"/>
      <c r="V90"/>
      <c r="W90"/>
      <c r="X90"/>
      <c r="Y90"/>
    </row>
    <row r="91" spans="1:25" s="2" customFormat="1" ht="25.5" x14ac:dyDescent="0.2">
      <c r="A91" s="5" t="s">
        <v>18391</v>
      </c>
      <c r="B91" s="5" t="s">
        <v>8584</v>
      </c>
      <c r="C91" s="5">
        <v>89</v>
      </c>
      <c r="D91" s="5"/>
      <c r="E91" s="5" t="s">
        <v>368</v>
      </c>
      <c r="F91" s="5" t="s">
        <v>9551</v>
      </c>
      <c r="G91" s="5" t="s">
        <v>91</v>
      </c>
      <c r="H91" s="5" t="s">
        <v>137</v>
      </c>
      <c r="I91" s="5" t="s">
        <v>15305</v>
      </c>
      <c r="J91" s="5" t="s">
        <v>18390</v>
      </c>
      <c r="M91" s="1"/>
      <c r="N91"/>
      <c r="O91"/>
      <c r="P91"/>
      <c r="Q91"/>
      <c r="R91"/>
      <c r="S91"/>
      <c r="T91"/>
      <c r="U91"/>
      <c r="V91"/>
      <c r="W91"/>
      <c r="X91"/>
      <c r="Y91"/>
    </row>
    <row r="92" spans="1:25" s="2" customFormat="1" ht="25.5" x14ac:dyDescent="0.2">
      <c r="A92" s="5" t="s">
        <v>18389</v>
      </c>
      <c r="B92" s="5" t="s">
        <v>8584</v>
      </c>
      <c r="C92" s="5">
        <v>90</v>
      </c>
      <c r="D92" s="5"/>
      <c r="E92" s="5"/>
      <c r="F92" s="5" t="s">
        <v>15239</v>
      </c>
      <c r="G92" s="5" t="s">
        <v>80</v>
      </c>
      <c r="H92" s="5" t="s">
        <v>137</v>
      </c>
      <c r="I92" s="5" t="s">
        <v>15305</v>
      </c>
      <c r="J92" s="5" t="s">
        <v>18388</v>
      </c>
      <c r="M92" s="1"/>
      <c r="N92"/>
      <c r="O92"/>
      <c r="P92"/>
      <c r="Q92"/>
      <c r="R92"/>
      <c r="S92"/>
      <c r="T92"/>
      <c r="U92"/>
      <c r="V92"/>
      <c r="W92"/>
      <c r="X92"/>
      <c r="Y92"/>
    </row>
    <row r="93" spans="1:25" s="2" customFormat="1" ht="25.5" x14ac:dyDescent="0.2">
      <c r="A93" s="5" t="s">
        <v>16799</v>
      </c>
      <c r="B93" s="5" t="s">
        <v>8584</v>
      </c>
      <c r="C93" s="5">
        <v>91</v>
      </c>
      <c r="D93" s="5"/>
      <c r="E93" s="5"/>
      <c r="F93" s="5" t="s">
        <v>7353</v>
      </c>
      <c r="G93" s="5" t="s">
        <v>105</v>
      </c>
      <c r="H93" s="5" t="s">
        <v>137</v>
      </c>
      <c r="I93" s="5" t="s">
        <v>15305</v>
      </c>
      <c r="J93" s="5" t="s">
        <v>16798</v>
      </c>
      <c r="M93" s="1"/>
      <c r="N93"/>
      <c r="O93"/>
      <c r="P93"/>
      <c r="Q93"/>
      <c r="R93"/>
      <c r="S93"/>
      <c r="T93"/>
      <c r="U93"/>
      <c r="V93"/>
      <c r="W93"/>
      <c r="X93"/>
      <c r="Y93"/>
    </row>
    <row r="94" spans="1:25" s="2" customFormat="1" ht="25.5" x14ac:dyDescent="0.2">
      <c r="A94" s="5" t="s">
        <v>16860</v>
      </c>
      <c r="B94" s="5" t="s">
        <v>8584</v>
      </c>
      <c r="C94" s="5">
        <v>92</v>
      </c>
      <c r="D94" s="5"/>
      <c r="E94" s="5" t="s">
        <v>138</v>
      </c>
      <c r="F94" s="5" t="s">
        <v>16859</v>
      </c>
      <c r="G94" s="5" t="s">
        <v>148</v>
      </c>
      <c r="H94" s="5" t="s">
        <v>137</v>
      </c>
      <c r="I94" s="5" t="s">
        <v>15305</v>
      </c>
      <c r="J94" s="5" t="s">
        <v>16858</v>
      </c>
      <c r="M94" s="1"/>
      <c r="N94"/>
      <c r="O94"/>
      <c r="P94"/>
      <c r="Q94"/>
      <c r="R94"/>
      <c r="S94"/>
      <c r="T94"/>
      <c r="U94"/>
      <c r="V94"/>
      <c r="W94"/>
      <c r="X94"/>
      <c r="Y94"/>
    </row>
    <row r="95" spans="1:25" s="2" customFormat="1" ht="25.5" x14ac:dyDescent="0.2">
      <c r="A95" s="5" t="s">
        <v>18387</v>
      </c>
      <c r="B95" s="5" t="s">
        <v>8584</v>
      </c>
      <c r="C95" s="5">
        <v>93</v>
      </c>
      <c r="D95" s="5"/>
      <c r="E95" s="5"/>
      <c r="F95" s="5" t="s">
        <v>18386</v>
      </c>
      <c r="G95" s="5" t="s">
        <v>229</v>
      </c>
      <c r="H95" s="5" t="s">
        <v>137</v>
      </c>
      <c r="I95" s="5" t="s">
        <v>15305</v>
      </c>
      <c r="J95" s="5" t="s">
        <v>18385</v>
      </c>
      <c r="M95" s="1"/>
      <c r="N95"/>
      <c r="O95"/>
      <c r="P95"/>
      <c r="Q95"/>
      <c r="R95"/>
      <c r="S95"/>
      <c r="T95"/>
      <c r="U95"/>
      <c r="V95"/>
      <c r="W95"/>
      <c r="X95"/>
      <c r="Y95"/>
    </row>
    <row r="96" spans="1:25" s="2" customFormat="1" x14ac:dyDescent="0.2">
      <c r="A96" s="5" t="s">
        <v>18384</v>
      </c>
      <c r="B96" s="5" t="s">
        <v>8584</v>
      </c>
      <c r="C96" s="5">
        <v>94</v>
      </c>
      <c r="D96" s="5"/>
      <c r="E96" s="5"/>
      <c r="F96" s="5" t="s">
        <v>15668</v>
      </c>
      <c r="G96" s="5" t="s">
        <v>170</v>
      </c>
      <c r="H96" s="5" t="s">
        <v>137</v>
      </c>
      <c r="I96" s="5" t="s">
        <v>361</v>
      </c>
      <c r="J96" s="5" t="s">
        <v>18383</v>
      </c>
      <c r="M96" s="1"/>
      <c r="N96"/>
      <c r="O96"/>
      <c r="P96"/>
      <c r="Q96"/>
      <c r="R96"/>
      <c r="S96"/>
      <c r="T96"/>
      <c r="U96"/>
      <c r="V96"/>
      <c r="W96"/>
      <c r="X96"/>
      <c r="Y96"/>
    </row>
    <row r="97" spans="1:25" s="2" customFormat="1" x14ac:dyDescent="0.2">
      <c r="A97" s="5" t="s">
        <v>18382</v>
      </c>
      <c r="B97" s="5" t="s">
        <v>8584</v>
      </c>
      <c r="C97" s="5">
        <v>95</v>
      </c>
      <c r="D97" s="5"/>
      <c r="E97" s="5"/>
      <c r="F97" s="5" t="s">
        <v>15239</v>
      </c>
      <c r="G97" s="5" t="s">
        <v>170</v>
      </c>
      <c r="H97" s="5" t="s">
        <v>137</v>
      </c>
      <c r="I97" s="5" t="s">
        <v>361</v>
      </c>
      <c r="J97" s="5" t="s">
        <v>18381</v>
      </c>
      <c r="M97" s="1"/>
      <c r="N97"/>
      <c r="O97"/>
      <c r="P97"/>
      <c r="Q97"/>
      <c r="R97"/>
      <c r="S97"/>
      <c r="T97"/>
      <c r="U97"/>
      <c r="V97"/>
      <c r="W97"/>
      <c r="X97"/>
      <c r="Y97"/>
    </row>
    <row r="98" spans="1:25" s="2" customFormat="1" ht="25.5" x14ac:dyDescent="0.2">
      <c r="A98" s="5" t="s">
        <v>16196</v>
      </c>
      <c r="B98" s="5" t="s">
        <v>8584</v>
      </c>
      <c r="C98" s="5">
        <v>96</v>
      </c>
      <c r="D98" s="5"/>
      <c r="E98" s="5" t="s">
        <v>11304</v>
      </c>
      <c r="F98" s="5" t="s">
        <v>17082</v>
      </c>
      <c r="G98" s="5" t="s">
        <v>7296</v>
      </c>
      <c r="H98" s="5" t="s">
        <v>137</v>
      </c>
      <c r="I98" s="5" t="s">
        <v>361</v>
      </c>
      <c r="J98" s="5" t="s">
        <v>17080</v>
      </c>
      <c r="M98" s="1"/>
      <c r="N98"/>
      <c r="O98"/>
      <c r="P98"/>
      <c r="Q98"/>
      <c r="R98"/>
      <c r="S98"/>
      <c r="T98"/>
      <c r="U98"/>
      <c r="V98"/>
      <c r="W98"/>
      <c r="X98"/>
      <c r="Y98"/>
    </row>
    <row r="99" spans="1:25" s="2" customFormat="1" x14ac:dyDescent="0.2">
      <c r="A99" s="5" t="s">
        <v>18380</v>
      </c>
      <c r="B99" s="5" t="s">
        <v>8584</v>
      </c>
      <c r="C99" s="5">
        <v>97</v>
      </c>
      <c r="D99" s="5"/>
      <c r="E99" s="5" t="s">
        <v>368</v>
      </c>
      <c r="F99" s="5" t="s">
        <v>15239</v>
      </c>
      <c r="G99" s="5" t="s">
        <v>181</v>
      </c>
      <c r="H99" s="5" t="s">
        <v>137</v>
      </c>
      <c r="I99" s="5" t="s">
        <v>361</v>
      </c>
      <c r="J99" s="5" t="s">
        <v>18379</v>
      </c>
      <c r="M99" s="1"/>
      <c r="N99"/>
      <c r="O99"/>
      <c r="P99"/>
      <c r="Q99"/>
      <c r="R99"/>
      <c r="S99"/>
      <c r="T99"/>
      <c r="U99"/>
      <c r="V99"/>
      <c r="W99"/>
      <c r="X99"/>
      <c r="Y99"/>
    </row>
    <row r="100" spans="1:25" s="2" customFormat="1" x14ac:dyDescent="0.2">
      <c r="A100" s="5" t="s">
        <v>18378</v>
      </c>
      <c r="B100" s="5" t="s">
        <v>8584</v>
      </c>
      <c r="C100" s="5">
        <v>98</v>
      </c>
      <c r="D100" s="5"/>
      <c r="E100" s="5"/>
      <c r="F100" s="5" t="s">
        <v>15239</v>
      </c>
      <c r="G100" s="5" t="s">
        <v>170</v>
      </c>
      <c r="H100" s="5" t="s">
        <v>137</v>
      </c>
      <c r="I100" s="5" t="s">
        <v>361</v>
      </c>
      <c r="J100" s="5" t="s">
        <v>18377</v>
      </c>
      <c r="M100" s="1"/>
      <c r="N100"/>
      <c r="O100"/>
      <c r="P100"/>
      <c r="Q100"/>
      <c r="R100"/>
      <c r="S100"/>
      <c r="T100"/>
      <c r="U100"/>
      <c r="V100"/>
      <c r="W100"/>
      <c r="X100"/>
      <c r="Y100"/>
    </row>
    <row r="101" spans="1:25" x14ac:dyDescent="0.2">
      <c r="A101" s="5" t="s">
        <v>18376</v>
      </c>
      <c r="B101" s="5" t="s">
        <v>8584</v>
      </c>
      <c r="C101" s="5">
        <v>99</v>
      </c>
      <c r="D101" s="5"/>
      <c r="E101" s="5" t="s">
        <v>368</v>
      </c>
      <c r="F101" s="5" t="s">
        <v>15239</v>
      </c>
      <c r="G101" s="5" t="s">
        <v>181</v>
      </c>
      <c r="H101" s="5" t="s">
        <v>137</v>
      </c>
      <c r="I101" s="5" t="s">
        <v>361</v>
      </c>
      <c r="J101" s="5" t="s">
        <v>18375</v>
      </c>
    </row>
    <row r="102" spans="1:25" x14ac:dyDescent="0.2">
      <c r="A102" s="5" t="s">
        <v>16593</v>
      </c>
      <c r="B102" s="5" t="s">
        <v>8584</v>
      </c>
      <c r="C102" s="5">
        <v>100</v>
      </c>
      <c r="D102" s="5"/>
      <c r="E102" s="5"/>
      <c r="F102" s="5" t="s">
        <v>15239</v>
      </c>
      <c r="G102" s="5" t="s">
        <v>170</v>
      </c>
      <c r="H102" s="5" t="s">
        <v>137</v>
      </c>
      <c r="I102" s="5" t="s">
        <v>361</v>
      </c>
      <c r="J102" s="5" t="s">
        <v>18374</v>
      </c>
    </row>
    <row r="103" spans="1:25" x14ac:dyDescent="0.2">
      <c r="A103" s="5" t="s">
        <v>18373</v>
      </c>
      <c r="B103" s="5" t="s">
        <v>8584</v>
      </c>
      <c r="C103" s="5">
        <v>101</v>
      </c>
      <c r="D103" s="5"/>
      <c r="E103" s="5"/>
      <c r="F103" s="5" t="s">
        <v>409</v>
      </c>
      <c r="G103" s="5" t="s">
        <v>229</v>
      </c>
      <c r="H103" s="5" t="s">
        <v>137</v>
      </c>
      <c r="I103" s="5" t="s">
        <v>361</v>
      </c>
      <c r="J103" s="5"/>
    </row>
    <row r="104" spans="1:25" x14ac:dyDescent="0.2">
      <c r="A104" s="5" t="s">
        <v>18372</v>
      </c>
      <c r="B104" s="5" t="s">
        <v>8584</v>
      </c>
      <c r="C104" s="5">
        <v>102</v>
      </c>
      <c r="D104" s="5"/>
      <c r="E104" s="5" t="s">
        <v>18371</v>
      </c>
      <c r="F104" s="5" t="s">
        <v>18370</v>
      </c>
      <c r="G104" s="5" t="s">
        <v>91</v>
      </c>
      <c r="H104" s="5" t="s">
        <v>137</v>
      </c>
      <c r="I104" s="5" t="s">
        <v>361</v>
      </c>
      <c r="J104" s="5" t="s">
        <v>18369</v>
      </c>
    </row>
    <row r="105" spans="1:25" ht="25.5" x14ac:dyDescent="0.2">
      <c r="A105" s="5" t="s">
        <v>18368</v>
      </c>
      <c r="B105" s="5" t="s">
        <v>8584</v>
      </c>
      <c r="C105" s="5">
        <v>103</v>
      </c>
      <c r="D105" s="5"/>
      <c r="E105" s="5"/>
      <c r="F105" s="5" t="s">
        <v>18367</v>
      </c>
      <c r="G105" s="5" t="s">
        <v>122</v>
      </c>
      <c r="H105" s="5" t="s">
        <v>137</v>
      </c>
      <c r="I105" s="5" t="s">
        <v>361</v>
      </c>
      <c r="J105" s="5" t="s">
        <v>18366</v>
      </c>
    </row>
    <row r="106" spans="1:25" ht="25.5" x14ac:dyDescent="0.2">
      <c r="A106" s="5" t="s">
        <v>18365</v>
      </c>
      <c r="B106" s="5" t="s">
        <v>8584</v>
      </c>
      <c r="C106" s="5">
        <v>104</v>
      </c>
      <c r="D106" s="5"/>
      <c r="E106" s="5"/>
      <c r="F106" s="5" t="s">
        <v>18042</v>
      </c>
      <c r="G106" s="5" t="s">
        <v>224</v>
      </c>
      <c r="H106" s="5" t="s">
        <v>137</v>
      </c>
      <c r="I106" s="5" t="s">
        <v>18364</v>
      </c>
      <c r="J106" s="5" t="s">
        <v>18333</v>
      </c>
    </row>
    <row r="107" spans="1:25" ht="25.5" x14ac:dyDescent="0.2">
      <c r="A107" s="5" t="s">
        <v>18363</v>
      </c>
      <c r="B107" s="5" t="s">
        <v>8584</v>
      </c>
      <c r="C107" s="5">
        <v>105</v>
      </c>
      <c r="D107" s="5"/>
      <c r="E107" s="5"/>
      <c r="F107" s="5" t="s">
        <v>18362</v>
      </c>
      <c r="G107" s="5" t="s">
        <v>105</v>
      </c>
      <c r="H107" s="5" t="s">
        <v>137</v>
      </c>
      <c r="I107" s="5" t="s">
        <v>17838</v>
      </c>
      <c r="J107" s="5" t="s">
        <v>18362</v>
      </c>
    </row>
    <row r="108" spans="1:25" ht="25.5" x14ac:dyDescent="0.2">
      <c r="A108" s="5" t="s">
        <v>11503</v>
      </c>
      <c r="B108" s="5" t="s">
        <v>8584</v>
      </c>
      <c r="C108" s="5">
        <v>106</v>
      </c>
      <c r="D108" s="5"/>
      <c r="E108" s="5"/>
      <c r="F108" s="5" t="s">
        <v>11114</v>
      </c>
      <c r="G108" s="5" t="s">
        <v>229</v>
      </c>
      <c r="H108" s="5" t="s">
        <v>137</v>
      </c>
      <c r="I108" s="5" t="s">
        <v>17838</v>
      </c>
      <c r="J108" s="5" t="s">
        <v>11114</v>
      </c>
    </row>
    <row r="109" spans="1:25" ht="25.5" x14ac:dyDescent="0.2">
      <c r="A109" s="5" t="s">
        <v>7630</v>
      </c>
      <c r="B109" s="5" t="s">
        <v>8584</v>
      </c>
      <c r="C109" s="5">
        <v>107</v>
      </c>
      <c r="D109" s="5"/>
      <c r="E109" s="5"/>
      <c r="F109" s="5" t="s">
        <v>7569</v>
      </c>
      <c r="G109" s="5" t="s">
        <v>195</v>
      </c>
      <c r="H109" s="5" t="s">
        <v>137</v>
      </c>
      <c r="I109" s="5" t="s">
        <v>17838</v>
      </c>
      <c r="J109" s="5" t="s">
        <v>7569</v>
      </c>
    </row>
    <row r="110" spans="1:25" ht="25.5" x14ac:dyDescent="0.2">
      <c r="A110" s="5" t="s">
        <v>18361</v>
      </c>
      <c r="B110" s="5" t="s">
        <v>8584</v>
      </c>
      <c r="C110" s="5">
        <v>108</v>
      </c>
      <c r="D110" s="5"/>
      <c r="E110" s="5"/>
      <c r="F110" s="5" t="s">
        <v>16824</v>
      </c>
      <c r="G110" s="5" t="s">
        <v>118</v>
      </c>
      <c r="H110" s="5" t="s">
        <v>137</v>
      </c>
      <c r="I110" s="5" t="s">
        <v>17838</v>
      </c>
      <c r="J110" s="5" t="s">
        <v>18360</v>
      </c>
    </row>
    <row r="111" spans="1:25" ht="25.5" x14ac:dyDescent="0.2">
      <c r="A111" s="5" t="s">
        <v>18359</v>
      </c>
      <c r="B111" s="5" t="s">
        <v>8584</v>
      </c>
      <c r="C111" s="5">
        <v>109</v>
      </c>
      <c r="D111" s="5"/>
      <c r="E111" s="5"/>
      <c r="F111" s="5" t="s">
        <v>16824</v>
      </c>
      <c r="G111" s="5" t="s">
        <v>118</v>
      </c>
      <c r="H111" s="5" t="s">
        <v>137</v>
      </c>
      <c r="I111" s="5" t="s">
        <v>17838</v>
      </c>
      <c r="J111" s="5" t="s">
        <v>18358</v>
      </c>
    </row>
    <row r="112" spans="1:25" ht="25.5" x14ac:dyDescent="0.2">
      <c r="A112" s="5" t="s">
        <v>18357</v>
      </c>
      <c r="B112" s="5" t="s">
        <v>8584</v>
      </c>
      <c r="C112" s="5">
        <v>110</v>
      </c>
      <c r="D112" s="5"/>
      <c r="E112" s="5" t="s">
        <v>665</v>
      </c>
      <c r="F112" s="5" t="s">
        <v>16824</v>
      </c>
      <c r="G112" s="5" t="s">
        <v>148</v>
      </c>
      <c r="H112" s="5" t="s">
        <v>137</v>
      </c>
      <c r="I112" s="5" t="s">
        <v>17838</v>
      </c>
      <c r="J112" s="5" t="s">
        <v>18356</v>
      </c>
    </row>
    <row r="113" spans="1:10" ht="25.5" x14ac:dyDescent="0.2">
      <c r="A113" s="5" t="s">
        <v>18355</v>
      </c>
      <c r="B113" s="5" t="s">
        <v>8584</v>
      </c>
      <c r="C113" s="5">
        <v>111</v>
      </c>
      <c r="D113" s="5"/>
      <c r="E113" s="5"/>
      <c r="F113" s="5" t="s">
        <v>18354</v>
      </c>
      <c r="G113" s="5" t="s">
        <v>105</v>
      </c>
      <c r="H113" s="5" t="s">
        <v>137</v>
      </c>
      <c r="I113" s="5" t="s">
        <v>17838</v>
      </c>
      <c r="J113" s="5" t="s">
        <v>18353</v>
      </c>
    </row>
    <row r="114" spans="1:10" ht="25.5" x14ac:dyDescent="0.2">
      <c r="A114" s="5" t="s">
        <v>18352</v>
      </c>
      <c r="B114" s="5" t="s">
        <v>8584</v>
      </c>
      <c r="C114" s="5">
        <v>112</v>
      </c>
      <c r="D114" s="5"/>
      <c r="E114" s="5" t="s">
        <v>138</v>
      </c>
      <c r="F114" s="5" t="s">
        <v>18351</v>
      </c>
      <c r="G114" s="5" t="s">
        <v>91</v>
      </c>
      <c r="H114" s="5" t="s">
        <v>137</v>
      </c>
      <c r="I114" s="5" t="s">
        <v>361</v>
      </c>
      <c r="J114" s="5" t="s">
        <v>18350</v>
      </c>
    </row>
    <row r="115" spans="1:10" x14ac:dyDescent="0.2">
      <c r="A115" s="5" t="s">
        <v>18349</v>
      </c>
      <c r="B115" s="5" t="s">
        <v>8584</v>
      </c>
      <c r="C115" s="5">
        <v>113</v>
      </c>
      <c r="D115" s="5"/>
      <c r="E115" s="5" t="s">
        <v>288</v>
      </c>
      <c r="F115" s="5" t="s">
        <v>18347</v>
      </c>
      <c r="G115" s="5" t="s">
        <v>91</v>
      </c>
      <c r="H115" s="5" t="s">
        <v>137</v>
      </c>
      <c r="I115" s="5"/>
      <c r="J115" s="5"/>
    </row>
    <row r="116" spans="1:10" ht="25.5" x14ac:dyDescent="0.2">
      <c r="A116" s="5" t="s">
        <v>18348</v>
      </c>
      <c r="B116" s="5" t="s">
        <v>8584</v>
      </c>
      <c r="C116" s="5">
        <v>113</v>
      </c>
      <c r="D116" s="5"/>
      <c r="E116" s="5" t="s">
        <v>213</v>
      </c>
      <c r="F116" s="5" t="s">
        <v>18347</v>
      </c>
      <c r="G116" s="5" t="s">
        <v>91</v>
      </c>
      <c r="H116" s="5" t="s">
        <v>137</v>
      </c>
      <c r="I116" s="5" t="s">
        <v>18346</v>
      </c>
      <c r="J116" s="5"/>
    </row>
    <row r="117" spans="1:10" ht="25.5" x14ac:dyDescent="0.2">
      <c r="A117" s="5" t="s">
        <v>16930</v>
      </c>
      <c r="B117" s="5" t="s">
        <v>8584</v>
      </c>
      <c r="C117" s="5">
        <v>114</v>
      </c>
      <c r="D117" s="5"/>
      <c r="E117" s="5"/>
      <c r="F117" s="5" t="s">
        <v>16924</v>
      </c>
      <c r="G117" s="5" t="s">
        <v>229</v>
      </c>
      <c r="H117" s="5" t="s">
        <v>3</v>
      </c>
      <c r="I117" s="5"/>
      <c r="J117" s="5" t="s">
        <v>18345</v>
      </c>
    </row>
    <row r="118" spans="1:10" x14ac:dyDescent="0.2">
      <c r="A118" s="5" t="s">
        <v>15806</v>
      </c>
      <c r="B118" s="5" t="s">
        <v>8584</v>
      </c>
      <c r="C118" s="5">
        <v>115</v>
      </c>
      <c r="D118" s="5"/>
      <c r="E118" s="5"/>
      <c r="F118" s="5" t="s">
        <v>16615</v>
      </c>
      <c r="G118" s="5" t="s">
        <v>229</v>
      </c>
      <c r="H118" s="5" t="s">
        <v>3</v>
      </c>
      <c r="I118" s="5"/>
      <c r="J118" s="5" t="s">
        <v>15804</v>
      </c>
    </row>
    <row r="119" spans="1:10" ht="25.5" x14ac:dyDescent="0.2">
      <c r="A119" s="5" t="s">
        <v>16840</v>
      </c>
      <c r="B119" s="5" t="s">
        <v>8584</v>
      </c>
      <c r="C119" s="5">
        <v>116</v>
      </c>
      <c r="D119" s="5"/>
      <c r="E119" s="5" t="s">
        <v>368</v>
      </c>
      <c r="F119" s="5" t="s">
        <v>16839</v>
      </c>
      <c r="G119" s="5" t="s">
        <v>382</v>
      </c>
      <c r="H119" s="5" t="s">
        <v>137</v>
      </c>
      <c r="I119" s="5" t="s">
        <v>7761</v>
      </c>
      <c r="J119" s="5" t="s">
        <v>16838</v>
      </c>
    </row>
    <row r="120" spans="1:10" x14ac:dyDescent="0.2">
      <c r="A120" s="5" t="s">
        <v>18344</v>
      </c>
      <c r="B120" s="5" t="s">
        <v>8584</v>
      </c>
      <c r="C120" s="5">
        <v>117</v>
      </c>
      <c r="D120" s="5"/>
      <c r="E120" s="5"/>
      <c r="F120" s="5" t="s">
        <v>18343</v>
      </c>
      <c r="G120" s="5" t="s">
        <v>105</v>
      </c>
      <c r="H120" s="5" t="s">
        <v>3</v>
      </c>
      <c r="I120" s="5"/>
      <c r="J120" s="5" t="s">
        <v>18342</v>
      </c>
    </row>
    <row r="121" spans="1:10" ht="25.5" x14ac:dyDescent="0.2">
      <c r="A121" s="5" t="s">
        <v>16915</v>
      </c>
      <c r="B121" s="5" t="s">
        <v>8584</v>
      </c>
      <c r="C121" s="5">
        <v>118</v>
      </c>
      <c r="D121" s="5"/>
      <c r="E121" s="5"/>
      <c r="F121" s="5" t="s">
        <v>18341</v>
      </c>
      <c r="G121" s="5" t="s">
        <v>173</v>
      </c>
      <c r="H121" s="5" t="s">
        <v>137</v>
      </c>
      <c r="I121" s="5" t="s">
        <v>15305</v>
      </c>
      <c r="J121" s="5" t="s">
        <v>16913</v>
      </c>
    </row>
    <row r="122" spans="1:10" ht="25.5" x14ac:dyDescent="0.2">
      <c r="A122" s="5" t="s">
        <v>16996</v>
      </c>
      <c r="B122" s="5" t="s">
        <v>8584</v>
      </c>
      <c r="C122" s="5">
        <v>119</v>
      </c>
      <c r="D122" s="5"/>
      <c r="E122" s="5"/>
      <c r="F122" s="5" t="s">
        <v>18340</v>
      </c>
      <c r="G122" s="5" t="s">
        <v>195</v>
      </c>
      <c r="H122" s="5" t="s">
        <v>137</v>
      </c>
      <c r="I122" s="5" t="s">
        <v>15305</v>
      </c>
      <c r="J122" s="5" t="s">
        <v>16995</v>
      </c>
    </row>
    <row r="123" spans="1:10" ht="25.5" x14ac:dyDescent="0.2">
      <c r="A123" s="5" t="s">
        <v>17013</v>
      </c>
      <c r="B123" s="5" t="s">
        <v>8584</v>
      </c>
      <c r="C123" s="5">
        <v>120</v>
      </c>
      <c r="D123" s="5"/>
      <c r="E123" s="5"/>
      <c r="F123" s="5" t="s">
        <v>18339</v>
      </c>
      <c r="G123" s="5" t="s">
        <v>148</v>
      </c>
      <c r="H123" s="5" t="s">
        <v>137</v>
      </c>
      <c r="I123" s="5" t="s">
        <v>15305</v>
      </c>
      <c r="J123" s="5" t="s">
        <v>17012</v>
      </c>
    </row>
    <row r="124" spans="1:10" ht="25.5" x14ac:dyDescent="0.2">
      <c r="A124" s="5" t="s">
        <v>16648</v>
      </c>
      <c r="B124" s="5" t="s">
        <v>8584</v>
      </c>
      <c r="C124" s="5">
        <v>121</v>
      </c>
      <c r="D124" s="5"/>
      <c r="E124" s="5"/>
      <c r="F124" s="5" t="s">
        <v>16647</v>
      </c>
      <c r="G124" s="5" t="s">
        <v>114</v>
      </c>
      <c r="H124" s="5" t="s">
        <v>137</v>
      </c>
      <c r="I124" s="5" t="s">
        <v>15305</v>
      </c>
      <c r="J124" s="5" t="s">
        <v>16646</v>
      </c>
    </row>
    <row r="125" spans="1:10" x14ac:dyDescent="0.2">
      <c r="A125" s="5" t="s">
        <v>18338</v>
      </c>
      <c r="B125" s="5" t="s">
        <v>8584</v>
      </c>
      <c r="C125" s="5">
        <v>122</v>
      </c>
      <c r="D125" s="5"/>
      <c r="E125" s="5"/>
      <c r="F125" s="5"/>
      <c r="G125" s="5" t="s">
        <v>105</v>
      </c>
      <c r="H125" s="5" t="s">
        <v>3</v>
      </c>
      <c r="I125" s="5"/>
      <c r="J125" s="5" t="s">
        <v>18337</v>
      </c>
    </row>
    <row r="126" spans="1:10" ht="38.25" x14ac:dyDescent="0.2">
      <c r="A126" s="5" t="s">
        <v>18336</v>
      </c>
      <c r="B126" s="5" t="s">
        <v>8584</v>
      </c>
      <c r="C126" s="5">
        <v>123</v>
      </c>
      <c r="D126" s="5"/>
      <c r="E126" s="5"/>
      <c r="F126" s="5" t="s">
        <v>16097</v>
      </c>
      <c r="G126" s="5" t="s">
        <v>105</v>
      </c>
      <c r="H126" s="5" t="s">
        <v>137</v>
      </c>
      <c r="I126" s="5" t="s">
        <v>361</v>
      </c>
      <c r="J126" s="5" t="s">
        <v>18335</v>
      </c>
    </row>
    <row r="127" spans="1:10" ht="25.5" x14ac:dyDescent="0.2">
      <c r="A127" s="5" t="s">
        <v>18334</v>
      </c>
      <c r="B127" s="5" t="s">
        <v>8584</v>
      </c>
      <c r="C127" s="5">
        <v>124</v>
      </c>
      <c r="D127" s="5"/>
      <c r="E127" s="5"/>
      <c r="F127" s="5" t="s">
        <v>18333</v>
      </c>
      <c r="G127" s="5" t="s">
        <v>199</v>
      </c>
      <c r="H127" s="5" t="s">
        <v>3</v>
      </c>
      <c r="I127" s="5"/>
      <c r="J127" s="5" t="s">
        <v>18332</v>
      </c>
    </row>
    <row r="128" spans="1:10" ht="25.5" x14ac:dyDescent="0.2">
      <c r="A128" s="5" t="s">
        <v>18331</v>
      </c>
      <c r="B128" s="5" t="s">
        <v>8584</v>
      </c>
      <c r="C128" s="5">
        <v>125</v>
      </c>
      <c r="D128" s="5"/>
      <c r="E128" s="5"/>
      <c r="F128" s="5" t="s">
        <v>16129</v>
      </c>
      <c r="G128" s="5" t="s">
        <v>80</v>
      </c>
      <c r="H128" s="5" t="s">
        <v>137</v>
      </c>
      <c r="I128" s="5" t="s">
        <v>10232</v>
      </c>
      <c r="J128" s="5" t="s">
        <v>18330</v>
      </c>
    </row>
    <row r="129" spans="1:10" ht="25.5" x14ac:dyDescent="0.2">
      <c r="A129" s="5" t="s">
        <v>18329</v>
      </c>
      <c r="B129" s="5" t="s">
        <v>8584</v>
      </c>
      <c r="C129" s="5">
        <v>126</v>
      </c>
      <c r="D129" s="5"/>
      <c r="E129" s="5"/>
      <c r="F129" s="5" t="s">
        <v>16129</v>
      </c>
      <c r="G129" s="5" t="s">
        <v>80</v>
      </c>
      <c r="H129" s="5" t="s">
        <v>137</v>
      </c>
      <c r="I129" s="5" t="s">
        <v>10232</v>
      </c>
      <c r="J129" s="5" t="s">
        <v>18328</v>
      </c>
    </row>
    <row r="130" spans="1:10" ht="25.5" x14ac:dyDescent="0.2">
      <c r="A130" s="5" t="s">
        <v>18327</v>
      </c>
      <c r="B130" s="5" t="s">
        <v>8584</v>
      </c>
      <c r="C130" s="5">
        <v>127</v>
      </c>
      <c r="D130" s="5"/>
      <c r="E130" s="5"/>
      <c r="F130" s="5" t="s">
        <v>15239</v>
      </c>
      <c r="G130" s="5" t="s">
        <v>80</v>
      </c>
      <c r="H130" s="5" t="s">
        <v>137</v>
      </c>
      <c r="I130" s="5" t="s">
        <v>15305</v>
      </c>
      <c r="J130" s="5" t="s">
        <v>18326</v>
      </c>
    </row>
    <row r="131" spans="1:10" ht="25.5" x14ac:dyDescent="0.2">
      <c r="A131" s="5" t="s">
        <v>18325</v>
      </c>
      <c r="B131" s="5" t="s">
        <v>8584</v>
      </c>
      <c r="C131" s="5">
        <v>128</v>
      </c>
      <c r="D131" s="5"/>
      <c r="E131" s="5"/>
      <c r="F131" s="5" t="s">
        <v>15239</v>
      </c>
      <c r="G131" s="5" t="s">
        <v>105</v>
      </c>
      <c r="H131" s="5" t="s">
        <v>137</v>
      </c>
      <c r="I131" s="5" t="s">
        <v>15305</v>
      </c>
      <c r="J131" s="5" t="s">
        <v>18324</v>
      </c>
    </row>
    <row r="132" spans="1:10" ht="25.5" x14ac:dyDescent="0.2">
      <c r="A132" s="5" t="s">
        <v>16815</v>
      </c>
      <c r="B132" s="5" t="s">
        <v>8584</v>
      </c>
      <c r="C132" s="5">
        <v>129</v>
      </c>
      <c r="D132" s="5"/>
      <c r="E132" s="5"/>
      <c r="F132" s="5" t="s">
        <v>15748</v>
      </c>
      <c r="G132" s="5" t="s">
        <v>122</v>
      </c>
      <c r="H132" s="5" t="s">
        <v>3</v>
      </c>
      <c r="I132" s="5"/>
      <c r="J132" s="5" t="s">
        <v>18323</v>
      </c>
    </row>
    <row r="133" spans="1:10" ht="25.5" x14ac:dyDescent="0.2">
      <c r="A133" s="5" t="s">
        <v>16734</v>
      </c>
      <c r="B133" s="5" t="s">
        <v>8584</v>
      </c>
      <c r="C133" s="5">
        <v>130</v>
      </c>
      <c r="D133" s="5"/>
      <c r="E133" s="5" t="s">
        <v>138</v>
      </c>
      <c r="F133" s="5" t="s">
        <v>92</v>
      </c>
      <c r="G133" s="5" t="s">
        <v>181</v>
      </c>
      <c r="H133" s="5" t="s">
        <v>137</v>
      </c>
      <c r="I133" s="5" t="s">
        <v>15599</v>
      </c>
      <c r="J133" s="5" t="s">
        <v>18322</v>
      </c>
    </row>
    <row r="134" spans="1:10" x14ac:dyDescent="0.2">
      <c r="A134" s="5" t="s">
        <v>16736</v>
      </c>
      <c r="B134" s="5" t="s">
        <v>8584</v>
      </c>
      <c r="C134" s="5">
        <v>131</v>
      </c>
      <c r="D134" s="5"/>
      <c r="E134" s="5"/>
      <c r="F134" s="5" t="s">
        <v>8739</v>
      </c>
      <c r="G134" s="5" t="s">
        <v>122</v>
      </c>
      <c r="H134" s="5" t="s">
        <v>137</v>
      </c>
      <c r="I134" s="5" t="s">
        <v>15599</v>
      </c>
      <c r="J134" s="5" t="s">
        <v>18321</v>
      </c>
    </row>
    <row r="135" spans="1:10" ht="25.5" x14ac:dyDescent="0.2">
      <c r="A135" s="5" t="s">
        <v>18320</v>
      </c>
      <c r="B135" s="5" t="s">
        <v>8584</v>
      </c>
      <c r="C135" s="5">
        <v>132</v>
      </c>
      <c r="D135" s="5"/>
      <c r="E135" s="5"/>
      <c r="F135" s="5" t="s">
        <v>15600</v>
      </c>
      <c r="G135" s="5" t="s">
        <v>105</v>
      </c>
      <c r="H135" s="5" t="s">
        <v>3</v>
      </c>
      <c r="I135" s="5"/>
      <c r="J135" s="5" t="s">
        <v>18319</v>
      </c>
    </row>
    <row r="136" spans="1:10" ht="25.5" x14ac:dyDescent="0.2">
      <c r="A136" s="5" t="s">
        <v>16729</v>
      </c>
      <c r="B136" s="5" t="s">
        <v>8584</v>
      </c>
      <c r="C136" s="5">
        <v>133</v>
      </c>
      <c r="D136" s="5"/>
      <c r="E136" s="5"/>
      <c r="F136" s="5" t="s">
        <v>16728</v>
      </c>
      <c r="G136" s="5" t="s">
        <v>4028</v>
      </c>
      <c r="H136" s="5" t="s">
        <v>137</v>
      </c>
      <c r="I136" s="5" t="s">
        <v>15599</v>
      </c>
      <c r="J136" s="5" t="s">
        <v>16727</v>
      </c>
    </row>
    <row r="137" spans="1:10" ht="25.5" x14ac:dyDescent="0.2">
      <c r="A137" s="5" t="s">
        <v>16732</v>
      </c>
      <c r="B137" s="5" t="s">
        <v>8584</v>
      </c>
      <c r="C137" s="5">
        <v>134</v>
      </c>
      <c r="D137" s="5"/>
      <c r="E137" s="5"/>
      <c r="F137" s="5" t="s">
        <v>8739</v>
      </c>
      <c r="G137" s="5" t="s">
        <v>229</v>
      </c>
      <c r="H137" s="5" t="s">
        <v>137</v>
      </c>
      <c r="I137" s="5" t="s">
        <v>15599</v>
      </c>
      <c r="J137" s="5" t="s">
        <v>18318</v>
      </c>
    </row>
    <row r="138" spans="1:10" x14ac:dyDescent="0.2">
      <c r="A138" s="5" t="s">
        <v>18317</v>
      </c>
      <c r="B138" s="5" t="s">
        <v>8584</v>
      </c>
      <c r="C138" s="5">
        <v>135</v>
      </c>
      <c r="D138" s="5"/>
      <c r="E138" s="5" t="s">
        <v>138</v>
      </c>
      <c r="F138" s="5" t="s">
        <v>17941</v>
      </c>
      <c r="G138" s="5" t="s">
        <v>702</v>
      </c>
      <c r="H138" s="5" t="s">
        <v>3</v>
      </c>
      <c r="I138" s="5"/>
      <c r="J138" s="5" t="s">
        <v>18316</v>
      </c>
    </row>
    <row r="139" spans="1:10" x14ac:dyDescent="0.2">
      <c r="A139" s="5" t="s">
        <v>18315</v>
      </c>
      <c r="B139" s="5" t="s">
        <v>8584</v>
      </c>
      <c r="C139" s="5">
        <v>136</v>
      </c>
      <c r="D139" s="5"/>
      <c r="E139" s="5" t="s">
        <v>138</v>
      </c>
      <c r="F139" s="5" t="s">
        <v>16859</v>
      </c>
      <c r="G139" s="5" t="s">
        <v>702</v>
      </c>
      <c r="H139" s="5" t="s">
        <v>3</v>
      </c>
      <c r="I139" s="5"/>
      <c r="J139" s="5" t="s">
        <v>18314</v>
      </c>
    </row>
    <row r="140" spans="1:10" ht="25.5" x14ac:dyDescent="0.2">
      <c r="A140" s="5" t="s">
        <v>18313</v>
      </c>
      <c r="B140" s="5" t="s">
        <v>8584</v>
      </c>
      <c r="C140" s="5">
        <v>137</v>
      </c>
      <c r="D140" s="5"/>
      <c r="E140" s="5"/>
      <c r="F140" s="5" t="s">
        <v>18312</v>
      </c>
      <c r="G140" s="5" t="s">
        <v>4028</v>
      </c>
      <c r="H140" s="5" t="s">
        <v>137</v>
      </c>
      <c r="I140" s="5"/>
      <c r="J140" s="5" t="s">
        <v>18311</v>
      </c>
    </row>
    <row r="141" spans="1:10" ht="25.5" x14ac:dyDescent="0.2">
      <c r="A141" s="5" t="s">
        <v>18310</v>
      </c>
      <c r="B141" s="5" t="s">
        <v>8584</v>
      </c>
      <c r="C141" s="5">
        <v>138</v>
      </c>
      <c r="D141" s="5"/>
      <c r="E141" s="5"/>
      <c r="F141" s="5" t="s">
        <v>16499</v>
      </c>
      <c r="G141" s="5" t="s">
        <v>86</v>
      </c>
      <c r="H141" s="5" t="s">
        <v>137</v>
      </c>
      <c r="I141" s="5" t="s">
        <v>15599</v>
      </c>
      <c r="J141" s="5" t="s">
        <v>18309</v>
      </c>
    </row>
    <row r="142" spans="1:10" x14ac:dyDescent="0.2">
      <c r="A142" s="5" t="s">
        <v>392</v>
      </c>
      <c r="B142" s="5" t="s">
        <v>8584</v>
      </c>
      <c r="C142" s="5">
        <v>139</v>
      </c>
      <c r="D142" s="5"/>
      <c r="E142" s="5"/>
      <c r="F142" s="5" t="s">
        <v>409</v>
      </c>
      <c r="G142" s="5" t="s">
        <v>148</v>
      </c>
      <c r="H142" s="5" t="s">
        <v>137</v>
      </c>
      <c r="I142" s="5" t="s">
        <v>361</v>
      </c>
      <c r="J142" s="5" t="s">
        <v>16719</v>
      </c>
    </row>
    <row r="143" spans="1:10" x14ac:dyDescent="0.2">
      <c r="A143" s="5" t="s">
        <v>18308</v>
      </c>
      <c r="B143" s="5" t="s">
        <v>8584</v>
      </c>
      <c r="C143" s="5">
        <v>139</v>
      </c>
      <c r="D143" s="5"/>
      <c r="E143" s="5"/>
      <c r="F143" s="5" t="s">
        <v>409</v>
      </c>
      <c r="G143" s="5" t="s">
        <v>283</v>
      </c>
      <c r="H143" s="5" t="s">
        <v>137</v>
      </c>
      <c r="I143" s="5" t="s">
        <v>361</v>
      </c>
      <c r="J143" s="5" t="s">
        <v>18307</v>
      </c>
    </row>
    <row r="144" spans="1:10" x14ac:dyDescent="0.2">
      <c r="A144" s="5" t="s">
        <v>17236</v>
      </c>
      <c r="B144" s="5" t="s">
        <v>8584</v>
      </c>
      <c r="C144" s="5">
        <v>140</v>
      </c>
      <c r="D144" s="5"/>
      <c r="E144" s="5"/>
      <c r="F144" s="5" t="s">
        <v>5246</v>
      </c>
      <c r="G144" s="5" t="s">
        <v>276</v>
      </c>
      <c r="H144" s="5" t="s">
        <v>137</v>
      </c>
      <c r="I144" s="5" t="s">
        <v>17844</v>
      </c>
      <c r="J144" s="5" t="s">
        <v>18306</v>
      </c>
    </row>
    <row r="145" spans="1:10" x14ac:dyDescent="0.2">
      <c r="A145" s="5" t="s">
        <v>8359</v>
      </c>
      <c r="B145" s="5" t="s">
        <v>8584</v>
      </c>
      <c r="C145" s="5">
        <v>141</v>
      </c>
      <c r="D145" s="5"/>
      <c r="E145" s="5"/>
      <c r="F145" s="5" t="s">
        <v>5246</v>
      </c>
      <c r="G145" s="5" t="s">
        <v>118</v>
      </c>
      <c r="H145" s="5" t="s">
        <v>137</v>
      </c>
      <c r="I145" s="5" t="s">
        <v>17844</v>
      </c>
      <c r="J145" s="5" t="s">
        <v>8355</v>
      </c>
    </row>
    <row r="146" spans="1:10" x14ac:dyDescent="0.2">
      <c r="A146" s="5" t="s">
        <v>18305</v>
      </c>
      <c r="B146" s="5" t="s">
        <v>8584</v>
      </c>
      <c r="C146" s="5">
        <v>142</v>
      </c>
      <c r="D146" s="5"/>
      <c r="E146" s="5" t="s">
        <v>1783</v>
      </c>
      <c r="F146" s="5" t="s">
        <v>5246</v>
      </c>
      <c r="G146" s="5" t="s">
        <v>207</v>
      </c>
      <c r="H146" s="5" t="s">
        <v>137</v>
      </c>
      <c r="I146" s="5" t="s">
        <v>17844</v>
      </c>
      <c r="J146" s="5" t="s">
        <v>18304</v>
      </c>
    </row>
    <row r="147" spans="1:10" x14ac:dyDescent="0.2">
      <c r="A147" s="5" t="s">
        <v>18303</v>
      </c>
      <c r="B147" s="5" t="s">
        <v>8584</v>
      </c>
      <c r="C147" s="5">
        <v>143</v>
      </c>
      <c r="D147" s="5"/>
      <c r="E147" s="5" t="s">
        <v>138</v>
      </c>
      <c r="F147" s="5" t="s">
        <v>5246</v>
      </c>
      <c r="G147" s="5" t="s">
        <v>382</v>
      </c>
      <c r="H147" s="5" t="s">
        <v>137</v>
      </c>
      <c r="I147" s="5" t="s">
        <v>17844</v>
      </c>
      <c r="J147" s="5" t="s">
        <v>18302</v>
      </c>
    </row>
    <row r="148" spans="1:10" x14ac:dyDescent="0.2">
      <c r="A148" s="5" t="s">
        <v>18301</v>
      </c>
      <c r="B148" s="5" t="s">
        <v>8584</v>
      </c>
      <c r="C148" s="5">
        <v>144</v>
      </c>
      <c r="D148" s="5"/>
      <c r="E148" s="5" t="s">
        <v>138</v>
      </c>
      <c r="F148" s="5" t="s">
        <v>5246</v>
      </c>
      <c r="G148" s="5" t="s">
        <v>91</v>
      </c>
      <c r="H148" s="5" t="s">
        <v>137</v>
      </c>
      <c r="I148" s="5" t="s">
        <v>17844</v>
      </c>
      <c r="J148" s="5" t="s">
        <v>18300</v>
      </c>
    </row>
    <row r="149" spans="1:10" x14ac:dyDescent="0.2">
      <c r="A149" s="5" t="s">
        <v>18299</v>
      </c>
      <c r="B149" s="5" t="s">
        <v>8584</v>
      </c>
      <c r="C149" s="5">
        <v>145</v>
      </c>
      <c r="D149" s="5"/>
      <c r="E149" s="5" t="s">
        <v>138</v>
      </c>
      <c r="F149" s="5" t="s">
        <v>5246</v>
      </c>
      <c r="G149" s="5" t="s">
        <v>382</v>
      </c>
      <c r="H149" s="5" t="s">
        <v>137</v>
      </c>
      <c r="I149" s="5" t="s">
        <v>17844</v>
      </c>
      <c r="J149" s="5" t="s">
        <v>18298</v>
      </c>
    </row>
    <row r="150" spans="1:10" x14ac:dyDescent="0.2">
      <c r="A150" s="5" t="s">
        <v>18297</v>
      </c>
      <c r="B150" s="5" t="s">
        <v>8584</v>
      </c>
      <c r="C150" s="5">
        <v>146</v>
      </c>
      <c r="D150" s="5"/>
      <c r="E150" s="5" t="s">
        <v>138</v>
      </c>
      <c r="F150" s="5" t="s">
        <v>5246</v>
      </c>
      <c r="G150" s="5" t="s">
        <v>91</v>
      </c>
      <c r="H150" s="5" t="s">
        <v>137</v>
      </c>
      <c r="I150" s="5" t="s">
        <v>17844</v>
      </c>
      <c r="J150" s="5" t="s">
        <v>17848</v>
      </c>
    </row>
    <row r="151" spans="1:10" x14ac:dyDescent="0.2">
      <c r="A151" s="5" t="s">
        <v>18296</v>
      </c>
      <c r="B151" s="5" t="s">
        <v>8584</v>
      </c>
      <c r="C151" s="5">
        <v>147</v>
      </c>
      <c r="D151" s="5"/>
      <c r="E151" s="5"/>
      <c r="F151" s="5" t="s">
        <v>5246</v>
      </c>
      <c r="G151" s="5" t="s">
        <v>276</v>
      </c>
      <c r="H151" s="5" t="s">
        <v>137</v>
      </c>
      <c r="I151" s="5" t="s">
        <v>17844</v>
      </c>
      <c r="J151" s="5" t="s">
        <v>18295</v>
      </c>
    </row>
    <row r="152" spans="1:10" x14ac:dyDescent="0.2">
      <c r="A152" s="5" t="s">
        <v>18294</v>
      </c>
      <c r="B152" s="5" t="s">
        <v>8584</v>
      </c>
      <c r="C152" s="5">
        <v>148</v>
      </c>
      <c r="D152" s="5"/>
      <c r="E152" s="5" t="s">
        <v>150</v>
      </c>
      <c r="F152" s="5" t="s">
        <v>5246</v>
      </c>
      <c r="G152" s="5" t="s">
        <v>148</v>
      </c>
      <c r="H152" s="5" t="s">
        <v>137</v>
      </c>
      <c r="I152" s="5" t="s">
        <v>17844</v>
      </c>
      <c r="J152" s="5" t="s">
        <v>18292</v>
      </c>
    </row>
    <row r="153" spans="1:10" x14ac:dyDescent="0.2">
      <c r="A153" s="5" t="s">
        <v>18293</v>
      </c>
      <c r="B153" s="5" t="s">
        <v>8584</v>
      </c>
      <c r="C153" s="5">
        <v>148</v>
      </c>
      <c r="D153" s="5"/>
      <c r="E153" s="5" t="s">
        <v>213</v>
      </c>
      <c r="F153" s="5" t="s">
        <v>5246</v>
      </c>
      <c r="G153" s="5" t="s">
        <v>91</v>
      </c>
      <c r="H153" s="5" t="s">
        <v>137</v>
      </c>
      <c r="I153" s="5" t="s">
        <v>17844</v>
      </c>
      <c r="J153" s="5" t="s">
        <v>18292</v>
      </c>
    </row>
    <row r="154" spans="1:10" x14ac:dyDescent="0.2">
      <c r="A154" s="5" t="s">
        <v>8368</v>
      </c>
      <c r="B154" s="5" t="s">
        <v>8584</v>
      </c>
      <c r="C154" s="5">
        <v>149</v>
      </c>
      <c r="D154" s="5"/>
      <c r="E154" s="5"/>
      <c r="F154" s="5" t="s">
        <v>5246</v>
      </c>
      <c r="G154" s="5" t="s">
        <v>122</v>
      </c>
      <c r="H154" s="5" t="s">
        <v>137</v>
      </c>
      <c r="I154" s="5" t="s">
        <v>17844</v>
      </c>
      <c r="J154" s="5" t="s">
        <v>8364</v>
      </c>
    </row>
    <row r="155" spans="1:10" x14ac:dyDescent="0.2">
      <c r="A155" s="5" t="s">
        <v>17206</v>
      </c>
      <c r="B155" s="5" t="s">
        <v>8584</v>
      </c>
      <c r="C155" s="5">
        <v>150</v>
      </c>
      <c r="D155" s="5"/>
      <c r="E155" s="5"/>
      <c r="F155" s="5" t="s">
        <v>8739</v>
      </c>
      <c r="G155" s="5" t="s">
        <v>276</v>
      </c>
      <c r="H155" s="5" t="s">
        <v>137</v>
      </c>
      <c r="I155" s="5" t="s">
        <v>17844</v>
      </c>
      <c r="J155" s="5" t="s">
        <v>18291</v>
      </c>
    </row>
    <row r="156" spans="1:10" ht="25.5" x14ac:dyDescent="0.2">
      <c r="A156" s="5" t="s">
        <v>18290</v>
      </c>
      <c r="B156" s="5" t="s">
        <v>8584</v>
      </c>
      <c r="C156" s="5">
        <v>151</v>
      </c>
      <c r="D156" s="5"/>
      <c r="E156" s="5"/>
      <c r="F156" s="5" t="s">
        <v>12907</v>
      </c>
      <c r="G156" s="5" t="s">
        <v>276</v>
      </c>
      <c r="H156" s="5" t="s">
        <v>137</v>
      </c>
      <c r="I156" s="5" t="s">
        <v>10232</v>
      </c>
      <c r="J156" s="5" t="s">
        <v>18289</v>
      </c>
    </row>
    <row r="157" spans="1:10" ht="25.5" x14ac:dyDescent="0.2">
      <c r="A157" s="5" t="s">
        <v>18288</v>
      </c>
      <c r="B157" s="5" t="s">
        <v>8584</v>
      </c>
      <c r="C157" s="5">
        <v>152</v>
      </c>
      <c r="D157" s="5"/>
      <c r="E157" s="5"/>
      <c r="F157" s="5" t="s">
        <v>12907</v>
      </c>
      <c r="G157" s="5" t="s">
        <v>118</v>
      </c>
      <c r="H157" s="5" t="s">
        <v>137</v>
      </c>
      <c r="I157" s="5" t="s">
        <v>10232</v>
      </c>
      <c r="J157" s="5" t="s">
        <v>18287</v>
      </c>
    </row>
    <row r="158" spans="1:10" ht="25.5" x14ac:dyDescent="0.2">
      <c r="A158" s="5" t="s">
        <v>18286</v>
      </c>
      <c r="B158" s="5" t="s">
        <v>8584</v>
      </c>
      <c r="C158" s="5">
        <v>153</v>
      </c>
      <c r="D158" s="5"/>
      <c r="E158" s="5" t="s">
        <v>1783</v>
      </c>
      <c r="F158" s="5" t="s">
        <v>12907</v>
      </c>
      <c r="G158" s="5" t="s">
        <v>207</v>
      </c>
      <c r="H158" s="5" t="s">
        <v>137</v>
      </c>
      <c r="I158" s="5" t="s">
        <v>10232</v>
      </c>
      <c r="J158" s="5" t="s">
        <v>18285</v>
      </c>
    </row>
    <row r="159" spans="1:10" ht="25.5" x14ac:dyDescent="0.2">
      <c r="A159" s="5" t="s">
        <v>18284</v>
      </c>
      <c r="B159" s="5" t="s">
        <v>8584</v>
      </c>
      <c r="C159" s="5">
        <v>154</v>
      </c>
      <c r="D159" s="5"/>
      <c r="E159" s="5" t="s">
        <v>138</v>
      </c>
      <c r="F159" s="5" t="s">
        <v>12907</v>
      </c>
      <c r="G159" s="5" t="s">
        <v>382</v>
      </c>
      <c r="H159" s="5" t="s">
        <v>137</v>
      </c>
      <c r="I159" s="5" t="s">
        <v>10232</v>
      </c>
      <c r="J159" s="5" t="s">
        <v>18283</v>
      </c>
    </row>
    <row r="160" spans="1:10" ht="25.5" x14ac:dyDescent="0.2">
      <c r="A160" s="5" t="s">
        <v>18282</v>
      </c>
      <c r="B160" s="5" t="s">
        <v>8584</v>
      </c>
      <c r="C160" s="5">
        <v>155</v>
      </c>
      <c r="D160" s="5"/>
      <c r="E160" s="5" t="s">
        <v>138</v>
      </c>
      <c r="F160" s="5" t="s">
        <v>12907</v>
      </c>
      <c r="G160" s="5" t="s">
        <v>91</v>
      </c>
      <c r="H160" s="5" t="s">
        <v>137</v>
      </c>
      <c r="I160" s="5" t="s">
        <v>10232</v>
      </c>
      <c r="J160" s="5" t="s">
        <v>18281</v>
      </c>
    </row>
    <row r="161" spans="1:10" ht="25.5" x14ac:dyDescent="0.2">
      <c r="A161" s="5" t="s">
        <v>18280</v>
      </c>
      <c r="B161" s="5" t="s">
        <v>8584</v>
      </c>
      <c r="C161" s="5">
        <v>156</v>
      </c>
      <c r="D161" s="5"/>
      <c r="E161" s="5" t="s">
        <v>138</v>
      </c>
      <c r="F161" s="5" t="s">
        <v>12907</v>
      </c>
      <c r="G161" s="5" t="s">
        <v>382</v>
      </c>
      <c r="H161" s="5" t="s">
        <v>137</v>
      </c>
      <c r="I161" s="5" t="s">
        <v>10232</v>
      </c>
      <c r="J161" s="5" t="s">
        <v>18279</v>
      </c>
    </row>
    <row r="162" spans="1:10" ht="25.5" x14ac:dyDescent="0.2">
      <c r="A162" s="5" t="s">
        <v>18278</v>
      </c>
      <c r="B162" s="5" t="s">
        <v>8584</v>
      </c>
      <c r="C162" s="5">
        <v>157</v>
      </c>
      <c r="D162" s="5"/>
      <c r="E162" s="5" t="s">
        <v>138</v>
      </c>
      <c r="F162" s="5" t="s">
        <v>12907</v>
      </c>
      <c r="G162" s="5" t="s">
        <v>91</v>
      </c>
      <c r="H162" s="5" t="s">
        <v>137</v>
      </c>
      <c r="I162" s="5" t="s">
        <v>10232</v>
      </c>
      <c r="J162" s="5" t="s">
        <v>18053</v>
      </c>
    </row>
    <row r="163" spans="1:10" ht="25.5" x14ac:dyDescent="0.2">
      <c r="A163" s="5" t="s">
        <v>18277</v>
      </c>
      <c r="B163" s="5" t="s">
        <v>8584</v>
      </c>
      <c r="C163" s="5">
        <v>158</v>
      </c>
      <c r="D163" s="5"/>
      <c r="E163" s="5"/>
      <c r="F163" s="5" t="s">
        <v>12907</v>
      </c>
      <c r="G163" s="5" t="s">
        <v>276</v>
      </c>
      <c r="H163" s="5" t="s">
        <v>137</v>
      </c>
      <c r="I163" s="5" t="s">
        <v>10232</v>
      </c>
      <c r="J163" s="5" t="s">
        <v>18276</v>
      </c>
    </row>
    <row r="164" spans="1:10" ht="25.5" x14ac:dyDescent="0.2">
      <c r="A164" s="5" t="s">
        <v>18275</v>
      </c>
      <c r="B164" s="5" t="s">
        <v>8584</v>
      </c>
      <c r="C164" s="5">
        <v>159</v>
      </c>
      <c r="D164" s="5"/>
      <c r="E164" s="5" t="s">
        <v>150</v>
      </c>
      <c r="F164" s="5" t="s">
        <v>12907</v>
      </c>
      <c r="G164" s="5" t="s">
        <v>148</v>
      </c>
      <c r="H164" s="5" t="s">
        <v>137</v>
      </c>
      <c r="I164" s="5" t="s">
        <v>10232</v>
      </c>
      <c r="J164" s="5" t="s">
        <v>18273</v>
      </c>
    </row>
    <row r="165" spans="1:10" ht="25.5" x14ac:dyDescent="0.2">
      <c r="A165" s="5" t="s">
        <v>18274</v>
      </c>
      <c r="B165" s="5" t="s">
        <v>8584</v>
      </c>
      <c r="C165" s="5">
        <v>159</v>
      </c>
      <c r="D165" s="5"/>
      <c r="E165" s="5" t="s">
        <v>213</v>
      </c>
      <c r="F165" s="5" t="s">
        <v>12907</v>
      </c>
      <c r="G165" s="5" t="s">
        <v>91</v>
      </c>
      <c r="H165" s="5" t="s">
        <v>137</v>
      </c>
      <c r="I165" s="5" t="s">
        <v>10232</v>
      </c>
      <c r="J165" s="5" t="s">
        <v>18273</v>
      </c>
    </row>
    <row r="166" spans="1:10" ht="25.5" x14ac:dyDescent="0.2">
      <c r="A166" s="5" t="s">
        <v>18272</v>
      </c>
      <c r="B166" s="5" t="s">
        <v>8584</v>
      </c>
      <c r="C166" s="5">
        <v>160</v>
      </c>
      <c r="D166" s="5"/>
      <c r="E166" s="5"/>
      <c r="F166" s="5" t="s">
        <v>12907</v>
      </c>
      <c r="G166" s="5" t="s">
        <v>122</v>
      </c>
      <c r="H166" s="5" t="s">
        <v>137</v>
      </c>
      <c r="I166" s="5" t="s">
        <v>10232</v>
      </c>
      <c r="J166" s="5" t="s">
        <v>18271</v>
      </c>
    </row>
    <row r="167" spans="1:10" ht="25.5" x14ac:dyDescent="0.2">
      <c r="A167" s="5" t="s">
        <v>18270</v>
      </c>
      <c r="B167" s="5" t="s">
        <v>8584</v>
      </c>
      <c r="C167" s="5">
        <v>161</v>
      </c>
      <c r="D167" s="5"/>
      <c r="E167" s="5"/>
      <c r="F167" s="5" t="s">
        <v>12907</v>
      </c>
      <c r="G167" s="5" t="s">
        <v>276</v>
      </c>
      <c r="H167" s="5" t="s">
        <v>137</v>
      </c>
      <c r="I167" s="5" t="s">
        <v>10232</v>
      </c>
      <c r="J167" s="5" t="s">
        <v>18269</v>
      </c>
    </row>
    <row r="168" spans="1:10" ht="25.5" x14ac:dyDescent="0.2">
      <c r="A168" s="5" t="s">
        <v>17917</v>
      </c>
      <c r="B168" s="5" t="s">
        <v>8584</v>
      </c>
      <c r="C168" s="5">
        <v>162</v>
      </c>
      <c r="D168" s="5"/>
      <c r="E168" s="5"/>
      <c r="F168" s="5"/>
      <c r="G168" s="5" t="s">
        <v>114</v>
      </c>
      <c r="H168" s="5" t="s">
        <v>137</v>
      </c>
      <c r="I168" s="5" t="s">
        <v>17917</v>
      </c>
      <c r="J168" s="5" t="s">
        <v>18268</v>
      </c>
    </row>
    <row r="169" spans="1:10" ht="25.5" x14ac:dyDescent="0.2">
      <c r="A169" s="5" t="s">
        <v>18267</v>
      </c>
      <c r="B169" s="5" t="s">
        <v>8584</v>
      </c>
      <c r="C169" s="5">
        <v>163</v>
      </c>
      <c r="D169" s="5"/>
      <c r="E169" s="5" t="s">
        <v>368</v>
      </c>
      <c r="F169" s="5"/>
      <c r="G169" s="5" t="s">
        <v>91</v>
      </c>
      <c r="H169" s="5" t="s">
        <v>137</v>
      </c>
      <c r="I169" s="5" t="s">
        <v>17917</v>
      </c>
      <c r="J169" s="5" t="s">
        <v>18266</v>
      </c>
    </row>
    <row r="170" spans="1:10" ht="25.5" x14ac:dyDescent="0.2">
      <c r="A170" s="5" t="s">
        <v>18265</v>
      </c>
      <c r="B170" s="5" t="s">
        <v>8584</v>
      </c>
      <c r="C170" s="5">
        <v>164</v>
      </c>
      <c r="D170" s="5"/>
      <c r="E170" s="5"/>
      <c r="F170" s="5"/>
      <c r="G170" s="5" t="s">
        <v>170</v>
      </c>
      <c r="H170" s="5" t="s">
        <v>137</v>
      </c>
      <c r="I170" s="5" t="s">
        <v>17917</v>
      </c>
      <c r="J170" s="5" t="s">
        <v>18264</v>
      </c>
    </row>
    <row r="171" spans="1:10" ht="25.5" x14ac:dyDescent="0.2">
      <c r="A171" s="5" t="s">
        <v>17920</v>
      </c>
      <c r="B171" s="5" t="s">
        <v>8584</v>
      </c>
      <c r="C171" s="5">
        <v>165</v>
      </c>
      <c r="D171" s="5"/>
      <c r="E171" s="5"/>
      <c r="F171" s="5"/>
      <c r="G171" s="5" t="s">
        <v>148</v>
      </c>
      <c r="H171" s="5" t="s">
        <v>137</v>
      </c>
      <c r="I171" s="5" t="s">
        <v>17920</v>
      </c>
      <c r="J171" s="5" t="s">
        <v>18263</v>
      </c>
    </row>
    <row r="172" spans="1:10" ht="38.25" x14ac:dyDescent="0.2">
      <c r="A172" s="5" t="s">
        <v>18262</v>
      </c>
      <c r="B172" s="5" t="s">
        <v>8584</v>
      </c>
      <c r="C172" s="5">
        <v>166</v>
      </c>
      <c r="D172" s="5"/>
      <c r="E172" s="5"/>
      <c r="F172" s="5"/>
      <c r="G172" s="5" t="s">
        <v>170</v>
      </c>
      <c r="H172" s="5" t="s">
        <v>137</v>
      </c>
      <c r="I172" s="5" t="s">
        <v>361</v>
      </c>
      <c r="J172" s="5" t="s">
        <v>18261</v>
      </c>
    </row>
    <row r="173" spans="1:10" x14ac:dyDescent="0.2">
      <c r="A173" s="5" t="s">
        <v>18260</v>
      </c>
      <c r="B173" s="5" t="s">
        <v>8584</v>
      </c>
      <c r="C173" s="5">
        <v>167</v>
      </c>
      <c r="D173" s="5"/>
      <c r="E173" s="5" t="s">
        <v>138</v>
      </c>
      <c r="F173" s="5"/>
      <c r="G173" s="5" t="s">
        <v>91</v>
      </c>
      <c r="H173" s="5" t="s">
        <v>3</v>
      </c>
      <c r="I173" s="5"/>
      <c r="J173" s="5" t="s">
        <v>18259</v>
      </c>
    </row>
    <row r="174" spans="1:10" x14ac:dyDescent="0.2">
      <c r="A174" s="5" t="s">
        <v>18258</v>
      </c>
      <c r="B174" s="5" t="s">
        <v>8584</v>
      </c>
      <c r="C174" s="5">
        <v>168</v>
      </c>
      <c r="D174" s="5"/>
      <c r="E174" s="5"/>
      <c r="F174" s="5"/>
      <c r="G174" s="5" t="s">
        <v>80</v>
      </c>
      <c r="H174" s="5" t="s">
        <v>3</v>
      </c>
      <c r="I174" s="5"/>
      <c r="J174" s="5" t="s">
        <v>18257</v>
      </c>
    </row>
    <row r="175" spans="1:10" x14ac:dyDescent="0.2">
      <c r="A175" s="5" t="s">
        <v>18256</v>
      </c>
      <c r="B175" s="5" t="s">
        <v>8584</v>
      </c>
      <c r="C175" s="5">
        <v>169</v>
      </c>
      <c r="D175" s="5"/>
      <c r="E175" s="5" t="s">
        <v>18255</v>
      </c>
      <c r="F175" s="5" t="s">
        <v>18253</v>
      </c>
      <c r="G175" s="5" t="s">
        <v>148</v>
      </c>
      <c r="H175" s="5" t="s">
        <v>137</v>
      </c>
      <c r="I175" s="5" t="s">
        <v>361</v>
      </c>
      <c r="J175" s="5" t="s">
        <v>18252</v>
      </c>
    </row>
    <row r="176" spans="1:10" ht="25.5" x14ac:dyDescent="0.2">
      <c r="A176" s="5" t="s">
        <v>18254</v>
      </c>
      <c r="B176" s="5" t="s">
        <v>8584</v>
      </c>
      <c r="C176" s="5">
        <v>169</v>
      </c>
      <c r="D176" s="5"/>
      <c r="E176" s="5" t="s">
        <v>213</v>
      </c>
      <c r="F176" s="5" t="s">
        <v>18253</v>
      </c>
      <c r="G176" s="5" t="s">
        <v>91</v>
      </c>
      <c r="H176" s="5" t="s">
        <v>137</v>
      </c>
      <c r="I176" s="5" t="s">
        <v>361</v>
      </c>
      <c r="J176" s="5" t="s">
        <v>18252</v>
      </c>
    </row>
    <row r="177" spans="1:10" ht="25.5" x14ac:dyDescent="0.2">
      <c r="A177" s="5" t="s">
        <v>18251</v>
      </c>
      <c r="B177" s="5" t="s">
        <v>8584</v>
      </c>
      <c r="C177" s="5">
        <v>170</v>
      </c>
      <c r="D177" s="5"/>
      <c r="E177" s="5"/>
      <c r="F177" s="5" t="s">
        <v>18250</v>
      </c>
      <c r="G177" s="5" t="s">
        <v>118</v>
      </c>
      <c r="H177" s="5" t="s">
        <v>137</v>
      </c>
      <c r="I177" s="5" t="s">
        <v>11411</v>
      </c>
      <c r="J177" s="5" t="s">
        <v>18249</v>
      </c>
    </row>
    <row r="178" spans="1:10" x14ac:dyDescent="0.2">
      <c r="A178" s="5" t="s">
        <v>14825</v>
      </c>
      <c r="B178" s="5" t="s">
        <v>8584</v>
      </c>
      <c r="C178" s="5">
        <v>171</v>
      </c>
      <c r="D178" s="5"/>
      <c r="E178" s="5"/>
      <c r="F178" s="5" t="s">
        <v>123</v>
      </c>
      <c r="G178" s="5" t="s">
        <v>382</v>
      </c>
      <c r="H178" s="5" t="s">
        <v>3</v>
      </c>
      <c r="I178" s="5"/>
      <c r="J178" s="5" t="s">
        <v>18248</v>
      </c>
    </row>
    <row r="179" spans="1:10" ht="25.5" x14ac:dyDescent="0.2">
      <c r="A179" s="5" t="s">
        <v>18247</v>
      </c>
      <c r="B179" s="5" t="s">
        <v>8584</v>
      </c>
      <c r="C179" s="5">
        <v>172</v>
      </c>
      <c r="D179" s="5"/>
      <c r="E179" s="5"/>
      <c r="F179" s="5" t="s">
        <v>16129</v>
      </c>
      <c r="G179" s="5" t="s">
        <v>105</v>
      </c>
      <c r="H179" s="5" t="s">
        <v>137</v>
      </c>
      <c r="I179" s="5" t="s">
        <v>10232</v>
      </c>
      <c r="J179" s="5" t="s">
        <v>18246</v>
      </c>
    </row>
    <row r="180" spans="1:10" x14ac:dyDescent="0.2">
      <c r="A180" s="5" t="s">
        <v>18245</v>
      </c>
      <c r="B180" s="5" t="s">
        <v>8584</v>
      </c>
      <c r="C180" s="5">
        <v>173</v>
      </c>
      <c r="D180" s="5"/>
      <c r="E180" s="5"/>
      <c r="F180" s="5" t="s">
        <v>18244</v>
      </c>
      <c r="G180" s="5" t="s">
        <v>80</v>
      </c>
      <c r="H180" s="5" t="s">
        <v>3</v>
      </c>
      <c r="I180" s="5"/>
      <c r="J180" s="5" t="s">
        <v>18243</v>
      </c>
    </row>
    <row r="181" spans="1:10" ht="25.5" x14ac:dyDescent="0.2">
      <c r="A181" s="5" t="s">
        <v>16672</v>
      </c>
      <c r="B181" s="5" t="s">
        <v>8584</v>
      </c>
      <c r="C181" s="5">
        <v>174</v>
      </c>
      <c r="D181" s="5"/>
      <c r="E181" s="5" t="s">
        <v>150</v>
      </c>
      <c r="F181" s="5" t="s">
        <v>8739</v>
      </c>
      <c r="G181" s="5" t="s">
        <v>148</v>
      </c>
      <c r="H181" s="5" t="s">
        <v>3</v>
      </c>
      <c r="I181" s="5"/>
      <c r="J181" s="5" t="s">
        <v>16671</v>
      </c>
    </row>
    <row r="182" spans="1:10" ht="25.5" x14ac:dyDescent="0.2">
      <c r="A182" s="5" t="s">
        <v>18242</v>
      </c>
      <c r="B182" s="5" t="s">
        <v>8584</v>
      </c>
      <c r="C182" s="5">
        <v>174</v>
      </c>
      <c r="D182" s="5"/>
      <c r="E182" s="5" t="s">
        <v>213</v>
      </c>
      <c r="F182" s="5" t="s">
        <v>8739</v>
      </c>
      <c r="G182" s="5" t="s">
        <v>91</v>
      </c>
      <c r="H182" s="5" t="s">
        <v>3</v>
      </c>
      <c r="I182" s="5"/>
      <c r="J182" s="5" t="s">
        <v>16671</v>
      </c>
    </row>
    <row r="183" spans="1:10" ht="25.5" x14ac:dyDescent="0.2">
      <c r="A183" s="5" t="s">
        <v>16670</v>
      </c>
      <c r="B183" s="5" t="s">
        <v>8584</v>
      </c>
      <c r="C183" s="5">
        <v>175</v>
      </c>
      <c r="D183" s="5"/>
      <c r="E183" s="5" t="s">
        <v>665</v>
      </c>
      <c r="F183" s="5" t="s">
        <v>8739</v>
      </c>
      <c r="G183" s="5" t="s">
        <v>148</v>
      </c>
      <c r="H183" s="5" t="s">
        <v>3</v>
      </c>
      <c r="I183" s="5"/>
      <c r="J183" s="5" t="s">
        <v>16669</v>
      </c>
    </row>
    <row r="184" spans="1:10" x14ac:dyDescent="0.2">
      <c r="A184" s="5" t="s">
        <v>16668</v>
      </c>
      <c r="B184" s="5" t="s">
        <v>8584</v>
      </c>
      <c r="C184" s="5">
        <v>176</v>
      </c>
      <c r="D184" s="5"/>
      <c r="E184" s="5"/>
      <c r="F184" s="5" t="s">
        <v>110</v>
      </c>
      <c r="G184" s="5" t="s">
        <v>105</v>
      </c>
      <c r="H184" s="5" t="s">
        <v>3</v>
      </c>
      <c r="I184" s="5"/>
      <c r="J184" s="5" t="s">
        <v>16667</v>
      </c>
    </row>
    <row r="185" spans="1:10" ht="38.25" x14ac:dyDescent="0.2">
      <c r="A185" s="5" t="s">
        <v>16666</v>
      </c>
      <c r="B185" s="5" t="s">
        <v>8584</v>
      </c>
      <c r="C185" s="5">
        <v>177</v>
      </c>
      <c r="D185" s="5"/>
      <c r="E185" s="5"/>
      <c r="F185" s="5"/>
      <c r="G185" s="5" t="s">
        <v>16665</v>
      </c>
      <c r="H185" s="5" t="s">
        <v>137</v>
      </c>
      <c r="I185" s="5" t="s">
        <v>16664</v>
      </c>
      <c r="J185" s="5" t="s">
        <v>16663</v>
      </c>
    </row>
    <row r="186" spans="1:10" x14ac:dyDescent="0.2">
      <c r="A186" s="5" t="s">
        <v>16620</v>
      </c>
      <c r="B186" s="5" t="s">
        <v>8584</v>
      </c>
      <c r="C186" s="5">
        <v>178</v>
      </c>
      <c r="D186" s="5"/>
      <c r="E186" s="5"/>
      <c r="F186" s="5"/>
      <c r="G186" s="5" t="s">
        <v>114</v>
      </c>
      <c r="H186" s="5" t="s">
        <v>3</v>
      </c>
      <c r="I186" s="5"/>
      <c r="J186" s="5" t="s">
        <v>16619</v>
      </c>
    </row>
    <row r="187" spans="1:10" ht="25.5" x14ac:dyDescent="0.2">
      <c r="A187" s="5" t="s">
        <v>16618</v>
      </c>
      <c r="B187" s="5" t="s">
        <v>8584</v>
      </c>
      <c r="C187" s="5">
        <v>179</v>
      </c>
      <c r="D187" s="5"/>
      <c r="E187" s="5"/>
      <c r="F187" s="5"/>
      <c r="G187" s="5" t="s">
        <v>328</v>
      </c>
      <c r="H187" s="5" t="s">
        <v>3</v>
      </c>
      <c r="I187" s="5"/>
      <c r="J187" s="5" t="s">
        <v>16617</v>
      </c>
    </row>
    <row r="188" spans="1:10" x14ac:dyDescent="0.2">
      <c r="A188" s="5" t="s">
        <v>14283</v>
      </c>
      <c r="B188" s="5" t="s">
        <v>8584</v>
      </c>
      <c r="C188" s="5">
        <v>180</v>
      </c>
      <c r="D188" s="5"/>
      <c r="E188" s="5" t="s">
        <v>150</v>
      </c>
      <c r="F188" s="5" t="s">
        <v>16662</v>
      </c>
      <c r="G188" s="5" t="s">
        <v>148</v>
      </c>
      <c r="H188" s="5" t="s">
        <v>3</v>
      </c>
      <c r="I188" s="5"/>
      <c r="J188" s="5" t="s">
        <v>18241</v>
      </c>
    </row>
    <row r="189" spans="1:10" x14ac:dyDescent="0.2">
      <c r="A189" s="5" t="s">
        <v>14282</v>
      </c>
      <c r="B189" s="5" t="s">
        <v>8584</v>
      </c>
      <c r="C189" s="5">
        <v>180</v>
      </c>
      <c r="D189" s="5"/>
      <c r="E189" s="5" t="s">
        <v>213</v>
      </c>
      <c r="F189" s="5" t="s">
        <v>16662</v>
      </c>
      <c r="G189" s="5" t="s">
        <v>91</v>
      </c>
      <c r="H189" s="5" t="s">
        <v>3</v>
      </c>
      <c r="I189" s="5"/>
      <c r="J189" s="5" t="s">
        <v>18241</v>
      </c>
    </row>
    <row r="190" spans="1:10" ht="38.25" x14ac:dyDescent="0.2">
      <c r="A190" s="5" t="s">
        <v>16660</v>
      </c>
      <c r="B190" s="5" t="s">
        <v>8584</v>
      </c>
      <c r="C190" s="5">
        <v>181</v>
      </c>
      <c r="D190" s="5"/>
      <c r="E190" s="5"/>
      <c r="F190" s="5"/>
      <c r="G190" s="5" t="s">
        <v>86</v>
      </c>
      <c r="H190" s="5" t="s">
        <v>3</v>
      </c>
      <c r="I190" s="5"/>
      <c r="J190" s="5" t="s">
        <v>16659</v>
      </c>
    </row>
    <row r="191" spans="1:10" ht="25.5" x14ac:dyDescent="0.2">
      <c r="A191" s="5" t="s">
        <v>16597</v>
      </c>
      <c r="B191" s="5" t="s">
        <v>8584</v>
      </c>
      <c r="C191" s="5">
        <v>182</v>
      </c>
      <c r="D191" s="5"/>
      <c r="E191" s="5"/>
      <c r="F191" s="5" t="s">
        <v>12907</v>
      </c>
      <c r="G191" s="5" t="s">
        <v>229</v>
      </c>
      <c r="H191" s="5" t="s">
        <v>137</v>
      </c>
      <c r="I191" s="5" t="s">
        <v>10232</v>
      </c>
      <c r="J191" s="5" t="s">
        <v>16596</v>
      </c>
    </row>
    <row r="192" spans="1:10" ht="25.5" x14ac:dyDescent="0.2">
      <c r="A192" s="5" t="s">
        <v>18240</v>
      </c>
      <c r="B192" s="5" t="s">
        <v>8584</v>
      </c>
      <c r="C192" s="5">
        <v>183</v>
      </c>
      <c r="D192" s="5"/>
      <c r="E192" s="5"/>
      <c r="F192" s="5" t="s">
        <v>17891</v>
      </c>
      <c r="G192" s="5" t="s">
        <v>80</v>
      </c>
      <c r="H192" s="5" t="s">
        <v>3</v>
      </c>
      <c r="I192" s="5"/>
      <c r="J192" s="5" t="s">
        <v>18239</v>
      </c>
    </row>
    <row r="193" spans="1:10" x14ac:dyDescent="0.2">
      <c r="A193" s="5" t="s">
        <v>16658</v>
      </c>
      <c r="B193" s="5" t="s">
        <v>8584</v>
      </c>
      <c r="C193" s="5">
        <v>184</v>
      </c>
      <c r="D193" s="5"/>
      <c r="E193" s="5"/>
      <c r="F193" s="5" t="s">
        <v>16657</v>
      </c>
      <c r="G193" s="5" t="s">
        <v>105</v>
      </c>
      <c r="H193" s="5" t="s">
        <v>3</v>
      </c>
      <c r="I193" s="5"/>
      <c r="J193" s="5" t="s">
        <v>16656</v>
      </c>
    </row>
    <row r="194" spans="1:10" ht="25.5" x14ac:dyDescent="0.2">
      <c r="A194" s="5" t="s">
        <v>16655</v>
      </c>
      <c r="B194" s="5" t="s">
        <v>8584</v>
      </c>
      <c r="C194" s="5">
        <v>185</v>
      </c>
      <c r="D194" s="5"/>
      <c r="E194" s="5" t="s">
        <v>150</v>
      </c>
      <c r="F194" s="5" t="s">
        <v>16654</v>
      </c>
      <c r="G194" s="5" t="s">
        <v>148</v>
      </c>
      <c r="H194" s="5" t="s">
        <v>137</v>
      </c>
      <c r="I194" s="5" t="s">
        <v>16650</v>
      </c>
      <c r="J194" s="5" t="s">
        <v>16653</v>
      </c>
    </row>
    <row r="195" spans="1:10" ht="25.5" x14ac:dyDescent="0.2">
      <c r="A195" s="5" t="s">
        <v>18238</v>
      </c>
      <c r="B195" s="5" t="s">
        <v>8584</v>
      </c>
      <c r="C195" s="5">
        <v>185</v>
      </c>
      <c r="D195" s="5"/>
      <c r="E195" s="5" t="s">
        <v>213</v>
      </c>
      <c r="F195" s="5" t="s">
        <v>16654</v>
      </c>
      <c r="G195" s="5" t="s">
        <v>91</v>
      </c>
      <c r="H195" s="5" t="s">
        <v>137</v>
      </c>
      <c r="I195" s="5" t="s">
        <v>16650</v>
      </c>
      <c r="J195" s="5" t="s">
        <v>16653</v>
      </c>
    </row>
    <row r="196" spans="1:10" ht="25.5" x14ac:dyDescent="0.2">
      <c r="A196" s="5" t="s">
        <v>16652</v>
      </c>
      <c r="B196" s="5" t="s">
        <v>8584</v>
      </c>
      <c r="C196" s="5">
        <v>186</v>
      </c>
      <c r="D196" s="5"/>
      <c r="E196" s="5" t="s">
        <v>665</v>
      </c>
      <c r="F196" s="5" t="s">
        <v>16651</v>
      </c>
      <c r="G196" s="5" t="s">
        <v>148</v>
      </c>
      <c r="H196" s="5" t="s">
        <v>137</v>
      </c>
      <c r="I196" s="5" t="s">
        <v>16650</v>
      </c>
      <c r="J196" s="5" t="s">
        <v>16649</v>
      </c>
    </row>
    <row r="197" spans="1:10" ht="25.5" x14ac:dyDescent="0.2">
      <c r="A197" s="5" t="s">
        <v>18237</v>
      </c>
      <c r="B197" s="5" t="s">
        <v>8584</v>
      </c>
      <c r="C197" s="5">
        <v>187</v>
      </c>
      <c r="D197" s="5"/>
      <c r="E197" s="5"/>
      <c r="F197" s="5" t="s">
        <v>16750</v>
      </c>
      <c r="G197" s="5" t="s">
        <v>105</v>
      </c>
      <c r="H197" s="5" t="s">
        <v>137</v>
      </c>
      <c r="I197" s="5" t="s">
        <v>15305</v>
      </c>
      <c r="J197" s="5" t="s">
        <v>18236</v>
      </c>
    </row>
    <row r="198" spans="1:10" ht="25.5" x14ac:dyDescent="0.2">
      <c r="A198" s="5" t="s">
        <v>16643</v>
      </c>
      <c r="B198" s="5" t="s">
        <v>8584</v>
      </c>
      <c r="C198" s="5">
        <v>188</v>
      </c>
      <c r="D198" s="5"/>
      <c r="E198" s="5"/>
      <c r="F198" s="5" t="s">
        <v>16129</v>
      </c>
      <c r="G198" s="5" t="s">
        <v>118</v>
      </c>
      <c r="H198" s="5" t="s">
        <v>137</v>
      </c>
      <c r="I198" s="5" t="s">
        <v>10232</v>
      </c>
      <c r="J198" s="5" t="s">
        <v>16642</v>
      </c>
    </row>
    <row r="199" spans="1:10" ht="25.5" x14ac:dyDescent="0.2">
      <c r="A199" s="5" t="s">
        <v>16641</v>
      </c>
      <c r="B199" s="5" t="s">
        <v>8584</v>
      </c>
      <c r="C199" s="5">
        <v>189</v>
      </c>
      <c r="D199" s="5"/>
      <c r="E199" s="5"/>
      <c r="F199" s="5" t="s">
        <v>8685</v>
      </c>
      <c r="G199" s="5" t="s">
        <v>173</v>
      </c>
      <c r="H199" s="5" t="s">
        <v>137</v>
      </c>
      <c r="I199" s="5" t="s">
        <v>10232</v>
      </c>
      <c r="J199" s="5" t="s">
        <v>16640</v>
      </c>
    </row>
    <row r="200" spans="1:10" ht="25.5" x14ac:dyDescent="0.2">
      <c r="A200" s="5" t="s">
        <v>16639</v>
      </c>
      <c r="B200" s="5" t="s">
        <v>8584</v>
      </c>
      <c r="C200" s="5">
        <v>190</v>
      </c>
      <c r="D200" s="5"/>
      <c r="E200" s="5"/>
      <c r="F200" s="5" t="s">
        <v>7569</v>
      </c>
      <c r="G200" s="5" t="s">
        <v>181</v>
      </c>
      <c r="H200" s="5" t="s">
        <v>137</v>
      </c>
      <c r="I200" s="5" t="s">
        <v>10232</v>
      </c>
      <c r="J200" s="5" t="s">
        <v>16638</v>
      </c>
    </row>
    <row r="201" spans="1:10" ht="25.5" x14ac:dyDescent="0.2">
      <c r="A201" s="5" t="s">
        <v>16624</v>
      </c>
      <c r="B201" s="5" t="s">
        <v>8584</v>
      </c>
      <c r="C201" s="5">
        <v>191</v>
      </c>
      <c r="D201" s="5"/>
      <c r="E201" s="5" t="s">
        <v>368</v>
      </c>
      <c r="F201" s="5" t="s">
        <v>9551</v>
      </c>
      <c r="G201" s="5" t="s">
        <v>91</v>
      </c>
      <c r="H201" s="5" t="s">
        <v>137</v>
      </c>
      <c r="I201" s="5" t="s">
        <v>10232</v>
      </c>
      <c r="J201" s="5" t="s">
        <v>16623</v>
      </c>
    </row>
    <row r="202" spans="1:10" ht="25.5" x14ac:dyDescent="0.2">
      <c r="A202" s="5" t="s">
        <v>18235</v>
      </c>
      <c r="B202" s="5" t="s">
        <v>8584</v>
      </c>
      <c r="C202" s="5">
        <v>192</v>
      </c>
      <c r="D202" s="5"/>
      <c r="E202" s="5"/>
      <c r="F202" s="5" t="s">
        <v>7353</v>
      </c>
      <c r="G202" s="5" t="s">
        <v>276</v>
      </c>
      <c r="H202" s="5" t="s">
        <v>137</v>
      </c>
      <c r="I202" s="5" t="s">
        <v>15305</v>
      </c>
      <c r="J202" s="5" t="s">
        <v>18234</v>
      </c>
    </row>
    <row r="203" spans="1:10" ht="25.5" x14ac:dyDescent="0.2">
      <c r="A203" s="5" t="s">
        <v>18233</v>
      </c>
      <c r="B203" s="5" t="s">
        <v>8584</v>
      </c>
      <c r="C203" s="5">
        <v>193</v>
      </c>
      <c r="D203" s="5"/>
      <c r="E203" s="5"/>
      <c r="F203" s="5" t="s">
        <v>7353</v>
      </c>
      <c r="G203" s="5" t="s">
        <v>118</v>
      </c>
      <c r="H203" s="5" t="s">
        <v>137</v>
      </c>
      <c r="I203" s="5" t="s">
        <v>15305</v>
      </c>
      <c r="J203" s="5" t="s">
        <v>18232</v>
      </c>
    </row>
    <row r="204" spans="1:10" ht="25.5" x14ac:dyDescent="0.2">
      <c r="A204" s="5" t="s">
        <v>18231</v>
      </c>
      <c r="B204" s="5" t="s">
        <v>8584</v>
      </c>
      <c r="C204" s="5">
        <v>194</v>
      </c>
      <c r="D204" s="5"/>
      <c r="E204" s="5" t="s">
        <v>1783</v>
      </c>
      <c r="F204" s="5" t="s">
        <v>7353</v>
      </c>
      <c r="G204" s="5" t="s">
        <v>207</v>
      </c>
      <c r="H204" s="5" t="s">
        <v>137</v>
      </c>
      <c r="I204" s="5" t="s">
        <v>15305</v>
      </c>
      <c r="J204" s="5" t="s">
        <v>18230</v>
      </c>
    </row>
    <row r="205" spans="1:10" ht="25.5" x14ac:dyDescent="0.2">
      <c r="A205" s="5" t="s">
        <v>18229</v>
      </c>
      <c r="B205" s="5" t="s">
        <v>8584</v>
      </c>
      <c r="C205" s="5">
        <v>195</v>
      </c>
      <c r="D205" s="5"/>
      <c r="E205" s="5" t="s">
        <v>138</v>
      </c>
      <c r="F205" s="5" t="s">
        <v>7353</v>
      </c>
      <c r="G205" s="5" t="s">
        <v>382</v>
      </c>
      <c r="H205" s="5" t="s">
        <v>137</v>
      </c>
      <c r="I205" s="5" t="s">
        <v>15305</v>
      </c>
      <c r="J205" s="5" t="s">
        <v>18228</v>
      </c>
    </row>
    <row r="206" spans="1:10" ht="25.5" x14ac:dyDescent="0.2">
      <c r="A206" s="5" t="s">
        <v>18227</v>
      </c>
      <c r="B206" s="5" t="s">
        <v>8584</v>
      </c>
      <c r="C206" s="5">
        <v>196</v>
      </c>
      <c r="D206" s="5"/>
      <c r="E206" s="5" t="s">
        <v>138</v>
      </c>
      <c r="F206" s="5" t="s">
        <v>7353</v>
      </c>
      <c r="G206" s="5" t="s">
        <v>91</v>
      </c>
      <c r="H206" s="5" t="s">
        <v>137</v>
      </c>
      <c r="I206" s="5" t="s">
        <v>15305</v>
      </c>
      <c r="J206" s="5" t="s">
        <v>18226</v>
      </c>
    </row>
    <row r="207" spans="1:10" ht="25.5" x14ac:dyDescent="0.2">
      <c r="A207" s="5" t="s">
        <v>18225</v>
      </c>
      <c r="B207" s="5" t="s">
        <v>8584</v>
      </c>
      <c r="C207" s="5">
        <v>197</v>
      </c>
      <c r="D207" s="5"/>
      <c r="E207" s="5" t="s">
        <v>138</v>
      </c>
      <c r="F207" s="5" t="s">
        <v>7353</v>
      </c>
      <c r="G207" s="5" t="s">
        <v>382</v>
      </c>
      <c r="H207" s="5" t="s">
        <v>137</v>
      </c>
      <c r="I207" s="5" t="s">
        <v>15305</v>
      </c>
      <c r="J207" s="5" t="s">
        <v>18224</v>
      </c>
    </row>
    <row r="208" spans="1:10" ht="25.5" x14ac:dyDescent="0.2">
      <c r="A208" s="5" t="s">
        <v>18223</v>
      </c>
      <c r="B208" s="5" t="s">
        <v>8584</v>
      </c>
      <c r="C208" s="5">
        <v>198</v>
      </c>
      <c r="D208" s="5"/>
      <c r="E208" s="5" t="s">
        <v>138</v>
      </c>
      <c r="F208" s="5" t="s">
        <v>7353</v>
      </c>
      <c r="G208" s="5" t="s">
        <v>91</v>
      </c>
      <c r="H208" s="5" t="s">
        <v>137</v>
      </c>
      <c r="I208" s="5" t="s">
        <v>15305</v>
      </c>
      <c r="J208" s="5" t="s">
        <v>18222</v>
      </c>
    </row>
    <row r="209" spans="1:10" ht="25.5" x14ac:dyDescent="0.2">
      <c r="A209" s="5" t="s">
        <v>18221</v>
      </c>
      <c r="B209" s="5" t="s">
        <v>8584</v>
      </c>
      <c r="C209" s="5">
        <v>199</v>
      </c>
      <c r="D209" s="5"/>
      <c r="E209" s="5"/>
      <c r="F209" s="5" t="s">
        <v>7353</v>
      </c>
      <c r="G209" s="5" t="s">
        <v>276</v>
      </c>
      <c r="H209" s="5" t="s">
        <v>137</v>
      </c>
      <c r="I209" s="5" t="s">
        <v>15305</v>
      </c>
      <c r="J209" s="5" t="s">
        <v>18220</v>
      </c>
    </row>
    <row r="210" spans="1:10" ht="25.5" x14ac:dyDescent="0.2">
      <c r="A210" s="5" t="s">
        <v>18219</v>
      </c>
      <c r="B210" s="5" t="s">
        <v>8584</v>
      </c>
      <c r="C210" s="5">
        <v>200</v>
      </c>
      <c r="D210" s="5"/>
      <c r="E210" s="5" t="s">
        <v>150</v>
      </c>
      <c r="F210" s="5" t="s">
        <v>7353</v>
      </c>
      <c r="G210" s="5" t="s">
        <v>148</v>
      </c>
      <c r="H210" s="5" t="s">
        <v>137</v>
      </c>
      <c r="I210" s="5" t="s">
        <v>15305</v>
      </c>
      <c r="J210" s="5" t="s">
        <v>18217</v>
      </c>
    </row>
    <row r="211" spans="1:10" ht="25.5" x14ac:dyDescent="0.2">
      <c r="A211" s="5" t="s">
        <v>18218</v>
      </c>
      <c r="B211" s="5" t="s">
        <v>8584</v>
      </c>
      <c r="C211" s="5">
        <v>200</v>
      </c>
      <c r="D211" s="5"/>
      <c r="E211" s="5" t="s">
        <v>213</v>
      </c>
      <c r="F211" s="5" t="s">
        <v>7353</v>
      </c>
      <c r="G211" s="5" t="s">
        <v>91</v>
      </c>
      <c r="H211" s="5" t="s">
        <v>137</v>
      </c>
      <c r="I211" s="5" t="s">
        <v>15305</v>
      </c>
      <c r="J211" s="5" t="s">
        <v>18217</v>
      </c>
    </row>
    <row r="212" spans="1:10" ht="25.5" x14ac:dyDescent="0.2">
      <c r="A212" s="5" t="s">
        <v>18216</v>
      </c>
      <c r="B212" s="5" t="s">
        <v>8584</v>
      </c>
      <c r="C212" s="5">
        <v>201</v>
      </c>
      <c r="D212" s="5"/>
      <c r="E212" s="5"/>
      <c r="F212" s="5" t="s">
        <v>7353</v>
      </c>
      <c r="G212" s="5" t="s">
        <v>122</v>
      </c>
      <c r="H212" s="5" t="s">
        <v>137</v>
      </c>
      <c r="I212" s="5" t="s">
        <v>15305</v>
      </c>
      <c r="J212" s="5" t="s">
        <v>18215</v>
      </c>
    </row>
    <row r="213" spans="1:10" ht="25.5" x14ac:dyDescent="0.2">
      <c r="A213" s="5" t="s">
        <v>18214</v>
      </c>
      <c r="B213" s="5" t="s">
        <v>8584</v>
      </c>
      <c r="C213" s="5">
        <v>202</v>
      </c>
      <c r="D213" s="5"/>
      <c r="E213" s="5"/>
      <c r="F213" s="5" t="s">
        <v>7353</v>
      </c>
      <c r="G213" s="5" t="s">
        <v>276</v>
      </c>
      <c r="H213" s="5" t="s">
        <v>137</v>
      </c>
      <c r="I213" s="5" t="s">
        <v>15305</v>
      </c>
      <c r="J213" s="5" t="s">
        <v>18213</v>
      </c>
    </row>
    <row r="214" spans="1:10" ht="25.5" x14ac:dyDescent="0.2">
      <c r="A214" s="5" t="s">
        <v>18212</v>
      </c>
      <c r="B214" s="5" t="s">
        <v>8584</v>
      </c>
      <c r="C214" s="5">
        <v>203</v>
      </c>
      <c r="D214" s="5"/>
      <c r="E214" s="5"/>
      <c r="F214" s="5" t="s">
        <v>17844</v>
      </c>
      <c r="G214" s="5" t="s">
        <v>105</v>
      </c>
      <c r="H214" s="5" t="s">
        <v>137</v>
      </c>
      <c r="I214" s="5" t="s">
        <v>15305</v>
      </c>
      <c r="J214" s="5" t="s">
        <v>18211</v>
      </c>
    </row>
    <row r="215" spans="1:10" ht="25.5" x14ac:dyDescent="0.2">
      <c r="A215" s="5" t="s">
        <v>16611</v>
      </c>
      <c r="B215" s="5" t="s">
        <v>8584</v>
      </c>
      <c r="C215" s="5">
        <v>204</v>
      </c>
      <c r="D215" s="5"/>
      <c r="E215" s="5"/>
      <c r="F215" s="5"/>
      <c r="G215" s="5" t="s">
        <v>114</v>
      </c>
      <c r="H215" s="5" t="s">
        <v>137</v>
      </c>
      <c r="I215" s="5" t="s">
        <v>16251</v>
      </c>
      <c r="J215" s="5" t="s">
        <v>16610</v>
      </c>
    </row>
    <row r="216" spans="1:10" x14ac:dyDescent="0.2">
      <c r="A216" s="5" t="s">
        <v>16609</v>
      </c>
      <c r="B216" s="5" t="s">
        <v>8584</v>
      </c>
      <c r="C216" s="5">
        <v>205</v>
      </c>
      <c r="D216" s="5"/>
      <c r="E216" s="5"/>
      <c r="F216" s="5"/>
      <c r="G216" s="5" t="s">
        <v>283</v>
      </c>
      <c r="H216" s="5" t="s">
        <v>3</v>
      </c>
      <c r="I216" s="5"/>
      <c r="J216" s="5" t="s">
        <v>16608</v>
      </c>
    </row>
    <row r="217" spans="1:10" x14ac:dyDescent="0.2">
      <c r="A217" s="5" t="s">
        <v>16607</v>
      </c>
      <c r="B217" s="5" t="s">
        <v>8584</v>
      </c>
      <c r="C217" s="5">
        <v>206</v>
      </c>
      <c r="D217" s="5"/>
      <c r="E217" s="5" t="s">
        <v>288</v>
      </c>
      <c r="F217" s="5"/>
      <c r="G217" s="5" t="s">
        <v>91</v>
      </c>
      <c r="H217" s="5" t="s">
        <v>3</v>
      </c>
      <c r="I217" s="5"/>
      <c r="J217" s="5" t="s">
        <v>16606</v>
      </c>
    </row>
    <row r="218" spans="1:10" x14ac:dyDescent="0.2">
      <c r="A218" s="5" t="s">
        <v>18210</v>
      </c>
      <c r="B218" s="5" t="s">
        <v>8584</v>
      </c>
      <c r="C218" s="5">
        <v>206</v>
      </c>
      <c r="D218" s="5"/>
      <c r="E218" s="5" t="s">
        <v>213</v>
      </c>
      <c r="F218" s="5"/>
      <c r="G218" s="5" t="s">
        <v>91</v>
      </c>
      <c r="H218" s="5" t="s">
        <v>3</v>
      </c>
      <c r="I218" s="5"/>
      <c r="J218" s="5" t="s">
        <v>16606</v>
      </c>
    </row>
    <row r="219" spans="1:10" x14ac:dyDescent="0.2">
      <c r="A219" s="5" t="s">
        <v>16605</v>
      </c>
      <c r="B219" s="5" t="s">
        <v>8584</v>
      </c>
      <c r="C219" s="5">
        <v>207</v>
      </c>
      <c r="D219" s="5"/>
      <c r="E219" s="5" t="s">
        <v>665</v>
      </c>
      <c r="F219" s="5"/>
      <c r="G219" s="5" t="s">
        <v>148</v>
      </c>
      <c r="H219" s="5" t="s">
        <v>3</v>
      </c>
      <c r="I219" s="5"/>
      <c r="J219" s="5" t="s">
        <v>16604</v>
      </c>
    </row>
    <row r="220" spans="1:10" x14ac:dyDescent="0.2">
      <c r="A220" s="5" t="s">
        <v>16603</v>
      </c>
      <c r="B220" s="5" t="s">
        <v>8584</v>
      </c>
      <c r="C220" s="5">
        <v>208</v>
      </c>
      <c r="D220" s="5"/>
      <c r="E220" s="5" t="s">
        <v>288</v>
      </c>
      <c r="F220" s="5"/>
      <c r="G220" s="5" t="s">
        <v>91</v>
      </c>
      <c r="H220" s="5" t="s">
        <v>3</v>
      </c>
      <c r="I220" s="5"/>
      <c r="J220" s="5" t="s">
        <v>16602</v>
      </c>
    </row>
    <row r="221" spans="1:10" x14ac:dyDescent="0.2">
      <c r="A221" s="5" t="s">
        <v>18209</v>
      </c>
      <c r="B221" s="5" t="s">
        <v>8584</v>
      </c>
      <c r="C221" s="5">
        <v>208</v>
      </c>
      <c r="D221" s="5"/>
      <c r="E221" s="5" t="s">
        <v>213</v>
      </c>
      <c r="F221" s="5"/>
      <c r="G221" s="5" t="s">
        <v>91</v>
      </c>
      <c r="H221" s="5" t="s">
        <v>3</v>
      </c>
      <c r="I221" s="5"/>
      <c r="J221" s="5" t="s">
        <v>16602</v>
      </c>
    </row>
    <row r="222" spans="1:10" x14ac:dyDescent="0.2">
      <c r="A222" s="5" t="s">
        <v>16601</v>
      </c>
      <c r="B222" s="5" t="s">
        <v>8584</v>
      </c>
      <c r="C222" s="5">
        <v>209</v>
      </c>
      <c r="D222" s="5"/>
      <c r="E222" s="5" t="s">
        <v>665</v>
      </c>
      <c r="F222" s="5"/>
      <c r="G222" s="5" t="s">
        <v>148</v>
      </c>
      <c r="H222" s="5" t="s">
        <v>3</v>
      </c>
      <c r="I222" s="5"/>
      <c r="J222" s="5" t="s">
        <v>16600</v>
      </c>
    </row>
    <row r="223" spans="1:10" x14ac:dyDescent="0.2">
      <c r="A223" s="5" t="s">
        <v>16599</v>
      </c>
      <c r="B223" s="5" t="s">
        <v>8584</v>
      </c>
      <c r="C223" s="5">
        <v>210</v>
      </c>
      <c r="D223" s="5"/>
      <c r="E223" s="5" t="s">
        <v>288</v>
      </c>
      <c r="F223" s="5"/>
      <c r="G223" s="5" t="s">
        <v>91</v>
      </c>
      <c r="H223" s="5" t="s">
        <v>3</v>
      </c>
      <c r="I223" s="5"/>
      <c r="J223" s="5" t="s">
        <v>16598</v>
      </c>
    </row>
    <row r="224" spans="1:10" x14ac:dyDescent="0.2">
      <c r="A224" s="5" t="s">
        <v>18208</v>
      </c>
      <c r="B224" s="5" t="s">
        <v>8584</v>
      </c>
      <c r="C224" s="5">
        <v>210</v>
      </c>
      <c r="D224" s="5"/>
      <c r="E224" s="5" t="s">
        <v>213</v>
      </c>
      <c r="F224" s="5"/>
      <c r="G224" s="5" t="s">
        <v>91</v>
      </c>
      <c r="H224" s="5" t="s">
        <v>3</v>
      </c>
      <c r="I224" s="5"/>
      <c r="J224" s="5" t="s">
        <v>16598</v>
      </c>
    </row>
    <row r="225" spans="1:10" ht="25.5" x14ac:dyDescent="0.2">
      <c r="A225" s="5" t="s">
        <v>18207</v>
      </c>
      <c r="B225" s="5" t="s">
        <v>8584</v>
      </c>
      <c r="C225" s="5">
        <v>211</v>
      </c>
      <c r="D225" s="5"/>
      <c r="E225" s="5" t="s">
        <v>299</v>
      </c>
      <c r="F225" s="5" t="s">
        <v>15874</v>
      </c>
      <c r="G225" s="5" t="s">
        <v>181</v>
      </c>
      <c r="H225" s="5" t="s">
        <v>137</v>
      </c>
      <c r="I225" s="5" t="s">
        <v>17920</v>
      </c>
      <c r="J225" s="5" t="s">
        <v>18206</v>
      </c>
    </row>
    <row r="226" spans="1:10" x14ac:dyDescent="0.2">
      <c r="A226" s="5" t="s">
        <v>16566</v>
      </c>
      <c r="B226" s="5" t="s">
        <v>8584</v>
      </c>
      <c r="C226" s="5">
        <v>212</v>
      </c>
      <c r="D226" s="5"/>
      <c r="E226" s="5" t="s">
        <v>150</v>
      </c>
      <c r="F226" s="5" t="s">
        <v>16565</v>
      </c>
      <c r="G226" s="5" t="s">
        <v>148</v>
      </c>
      <c r="H226" s="5" t="s">
        <v>3</v>
      </c>
      <c r="I226" s="5"/>
      <c r="J226" s="5" t="s">
        <v>18204</v>
      </c>
    </row>
    <row r="227" spans="1:10" x14ac:dyDescent="0.2">
      <c r="A227" s="5" t="s">
        <v>18205</v>
      </c>
      <c r="B227" s="5" t="s">
        <v>8584</v>
      </c>
      <c r="C227" s="5">
        <v>212</v>
      </c>
      <c r="D227" s="5"/>
      <c r="E227" s="5" t="s">
        <v>213</v>
      </c>
      <c r="F227" s="5" t="s">
        <v>16565</v>
      </c>
      <c r="G227" s="5" t="s">
        <v>91</v>
      </c>
      <c r="H227" s="5" t="s">
        <v>3</v>
      </c>
      <c r="I227" s="5"/>
      <c r="J227" s="5" t="s">
        <v>18204</v>
      </c>
    </row>
    <row r="228" spans="1:10" x14ac:dyDescent="0.2">
      <c r="A228" s="5" t="s">
        <v>16563</v>
      </c>
      <c r="B228" s="5" t="s">
        <v>8584</v>
      </c>
      <c r="C228" s="5">
        <v>213</v>
      </c>
      <c r="D228" s="5"/>
      <c r="E228" s="5" t="s">
        <v>665</v>
      </c>
      <c r="F228" s="5" t="s">
        <v>8633</v>
      </c>
      <c r="G228" s="5" t="s">
        <v>148</v>
      </c>
      <c r="H228" s="5" t="s">
        <v>3</v>
      </c>
      <c r="I228" s="5"/>
      <c r="J228" s="5" t="s">
        <v>18203</v>
      </c>
    </row>
    <row r="229" spans="1:10" ht="25.5" x14ac:dyDescent="0.2">
      <c r="A229" s="5" t="s">
        <v>18202</v>
      </c>
      <c r="B229" s="5" t="s">
        <v>8584</v>
      </c>
      <c r="C229" s="5">
        <v>214</v>
      </c>
      <c r="D229" s="5"/>
      <c r="E229" s="5"/>
      <c r="F229" s="5" t="s">
        <v>5246</v>
      </c>
      <c r="G229" s="5" t="s">
        <v>181</v>
      </c>
      <c r="H229" s="5" t="s">
        <v>137</v>
      </c>
      <c r="I229" s="5" t="s">
        <v>18197</v>
      </c>
      <c r="J229" s="5" t="s">
        <v>18201</v>
      </c>
    </row>
    <row r="230" spans="1:10" ht="25.5" x14ac:dyDescent="0.2">
      <c r="A230" s="5" t="s">
        <v>18200</v>
      </c>
      <c r="B230" s="5" t="s">
        <v>8584</v>
      </c>
      <c r="C230" s="5">
        <v>215</v>
      </c>
      <c r="D230" s="5"/>
      <c r="E230" s="5"/>
      <c r="F230" s="5" t="s">
        <v>1247</v>
      </c>
      <c r="G230" s="5" t="s">
        <v>91</v>
      </c>
      <c r="H230" s="5" t="s">
        <v>137</v>
      </c>
      <c r="I230" s="5" t="s">
        <v>18197</v>
      </c>
      <c r="J230" s="5" t="s">
        <v>18199</v>
      </c>
    </row>
    <row r="231" spans="1:10" ht="25.5" x14ac:dyDescent="0.2">
      <c r="A231" s="5" t="s">
        <v>18198</v>
      </c>
      <c r="B231" s="5" t="s">
        <v>8584</v>
      </c>
      <c r="C231" s="5">
        <v>216</v>
      </c>
      <c r="D231" s="5"/>
      <c r="E231" s="5"/>
      <c r="F231" s="5" t="s">
        <v>5246</v>
      </c>
      <c r="G231" s="5" t="s">
        <v>224</v>
      </c>
      <c r="H231" s="5" t="s">
        <v>137</v>
      </c>
      <c r="I231" s="5" t="s">
        <v>18197</v>
      </c>
      <c r="J231" s="5" t="s">
        <v>18196</v>
      </c>
    </row>
    <row r="232" spans="1:10" x14ac:dyDescent="0.2">
      <c r="A232" s="5" t="s">
        <v>16883</v>
      </c>
      <c r="B232" s="5" t="s">
        <v>8584</v>
      </c>
      <c r="C232" s="5">
        <v>217</v>
      </c>
      <c r="D232" s="5"/>
      <c r="E232" s="5"/>
      <c r="F232" s="5" t="s">
        <v>16750</v>
      </c>
      <c r="G232" s="5" t="s">
        <v>80</v>
      </c>
      <c r="H232" s="5"/>
      <c r="I232" s="5"/>
      <c r="J232" s="5" t="s">
        <v>18195</v>
      </c>
    </row>
    <row r="233" spans="1:10" x14ac:dyDescent="0.2">
      <c r="A233" s="5" t="s">
        <v>16879</v>
      </c>
      <c r="B233" s="5" t="s">
        <v>8584</v>
      </c>
      <c r="C233" s="5">
        <v>218</v>
      </c>
      <c r="D233" s="5"/>
      <c r="E233" s="5"/>
      <c r="F233" s="5" t="s">
        <v>16878</v>
      </c>
      <c r="G233" s="5" t="s">
        <v>276</v>
      </c>
      <c r="H233" s="5"/>
      <c r="I233" s="5"/>
      <c r="J233" s="5" t="s">
        <v>16877</v>
      </c>
    </row>
    <row r="234" spans="1:10" ht="25.5" x14ac:dyDescent="0.2">
      <c r="A234" s="5" t="s">
        <v>16876</v>
      </c>
      <c r="B234" s="5" t="s">
        <v>8584</v>
      </c>
      <c r="C234" s="5">
        <v>219</v>
      </c>
      <c r="D234" s="5"/>
      <c r="E234" s="5"/>
      <c r="F234" s="5" t="s">
        <v>16875</v>
      </c>
      <c r="G234" s="5" t="s">
        <v>283</v>
      </c>
      <c r="H234" s="5" t="s">
        <v>137</v>
      </c>
      <c r="I234" s="5" t="s">
        <v>15385</v>
      </c>
      <c r="J234" s="5" t="s">
        <v>16874</v>
      </c>
    </row>
    <row r="235" spans="1:10" ht="25.5" x14ac:dyDescent="0.2">
      <c r="A235" s="5" t="s">
        <v>16873</v>
      </c>
      <c r="B235" s="5" t="s">
        <v>8584</v>
      </c>
      <c r="C235" s="5">
        <v>220</v>
      </c>
      <c r="D235" s="5"/>
      <c r="E235" s="5"/>
      <c r="F235" s="5" t="s">
        <v>16872</v>
      </c>
      <c r="G235" s="5" t="s">
        <v>86</v>
      </c>
      <c r="H235" s="5" t="s">
        <v>137</v>
      </c>
      <c r="I235" s="5" t="s">
        <v>15385</v>
      </c>
      <c r="J235" s="5" t="s">
        <v>16871</v>
      </c>
    </row>
    <row r="236" spans="1:10" ht="25.5" x14ac:dyDescent="0.2">
      <c r="A236" s="5" t="s">
        <v>16870</v>
      </c>
      <c r="B236" s="5" t="s">
        <v>8584</v>
      </c>
      <c r="C236" s="5">
        <v>221</v>
      </c>
      <c r="D236" s="5"/>
      <c r="E236" s="5"/>
      <c r="F236" s="5" t="s">
        <v>12206</v>
      </c>
      <c r="G236" s="5" t="s">
        <v>105</v>
      </c>
      <c r="H236" s="5" t="s">
        <v>137</v>
      </c>
      <c r="I236" s="5" t="s">
        <v>15385</v>
      </c>
      <c r="J236" s="5" t="s">
        <v>18194</v>
      </c>
    </row>
    <row r="237" spans="1:10" ht="25.5" x14ac:dyDescent="0.2">
      <c r="A237" s="5" t="s">
        <v>16868</v>
      </c>
      <c r="B237" s="5" t="s">
        <v>8584</v>
      </c>
      <c r="C237" s="5">
        <v>222</v>
      </c>
      <c r="D237" s="5"/>
      <c r="E237" s="5"/>
      <c r="F237" s="5" t="s">
        <v>16867</v>
      </c>
      <c r="G237" s="5" t="s">
        <v>207</v>
      </c>
      <c r="H237" s="5" t="s">
        <v>137</v>
      </c>
      <c r="I237" s="5" t="s">
        <v>15385</v>
      </c>
      <c r="J237" s="5" t="s">
        <v>16866</v>
      </c>
    </row>
    <row r="238" spans="1:10" ht="25.5" x14ac:dyDescent="0.2">
      <c r="A238" s="5" t="s">
        <v>16865</v>
      </c>
      <c r="B238" s="5" t="s">
        <v>8584</v>
      </c>
      <c r="C238" s="5">
        <v>223</v>
      </c>
      <c r="D238" s="5"/>
      <c r="E238" s="5" t="s">
        <v>150</v>
      </c>
      <c r="F238" s="5" t="s">
        <v>15878</v>
      </c>
      <c r="G238" s="5" t="s">
        <v>283</v>
      </c>
      <c r="H238" s="5" t="s">
        <v>137</v>
      </c>
      <c r="I238" s="5" t="s">
        <v>15385</v>
      </c>
      <c r="J238" s="5" t="s">
        <v>16864</v>
      </c>
    </row>
    <row r="239" spans="1:10" ht="25.5" x14ac:dyDescent="0.2">
      <c r="A239" s="5" t="s">
        <v>18193</v>
      </c>
      <c r="B239" s="5" t="s">
        <v>8584</v>
      </c>
      <c r="C239" s="5">
        <v>223</v>
      </c>
      <c r="D239" s="5"/>
      <c r="E239" s="5" t="s">
        <v>213</v>
      </c>
      <c r="F239" s="5" t="s">
        <v>15878</v>
      </c>
      <c r="G239" s="5" t="s">
        <v>229</v>
      </c>
      <c r="H239" s="5" t="s">
        <v>137</v>
      </c>
      <c r="I239" s="5" t="s">
        <v>15385</v>
      </c>
      <c r="J239" s="5" t="s">
        <v>16864</v>
      </c>
    </row>
    <row r="240" spans="1:10" ht="38.25" x14ac:dyDescent="0.2">
      <c r="A240" s="5" t="s">
        <v>16863</v>
      </c>
      <c r="B240" s="5" t="s">
        <v>8584</v>
      </c>
      <c r="C240" s="5">
        <v>224</v>
      </c>
      <c r="D240" s="5"/>
      <c r="E240" s="5"/>
      <c r="F240" s="5" t="s">
        <v>16862</v>
      </c>
      <c r="G240" s="5" t="s">
        <v>315</v>
      </c>
      <c r="H240" s="5" t="s">
        <v>137</v>
      </c>
      <c r="I240" s="5" t="s">
        <v>15385</v>
      </c>
      <c r="J240" s="5" t="s">
        <v>16861</v>
      </c>
    </row>
    <row r="241" spans="1:10" ht="38.25" x14ac:dyDescent="0.2">
      <c r="A241" s="5" t="s">
        <v>16825</v>
      </c>
      <c r="B241" s="5" t="s">
        <v>8584</v>
      </c>
      <c r="C241" s="5">
        <v>225</v>
      </c>
      <c r="D241" s="5"/>
      <c r="E241" s="5" t="s">
        <v>299</v>
      </c>
      <c r="F241" s="5" t="s">
        <v>16824</v>
      </c>
      <c r="G241" s="5" t="s">
        <v>195</v>
      </c>
      <c r="H241" s="5" t="s">
        <v>137</v>
      </c>
      <c r="I241" s="5" t="s">
        <v>15385</v>
      </c>
      <c r="J241" s="5" t="s">
        <v>18192</v>
      </c>
    </row>
    <row r="242" spans="1:10" ht="25.5" x14ac:dyDescent="0.2">
      <c r="A242" s="5" t="s">
        <v>16959</v>
      </c>
      <c r="B242" s="5" t="s">
        <v>8584</v>
      </c>
      <c r="C242" s="5">
        <v>226</v>
      </c>
      <c r="D242" s="5"/>
      <c r="E242" s="5"/>
      <c r="F242" s="5" t="s">
        <v>1554</v>
      </c>
      <c r="G242" s="5" t="s">
        <v>122</v>
      </c>
      <c r="H242" s="5" t="s">
        <v>137</v>
      </c>
      <c r="I242" s="5" t="s">
        <v>16048</v>
      </c>
      <c r="J242" s="5" t="s">
        <v>16958</v>
      </c>
    </row>
    <row r="243" spans="1:10" ht="25.5" x14ac:dyDescent="0.2">
      <c r="A243" s="5" t="s">
        <v>16955</v>
      </c>
      <c r="B243" s="5" t="s">
        <v>8584</v>
      </c>
      <c r="C243" s="5">
        <v>227</v>
      </c>
      <c r="D243" s="5"/>
      <c r="E243" s="5"/>
      <c r="F243" s="5" t="s">
        <v>7630</v>
      </c>
      <c r="G243" s="5" t="s">
        <v>181</v>
      </c>
      <c r="H243" s="5" t="s">
        <v>137</v>
      </c>
      <c r="I243" s="5" t="s">
        <v>16048</v>
      </c>
      <c r="J243" s="5" t="s">
        <v>16954</v>
      </c>
    </row>
    <row r="244" spans="1:10" ht="25.5" x14ac:dyDescent="0.2">
      <c r="A244" s="5" t="s">
        <v>16948</v>
      </c>
      <c r="B244" s="5" t="s">
        <v>8584</v>
      </c>
      <c r="C244" s="5">
        <v>228</v>
      </c>
      <c r="D244" s="5"/>
      <c r="E244" s="5" t="s">
        <v>150</v>
      </c>
      <c r="F244" s="5" t="s">
        <v>7513</v>
      </c>
      <c r="G244" s="5" t="s">
        <v>148</v>
      </c>
      <c r="H244" s="5" t="s">
        <v>137</v>
      </c>
      <c r="I244" s="5" t="s">
        <v>16048</v>
      </c>
      <c r="J244" s="5" t="s">
        <v>16946</v>
      </c>
    </row>
    <row r="245" spans="1:10" ht="25.5" x14ac:dyDescent="0.2">
      <c r="A245" s="5" t="s">
        <v>16947</v>
      </c>
      <c r="B245" s="5" t="s">
        <v>8584</v>
      </c>
      <c r="C245" s="5">
        <v>228</v>
      </c>
      <c r="D245" s="5"/>
      <c r="E245" s="5" t="s">
        <v>213</v>
      </c>
      <c r="F245" s="5" t="s">
        <v>7513</v>
      </c>
      <c r="G245" s="5" t="s">
        <v>229</v>
      </c>
      <c r="H245" s="5" t="s">
        <v>137</v>
      </c>
      <c r="I245" s="5" t="s">
        <v>16048</v>
      </c>
      <c r="J245" s="5" t="s">
        <v>16946</v>
      </c>
    </row>
    <row r="246" spans="1:10" ht="25.5" x14ac:dyDescent="0.2">
      <c r="A246" s="5" t="s">
        <v>16936</v>
      </c>
      <c r="B246" s="5" t="s">
        <v>8584</v>
      </c>
      <c r="C246" s="5">
        <v>229</v>
      </c>
      <c r="D246" s="5"/>
      <c r="E246" s="5"/>
      <c r="F246" s="5" t="s">
        <v>9767</v>
      </c>
      <c r="G246" s="5" t="s">
        <v>896</v>
      </c>
      <c r="H246" s="5" t="s">
        <v>137</v>
      </c>
      <c r="I246" s="5" t="s">
        <v>16048</v>
      </c>
      <c r="J246" s="5" t="s">
        <v>16047</v>
      </c>
    </row>
    <row r="247" spans="1:10" ht="25.5" x14ac:dyDescent="0.2">
      <c r="A247" s="5" t="s">
        <v>16812</v>
      </c>
      <c r="B247" s="5" t="s">
        <v>8584</v>
      </c>
      <c r="C247" s="5">
        <v>230</v>
      </c>
      <c r="D247" s="5"/>
      <c r="E247" s="5"/>
      <c r="F247" s="5" t="s">
        <v>16811</v>
      </c>
      <c r="G247" s="5" t="s">
        <v>896</v>
      </c>
      <c r="H247" s="5" t="s">
        <v>137</v>
      </c>
      <c r="I247" s="5" t="s">
        <v>16048</v>
      </c>
      <c r="J247" s="5" t="s">
        <v>16810</v>
      </c>
    </row>
    <row r="248" spans="1:10" ht="25.5" x14ac:dyDescent="0.2">
      <c r="A248" s="5" t="s">
        <v>16807</v>
      </c>
      <c r="B248" s="5" t="s">
        <v>8584</v>
      </c>
      <c r="C248" s="5">
        <v>231</v>
      </c>
      <c r="D248" s="5"/>
      <c r="E248" s="5"/>
      <c r="F248" s="5" t="s">
        <v>18191</v>
      </c>
      <c r="G248" s="5" t="s">
        <v>229</v>
      </c>
      <c r="H248" s="5" t="s">
        <v>137</v>
      </c>
      <c r="I248" s="5" t="s">
        <v>15385</v>
      </c>
      <c r="J248" s="5"/>
    </row>
    <row r="249" spans="1:10" ht="25.5" x14ac:dyDescent="0.2">
      <c r="A249" s="5" t="s">
        <v>16613</v>
      </c>
      <c r="B249" s="5" t="s">
        <v>8584</v>
      </c>
      <c r="C249" s="5">
        <v>232</v>
      </c>
      <c r="D249" s="5"/>
      <c r="E249" s="5"/>
      <c r="F249" s="5" t="s">
        <v>11284</v>
      </c>
      <c r="G249" s="5" t="s">
        <v>229</v>
      </c>
      <c r="H249" s="5" t="s">
        <v>137</v>
      </c>
      <c r="I249" s="5" t="s">
        <v>15385</v>
      </c>
      <c r="J249" s="5" t="s">
        <v>18190</v>
      </c>
    </row>
    <row r="250" spans="1:10" ht="25.5" x14ac:dyDescent="0.2">
      <c r="A250" s="5" t="s">
        <v>16847</v>
      </c>
      <c r="B250" s="5" t="s">
        <v>8584</v>
      </c>
      <c r="C250" s="5">
        <v>233</v>
      </c>
      <c r="D250" s="5"/>
      <c r="E250" s="5"/>
      <c r="F250" s="5" t="s">
        <v>11284</v>
      </c>
      <c r="G250" s="5" t="s">
        <v>896</v>
      </c>
      <c r="H250" s="5" t="s">
        <v>137</v>
      </c>
      <c r="I250" s="5" t="s">
        <v>15385</v>
      </c>
      <c r="J250" s="5" t="s">
        <v>18189</v>
      </c>
    </row>
    <row r="251" spans="1:10" ht="25.5" x14ac:dyDescent="0.2">
      <c r="A251" s="5" t="s">
        <v>8759</v>
      </c>
      <c r="B251" s="5" t="s">
        <v>8584</v>
      </c>
      <c r="C251" s="5">
        <v>234</v>
      </c>
      <c r="D251" s="5"/>
      <c r="E251" s="5"/>
      <c r="F251" s="5" t="s">
        <v>4272</v>
      </c>
      <c r="G251" s="5" t="s">
        <v>224</v>
      </c>
      <c r="H251" s="5" t="s">
        <v>137</v>
      </c>
      <c r="I251" s="5" t="s">
        <v>8759</v>
      </c>
      <c r="J251" s="5" t="s">
        <v>4272</v>
      </c>
    </row>
    <row r="252" spans="1:10" ht="25.5" x14ac:dyDescent="0.2">
      <c r="A252" s="5" t="s">
        <v>17163</v>
      </c>
      <c r="B252" s="5" t="s">
        <v>8584</v>
      </c>
      <c r="C252" s="5">
        <v>235</v>
      </c>
      <c r="D252" s="5"/>
      <c r="E252" s="5"/>
      <c r="F252" s="5"/>
      <c r="G252" s="5" t="s">
        <v>229</v>
      </c>
      <c r="H252" s="5" t="s">
        <v>137</v>
      </c>
      <c r="I252" s="5" t="s">
        <v>17158</v>
      </c>
      <c r="J252" s="5"/>
    </row>
    <row r="253" spans="1:10" ht="25.5" x14ac:dyDescent="0.2">
      <c r="A253" s="5" t="s">
        <v>17159</v>
      </c>
      <c r="B253" s="5" t="s">
        <v>8584</v>
      </c>
      <c r="C253" s="5">
        <v>236</v>
      </c>
      <c r="D253" s="5"/>
      <c r="E253" s="5"/>
      <c r="F253" s="5"/>
      <c r="G253" s="5" t="s">
        <v>229</v>
      </c>
      <c r="H253" s="5" t="s">
        <v>137</v>
      </c>
      <c r="I253" s="5" t="s">
        <v>17158</v>
      </c>
      <c r="J253" s="5"/>
    </row>
    <row r="254" spans="1:10" ht="25.5" x14ac:dyDescent="0.2">
      <c r="A254" s="5" t="s">
        <v>16845</v>
      </c>
      <c r="B254" s="5" t="s">
        <v>8584</v>
      </c>
      <c r="C254" s="5">
        <v>237</v>
      </c>
      <c r="D254" s="5"/>
      <c r="E254" s="5"/>
      <c r="F254" s="5" t="s">
        <v>11284</v>
      </c>
      <c r="G254" s="5" t="s">
        <v>118</v>
      </c>
      <c r="H254" s="5" t="s">
        <v>137</v>
      </c>
      <c r="I254" s="5" t="s">
        <v>15385</v>
      </c>
      <c r="J254" s="5" t="s">
        <v>18188</v>
      </c>
    </row>
    <row r="255" spans="1:10" x14ac:dyDescent="0.2">
      <c r="A255" s="5" t="s">
        <v>17079</v>
      </c>
      <c r="B255" s="5" t="s">
        <v>8584</v>
      </c>
      <c r="C255" s="5">
        <v>238</v>
      </c>
      <c r="D255" s="5"/>
      <c r="E255" s="5" t="s">
        <v>11304</v>
      </c>
      <c r="F255" s="5"/>
      <c r="G255" s="5" t="s">
        <v>11883</v>
      </c>
      <c r="H255" s="5" t="s">
        <v>3</v>
      </c>
      <c r="I255" s="5"/>
      <c r="J255" s="5" t="s">
        <v>18187</v>
      </c>
    </row>
    <row r="256" spans="1:10" ht="25.5" x14ac:dyDescent="0.2">
      <c r="A256" s="5" t="s">
        <v>16674</v>
      </c>
      <c r="B256" s="5" t="s">
        <v>8584</v>
      </c>
      <c r="C256" s="5">
        <v>239</v>
      </c>
      <c r="D256" s="5"/>
      <c r="E256" s="5" t="s">
        <v>11304</v>
      </c>
      <c r="F256" s="5"/>
      <c r="G256" s="5" t="s">
        <v>11883</v>
      </c>
      <c r="H256" s="5" t="s">
        <v>137</v>
      </c>
      <c r="I256" s="5" t="s">
        <v>15385</v>
      </c>
      <c r="J256" s="5"/>
    </row>
    <row r="257" spans="1:10" ht="25.5" x14ac:dyDescent="0.2">
      <c r="A257" s="5" t="s">
        <v>16637</v>
      </c>
      <c r="B257" s="5" t="s">
        <v>8584</v>
      </c>
      <c r="C257" s="5">
        <v>240</v>
      </c>
      <c r="D257" s="5"/>
      <c r="E257" s="5"/>
      <c r="F257" s="5" t="s">
        <v>16636</v>
      </c>
      <c r="G257" s="5" t="s">
        <v>118</v>
      </c>
      <c r="H257" s="5" t="s">
        <v>137</v>
      </c>
      <c r="I257" s="5" t="s">
        <v>15385</v>
      </c>
      <c r="J257" s="5" t="s">
        <v>16635</v>
      </c>
    </row>
    <row r="258" spans="1:10" ht="25.5" x14ac:dyDescent="0.2">
      <c r="A258" s="5" t="s">
        <v>16634</v>
      </c>
      <c r="B258" s="5" t="s">
        <v>8584</v>
      </c>
      <c r="C258" s="5">
        <v>241</v>
      </c>
      <c r="D258" s="5"/>
      <c r="E258" s="5"/>
      <c r="F258" s="5" t="s">
        <v>8685</v>
      </c>
      <c r="G258" s="5" t="s">
        <v>173</v>
      </c>
      <c r="H258" s="5" t="s">
        <v>137</v>
      </c>
      <c r="I258" s="5" t="s">
        <v>15385</v>
      </c>
      <c r="J258" s="5" t="s">
        <v>16633</v>
      </c>
    </row>
    <row r="259" spans="1:10" ht="25.5" x14ac:dyDescent="0.2">
      <c r="A259" s="5" t="s">
        <v>16622</v>
      </c>
      <c r="B259" s="5" t="s">
        <v>8584</v>
      </c>
      <c r="C259" s="5">
        <v>242</v>
      </c>
      <c r="D259" s="5"/>
      <c r="E259" s="5" t="s">
        <v>368</v>
      </c>
      <c r="F259" s="5" t="s">
        <v>9551</v>
      </c>
      <c r="G259" s="5" t="s">
        <v>91</v>
      </c>
      <c r="H259" s="5" t="s">
        <v>137</v>
      </c>
      <c r="I259" s="5" t="s">
        <v>15385</v>
      </c>
      <c r="J259" s="5" t="s">
        <v>16621</v>
      </c>
    </row>
    <row r="260" spans="1:10" ht="25.5" x14ac:dyDescent="0.2">
      <c r="A260" s="5" t="s">
        <v>16632</v>
      </c>
      <c r="B260" s="5" t="s">
        <v>8584</v>
      </c>
      <c r="C260" s="5">
        <v>243</v>
      </c>
      <c r="D260" s="5"/>
      <c r="E260" s="5"/>
      <c r="F260" s="5" t="s">
        <v>7569</v>
      </c>
      <c r="G260" s="5" t="s">
        <v>181</v>
      </c>
      <c r="H260" s="5" t="s">
        <v>137</v>
      </c>
      <c r="I260" s="5" t="s">
        <v>15385</v>
      </c>
      <c r="J260" s="5" t="s">
        <v>16631</v>
      </c>
    </row>
    <row r="261" spans="1:10" ht="25.5" x14ac:dyDescent="0.2">
      <c r="A261" s="5" t="s">
        <v>372</v>
      </c>
      <c r="B261" s="5" t="s">
        <v>8584</v>
      </c>
      <c r="C261" s="5">
        <v>244</v>
      </c>
      <c r="D261" s="5"/>
      <c r="E261" s="5"/>
      <c r="F261" s="5"/>
      <c r="G261" s="5" t="s">
        <v>173</v>
      </c>
      <c r="H261" s="5" t="s">
        <v>3</v>
      </c>
      <c r="I261" s="5"/>
      <c r="J261" s="5" t="s">
        <v>18186</v>
      </c>
    </row>
    <row r="262" spans="1:10" ht="25.5" x14ac:dyDescent="0.2">
      <c r="A262" s="5" t="s">
        <v>9227</v>
      </c>
      <c r="B262" s="5" t="s">
        <v>8584</v>
      </c>
      <c r="C262" s="5">
        <v>245</v>
      </c>
      <c r="D262" s="5"/>
      <c r="E262" s="5"/>
      <c r="F262" s="5"/>
      <c r="G262" s="5" t="s">
        <v>229</v>
      </c>
      <c r="H262" s="5" t="s">
        <v>3</v>
      </c>
      <c r="I262" s="5"/>
      <c r="J262" s="5" t="s">
        <v>18185</v>
      </c>
    </row>
    <row r="263" spans="1:10" ht="38.25" x14ac:dyDescent="0.2">
      <c r="A263" s="5" t="s">
        <v>16410</v>
      </c>
      <c r="B263" s="5" t="s">
        <v>8584</v>
      </c>
      <c r="C263" s="5">
        <v>246</v>
      </c>
      <c r="D263" s="5"/>
      <c r="E263" s="5"/>
      <c r="F263" s="5"/>
      <c r="G263" s="5" t="s">
        <v>170</v>
      </c>
      <c r="H263" s="5" t="s">
        <v>137</v>
      </c>
      <c r="I263" s="5" t="s">
        <v>16410</v>
      </c>
      <c r="J263" s="5" t="s">
        <v>18184</v>
      </c>
    </row>
    <row r="264" spans="1:10" ht="25.5" x14ac:dyDescent="0.2">
      <c r="A264" s="5" t="s">
        <v>8159</v>
      </c>
      <c r="B264" s="5" t="s">
        <v>8584</v>
      </c>
      <c r="C264" s="5">
        <v>247</v>
      </c>
      <c r="D264" s="5"/>
      <c r="E264" s="5"/>
      <c r="F264" s="5"/>
      <c r="G264" s="5" t="s">
        <v>6584</v>
      </c>
      <c r="H264" s="5" t="s">
        <v>137</v>
      </c>
      <c r="I264" s="5" t="s">
        <v>16410</v>
      </c>
      <c r="J264" s="5" t="s">
        <v>18183</v>
      </c>
    </row>
    <row r="265" spans="1:10" ht="25.5" x14ac:dyDescent="0.2">
      <c r="A265" s="5" t="s">
        <v>17552</v>
      </c>
      <c r="B265" s="5" t="s">
        <v>8584</v>
      </c>
      <c r="C265" s="5">
        <v>248</v>
      </c>
      <c r="D265" s="5"/>
      <c r="E265" s="5"/>
      <c r="F265" s="5"/>
      <c r="G265" s="5" t="s">
        <v>105</v>
      </c>
      <c r="H265" s="5" t="s">
        <v>137</v>
      </c>
      <c r="I265" s="5" t="s">
        <v>16410</v>
      </c>
      <c r="J265" s="5" t="s">
        <v>18182</v>
      </c>
    </row>
    <row r="266" spans="1:10" ht="38.25" x14ac:dyDescent="0.2">
      <c r="A266" s="5" t="s">
        <v>18181</v>
      </c>
      <c r="B266" s="5" t="s">
        <v>8584</v>
      </c>
      <c r="C266" s="5">
        <v>249</v>
      </c>
      <c r="D266" s="5"/>
      <c r="E266" s="5"/>
      <c r="F266" s="5"/>
      <c r="G266" s="5" t="s">
        <v>105</v>
      </c>
      <c r="H266" s="5" t="s">
        <v>137</v>
      </c>
      <c r="I266" s="5" t="s">
        <v>18180</v>
      </c>
      <c r="J266" s="5" t="s">
        <v>18179</v>
      </c>
    </row>
    <row r="267" spans="1:10" ht="38.25" x14ac:dyDescent="0.2">
      <c r="A267" s="5" t="s">
        <v>18178</v>
      </c>
      <c r="B267" s="5" t="s">
        <v>8584</v>
      </c>
      <c r="C267" s="5">
        <v>250</v>
      </c>
      <c r="D267" s="5"/>
      <c r="E267" s="5"/>
      <c r="F267" s="5"/>
      <c r="G267" s="5" t="s">
        <v>105</v>
      </c>
      <c r="H267" s="5" t="s">
        <v>137</v>
      </c>
      <c r="I267" s="5" t="s">
        <v>18177</v>
      </c>
      <c r="J267" s="5" t="s">
        <v>18176</v>
      </c>
    </row>
    <row r="268" spans="1:10" ht="25.5" x14ac:dyDescent="0.2">
      <c r="A268" s="5" t="s">
        <v>18175</v>
      </c>
      <c r="B268" s="5" t="s">
        <v>8584</v>
      </c>
      <c r="C268" s="5">
        <v>251</v>
      </c>
      <c r="D268" s="5"/>
      <c r="E268" s="5"/>
      <c r="F268" s="5" t="s">
        <v>11377</v>
      </c>
      <c r="G268" s="5" t="s">
        <v>896</v>
      </c>
      <c r="H268" s="5" t="s">
        <v>3</v>
      </c>
      <c r="I268" s="5"/>
      <c r="J268" s="5" t="s">
        <v>18174</v>
      </c>
    </row>
    <row r="269" spans="1:10" ht="25.5" x14ac:dyDescent="0.2">
      <c r="A269" s="5" t="s">
        <v>17499</v>
      </c>
      <c r="B269" s="5" t="s">
        <v>8584</v>
      </c>
      <c r="C269" s="5">
        <v>252</v>
      </c>
      <c r="D269" s="5"/>
      <c r="E269" s="5"/>
      <c r="F269" s="5" t="s">
        <v>17498</v>
      </c>
      <c r="G269" s="5" t="s">
        <v>105</v>
      </c>
      <c r="H269" s="5" t="s">
        <v>3</v>
      </c>
      <c r="I269" s="5"/>
      <c r="J269" s="5" t="s">
        <v>17497</v>
      </c>
    </row>
    <row r="270" spans="1:10" ht="25.5" x14ac:dyDescent="0.2">
      <c r="A270" s="5" t="s">
        <v>18173</v>
      </c>
      <c r="B270" s="5" t="s">
        <v>8584</v>
      </c>
      <c r="C270" s="5">
        <v>253</v>
      </c>
      <c r="D270" s="5"/>
      <c r="E270" s="5"/>
      <c r="F270" s="5" t="s">
        <v>18172</v>
      </c>
      <c r="G270" s="5" t="s">
        <v>80</v>
      </c>
      <c r="H270" s="5" t="s">
        <v>3</v>
      </c>
      <c r="I270" s="5"/>
      <c r="J270" s="5" t="s">
        <v>18171</v>
      </c>
    </row>
    <row r="271" spans="1:10" ht="25.5" x14ac:dyDescent="0.2">
      <c r="A271" s="5" t="s">
        <v>18170</v>
      </c>
      <c r="B271" s="5" t="s">
        <v>8584</v>
      </c>
      <c r="C271" s="5">
        <v>254</v>
      </c>
      <c r="D271" s="5"/>
      <c r="E271" s="5"/>
      <c r="F271" s="5" t="s">
        <v>12907</v>
      </c>
      <c r="G271" s="5" t="s">
        <v>328</v>
      </c>
      <c r="H271" s="5" t="s">
        <v>137</v>
      </c>
      <c r="I271" s="5" t="s">
        <v>10232</v>
      </c>
      <c r="J271" s="5" t="s">
        <v>18169</v>
      </c>
    </row>
    <row r="272" spans="1:10" ht="25.5" x14ac:dyDescent="0.2">
      <c r="A272" s="5" t="s">
        <v>18168</v>
      </c>
      <c r="B272" s="5" t="s">
        <v>8584</v>
      </c>
      <c r="C272" s="5">
        <v>255</v>
      </c>
      <c r="D272" s="5"/>
      <c r="E272" s="5"/>
      <c r="F272" s="5" t="s">
        <v>7353</v>
      </c>
      <c r="G272" s="5" t="s">
        <v>328</v>
      </c>
      <c r="H272" s="5" t="s">
        <v>137</v>
      </c>
      <c r="I272" s="5" t="s">
        <v>15305</v>
      </c>
      <c r="J272" s="5" t="s">
        <v>18167</v>
      </c>
    </row>
    <row r="273" spans="1:10" ht="25.5" x14ac:dyDescent="0.2">
      <c r="A273" s="5" t="s">
        <v>18166</v>
      </c>
      <c r="B273" s="5" t="s">
        <v>8584</v>
      </c>
      <c r="C273" s="5">
        <v>256</v>
      </c>
      <c r="D273" s="5"/>
      <c r="E273" s="5"/>
      <c r="F273" s="5" t="s">
        <v>18165</v>
      </c>
      <c r="G273" s="5" t="s">
        <v>328</v>
      </c>
      <c r="H273" s="5" t="s">
        <v>137</v>
      </c>
      <c r="I273" s="5" t="s">
        <v>18164</v>
      </c>
      <c r="J273" s="5" t="s">
        <v>18163</v>
      </c>
    </row>
    <row r="274" spans="1:10" ht="25.5" x14ac:dyDescent="0.2">
      <c r="A274" s="5" t="s">
        <v>18162</v>
      </c>
      <c r="B274" s="5" t="s">
        <v>8584</v>
      </c>
      <c r="C274" s="5">
        <v>257</v>
      </c>
      <c r="D274" s="5"/>
      <c r="E274" s="5"/>
      <c r="F274" s="5" t="s">
        <v>18161</v>
      </c>
      <c r="G274" s="5" t="s">
        <v>328</v>
      </c>
      <c r="H274" s="5" t="s">
        <v>137</v>
      </c>
      <c r="I274" s="5" t="s">
        <v>15385</v>
      </c>
      <c r="J274" s="5" t="s">
        <v>18160</v>
      </c>
    </row>
    <row r="275" spans="1:10" x14ac:dyDescent="0.2">
      <c r="A275" s="5" t="s">
        <v>17495</v>
      </c>
      <c r="B275" s="5" t="s">
        <v>8584</v>
      </c>
      <c r="C275" s="5">
        <v>258</v>
      </c>
      <c r="D275" s="5"/>
      <c r="E275" s="5" t="s">
        <v>11304</v>
      </c>
      <c r="F275" s="5"/>
      <c r="G275" s="5" t="s">
        <v>229</v>
      </c>
      <c r="H275" s="5" t="s">
        <v>3</v>
      </c>
      <c r="I275" s="5"/>
      <c r="J275" s="5" t="s">
        <v>18159</v>
      </c>
    </row>
    <row r="276" spans="1:10" ht="25.5" x14ac:dyDescent="0.2">
      <c r="A276" s="5" t="s">
        <v>17493</v>
      </c>
      <c r="B276" s="5" t="s">
        <v>8584</v>
      </c>
      <c r="C276" s="5">
        <v>259</v>
      </c>
      <c r="D276" s="5"/>
      <c r="E276" s="5" t="s">
        <v>11304</v>
      </c>
      <c r="F276" s="5"/>
      <c r="G276" s="5" t="s">
        <v>114</v>
      </c>
      <c r="H276" s="5" t="s">
        <v>3</v>
      </c>
      <c r="I276" s="5"/>
      <c r="J276" s="5" t="s">
        <v>18158</v>
      </c>
    </row>
    <row r="277" spans="1:10" x14ac:dyDescent="0.2">
      <c r="A277" s="5" t="s">
        <v>18157</v>
      </c>
      <c r="B277" s="5" t="s">
        <v>8584</v>
      </c>
      <c r="C277" s="5">
        <v>260</v>
      </c>
      <c r="D277" s="5"/>
      <c r="E277" s="5"/>
      <c r="F277" s="5"/>
      <c r="G277" s="5" t="s">
        <v>91</v>
      </c>
      <c r="H277" s="5" t="s">
        <v>3</v>
      </c>
      <c r="I277" s="5"/>
      <c r="J277" s="5"/>
    </row>
    <row r="278" spans="1:10" x14ac:dyDescent="0.2">
      <c r="A278" s="5" t="s">
        <v>17491</v>
      </c>
      <c r="B278" s="5" t="s">
        <v>8584</v>
      </c>
      <c r="C278" s="5">
        <v>261</v>
      </c>
      <c r="D278" s="5"/>
      <c r="E278" s="5" t="s">
        <v>6367</v>
      </c>
      <c r="F278" s="5"/>
      <c r="G278" s="5" t="s">
        <v>105</v>
      </c>
      <c r="H278" s="5" t="s">
        <v>3</v>
      </c>
      <c r="I278" s="5"/>
      <c r="J278" s="5"/>
    </row>
    <row r="279" spans="1:10" ht="25.5" x14ac:dyDescent="0.2">
      <c r="A279" s="5" t="s">
        <v>18156</v>
      </c>
      <c r="B279" s="5" t="s">
        <v>8584</v>
      </c>
      <c r="C279" s="5">
        <v>262</v>
      </c>
      <c r="D279" s="5"/>
      <c r="E279" s="5" t="s">
        <v>6367</v>
      </c>
      <c r="F279" s="5"/>
      <c r="G279" s="5" t="s">
        <v>105</v>
      </c>
      <c r="H279" s="5" t="s">
        <v>137</v>
      </c>
      <c r="I279" s="5" t="s">
        <v>10232</v>
      </c>
      <c r="J279" s="5"/>
    </row>
    <row r="280" spans="1:10" ht="25.5" x14ac:dyDescent="0.2">
      <c r="A280" s="5" t="s">
        <v>18155</v>
      </c>
      <c r="B280" s="5" t="s">
        <v>8584</v>
      </c>
      <c r="C280" s="5">
        <v>263</v>
      </c>
      <c r="D280" s="5"/>
      <c r="E280" s="5" t="s">
        <v>6367</v>
      </c>
      <c r="F280" s="5"/>
      <c r="G280" s="5" t="s">
        <v>105</v>
      </c>
      <c r="H280" s="5" t="s">
        <v>137</v>
      </c>
      <c r="I280" s="5" t="s">
        <v>15305</v>
      </c>
      <c r="J280" s="5"/>
    </row>
    <row r="281" spans="1:10" x14ac:dyDescent="0.2">
      <c r="A281" s="5" t="s">
        <v>18154</v>
      </c>
      <c r="B281" s="5" t="s">
        <v>8584</v>
      </c>
      <c r="C281" s="5">
        <v>264</v>
      </c>
      <c r="D281" s="5"/>
      <c r="E281" s="5" t="s">
        <v>665</v>
      </c>
      <c r="F281" s="5" t="s">
        <v>9283</v>
      </c>
      <c r="G281" s="5" t="s">
        <v>148</v>
      </c>
      <c r="H281" s="5" t="s">
        <v>3</v>
      </c>
      <c r="I281" s="5"/>
      <c r="J281" s="5" t="s">
        <v>18153</v>
      </c>
    </row>
    <row r="282" spans="1:10" ht="25.5" x14ac:dyDescent="0.2">
      <c r="A282" s="5" t="s">
        <v>17496</v>
      </c>
      <c r="B282" s="5" t="s">
        <v>8584</v>
      </c>
      <c r="C282" s="5">
        <v>265</v>
      </c>
      <c r="D282" s="5"/>
      <c r="E282" s="5"/>
      <c r="F282" s="5"/>
      <c r="G282" s="5" t="s">
        <v>105</v>
      </c>
      <c r="H282" s="5" t="s">
        <v>137</v>
      </c>
      <c r="I282" s="5" t="s">
        <v>16410</v>
      </c>
      <c r="J282" s="5" t="s">
        <v>18152</v>
      </c>
    </row>
    <row r="283" spans="1:10" ht="25.5" x14ac:dyDescent="0.2">
      <c r="A283" s="5" t="s">
        <v>18151</v>
      </c>
      <c r="B283" s="5" t="s">
        <v>8584</v>
      </c>
      <c r="C283" s="5">
        <v>266</v>
      </c>
      <c r="D283" s="5"/>
      <c r="E283" s="5"/>
      <c r="F283" s="5"/>
      <c r="G283" s="5" t="s">
        <v>105</v>
      </c>
      <c r="H283" s="5" t="s">
        <v>3</v>
      </c>
      <c r="I283" s="5"/>
      <c r="J283" s="5" t="s">
        <v>18150</v>
      </c>
    </row>
    <row r="284" spans="1:10" x14ac:dyDescent="0.2">
      <c r="A284" s="5" t="s">
        <v>18149</v>
      </c>
      <c r="B284" s="5" t="s">
        <v>8584</v>
      </c>
      <c r="C284" s="5">
        <v>267</v>
      </c>
      <c r="D284" s="5"/>
      <c r="E284" s="5" t="s">
        <v>11304</v>
      </c>
      <c r="F284" s="5"/>
      <c r="G284" s="5" t="s">
        <v>229</v>
      </c>
      <c r="H284" s="5" t="s">
        <v>3</v>
      </c>
      <c r="I284" s="5"/>
      <c r="J284" s="5"/>
    </row>
    <row r="285" spans="1:10" ht="25.5" x14ac:dyDescent="0.2">
      <c r="A285" s="5" t="s">
        <v>18148</v>
      </c>
      <c r="B285" s="5" t="s">
        <v>8584</v>
      </c>
      <c r="C285" s="5">
        <v>268</v>
      </c>
      <c r="D285" s="5"/>
      <c r="E285" s="5"/>
      <c r="F285" s="5"/>
      <c r="G285" s="5" t="s">
        <v>114</v>
      </c>
      <c r="H285" s="5" t="s">
        <v>3</v>
      </c>
      <c r="I285" s="5"/>
      <c r="J285" s="5"/>
    </row>
    <row r="286" spans="1:10" x14ac:dyDescent="0.2">
      <c r="A286" s="5" t="s">
        <v>18147</v>
      </c>
      <c r="B286" s="5" t="s">
        <v>8584</v>
      </c>
      <c r="C286" s="5">
        <v>269</v>
      </c>
      <c r="D286" s="5"/>
      <c r="E286" s="5"/>
      <c r="F286" s="5"/>
      <c r="G286" s="5" t="s">
        <v>229</v>
      </c>
      <c r="H286" s="5" t="s">
        <v>3</v>
      </c>
      <c r="I286" s="5"/>
      <c r="J286" s="5"/>
    </row>
    <row r="287" spans="1:10" x14ac:dyDescent="0.2">
      <c r="A287" s="5" t="s">
        <v>18146</v>
      </c>
      <c r="B287" s="5" t="s">
        <v>8584</v>
      </c>
      <c r="C287" s="5">
        <v>270</v>
      </c>
      <c r="D287" s="5"/>
      <c r="E287" s="5"/>
      <c r="F287" s="5"/>
      <c r="G287" s="5" t="s">
        <v>229</v>
      </c>
      <c r="H287" s="5" t="s">
        <v>3</v>
      </c>
      <c r="I287" s="5"/>
      <c r="J287" s="5"/>
    </row>
    <row r="288" spans="1:10" x14ac:dyDescent="0.2">
      <c r="A288" s="5" t="s">
        <v>18145</v>
      </c>
      <c r="B288" s="5" t="s">
        <v>8584</v>
      </c>
      <c r="C288" s="5">
        <v>271</v>
      </c>
      <c r="D288" s="5"/>
      <c r="E288" s="5"/>
      <c r="F288" s="5"/>
      <c r="G288" s="5" t="s">
        <v>105</v>
      </c>
      <c r="H288" s="5" t="s">
        <v>3</v>
      </c>
      <c r="I288" s="5"/>
      <c r="J288" s="5"/>
    </row>
    <row r="289" spans="1:10" ht="25.5" x14ac:dyDescent="0.2">
      <c r="A289" s="5" t="s">
        <v>18144</v>
      </c>
      <c r="B289" s="5" t="s">
        <v>8584</v>
      </c>
      <c r="C289" s="5">
        <v>272</v>
      </c>
      <c r="D289" s="5"/>
      <c r="E289" s="5" t="s">
        <v>11304</v>
      </c>
      <c r="F289" s="5"/>
      <c r="G289" s="5" t="s">
        <v>229</v>
      </c>
      <c r="H289" s="5" t="s">
        <v>3</v>
      </c>
      <c r="I289" s="5"/>
      <c r="J289" s="5"/>
    </row>
    <row r="290" spans="1:10" ht="25.5" x14ac:dyDescent="0.2">
      <c r="A290" s="5" t="s">
        <v>18143</v>
      </c>
      <c r="B290" s="5" t="s">
        <v>8584</v>
      </c>
      <c r="C290" s="5">
        <v>273</v>
      </c>
      <c r="D290" s="5"/>
      <c r="E290" s="5"/>
      <c r="F290" s="5"/>
      <c r="G290" s="5" t="s">
        <v>114</v>
      </c>
      <c r="H290" s="5" t="s">
        <v>3</v>
      </c>
      <c r="I290" s="5"/>
      <c r="J290" s="5"/>
    </row>
    <row r="291" spans="1:10" ht="25.5" x14ac:dyDescent="0.2">
      <c r="A291" s="5" t="s">
        <v>18142</v>
      </c>
      <c r="B291" s="5" t="s">
        <v>8584</v>
      </c>
      <c r="C291" s="5">
        <v>274</v>
      </c>
      <c r="D291" s="5"/>
      <c r="E291" s="5"/>
      <c r="F291" s="5"/>
      <c r="G291" s="5" t="s">
        <v>229</v>
      </c>
      <c r="H291" s="5" t="s">
        <v>3</v>
      </c>
      <c r="I291" s="5"/>
      <c r="J291" s="5"/>
    </row>
    <row r="292" spans="1:10" x14ac:dyDescent="0.2">
      <c r="A292" s="5" t="s">
        <v>18141</v>
      </c>
      <c r="B292" s="5" t="s">
        <v>8584</v>
      </c>
      <c r="C292" s="5">
        <v>275</v>
      </c>
      <c r="D292" s="5"/>
      <c r="E292" s="5"/>
      <c r="F292" s="5"/>
      <c r="G292" s="5" t="s">
        <v>229</v>
      </c>
      <c r="H292" s="5" t="s">
        <v>3</v>
      </c>
      <c r="I292" s="5"/>
      <c r="J292" s="5"/>
    </row>
    <row r="293" spans="1:10" ht="25.5" x14ac:dyDescent="0.2">
      <c r="A293" s="5" t="s">
        <v>18140</v>
      </c>
      <c r="B293" s="5" t="s">
        <v>8584</v>
      </c>
      <c r="C293" s="5">
        <v>276</v>
      </c>
      <c r="D293" s="5"/>
      <c r="E293" s="5" t="s">
        <v>138</v>
      </c>
      <c r="F293" s="5"/>
      <c r="G293" s="5" t="s">
        <v>91</v>
      </c>
      <c r="H293" s="5" t="s">
        <v>3</v>
      </c>
      <c r="I293" s="5"/>
      <c r="J293" s="5" t="s">
        <v>18139</v>
      </c>
    </row>
    <row r="294" spans="1:10" x14ac:dyDescent="0.2">
      <c r="A294" s="5" t="s">
        <v>17477</v>
      </c>
      <c r="B294" s="5" t="s">
        <v>8584</v>
      </c>
      <c r="C294" s="5">
        <v>277</v>
      </c>
      <c r="D294" s="5"/>
      <c r="E294" s="5" t="s">
        <v>288</v>
      </c>
      <c r="F294" s="5"/>
      <c r="G294" s="5" t="s">
        <v>91</v>
      </c>
      <c r="H294" s="5" t="s">
        <v>3</v>
      </c>
      <c r="I294" s="5"/>
      <c r="J294" s="5" t="s">
        <v>18138</v>
      </c>
    </row>
    <row r="295" spans="1:10" x14ac:dyDescent="0.2">
      <c r="A295" s="5" t="s">
        <v>17475</v>
      </c>
      <c r="B295" s="5" t="s">
        <v>8584</v>
      </c>
      <c r="C295" s="5">
        <v>277</v>
      </c>
      <c r="D295" s="5"/>
      <c r="E295" s="5" t="s">
        <v>213</v>
      </c>
      <c r="F295" s="5"/>
      <c r="G295" s="5" t="s">
        <v>91</v>
      </c>
      <c r="H295" s="5" t="s">
        <v>3</v>
      </c>
      <c r="I295" s="5"/>
      <c r="J295" s="5" t="s">
        <v>18138</v>
      </c>
    </row>
    <row r="296" spans="1:10" x14ac:dyDescent="0.2">
      <c r="A296" s="5" t="s">
        <v>17472</v>
      </c>
      <c r="B296" s="5" t="s">
        <v>8584</v>
      </c>
      <c r="C296" s="5">
        <v>278</v>
      </c>
      <c r="D296" s="5"/>
      <c r="E296" s="5" t="s">
        <v>665</v>
      </c>
      <c r="F296" s="5"/>
      <c r="G296" s="5" t="s">
        <v>148</v>
      </c>
      <c r="H296" s="5" t="s">
        <v>3</v>
      </c>
      <c r="I296" s="5"/>
      <c r="J296" s="5" t="s">
        <v>18137</v>
      </c>
    </row>
    <row r="297" spans="1:10" x14ac:dyDescent="0.2">
      <c r="A297" s="5" t="s">
        <v>17469</v>
      </c>
      <c r="B297" s="5" t="s">
        <v>8584</v>
      </c>
      <c r="C297" s="5">
        <v>279</v>
      </c>
      <c r="D297" s="5"/>
      <c r="E297" s="5"/>
      <c r="F297" s="5"/>
      <c r="G297" s="5" t="s">
        <v>229</v>
      </c>
      <c r="H297" s="5" t="s">
        <v>3</v>
      </c>
      <c r="I297" s="5"/>
      <c r="J297" s="5" t="s">
        <v>18136</v>
      </c>
    </row>
    <row r="298" spans="1:10" ht="25.5" x14ac:dyDescent="0.2">
      <c r="A298" s="5" t="s">
        <v>18135</v>
      </c>
      <c r="B298" s="5" t="s">
        <v>8584</v>
      </c>
      <c r="C298" s="5">
        <v>280</v>
      </c>
      <c r="D298" s="5"/>
      <c r="E298" s="5"/>
      <c r="F298" s="5"/>
      <c r="G298" s="5" t="s">
        <v>80</v>
      </c>
      <c r="H298" s="5" t="s">
        <v>137</v>
      </c>
      <c r="I298" s="5" t="s">
        <v>11411</v>
      </c>
      <c r="J298" s="5" t="s">
        <v>18134</v>
      </c>
    </row>
    <row r="299" spans="1:10" x14ac:dyDescent="0.2">
      <c r="A299" s="5" t="s">
        <v>16551</v>
      </c>
      <c r="B299" s="5" t="s">
        <v>8584</v>
      </c>
      <c r="C299" s="5">
        <v>281</v>
      </c>
      <c r="D299" s="5"/>
      <c r="E299" s="5" t="s">
        <v>138</v>
      </c>
      <c r="F299" s="5"/>
      <c r="G299" s="5" t="s">
        <v>91</v>
      </c>
      <c r="H299" s="5" t="s">
        <v>3</v>
      </c>
      <c r="I299" s="5"/>
      <c r="J299" s="5" t="s">
        <v>16550</v>
      </c>
    </row>
    <row r="300" spans="1:10" ht="25.5" x14ac:dyDescent="0.2">
      <c r="A300" s="5" t="s">
        <v>8571</v>
      </c>
      <c r="B300" s="5" t="s">
        <v>83</v>
      </c>
      <c r="C300" s="5"/>
      <c r="D300" s="5" t="s">
        <v>18133</v>
      </c>
      <c r="E300" s="5"/>
      <c r="F300" s="5" t="s">
        <v>11225</v>
      </c>
      <c r="G300" s="5" t="s">
        <v>896</v>
      </c>
      <c r="H300" s="5" t="s">
        <v>137</v>
      </c>
      <c r="I300" s="5" t="s">
        <v>11411</v>
      </c>
      <c r="J300" s="5" t="s">
        <v>11541</v>
      </c>
    </row>
    <row r="301" spans="1:10" x14ac:dyDescent="0.2">
      <c r="A301" s="5" t="s">
        <v>18132</v>
      </c>
      <c r="B301" s="5" t="s">
        <v>83</v>
      </c>
      <c r="C301" s="5"/>
      <c r="D301" s="5" t="s">
        <v>18131</v>
      </c>
      <c r="E301" s="5"/>
      <c r="F301" s="5" t="s">
        <v>10326</v>
      </c>
      <c r="G301" s="5" t="s">
        <v>170</v>
      </c>
      <c r="H301" s="5" t="s">
        <v>137</v>
      </c>
      <c r="I301" s="5" t="s">
        <v>361</v>
      </c>
      <c r="J301" s="5" t="s">
        <v>10324</v>
      </c>
    </row>
    <row r="302" spans="1:10" x14ac:dyDescent="0.2">
      <c r="A302" s="5" t="s">
        <v>18130</v>
      </c>
      <c r="B302" s="5" t="s">
        <v>83</v>
      </c>
      <c r="C302" s="5"/>
      <c r="D302" s="5" t="s">
        <v>18129</v>
      </c>
      <c r="E302" s="5"/>
      <c r="F302" s="5" t="s">
        <v>15239</v>
      </c>
      <c r="G302" s="5" t="s">
        <v>170</v>
      </c>
      <c r="H302" s="5" t="s">
        <v>137</v>
      </c>
      <c r="I302" s="5" t="s">
        <v>18128</v>
      </c>
      <c r="J302" s="5"/>
    </row>
    <row r="303" spans="1:10" x14ac:dyDescent="0.2">
      <c r="A303" s="5" t="s">
        <v>18127</v>
      </c>
      <c r="B303" s="5" t="s">
        <v>83</v>
      </c>
      <c r="C303" s="5"/>
      <c r="D303" s="5" t="s">
        <v>18126</v>
      </c>
      <c r="E303" s="5"/>
      <c r="F303" s="5" t="s">
        <v>14744</v>
      </c>
      <c r="G303" s="5" t="s">
        <v>91</v>
      </c>
      <c r="H303" s="5" t="s">
        <v>137</v>
      </c>
      <c r="I303" s="5"/>
      <c r="J303" s="5" t="s">
        <v>18036</v>
      </c>
    </row>
    <row r="304" spans="1:10" ht="25.5" x14ac:dyDescent="0.2">
      <c r="A304" s="5" t="s">
        <v>18125</v>
      </c>
      <c r="B304" s="5" t="s">
        <v>83</v>
      </c>
      <c r="C304" s="5"/>
      <c r="D304" s="5" t="s">
        <v>18124</v>
      </c>
      <c r="E304" s="5"/>
      <c r="F304" s="5" t="s">
        <v>18123</v>
      </c>
      <c r="G304" s="5" t="s">
        <v>7296</v>
      </c>
      <c r="H304" s="5" t="s">
        <v>3</v>
      </c>
      <c r="I304" s="5"/>
      <c r="J304" s="5" t="s">
        <v>18122</v>
      </c>
    </row>
    <row r="305" spans="1:10" ht="25.5" x14ac:dyDescent="0.2">
      <c r="A305" s="5" t="s">
        <v>18121</v>
      </c>
      <c r="B305" s="5" t="s">
        <v>83</v>
      </c>
      <c r="C305" s="5"/>
      <c r="D305" s="5" t="s">
        <v>18120</v>
      </c>
      <c r="E305" s="5"/>
      <c r="F305" s="5" t="s">
        <v>361</v>
      </c>
      <c r="G305" s="5" t="s">
        <v>114</v>
      </c>
      <c r="H305" s="5" t="s">
        <v>3</v>
      </c>
      <c r="I305" s="5"/>
      <c r="J305" s="5" t="s">
        <v>18119</v>
      </c>
    </row>
    <row r="306" spans="1:10" ht="25.5" x14ac:dyDescent="0.2">
      <c r="A306" s="5" t="s">
        <v>16529</v>
      </c>
      <c r="B306" s="5" t="s">
        <v>83</v>
      </c>
      <c r="C306" s="5"/>
      <c r="D306" s="5" t="s">
        <v>16528</v>
      </c>
      <c r="E306" s="5"/>
      <c r="F306" s="5" t="s">
        <v>16527</v>
      </c>
      <c r="G306" s="5" t="s">
        <v>224</v>
      </c>
      <c r="H306" s="5"/>
      <c r="I306" s="5"/>
      <c r="J306" s="5" t="s">
        <v>16523</v>
      </c>
    </row>
    <row r="307" spans="1:10" ht="25.5" x14ac:dyDescent="0.2">
      <c r="A307" s="5" t="s">
        <v>11177</v>
      </c>
      <c r="B307" s="5" t="s">
        <v>83</v>
      </c>
      <c r="C307" s="5"/>
      <c r="D307" s="5" t="s">
        <v>11176</v>
      </c>
      <c r="E307" s="5"/>
      <c r="F307" s="5" t="s">
        <v>10572</v>
      </c>
      <c r="G307" s="5" t="s">
        <v>173</v>
      </c>
      <c r="H307" s="5" t="s">
        <v>137</v>
      </c>
      <c r="I307" s="5" t="s">
        <v>11411</v>
      </c>
      <c r="J307" s="5" t="s">
        <v>11175</v>
      </c>
    </row>
    <row r="308" spans="1:10" ht="25.5" x14ac:dyDescent="0.2">
      <c r="A308" s="5" t="s">
        <v>11331</v>
      </c>
      <c r="B308" s="5" t="s">
        <v>83</v>
      </c>
      <c r="C308" s="5"/>
      <c r="D308" s="5" t="s">
        <v>18118</v>
      </c>
      <c r="E308" s="5"/>
      <c r="F308" s="5" t="s">
        <v>7980</v>
      </c>
      <c r="G308" s="5" t="s">
        <v>207</v>
      </c>
      <c r="H308" s="5" t="s">
        <v>137</v>
      </c>
      <c r="I308" s="5" t="s">
        <v>11411</v>
      </c>
      <c r="J308" s="5" t="s">
        <v>11330</v>
      </c>
    </row>
    <row r="309" spans="1:10" ht="25.5" x14ac:dyDescent="0.2">
      <c r="A309" s="5" t="s">
        <v>11149</v>
      </c>
      <c r="B309" s="5" t="s">
        <v>83</v>
      </c>
      <c r="C309" s="5"/>
      <c r="D309" s="5" t="s">
        <v>18117</v>
      </c>
      <c r="E309" s="5"/>
      <c r="F309" s="5" t="s">
        <v>7977</v>
      </c>
      <c r="G309" s="5" t="s">
        <v>315</v>
      </c>
      <c r="H309" s="5" t="s">
        <v>137</v>
      </c>
      <c r="I309" s="5" t="s">
        <v>11411</v>
      </c>
      <c r="J309" s="5" t="s">
        <v>14168</v>
      </c>
    </row>
    <row r="310" spans="1:10" x14ac:dyDescent="0.2">
      <c r="A310" s="5" t="s">
        <v>17449</v>
      </c>
      <c r="B310" s="5" t="s">
        <v>83</v>
      </c>
      <c r="C310" s="5"/>
      <c r="D310" s="5" t="s">
        <v>18116</v>
      </c>
      <c r="E310" s="5"/>
      <c r="F310" s="5" t="s">
        <v>18115</v>
      </c>
      <c r="G310" s="5" t="s">
        <v>283</v>
      </c>
      <c r="H310" s="5" t="s">
        <v>3</v>
      </c>
      <c r="I310" s="5"/>
      <c r="J310" s="5" t="s">
        <v>17446</v>
      </c>
    </row>
    <row r="311" spans="1:10" ht="25.5" x14ac:dyDescent="0.2">
      <c r="A311" s="5" t="s">
        <v>18114</v>
      </c>
      <c r="B311" s="5" t="s">
        <v>83</v>
      </c>
      <c r="C311" s="5"/>
      <c r="D311" s="5" t="s">
        <v>18113</v>
      </c>
      <c r="E311" s="5" t="s">
        <v>138</v>
      </c>
      <c r="F311" s="5" t="s">
        <v>18112</v>
      </c>
      <c r="G311" s="5" t="s">
        <v>91</v>
      </c>
      <c r="H311" s="5" t="s">
        <v>137</v>
      </c>
      <c r="I311" s="5" t="s">
        <v>10232</v>
      </c>
      <c r="J311" s="5"/>
    </row>
    <row r="312" spans="1:10" ht="25.5" x14ac:dyDescent="0.2">
      <c r="A312" s="5" t="s">
        <v>18111</v>
      </c>
      <c r="B312" s="5" t="s">
        <v>83</v>
      </c>
      <c r="C312" s="5"/>
      <c r="D312" s="5" t="s">
        <v>18110</v>
      </c>
      <c r="E312" s="5" t="s">
        <v>18109</v>
      </c>
      <c r="F312" s="5" t="s">
        <v>5537</v>
      </c>
      <c r="G312" s="5" t="s">
        <v>91</v>
      </c>
      <c r="H312" s="5" t="s">
        <v>137</v>
      </c>
      <c r="I312" s="5" t="s">
        <v>17838</v>
      </c>
      <c r="J312" s="5" t="s">
        <v>18108</v>
      </c>
    </row>
    <row r="313" spans="1:10" x14ac:dyDescent="0.2">
      <c r="A313" s="5" t="s">
        <v>16437</v>
      </c>
      <c r="B313" s="5" t="s">
        <v>83</v>
      </c>
      <c r="C313" s="5"/>
      <c r="D313" s="5" t="s">
        <v>18107</v>
      </c>
      <c r="E313" s="5"/>
      <c r="F313" s="5" t="s">
        <v>16435</v>
      </c>
      <c r="G313" s="5" t="s">
        <v>91</v>
      </c>
      <c r="H313" s="5" t="s">
        <v>3</v>
      </c>
      <c r="I313" s="5"/>
      <c r="J313" s="5" t="s">
        <v>16434</v>
      </c>
    </row>
    <row r="314" spans="1:10" x14ac:dyDescent="0.2">
      <c r="A314" s="5" t="s">
        <v>16431</v>
      </c>
      <c r="B314" s="5" t="s">
        <v>83</v>
      </c>
      <c r="C314" s="5"/>
      <c r="D314" s="5" t="s">
        <v>15411</v>
      </c>
      <c r="E314" s="5"/>
      <c r="F314" s="5" t="s">
        <v>8406</v>
      </c>
      <c r="G314" s="5" t="s">
        <v>328</v>
      </c>
      <c r="H314" s="5" t="s">
        <v>3</v>
      </c>
      <c r="I314" s="5"/>
      <c r="J314" s="5" t="s">
        <v>16430</v>
      </c>
    </row>
    <row r="315" spans="1:10" ht="25.5" x14ac:dyDescent="0.2">
      <c r="A315" s="5" t="s">
        <v>18106</v>
      </c>
      <c r="B315" s="5" t="s">
        <v>83</v>
      </c>
      <c r="C315" s="5"/>
      <c r="D315" s="5" t="s">
        <v>18105</v>
      </c>
      <c r="E315" s="5"/>
      <c r="F315" s="5" t="s">
        <v>18104</v>
      </c>
      <c r="G315" s="5" t="s">
        <v>122</v>
      </c>
      <c r="H315" s="5" t="s">
        <v>3</v>
      </c>
      <c r="I315" s="5"/>
      <c r="J315" s="5" t="s">
        <v>17929</v>
      </c>
    </row>
    <row r="316" spans="1:10" ht="25.5" x14ac:dyDescent="0.2">
      <c r="A316" s="5" t="s">
        <v>11492</v>
      </c>
      <c r="B316" s="5" t="s">
        <v>83</v>
      </c>
      <c r="C316" s="5"/>
      <c r="D316" s="5" t="s">
        <v>18103</v>
      </c>
      <c r="E316" s="5"/>
      <c r="F316" s="5" t="s">
        <v>18102</v>
      </c>
      <c r="G316" s="5" t="s">
        <v>118</v>
      </c>
      <c r="H316" s="5" t="s">
        <v>137</v>
      </c>
      <c r="I316" s="5" t="s">
        <v>11411</v>
      </c>
      <c r="J316" s="5" t="s">
        <v>18101</v>
      </c>
    </row>
    <row r="317" spans="1:10" ht="25.5" x14ac:dyDescent="0.2">
      <c r="A317" s="5" t="s">
        <v>11408</v>
      </c>
      <c r="B317" s="5" t="s">
        <v>83</v>
      </c>
      <c r="C317" s="5"/>
      <c r="D317" s="5" t="s">
        <v>18100</v>
      </c>
      <c r="E317" s="5"/>
      <c r="F317" s="5" t="s">
        <v>10998</v>
      </c>
      <c r="G317" s="5" t="s">
        <v>80</v>
      </c>
      <c r="H317" s="5" t="s">
        <v>137</v>
      </c>
      <c r="I317" s="5" t="s">
        <v>11411</v>
      </c>
      <c r="J317" s="5" t="s">
        <v>18099</v>
      </c>
    </row>
    <row r="318" spans="1:10" ht="25.5" x14ac:dyDescent="0.2">
      <c r="A318" s="5" t="s">
        <v>18098</v>
      </c>
      <c r="B318" s="5" t="s">
        <v>83</v>
      </c>
      <c r="C318" s="5"/>
      <c r="D318" s="5" t="s">
        <v>18097</v>
      </c>
      <c r="E318" s="5"/>
      <c r="F318" s="5" t="s">
        <v>5537</v>
      </c>
      <c r="G318" s="5" t="s">
        <v>207</v>
      </c>
      <c r="H318" s="5" t="s">
        <v>137</v>
      </c>
      <c r="I318" s="5" t="s">
        <v>11411</v>
      </c>
      <c r="J318" s="5" t="s">
        <v>18096</v>
      </c>
    </row>
    <row r="319" spans="1:10" x14ac:dyDescent="0.2">
      <c r="A319" s="5" t="s">
        <v>16413</v>
      </c>
      <c r="B319" s="5" t="s">
        <v>83</v>
      </c>
      <c r="C319" s="5"/>
      <c r="D319" s="5" t="s">
        <v>16412</v>
      </c>
      <c r="E319" s="5"/>
      <c r="F319" s="5" t="s">
        <v>9283</v>
      </c>
      <c r="G319" s="5" t="s">
        <v>896</v>
      </c>
      <c r="H319" s="5" t="s">
        <v>3</v>
      </c>
      <c r="I319" s="5"/>
      <c r="J319" s="5" t="s">
        <v>16411</v>
      </c>
    </row>
    <row r="320" spans="1:10" x14ac:dyDescent="0.2">
      <c r="A320" s="5" t="s">
        <v>16405</v>
      </c>
      <c r="B320" s="5" t="s">
        <v>83</v>
      </c>
      <c r="C320" s="5"/>
      <c r="D320" s="5" t="s">
        <v>16404</v>
      </c>
      <c r="E320" s="5"/>
      <c r="F320" s="5" t="s">
        <v>8135</v>
      </c>
      <c r="G320" s="5" t="s">
        <v>896</v>
      </c>
      <c r="H320" s="5" t="s">
        <v>3</v>
      </c>
      <c r="I320" s="5"/>
      <c r="J320" s="5" t="s">
        <v>16403</v>
      </c>
    </row>
    <row r="321" spans="1:10" ht="25.5" x14ac:dyDescent="0.2">
      <c r="A321" s="5" t="s">
        <v>18093</v>
      </c>
      <c r="B321" s="5" t="s">
        <v>83</v>
      </c>
      <c r="C321" s="5"/>
      <c r="D321" s="5" t="s">
        <v>18095</v>
      </c>
      <c r="E321" s="5" t="s">
        <v>11304</v>
      </c>
      <c r="F321" s="5" t="s">
        <v>18094</v>
      </c>
      <c r="G321" s="5" t="s">
        <v>224</v>
      </c>
      <c r="H321" s="5" t="s">
        <v>137</v>
      </c>
      <c r="I321" s="5" t="s">
        <v>18093</v>
      </c>
      <c r="J321" s="5"/>
    </row>
    <row r="322" spans="1:10" ht="25.5" x14ac:dyDescent="0.2">
      <c r="A322" s="5" t="s">
        <v>18092</v>
      </c>
      <c r="B322" s="5" t="s">
        <v>83</v>
      </c>
      <c r="C322" s="5"/>
      <c r="D322" s="5" t="s">
        <v>18091</v>
      </c>
      <c r="E322" s="5" t="s">
        <v>11304</v>
      </c>
      <c r="F322" s="5" t="s">
        <v>18090</v>
      </c>
      <c r="G322" s="5" t="s">
        <v>224</v>
      </c>
      <c r="H322" s="5" t="s">
        <v>3</v>
      </c>
      <c r="I322" s="5"/>
      <c r="J322" s="5" t="s">
        <v>18089</v>
      </c>
    </row>
    <row r="323" spans="1:10" ht="25.5" x14ac:dyDescent="0.2">
      <c r="A323" s="5" t="s">
        <v>18088</v>
      </c>
      <c r="B323" s="5" t="s">
        <v>83</v>
      </c>
      <c r="C323" s="5"/>
      <c r="D323" s="5" t="s">
        <v>18087</v>
      </c>
      <c r="E323" s="5"/>
      <c r="F323" s="5" t="s">
        <v>11451</v>
      </c>
      <c r="G323" s="5" t="s">
        <v>207</v>
      </c>
      <c r="H323" s="5" t="s">
        <v>137</v>
      </c>
      <c r="I323" s="5" t="s">
        <v>11411</v>
      </c>
      <c r="J323" s="5" t="s">
        <v>18086</v>
      </c>
    </row>
    <row r="324" spans="1:10" ht="25.5" x14ac:dyDescent="0.2">
      <c r="A324" s="5" t="s">
        <v>10951</v>
      </c>
      <c r="B324" s="5" t="s">
        <v>83</v>
      </c>
      <c r="C324" s="5"/>
      <c r="D324" s="5" t="s">
        <v>18085</v>
      </c>
      <c r="E324" s="5"/>
      <c r="F324" s="5" t="s">
        <v>11451</v>
      </c>
      <c r="G324" s="5" t="s">
        <v>173</v>
      </c>
      <c r="H324" s="5" t="s">
        <v>137</v>
      </c>
      <c r="I324" s="5" t="s">
        <v>11411</v>
      </c>
      <c r="J324" s="5" t="s">
        <v>18084</v>
      </c>
    </row>
    <row r="325" spans="1:10" ht="25.5" x14ac:dyDescent="0.2">
      <c r="A325" s="5" t="s">
        <v>8039</v>
      </c>
      <c r="B325" s="5" t="s">
        <v>83</v>
      </c>
      <c r="C325" s="5"/>
      <c r="D325" s="5" t="s">
        <v>18083</v>
      </c>
      <c r="E325" s="5"/>
      <c r="F325" s="5" t="s">
        <v>11402</v>
      </c>
      <c r="G325" s="5" t="s">
        <v>118</v>
      </c>
      <c r="H325" s="5" t="s">
        <v>137</v>
      </c>
      <c r="I325" s="5" t="s">
        <v>11411</v>
      </c>
      <c r="J325" s="5" t="s">
        <v>8037</v>
      </c>
    </row>
    <row r="326" spans="1:10" ht="25.5" x14ac:dyDescent="0.2">
      <c r="A326" s="5" t="s">
        <v>18082</v>
      </c>
      <c r="B326" s="5" t="s">
        <v>83</v>
      </c>
      <c r="C326" s="5"/>
      <c r="D326" s="5" t="s">
        <v>18081</v>
      </c>
      <c r="E326" s="5"/>
      <c r="F326" s="5" t="s">
        <v>16129</v>
      </c>
      <c r="G326" s="5" t="s">
        <v>6584</v>
      </c>
      <c r="H326" s="5" t="s">
        <v>137</v>
      </c>
      <c r="I326" s="5" t="s">
        <v>10232</v>
      </c>
      <c r="J326" s="5" t="s">
        <v>18080</v>
      </c>
    </row>
    <row r="327" spans="1:10" ht="25.5" x14ac:dyDescent="0.2">
      <c r="A327" s="5" t="s">
        <v>18079</v>
      </c>
      <c r="B327" s="5" t="s">
        <v>83</v>
      </c>
      <c r="C327" s="5"/>
      <c r="D327" s="5" t="s">
        <v>18078</v>
      </c>
      <c r="E327" s="5"/>
      <c r="F327" s="5" t="s">
        <v>16129</v>
      </c>
      <c r="G327" s="5" t="s">
        <v>382</v>
      </c>
      <c r="H327" s="5" t="s">
        <v>137</v>
      </c>
      <c r="I327" s="5" t="s">
        <v>10232</v>
      </c>
      <c r="J327" s="5" t="s">
        <v>18077</v>
      </c>
    </row>
    <row r="328" spans="1:10" ht="25.5" x14ac:dyDescent="0.2">
      <c r="A328" s="5" t="s">
        <v>18076</v>
      </c>
      <c r="B328" s="5" t="s">
        <v>83</v>
      </c>
      <c r="C328" s="5"/>
      <c r="D328" s="5" t="s">
        <v>18075</v>
      </c>
      <c r="E328" s="5"/>
      <c r="F328" s="5" t="s">
        <v>18074</v>
      </c>
      <c r="G328" s="5" t="s">
        <v>8604</v>
      </c>
      <c r="H328" s="5" t="s">
        <v>137</v>
      </c>
      <c r="I328" s="5" t="s">
        <v>15385</v>
      </c>
      <c r="J328" s="5" t="s">
        <v>18073</v>
      </c>
    </row>
    <row r="329" spans="1:10" x14ac:dyDescent="0.2">
      <c r="A329" s="5" t="s">
        <v>18072</v>
      </c>
      <c r="B329" s="5" t="s">
        <v>83</v>
      </c>
      <c r="C329" s="5"/>
      <c r="D329" s="5" t="s">
        <v>15411</v>
      </c>
      <c r="E329" s="5"/>
      <c r="F329" s="5" t="s">
        <v>18071</v>
      </c>
      <c r="G329" s="5" t="s">
        <v>91</v>
      </c>
      <c r="H329" s="5" t="s">
        <v>3</v>
      </c>
      <c r="I329" s="5"/>
      <c r="J329" s="5"/>
    </row>
    <row r="330" spans="1:10" ht="25.5" x14ac:dyDescent="0.2">
      <c r="A330" s="5" t="s">
        <v>16309</v>
      </c>
      <c r="B330" s="5" t="s">
        <v>83</v>
      </c>
      <c r="C330" s="5"/>
      <c r="D330" s="5" t="s">
        <v>18070</v>
      </c>
      <c r="E330" s="5"/>
      <c r="F330" s="5" t="s">
        <v>15239</v>
      </c>
      <c r="G330" s="5" t="s">
        <v>229</v>
      </c>
      <c r="H330" s="5" t="s">
        <v>137</v>
      </c>
      <c r="I330" s="5" t="s">
        <v>15305</v>
      </c>
      <c r="J330" s="5" t="s">
        <v>18069</v>
      </c>
    </row>
    <row r="331" spans="1:10" x14ac:dyDescent="0.2">
      <c r="A331" s="5" t="s">
        <v>18068</v>
      </c>
      <c r="B331" s="5" t="s">
        <v>83</v>
      </c>
      <c r="C331" s="5"/>
      <c r="D331" s="5" t="s">
        <v>18067</v>
      </c>
      <c r="E331" s="5"/>
      <c r="F331" s="5" t="s">
        <v>18066</v>
      </c>
      <c r="G331" s="5" t="s">
        <v>229</v>
      </c>
      <c r="H331" s="5" t="s">
        <v>3</v>
      </c>
      <c r="I331" s="5"/>
      <c r="J331" s="5" t="s">
        <v>17053</v>
      </c>
    </row>
    <row r="332" spans="1:10" x14ac:dyDescent="0.2">
      <c r="A332" s="5" t="s">
        <v>18065</v>
      </c>
      <c r="B332" s="5" t="s">
        <v>83</v>
      </c>
      <c r="C332" s="5"/>
      <c r="D332" s="5" t="s">
        <v>18064</v>
      </c>
      <c r="E332" s="5"/>
      <c r="F332" s="5" t="s">
        <v>12158</v>
      </c>
      <c r="G332" s="5" t="s">
        <v>4028</v>
      </c>
      <c r="H332" s="5" t="s">
        <v>3</v>
      </c>
      <c r="I332" s="5"/>
      <c r="J332" s="5" t="s">
        <v>18063</v>
      </c>
    </row>
    <row r="333" spans="1:10" ht="25.5" x14ac:dyDescent="0.2">
      <c r="A333" s="5" t="s">
        <v>18060</v>
      </c>
      <c r="B333" s="5" t="s">
        <v>83</v>
      </c>
      <c r="C333" s="5"/>
      <c r="D333" s="5" t="s">
        <v>18062</v>
      </c>
      <c r="E333" s="5" t="s">
        <v>11304</v>
      </c>
      <c r="F333" s="5" t="s">
        <v>18061</v>
      </c>
      <c r="G333" s="5" t="s">
        <v>224</v>
      </c>
      <c r="H333" s="5" t="s">
        <v>137</v>
      </c>
      <c r="I333" s="5" t="s">
        <v>18060</v>
      </c>
      <c r="J333" s="5"/>
    </row>
    <row r="334" spans="1:10" ht="25.5" x14ac:dyDescent="0.2">
      <c r="A334" s="5" t="s">
        <v>18059</v>
      </c>
      <c r="B334" s="5" t="s">
        <v>83</v>
      </c>
      <c r="C334" s="5"/>
      <c r="D334" s="5" t="s">
        <v>18058</v>
      </c>
      <c r="E334" s="5" t="s">
        <v>11304</v>
      </c>
      <c r="F334" s="5" t="s">
        <v>18057</v>
      </c>
      <c r="G334" s="5" t="s">
        <v>224</v>
      </c>
      <c r="H334" s="5" t="s">
        <v>3</v>
      </c>
      <c r="I334" s="5"/>
      <c r="J334" s="5" t="s">
        <v>18056</v>
      </c>
    </row>
    <row r="335" spans="1:10" ht="25.5" x14ac:dyDescent="0.2">
      <c r="A335" s="5" t="s">
        <v>18055</v>
      </c>
      <c r="B335" s="5" t="s">
        <v>83</v>
      </c>
      <c r="C335" s="5"/>
      <c r="D335" s="5" t="s">
        <v>18054</v>
      </c>
      <c r="E335" s="5" t="s">
        <v>138</v>
      </c>
      <c r="F335" s="5" t="s">
        <v>12907</v>
      </c>
      <c r="G335" s="5" t="s">
        <v>91</v>
      </c>
      <c r="H335" s="5" t="s">
        <v>137</v>
      </c>
      <c r="I335" s="5" t="s">
        <v>18050</v>
      </c>
      <c r="J335" s="5" t="s">
        <v>18053</v>
      </c>
    </row>
    <row r="336" spans="1:10" ht="25.5" x14ac:dyDescent="0.2">
      <c r="A336" s="5" t="s">
        <v>18052</v>
      </c>
      <c r="B336" s="5" t="s">
        <v>83</v>
      </c>
      <c r="C336" s="5"/>
      <c r="D336" s="5" t="s">
        <v>18051</v>
      </c>
      <c r="E336" s="5" t="s">
        <v>138</v>
      </c>
      <c r="F336" s="5" t="s">
        <v>12907</v>
      </c>
      <c r="G336" s="5" t="s">
        <v>91</v>
      </c>
      <c r="H336" s="5" t="s">
        <v>137</v>
      </c>
      <c r="I336" s="5" t="s">
        <v>18050</v>
      </c>
      <c r="J336" s="5" t="s">
        <v>18049</v>
      </c>
    </row>
    <row r="337" spans="1:10" ht="25.5" x14ac:dyDescent="0.2">
      <c r="A337" s="5" t="s">
        <v>18048</v>
      </c>
      <c r="B337" s="5" t="s">
        <v>83</v>
      </c>
      <c r="C337" s="5"/>
      <c r="D337" s="5" t="s">
        <v>18047</v>
      </c>
      <c r="E337" s="5" t="s">
        <v>6367</v>
      </c>
      <c r="F337" s="5" t="s">
        <v>12907</v>
      </c>
      <c r="G337" s="5" t="s">
        <v>105</v>
      </c>
      <c r="H337" s="5" t="s">
        <v>137</v>
      </c>
      <c r="I337" s="5" t="s">
        <v>10232</v>
      </c>
      <c r="J337" s="5" t="s">
        <v>18046</v>
      </c>
    </row>
    <row r="338" spans="1:10" ht="25.5" x14ac:dyDescent="0.2">
      <c r="A338" s="5" t="s">
        <v>16253</v>
      </c>
      <c r="B338" s="5" t="s">
        <v>83</v>
      </c>
      <c r="C338" s="5"/>
      <c r="D338" s="5" t="s">
        <v>16252</v>
      </c>
      <c r="E338" s="5"/>
      <c r="F338" s="5"/>
      <c r="G338" s="5" t="s">
        <v>224</v>
      </c>
      <c r="H338" s="5" t="s">
        <v>137</v>
      </c>
      <c r="I338" s="5" t="s">
        <v>16251</v>
      </c>
      <c r="J338" s="5" t="s">
        <v>16250</v>
      </c>
    </row>
    <row r="339" spans="1:10" x14ac:dyDescent="0.2">
      <c r="A339" s="5" t="s">
        <v>7894</v>
      </c>
      <c r="B339" s="5" t="s">
        <v>83</v>
      </c>
      <c r="C339" s="5"/>
      <c r="D339" s="5" t="s">
        <v>18045</v>
      </c>
      <c r="E339" s="5"/>
      <c r="F339" s="5" t="s">
        <v>9472</v>
      </c>
      <c r="G339" s="5" t="s">
        <v>80</v>
      </c>
      <c r="H339" s="5" t="s">
        <v>3</v>
      </c>
      <c r="I339" s="5"/>
      <c r="J339" s="5" t="s">
        <v>13737</v>
      </c>
    </row>
    <row r="340" spans="1:10" ht="25.5" x14ac:dyDescent="0.2">
      <c r="A340" s="5" t="s">
        <v>18044</v>
      </c>
      <c r="B340" s="5" t="s">
        <v>83</v>
      </c>
      <c r="C340" s="5"/>
      <c r="D340" s="5" t="s">
        <v>18043</v>
      </c>
      <c r="E340" s="5"/>
      <c r="F340" s="5" t="s">
        <v>18042</v>
      </c>
      <c r="G340" s="5" t="s">
        <v>18041</v>
      </c>
      <c r="H340" s="5" t="s">
        <v>137</v>
      </c>
      <c r="I340" s="5" t="s">
        <v>18040</v>
      </c>
      <c r="J340" s="5" t="s">
        <v>18039</v>
      </c>
    </row>
    <row r="341" spans="1:10" x14ac:dyDescent="0.2">
      <c r="A341" s="5" t="s">
        <v>18038</v>
      </c>
      <c r="B341" s="5" t="s">
        <v>83</v>
      </c>
      <c r="C341" s="5"/>
      <c r="D341" s="5" t="s">
        <v>18037</v>
      </c>
      <c r="E341" s="5"/>
      <c r="F341" s="5" t="s">
        <v>14744</v>
      </c>
      <c r="G341" s="5" t="s">
        <v>91</v>
      </c>
      <c r="H341" s="5" t="s">
        <v>137</v>
      </c>
      <c r="I341" s="5"/>
      <c r="J341" s="5" t="s">
        <v>18036</v>
      </c>
    </row>
    <row r="342" spans="1:10" x14ac:dyDescent="0.2">
      <c r="A342" s="5" t="s">
        <v>10827</v>
      </c>
      <c r="B342" s="5" t="s">
        <v>83</v>
      </c>
      <c r="C342" s="5"/>
      <c r="D342" s="5" t="s">
        <v>18035</v>
      </c>
      <c r="E342" s="5"/>
      <c r="F342" s="5"/>
      <c r="G342" s="5" t="s">
        <v>195</v>
      </c>
      <c r="H342" s="5" t="s">
        <v>3</v>
      </c>
      <c r="I342" s="5"/>
      <c r="J342" s="5" t="s">
        <v>10825</v>
      </c>
    </row>
    <row r="343" spans="1:10" x14ac:dyDescent="0.2">
      <c r="A343" s="5" t="s">
        <v>18034</v>
      </c>
      <c r="B343" s="5" t="s">
        <v>83</v>
      </c>
      <c r="C343" s="5"/>
      <c r="D343" s="5" t="s">
        <v>18033</v>
      </c>
      <c r="E343" s="5"/>
      <c r="F343" s="5" t="s">
        <v>18032</v>
      </c>
      <c r="G343" s="5" t="s">
        <v>229</v>
      </c>
      <c r="H343" s="5" t="s">
        <v>3</v>
      </c>
      <c r="I343" s="5"/>
      <c r="J343" s="5" t="s">
        <v>18031</v>
      </c>
    </row>
    <row r="344" spans="1:10" x14ac:dyDescent="0.2">
      <c r="A344" s="5" t="s">
        <v>16217</v>
      </c>
      <c r="B344" s="5" t="s">
        <v>83</v>
      </c>
      <c r="C344" s="5"/>
      <c r="D344" s="5" t="s">
        <v>18030</v>
      </c>
      <c r="E344" s="5"/>
      <c r="F344" s="5" t="s">
        <v>15874</v>
      </c>
      <c r="G344" s="5" t="s">
        <v>207</v>
      </c>
      <c r="H344" s="5" t="s">
        <v>3</v>
      </c>
      <c r="I344" s="5"/>
      <c r="J344" s="5" t="s">
        <v>18029</v>
      </c>
    </row>
    <row r="345" spans="1:10" ht="25.5" x14ac:dyDescent="0.2">
      <c r="A345" s="5" t="s">
        <v>18028</v>
      </c>
      <c r="B345" s="5" t="s">
        <v>83</v>
      </c>
      <c r="C345" s="5"/>
      <c r="D345" s="5" t="s">
        <v>18027</v>
      </c>
      <c r="E345" s="5"/>
      <c r="F345" s="5" t="s">
        <v>11083</v>
      </c>
      <c r="G345" s="5" t="s">
        <v>207</v>
      </c>
      <c r="H345" s="5" t="s">
        <v>137</v>
      </c>
      <c r="I345" s="5" t="s">
        <v>11411</v>
      </c>
      <c r="J345" s="5" t="s">
        <v>18026</v>
      </c>
    </row>
    <row r="346" spans="1:10" x14ac:dyDescent="0.2">
      <c r="A346" s="5" t="s">
        <v>10246</v>
      </c>
      <c r="B346" s="5" t="s">
        <v>83</v>
      </c>
      <c r="C346" s="5"/>
      <c r="D346" s="5" t="s">
        <v>18025</v>
      </c>
      <c r="E346" s="5"/>
      <c r="F346" s="5"/>
      <c r="G346" s="5" t="s">
        <v>6584</v>
      </c>
      <c r="H346" s="5" t="s">
        <v>3</v>
      </c>
      <c r="I346" s="5"/>
      <c r="J346" s="5" t="s">
        <v>18024</v>
      </c>
    </row>
    <row r="347" spans="1:10" ht="25.5" x14ac:dyDescent="0.2">
      <c r="A347" s="5" t="s">
        <v>18023</v>
      </c>
      <c r="B347" s="5" t="s">
        <v>83</v>
      </c>
      <c r="C347" s="5"/>
      <c r="D347" s="5" t="s">
        <v>18022</v>
      </c>
      <c r="E347" s="5"/>
      <c r="F347" s="5" t="s">
        <v>267</v>
      </c>
      <c r="G347" s="5" t="s">
        <v>4</v>
      </c>
      <c r="H347" s="5" t="s">
        <v>137</v>
      </c>
      <c r="I347" s="5" t="s">
        <v>10232</v>
      </c>
      <c r="J347" s="5" t="s">
        <v>16453</v>
      </c>
    </row>
    <row r="348" spans="1:10" ht="25.5" x14ac:dyDescent="0.2">
      <c r="A348" s="5" t="s">
        <v>18021</v>
      </c>
      <c r="B348" s="5" t="s">
        <v>83</v>
      </c>
      <c r="C348" s="5"/>
      <c r="D348" s="5" t="s">
        <v>18020</v>
      </c>
      <c r="E348" s="5"/>
      <c r="F348" s="5" t="s">
        <v>8406</v>
      </c>
      <c r="G348" s="5" t="s">
        <v>229</v>
      </c>
      <c r="H348" s="5" t="s">
        <v>137</v>
      </c>
      <c r="I348" s="5" t="s">
        <v>10232</v>
      </c>
      <c r="J348" s="5"/>
    </row>
    <row r="349" spans="1:10" ht="25.5" x14ac:dyDescent="0.2">
      <c r="A349" s="5" t="s">
        <v>18019</v>
      </c>
      <c r="B349" s="5" t="s">
        <v>83</v>
      </c>
      <c r="C349" s="5"/>
      <c r="D349" s="5" t="s">
        <v>18018</v>
      </c>
      <c r="E349" s="5"/>
      <c r="F349" s="5" t="s">
        <v>267</v>
      </c>
      <c r="G349" s="5" t="s">
        <v>170</v>
      </c>
      <c r="H349" s="5" t="s">
        <v>137</v>
      </c>
      <c r="I349" s="5" t="s">
        <v>10232</v>
      </c>
      <c r="J349" s="5" t="s">
        <v>16408</v>
      </c>
    </row>
    <row r="350" spans="1:10" ht="38.25" x14ac:dyDescent="0.2">
      <c r="A350" s="5" t="s">
        <v>18017</v>
      </c>
      <c r="B350" s="5" t="s">
        <v>83</v>
      </c>
      <c r="C350" s="5"/>
      <c r="D350" s="5" t="s">
        <v>18016</v>
      </c>
      <c r="E350" s="5"/>
      <c r="F350" s="5" t="s">
        <v>267</v>
      </c>
      <c r="G350" s="5" t="s">
        <v>199</v>
      </c>
      <c r="H350" s="5" t="s">
        <v>137</v>
      </c>
      <c r="I350" s="5" t="s">
        <v>10232</v>
      </c>
      <c r="J350" s="5" t="s">
        <v>16218</v>
      </c>
    </row>
    <row r="351" spans="1:10" ht="25.5" x14ac:dyDescent="0.2">
      <c r="A351" s="5" t="s">
        <v>18015</v>
      </c>
      <c r="B351" s="5" t="s">
        <v>83</v>
      </c>
      <c r="C351" s="5"/>
      <c r="D351" s="5" t="s">
        <v>18014</v>
      </c>
      <c r="E351" s="5" t="s">
        <v>138</v>
      </c>
      <c r="F351" s="5" t="s">
        <v>8472</v>
      </c>
      <c r="G351" s="5" t="s">
        <v>91</v>
      </c>
      <c r="H351" s="5" t="s">
        <v>137</v>
      </c>
      <c r="I351" s="5" t="s">
        <v>10232</v>
      </c>
      <c r="J351" s="5"/>
    </row>
    <row r="352" spans="1:10" ht="25.5" x14ac:dyDescent="0.2">
      <c r="A352" s="5" t="s">
        <v>18013</v>
      </c>
      <c r="B352" s="5" t="s">
        <v>83</v>
      </c>
      <c r="C352" s="5"/>
      <c r="D352" s="5" t="s">
        <v>18012</v>
      </c>
      <c r="E352" s="5" t="s">
        <v>368</v>
      </c>
      <c r="F352" s="5"/>
      <c r="G352" s="5" t="s">
        <v>382</v>
      </c>
      <c r="H352" s="5" t="s">
        <v>137</v>
      </c>
      <c r="I352" s="5" t="s">
        <v>10232</v>
      </c>
      <c r="J352" s="5"/>
    </row>
    <row r="353" spans="1:10" ht="25.5" x14ac:dyDescent="0.2">
      <c r="A353" s="5" t="s">
        <v>18011</v>
      </c>
      <c r="B353" s="5" t="s">
        <v>83</v>
      </c>
      <c r="C353" s="5"/>
      <c r="D353" s="5" t="s">
        <v>18010</v>
      </c>
      <c r="E353" s="5"/>
      <c r="F353" s="5" t="s">
        <v>8472</v>
      </c>
      <c r="G353" s="5" t="s">
        <v>173</v>
      </c>
      <c r="H353" s="5" t="s">
        <v>137</v>
      </c>
      <c r="I353" s="5" t="s">
        <v>10232</v>
      </c>
      <c r="J353" s="5"/>
    </row>
    <row r="354" spans="1:10" ht="25.5" x14ac:dyDescent="0.2">
      <c r="A354" s="5" t="s">
        <v>16168</v>
      </c>
      <c r="B354" s="5" t="s">
        <v>83</v>
      </c>
      <c r="C354" s="5"/>
      <c r="D354" s="5" t="s">
        <v>16167</v>
      </c>
      <c r="E354" s="5"/>
      <c r="F354" s="5" t="s">
        <v>8831</v>
      </c>
      <c r="G354" s="5" t="s">
        <v>393</v>
      </c>
      <c r="H354" s="5" t="s">
        <v>137</v>
      </c>
      <c r="I354" s="5" t="s">
        <v>10232</v>
      </c>
      <c r="J354" s="5" t="s">
        <v>18009</v>
      </c>
    </row>
    <row r="355" spans="1:10" ht="25.5" x14ac:dyDescent="0.2">
      <c r="A355" s="5" t="s">
        <v>10236</v>
      </c>
      <c r="B355" s="5" t="s">
        <v>83</v>
      </c>
      <c r="C355" s="5"/>
      <c r="D355" s="5" t="s">
        <v>15079</v>
      </c>
      <c r="E355" s="5"/>
      <c r="F355" s="5" t="s">
        <v>123</v>
      </c>
      <c r="G355" s="5" t="s">
        <v>224</v>
      </c>
      <c r="H355" s="5" t="s">
        <v>137</v>
      </c>
      <c r="I355" s="5" t="s">
        <v>10232</v>
      </c>
      <c r="J355" s="5" t="s">
        <v>16164</v>
      </c>
    </row>
    <row r="356" spans="1:10" ht="38.25" x14ac:dyDescent="0.2">
      <c r="A356" s="5" t="s">
        <v>18008</v>
      </c>
      <c r="B356" s="5" t="s">
        <v>83</v>
      </c>
      <c r="C356" s="5"/>
      <c r="D356" s="5" t="s">
        <v>18007</v>
      </c>
      <c r="E356" s="5"/>
      <c r="F356" s="5" t="s">
        <v>18006</v>
      </c>
      <c r="G356" s="5" t="s">
        <v>224</v>
      </c>
      <c r="H356" s="5" t="s">
        <v>137</v>
      </c>
      <c r="I356" s="5" t="s">
        <v>10232</v>
      </c>
      <c r="J356" s="5" t="s">
        <v>18005</v>
      </c>
    </row>
    <row r="357" spans="1:10" ht="25.5" x14ac:dyDescent="0.2">
      <c r="A357" s="5" t="s">
        <v>18004</v>
      </c>
      <c r="B357" s="5" t="s">
        <v>83</v>
      </c>
      <c r="C357" s="5"/>
      <c r="D357" s="5" t="s">
        <v>18003</v>
      </c>
      <c r="E357" s="5"/>
      <c r="F357" s="5" t="s">
        <v>7653</v>
      </c>
      <c r="G357" s="5" t="s">
        <v>224</v>
      </c>
      <c r="H357" s="5" t="s">
        <v>137</v>
      </c>
      <c r="I357" s="5" t="s">
        <v>10232</v>
      </c>
      <c r="J357" s="5"/>
    </row>
    <row r="358" spans="1:10" ht="25.5" x14ac:dyDescent="0.2">
      <c r="A358" s="5" t="s">
        <v>18002</v>
      </c>
      <c r="B358" s="5" t="s">
        <v>83</v>
      </c>
      <c r="C358" s="5"/>
      <c r="D358" s="5" t="s">
        <v>18001</v>
      </c>
      <c r="E358" s="5"/>
      <c r="F358" s="5" t="s">
        <v>8472</v>
      </c>
      <c r="G358" s="5" t="s">
        <v>118</v>
      </c>
      <c r="H358" s="5" t="s">
        <v>137</v>
      </c>
      <c r="I358" s="5" t="s">
        <v>10232</v>
      </c>
      <c r="J358" s="5"/>
    </row>
    <row r="359" spans="1:10" ht="25.5" x14ac:dyDescent="0.2">
      <c r="A359" s="5" t="s">
        <v>18000</v>
      </c>
      <c r="B359" s="5" t="s">
        <v>83</v>
      </c>
      <c r="C359" s="5"/>
      <c r="D359" s="5" t="s">
        <v>17999</v>
      </c>
      <c r="E359" s="5"/>
      <c r="F359" s="5" t="s">
        <v>7653</v>
      </c>
      <c r="G359" s="5" t="s">
        <v>224</v>
      </c>
      <c r="H359" s="5" t="s">
        <v>137</v>
      </c>
      <c r="I359" s="5" t="s">
        <v>10232</v>
      </c>
      <c r="J359" s="5"/>
    </row>
    <row r="360" spans="1:10" ht="25.5" x14ac:dyDescent="0.2">
      <c r="A360" s="5" t="s">
        <v>16155</v>
      </c>
      <c r="B360" s="5" t="s">
        <v>83</v>
      </c>
      <c r="C360" s="5"/>
      <c r="D360" s="5" t="s">
        <v>16154</v>
      </c>
      <c r="E360" s="5"/>
      <c r="F360" s="5" t="s">
        <v>17998</v>
      </c>
      <c r="G360" s="5" t="s">
        <v>224</v>
      </c>
      <c r="H360" s="5" t="s">
        <v>137</v>
      </c>
      <c r="I360" s="5" t="s">
        <v>10232</v>
      </c>
      <c r="J360" s="5" t="s">
        <v>17997</v>
      </c>
    </row>
    <row r="361" spans="1:10" x14ac:dyDescent="0.2">
      <c r="A361" s="5" t="s">
        <v>16147</v>
      </c>
      <c r="B361" s="5" t="s">
        <v>83</v>
      </c>
      <c r="C361" s="5"/>
      <c r="D361" s="5" t="s">
        <v>16146</v>
      </c>
      <c r="E361" s="5"/>
      <c r="F361" s="5" t="s">
        <v>8479</v>
      </c>
      <c r="G361" s="5" t="s">
        <v>91</v>
      </c>
      <c r="H361" s="5" t="s">
        <v>137</v>
      </c>
      <c r="I361" s="5"/>
      <c r="J361" s="5" t="s">
        <v>17996</v>
      </c>
    </row>
    <row r="362" spans="1:10" ht="25.5" x14ac:dyDescent="0.2">
      <c r="A362" s="5" t="s">
        <v>17995</v>
      </c>
      <c r="B362" s="5" t="s">
        <v>83</v>
      </c>
      <c r="C362" s="5"/>
      <c r="D362" s="5" t="s">
        <v>17994</v>
      </c>
      <c r="E362" s="5" t="s">
        <v>138</v>
      </c>
      <c r="F362" s="5" t="s">
        <v>106</v>
      </c>
      <c r="G362" s="5" t="s">
        <v>148</v>
      </c>
      <c r="H362" s="5" t="s">
        <v>137</v>
      </c>
      <c r="I362" s="5" t="s">
        <v>10232</v>
      </c>
      <c r="J362" s="5" t="s">
        <v>9637</v>
      </c>
    </row>
    <row r="363" spans="1:10" x14ac:dyDescent="0.2">
      <c r="A363" s="5" t="s">
        <v>16112</v>
      </c>
      <c r="B363" s="5" t="s">
        <v>83</v>
      </c>
      <c r="C363" s="5"/>
      <c r="D363" s="5" t="s">
        <v>15626</v>
      </c>
      <c r="E363" s="5"/>
      <c r="F363" s="5" t="s">
        <v>8844</v>
      </c>
      <c r="G363" s="5" t="s">
        <v>7296</v>
      </c>
      <c r="H363" s="5" t="s">
        <v>3</v>
      </c>
      <c r="I363" s="5"/>
      <c r="J363" s="5"/>
    </row>
    <row r="364" spans="1:10" ht="25.5" x14ac:dyDescent="0.2">
      <c r="A364" s="5" t="s">
        <v>17993</v>
      </c>
      <c r="B364" s="5" t="s">
        <v>83</v>
      </c>
      <c r="C364" s="5"/>
      <c r="D364" s="5" t="s">
        <v>17992</v>
      </c>
      <c r="E364" s="5"/>
      <c r="F364" s="5" t="s">
        <v>17991</v>
      </c>
      <c r="G364" s="5" t="s">
        <v>122</v>
      </c>
      <c r="H364" s="5" t="s">
        <v>3</v>
      </c>
      <c r="I364" s="5"/>
      <c r="J364" s="5" t="s">
        <v>17929</v>
      </c>
    </row>
    <row r="365" spans="1:10" ht="25.5" x14ac:dyDescent="0.2">
      <c r="A365" s="5" t="s">
        <v>17990</v>
      </c>
      <c r="B365" s="5" t="s">
        <v>83</v>
      </c>
      <c r="C365" s="5"/>
      <c r="D365" s="5" t="s">
        <v>16455</v>
      </c>
      <c r="E365" s="5"/>
      <c r="F365" s="5" t="s">
        <v>267</v>
      </c>
      <c r="G365" s="5" t="s">
        <v>4</v>
      </c>
      <c r="H365" s="5" t="s">
        <v>137</v>
      </c>
      <c r="I365" s="5" t="s">
        <v>15305</v>
      </c>
      <c r="J365" s="5" t="s">
        <v>16453</v>
      </c>
    </row>
    <row r="366" spans="1:10" ht="25.5" x14ac:dyDescent="0.2">
      <c r="A366" s="5" t="s">
        <v>17989</v>
      </c>
      <c r="B366" s="5" t="s">
        <v>83</v>
      </c>
      <c r="C366" s="5"/>
      <c r="D366" s="5" t="s">
        <v>16432</v>
      </c>
      <c r="E366" s="5"/>
      <c r="F366" s="5" t="s">
        <v>8406</v>
      </c>
      <c r="G366" s="5" t="s">
        <v>229</v>
      </c>
      <c r="H366" s="5" t="s">
        <v>137</v>
      </c>
      <c r="I366" s="5" t="s">
        <v>15305</v>
      </c>
      <c r="J366" s="5"/>
    </row>
    <row r="367" spans="1:10" ht="25.5" x14ac:dyDescent="0.2">
      <c r="A367" s="5" t="s">
        <v>17988</v>
      </c>
      <c r="B367" s="5" t="s">
        <v>83</v>
      </c>
      <c r="C367" s="5"/>
      <c r="D367" s="5" t="s">
        <v>16409</v>
      </c>
      <c r="E367" s="5"/>
      <c r="F367" s="5" t="s">
        <v>267</v>
      </c>
      <c r="G367" s="5" t="s">
        <v>170</v>
      </c>
      <c r="H367" s="5" t="s">
        <v>137</v>
      </c>
      <c r="I367" s="5" t="s">
        <v>15305</v>
      </c>
      <c r="J367" s="5" t="s">
        <v>16408</v>
      </c>
    </row>
    <row r="368" spans="1:10" ht="38.25" x14ac:dyDescent="0.2">
      <c r="A368" s="5" t="s">
        <v>17987</v>
      </c>
      <c r="B368" s="5" t="s">
        <v>83</v>
      </c>
      <c r="C368" s="5"/>
      <c r="D368" s="5" t="s">
        <v>16219</v>
      </c>
      <c r="E368" s="5"/>
      <c r="F368" s="5" t="s">
        <v>267</v>
      </c>
      <c r="G368" s="5" t="s">
        <v>199</v>
      </c>
      <c r="H368" s="5" t="s">
        <v>137</v>
      </c>
      <c r="I368" s="5" t="s">
        <v>15305</v>
      </c>
      <c r="J368" s="5" t="s">
        <v>16218</v>
      </c>
    </row>
    <row r="369" spans="1:10" ht="25.5" x14ac:dyDescent="0.2">
      <c r="A369" s="5" t="s">
        <v>17986</v>
      </c>
      <c r="B369" s="5" t="s">
        <v>83</v>
      </c>
      <c r="C369" s="5"/>
      <c r="D369" s="5" t="s">
        <v>17985</v>
      </c>
      <c r="E369" s="5" t="s">
        <v>138</v>
      </c>
      <c r="F369" s="5" t="s">
        <v>8472</v>
      </c>
      <c r="G369" s="5" t="s">
        <v>91</v>
      </c>
      <c r="H369" s="5" t="s">
        <v>137</v>
      </c>
      <c r="I369" s="5" t="s">
        <v>15305</v>
      </c>
      <c r="J369" s="5"/>
    </row>
    <row r="370" spans="1:10" ht="25.5" x14ac:dyDescent="0.2">
      <c r="A370" s="5" t="s">
        <v>17984</v>
      </c>
      <c r="B370" s="5" t="s">
        <v>83</v>
      </c>
      <c r="C370" s="5"/>
      <c r="D370" s="5" t="s">
        <v>17983</v>
      </c>
      <c r="E370" s="5" t="s">
        <v>368</v>
      </c>
      <c r="F370" s="5"/>
      <c r="G370" s="5" t="s">
        <v>382</v>
      </c>
      <c r="H370" s="5" t="s">
        <v>137</v>
      </c>
      <c r="I370" s="5" t="s">
        <v>15305</v>
      </c>
      <c r="J370" s="5"/>
    </row>
    <row r="371" spans="1:10" ht="25.5" x14ac:dyDescent="0.2">
      <c r="A371" s="5" t="s">
        <v>17982</v>
      </c>
      <c r="B371" s="5" t="s">
        <v>83</v>
      </c>
      <c r="C371" s="5"/>
      <c r="D371" s="5" t="s">
        <v>17981</v>
      </c>
      <c r="E371" s="5"/>
      <c r="F371" s="5" t="s">
        <v>8472</v>
      </c>
      <c r="G371" s="5" t="s">
        <v>173</v>
      </c>
      <c r="H371" s="5" t="s">
        <v>137</v>
      </c>
      <c r="I371" s="5" t="s">
        <v>15305</v>
      </c>
      <c r="J371" s="5"/>
    </row>
    <row r="372" spans="1:10" ht="25.5" x14ac:dyDescent="0.2">
      <c r="A372" s="5" t="s">
        <v>16062</v>
      </c>
      <c r="B372" s="5" t="s">
        <v>83</v>
      </c>
      <c r="C372" s="5"/>
      <c r="D372" s="5" t="s">
        <v>15652</v>
      </c>
      <c r="E372" s="5"/>
      <c r="F372" s="5" t="s">
        <v>123</v>
      </c>
      <c r="G372" s="5" t="s">
        <v>122</v>
      </c>
      <c r="H372" s="5" t="s">
        <v>137</v>
      </c>
      <c r="I372" s="5" t="s">
        <v>15305</v>
      </c>
      <c r="J372" s="5" t="s">
        <v>16058</v>
      </c>
    </row>
    <row r="373" spans="1:10" ht="25.5" x14ac:dyDescent="0.2">
      <c r="A373" s="5" t="s">
        <v>16059</v>
      </c>
      <c r="B373" s="5" t="s">
        <v>83</v>
      </c>
      <c r="C373" s="5"/>
      <c r="D373" s="5" t="s">
        <v>16056</v>
      </c>
      <c r="E373" s="5"/>
      <c r="F373" s="5" t="s">
        <v>123</v>
      </c>
      <c r="G373" s="5" t="s">
        <v>122</v>
      </c>
      <c r="H373" s="5" t="s">
        <v>137</v>
      </c>
      <c r="I373" s="5" t="s">
        <v>15305</v>
      </c>
      <c r="J373" s="5" t="s">
        <v>16058</v>
      </c>
    </row>
    <row r="374" spans="1:10" ht="25.5" x14ac:dyDescent="0.2">
      <c r="A374" s="5" t="s">
        <v>16053</v>
      </c>
      <c r="B374" s="5" t="s">
        <v>83</v>
      </c>
      <c r="C374" s="5"/>
      <c r="D374" s="5" t="s">
        <v>16052</v>
      </c>
      <c r="E374" s="5"/>
      <c r="F374" s="5" t="s">
        <v>16051</v>
      </c>
      <c r="G374" s="5" t="s">
        <v>224</v>
      </c>
      <c r="H374" s="5" t="s">
        <v>137</v>
      </c>
      <c r="I374" s="5" t="s">
        <v>16048</v>
      </c>
      <c r="J374" s="5"/>
    </row>
    <row r="375" spans="1:10" ht="25.5" x14ac:dyDescent="0.2">
      <c r="A375" s="5" t="s">
        <v>16050</v>
      </c>
      <c r="B375" s="5" t="s">
        <v>83</v>
      </c>
      <c r="C375" s="5"/>
      <c r="D375" s="5" t="s">
        <v>17980</v>
      </c>
      <c r="E375" s="5"/>
      <c r="F375" s="5" t="s">
        <v>9767</v>
      </c>
      <c r="G375" s="5" t="s">
        <v>224</v>
      </c>
      <c r="H375" s="5" t="s">
        <v>137</v>
      </c>
      <c r="I375" s="5" t="s">
        <v>16048</v>
      </c>
      <c r="J375" s="5" t="s">
        <v>16047</v>
      </c>
    </row>
    <row r="376" spans="1:10" ht="38.25" x14ac:dyDescent="0.2">
      <c r="A376" s="5" t="s">
        <v>17979</v>
      </c>
      <c r="B376" s="5" t="s">
        <v>83</v>
      </c>
      <c r="C376" s="5"/>
      <c r="D376" s="5" t="s">
        <v>17978</v>
      </c>
      <c r="E376" s="5"/>
      <c r="F376" s="5" t="s">
        <v>17977</v>
      </c>
      <c r="G376" s="5" t="s">
        <v>224</v>
      </c>
      <c r="H376" s="5" t="s">
        <v>137</v>
      </c>
      <c r="I376" s="5" t="s">
        <v>15305</v>
      </c>
      <c r="J376" s="5" t="s">
        <v>17976</v>
      </c>
    </row>
    <row r="377" spans="1:10" ht="25.5" x14ac:dyDescent="0.2">
      <c r="A377" s="5" t="s">
        <v>17975</v>
      </c>
      <c r="B377" s="5" t="s">
        <v>83</v>
      </c>
      <c r="C377" s="5"/>
      <c r="D377" s="5" t="s">
        <v>17974</v>
      </c>
      <c r="E377" s="5"/>
      <c r="F377" s="5" t="s">
        <v>8479</v>
      </c>
      <c r="G377" s="5" t="s">
        <v>91</v>
      </c>
      <c r="H377" s="5" t="s">
        <v>137</v>
      </c>
      <c r="I377" s="5" t="s">
        <v>15305</v>
      </c>
      <c r="J377" s="5"/>
    </row>
    <row r="378" spans="1:10" ht="25.5" x14ac:dyDescent="0.2">
      <c r="A378" s="5" t="s">
        <v>17973</v>
      </c>
      <c r="B378" s="5" t="s">
        <v>83</v>
      </c>
      <c r="C378" s="5"/>
      <c r="D378" s="5" t="s">
        <v>17972</v>
      </c>
      <c r="E378" s="5"/>
      <c r="F378" s="5" t="s">
        <v>7653</v>
      </c>
      <c r="G378" s="5" t="s">
        <v>224</v>
      </c>
      <c r="H378" s="5" t="s">
        <v>137</v>
      </c>
      <c r="I378" s="5" t="s">
        <v>15305</v>
      </c>
      <c r="J378" s="5"/>
    </row>
    <row r="379" spans="1:10" ht="25.5" x14ac:dyDescent="0.2">
      <c r="A379" s="5" t="s">
        <v>17971</v>
      </c>
      <c r="B379" s="5" t="s">
        <v>83</v>
      </c>
      <c r="C379" s="5"/>
      <c r="D379" s="5" t="s">
        <v>17970</v>
      </c>
      <c r="E379" s="5"/>
      <c r="F379" s="5" t="s">
        <v>8472</v>
      </c>
      <c r="G379" s="5" t="s">
        <v>118</v>
      </c>
      <c r="H379" s="5" t="s">
        <v>137</v>
      </c>
      <c r="I379" s="5" t="s">
        <v>15305</v>
      </c>
      <c r="J379" s="5"/>
    </row>
    <row r="380" spans="1:10" ht="25.5" x14ac:dyDescent="0.2">
      <c r="A380" s="5" t="s">
        <v>17969</v>
      </c>
      <c r="B380" s="5" t="s">
        <v>83</v>
      </c>
      <c r="C380" s="5"/>
      <c r="D380" s="5" t="s">
        <v>17968</v>
      </c>
      <c r="E380" s="5"/>
      <c r="F380" s="5" t="s">
        <v>7653</v>
      </c>
      <c r="G380" s="5" t="s">
        <v>224</v>
      </c>
      <c r="H380" s="5" t="s">
        <v>137</v>
      </c>
      <c r="I380" s="5" t="s">
        <v>15305</v>
      </c>
      <c r="J380" s="5"/>
    </row>
    <row r="381" spans="1:10" ht="25.5" x14ac:dyDescent="0.2">
      <c r="A381" s="5" t="s">
        <v>17967</v>
      </c>
      <c r="B381" s="5" t="s">
        <v>83</v>
      </c>
      <c r="C381" s="5"/>
      <c r="D381" s="5" t="s">
        <v>16016</v>
      </c>
      <c r="E381" s="5"/>
      <c r="F381" s="5" t="s">
        <v>17966</v>
      </c>
      <c r="G381" s="5" t="s">
        <v>224</v>
      </c>
      <c r="H381" s="5" t="s">
        <v>137</v>
      </c>
      <c r="I381" s="5" t="s">
        <v>15385</v>
      </c>
      <c r="J381" s="5" t="s">
        <v>17965</v>
      </c>
    </row>
    <row r="382" spans="1:10" ht="25.5" x14ac:dyDescent="0.2">
      <c r="A382" s="5" t="s">
        <v>17964</v>
      </c>
      <c r="B382" s="5" t="s">
        <v>83</v>
      </c>
      <c r="C382" s="5"/>
      <c r="D382" s="5" t="s">
        <v>17963</v>
      </c>
      <c r="E382" s="5"/>
      <c r="F382" s="5" t="s">
        <v>7653</v>
      </c>
      <c r="G382" s="5" t="s">
        <v>224</v>
      </c>
      <c r="H382" s="5" t="s">
        <v>137</v>
      </c>
      <c r="I382" s="5" t="s">
        <v>15385</v>
      </c>
      <c r="J382" s="5"/>
    </row>
    <row r="383" spans="1:10" ht="25.5" x14ac:dyDescent="0.2">
      <c r="A383" s="5" t="s">
        <v>17962</v>
      </c>
      <c r="B383" s="5" t="s">
        <v>83</v>
      </c>
      <c r="C383" s="5"/>
      <c r="D383" s="5" t="s">
        <v>17961</v>
      </c>
      <c r="E383" s="5"/>
      <c r="F383" s="5" t="s">
        <v>17960</v>
      </c>
      <c r="G383" s="5" t="s">
        <v>224</v>
      </c>
      <c r="H383" s="5" t="s">
        <v>137</v>
      </c>
      <c r="I383" s="5" t="s">
        <v>15305</v>
      </c>
      <c r="J383" s="5" t="s">
        <v>17959</v>
      </c>
    </row>
    <row r="384" spans="1:10" x14ac:dyDescent="0.2">
      <c r="A384" s="5" t="s">
        <v>15994</v>
      </c>
      <c r="B384" s="5" t="s">
        <v>83</v>
      </c>
      <c r="C384" s="5"/>
      <c r="D384" s="5" t="s">
        <v>15938</v>
      </c>
      <c r="E384" s="5"/>
      <c r="F384" s="5" t="s">
        <v>8479</v>
      </c>
      <c r="G384" s="5" t="s">
        <v>91</v>
      </c>
      <c r="H384" s="5" t="s">
        <v>137</v>
      </c>
      <c r="I384" s="5"/>
      <c r="J384" s="5" t="s">
        <v>15993</v>
      </c>
    </row>
    <row r="385" spans="1:10" x14ac:dyDescent="0.2">
      <c r="A385" s="5" t="s">
        <v>17958</v>
      </c>
      <c r="B385" s="5" t="s">
        <v>83</v>
      </c>
      <c r="C385" s="5"/>
      <c r="D385" s="5" t="s">
        <v>17957</v>
      </c>
      <c r="E385" s="5" t="s">
        <v>138</v>
      </c>
      <c r="F385" s="5" t="s">
        <v>17956</v>
      </c>
      <c r="G385" s="5" t="s">
        <v>148</v>
      </c>
      <c r="H385" s="5" t="s">
        <v>3</v>
      </c>
      <c r="I385" s="5"/>
      <c r="J385" s="5" t="s">
        <v>8061</v>
      </c>
    </row>
    <row r="386" spans="1:10" ht="25.5" x14ac:dyDescent="0.2">
      <c r="A386" s="5" t="s">
        <v>17955</v>
      </c>
      <c r="B386" s="5" t="s">
        <v>83</v>
      </c>
      <c r="C386" s="5"/>
      <c r="D386" s="5" t="s">
        <v>17954</v>
      </c>
      <c r="E386" s="5"/>
      <c r="F386" s="5" t="s">
        <v>15239</v>
      </c>
      <c r="G386" s="5" t="s">
        <v>224</v>
      </c>
      <c r="H386" s="5" t="s">
        <v>137</v>
      </c>
      <c r="I386" s="5" t="s">
        <v>15305</v>
      </c>
      <c r="J386" s="5"/>
    </row>
    <row r="387" spans="1:10" x14ac:dyDescent="0.2">
      <c r="A387" s="5" t="s">
        <v>17953</v>
      </c>
      <c r="B387" s="5" t="s">
        <v>83</v>
      </c>
      <c r="C387" s="5"/>
      <c r="D387" s="5" t="s">
        <v>14997</v>
      </c>
      <c r="E387" s="5"/>
      <c r="F387" s="5" t="s">
        <v>4009</v>
      </c>
      <c r="G387" s="5" t="s">
        <v>502</v>
      </c>
      <c r="H387" s="5" t="s">
        <v>137</v>
      </c>
      <c r="I387" s="5"/>
      <c r="J387" s="5" t="s">
        <v>17952</v>
      </c>
    </row>
    <row r="388" spans="1:10" ht="25.5" x14ac:dyDescent="0.2">
      <c r="A388" s="5" t="s">
        <v>17951</v>
      </c>
      <c r="B388" s="5" t="s">
        <v>83</v>
      </c>
      <c r="C388" s="5"/>
      <c r="D388" s="5" t="s">
        <v>17950</v>
      </c>
      <c r="E388" s="5" t="s">
        <v>138</v>
      </c>
      <c r="F388" s="5" t="s">
        <v>106</v>
      </c>
      <c r="G388" s="5" t="s">
        <v>148</v>
      </c>
      <c r="H388" s="5" t="s">
        <v>137</v>
      </c>
      <c r="I388" s="5" t="s">
        <v>15305</v>
      </c>
      <c r="J388" s="5" t="s">
        <v>9637</v>
      </c>
    </row>
    <row r="389" spans="1:10" x14ac:dyDescent="0.2">
      <c r="A389" s="5" t="s">
        <v>7465</v>
      </c>
      <c r="B389" s="5" t="s">
        <v>83</v>
      </c>
      <c r="C389" s="5"/>
      <c r="D389" s="5" t="s">
        <v>17949</v>
      </c>
      <c r="E389" s="5"/>
      <c r="F389" s="5" t="s">
        <v>7463</v>
      </c>
      <c r="G389" s="5" t="s">
        <v>882</v>
      </c>
      <c r="H389" s="5" t="s">
        <v>137</v>
      </c>
      <c r="I389" s="5" t="s">
        <v>17055</v>
      </c>
      <c r="J389" s="5" t="s">
        <v>7462</v>
      </c>
    </row>
    <row r="390" spans="1:10" ht="25.5" x14ac:dyDescent="0.2">
      <c r="A390" s="5" t="s">
        <v>11479</v>
      </c>
      <c r="B390" s="5" t="s">
        <v>83</v>
      </c>
      <c r="C390" s="5"/>
      <c r="D390" s="5" t="s">
        <v>17948</v>
      </c>
      <c r="E390" s="5"/>
      <c r="F390" s="5" t="s">
        <v>11479</v>
      </c>
      <c r="G390" s="5" t="s">
        <v>12821</v>
      </c>
      <c r="H390" s="5" t="s">
        <v>137</v>
      </c>
      <c r="I390" s="5" t="s">
        <v>11411</v>
      </c>
      <c r="J390" s="5" t="s">
        <v>17947</v>
      </c>
    </row>
    <row r="391" spans="1:10" ht="25.5" x14ac:dyDescent="0.2">
      <c r="A391" s="5" t="s">
        <v>15876</v>
      </c>
      <c r="B391" s="5" t="s">
        <v>83</v>
      </c>
      <c r="C391" s="5"/>
      <c r="D391" s="5" t="s">
        <v>15875</v>
      </c>
      <c r="E391" s="5"/>
      <c r="F391" s="5" t="s">
        <v>15874</v>
      </c>
      <c r="G391" s="5" t="s">
        <v>114</v>
      </c>
      <c r="H391" s="5" t="s">
        <v>137</v>
      </c>
      <c r="I391" s="5" t="s">
        <v>15852</v>
      </c>
      <c r="J391" s="5" t="s">
        <v>15873</v>
      </c>
    </row>
    <row r="392" spans="1:10" ht="25.5" x14ac:dyDescent="0.2">
      <c r="A392" s="5" t="s">
        <v>15862</v>
      </c>
      <c r="B392" s="5" t="s">
        <v>83</v>
      </c>
      <c r="C392" s="5"/>
      <c r="D392" s="5" t="s">
        <v>15861</v>
      </c>
      <c r="E392" s="5"/>
      <c r="F392" s="5" t="s">
        <v>11003</v>
      </c>
      <c r="G392" s="5" t="s">
        <v>114</v>
      </c>
      <c r="H392" s="5" t="s">
        <v>137</v>
      </c>
      <c r="I392" s="5" t="s">
        <v>15852</v>
      </c>
      <c r="J392" s="5" t="s">
        <v>15860</v>
      </c>
    </row>
    <row r="393" spans="1:10" x14ac:dyDescent="0.2">
      <c r="A393" s="5" t="s">
        <v>15850</v>
      </c>
      <c r="B393" s="5" t="s">
        <v>83</v>
      </c>
      <c r="C393" s="5"/>
      <c r="D393" s="5" t="s">
        <v>17946</v>
      </c>
      <c r="E393" s="5"/>
      <c r="F393" s="5" t="s">
        <v>14275</v>
      </c>
      <c r="G393" s="5" t="s">
        <v>303</v>
      </c>
      <c r="H393" s="5" t="s">
        <v>3</v>
      </c>
      <c r="I393" s="5"/>
      <c r="J393" s="5" t="s">
        <v>15848</v>
      </c>
    </row>
    <row r="394" spans="1:10" ht="38.25" x14ac:dyDescent="0.2">
      <c r="A394" s="5" t="s">
        <v>15835</v>
      </c>
      <c r="B394" s="5" t="s">
        <v>83</v>
      </c>
      <c r="C394" s="5"/>
      <c r="D394" s="5" t="s">
        <v>15834</v>
      </c>
      <c r="E394" s="5"/>
      <c r="F394" s="5" t="s">
        <v>24</v>
      </c>
      <c r="G394" s="5" t="s">
        <v>4</v>
      </c>
      <c r="H394" s="5" t="s">
        <v>3</v>
      </c>
      <c r="I394" s="5"/>
      <c r="J394" s="5" t="s">
        <v>15833</v>
      </c>
    </row>
    <row r="395" spans="1:10" x14ac:dyDescent="0.2">
      <c r="A395" s="5" t="s">
        <v>15832</v>
      </c>
      <c r="B395" s="5" t="s">
        <v>83</v>
      </c>
      <c r="C395" s="5"/>
      <c r="D395" s="5" t="s">
        <v>17945</v>
      </c>
      <c r="E395" s="5" t="s">
        <v>6367</v>
      </c>
      <c r="F395" s="5" t="s">
        <v>17151</v>
      </c>
      <c r="G395" s="5" t="s">
        <v>4</v>
      </c>
      <c r="H395" s="5" t="s">
        <v>3</v>
      </c>
      <c r="I395" s="5"/>
      <c r="J395" s="5" t="s">
        <v>17944</v>
      </c>
    </row>
    <row r="396" spans="1:10" ht="25.5" x14ac:dyDescent="0.2">
      <c r="A396" s="5" t="s">
        <v>17943</v>
      </c>
      <c r="B396" s="5" t="s">
        <v>83</v>
      </c>
      <c r="C396" s="5"/>
      <c r="D396" s="5" t="s">
        <v>17942</v>
      </c>
      <c r="E396" s="5"/>
      <c r="F396" s="5" t="s">
        <v>17941</v>
      </c>
      <c r="G396" s="5" t="s">
        <v>173</v>
      </c>
      <c r="H396" s="5" t="s">
        <v>137</v>
      </c>
      <c r="I396" s="5" t="s">
        <v>11411</v>
      </c>
      <c r="J396" s="5" t="s">
        <v>17940</v>
      </c>
    </row>
    <row r="397" spans="1:10" ht="25.5" x14ac:dyDescent="0.2">
      <c r="A397" s="5" t="s">
        <v>17939</v>
      </c>
      <c r="B397" s="5" t="s">
        <v>83</v>
      </c>
      <c r="C397" s="5"/>
      <c r="D397" s="5" t="s">
        <v>17938</v>
      </c>
      <c r="E397" s="5"/>
      <c r="F397" s="5" t="s">
        <v>17937</v>
      </c>
      <c r="G397" s="5" t="s">
        <v>224</v>
      </c>
      <c r="H397" s="5" t="s">
        <v>3</v>
      </c>
      <c r="I397" s="5"/>
      <c r="J397" s="5" t="s">
        <v>17936</v>
      </c>
    </row>
    <row r="398" spans="1:10" ht="25.5" x14ac:dyDescent="0.2">
      <c r="A398" s="5" t="s">
        <v>17935</v>
      </c>
      <c r="B398" s="5" t="s">
        <v>83</v>
      </c>
      <c r="C398" s="5"/>
      <c r="D398" s="5" t="s">
        <v>17934</v>
      </c>
      <c r="E398" s="5"/>
      <c r="F398" s="5" t="s">
        <v>17933</v>
      </c>
      <c r="G398" s="5" t="s">
        <v>229</v>
      </c>
      <c r="H398" s="5" t="s">
        <v>3</v>
      </c>
      <c r="I398" s="5"/>
      <c r="J398" s="5" t="s">
        <v>17932</v>
      </c>
    </row>
    <row r="399" spans="1:10" ht="25.5" x14ac:dyDescent="0.2">
      <c r="A399" s="5" t="s">
        <v>17931</v>
      </c>
      <c r="B399" s="5" t="s">
        <v>83</v>
      </c>
      <c r="C399" s="5"/>
      <c r="D399" s="5" t="s">
        <v>17930</v>
      </c>
      <c r="E399" s="5"/>
      <c r="F399" s="5" t="s">
        <v>17405</v>
      </c>
      <c r="G399" s="5" t="s">
        <v>122</v>
      </c>
      <c r="H399" s="5" t="s">
        <v>3</v>
      </c>
      <c r="I399" s="5"/>
      <c r="J399" s="5" t="s">
        <v>17929</v>
      </c>
    </row>
    <row r="400" spans="1:10" x14ac:dyDescent="0.2">
      <c r="A400" s="5" t="s">
        <v>17928</v>
      </c>
      <c r="B400" s="5" t="s">
        <v>83</v>
      </c>
      <c r="C400" s="5"/>
      <c r="D400" s="5" t="s">
        <v>17927</v>
      </c>
      <c r="E400" s="5" t="s">
        <v>213</v>
      </c>
      <c r="F400" s="5" t="s">
        <v>17926</v>
      </c>
      <c r="G400" s="5" t="s">
        <v>91</v>
      </c>
      <c r="H400" s="5" t="s">
        <v>3</v>
      </c>
      <c r="I400" s="5"/>
      <c r="J400" s="5" t="s">
        <v>17926</v>
      </c>
    </row>
    <row r="401" spans="1:10" ht="25.5" x14ac:dyDescent="0.2">
      <c r="A401" s="5" t="s">
        <v>10721</v>
      </c>
      <c r="B401" s="5" t="s">
        <v>83</v>
      </c>
      <c r="C401" s="5"/>
      <c r="D401" s="5" t="s">
        <v>17925</v>
      </c>
      <c r="E401" s="5"/>
      <c r="F401" s="5" t="s">
        <v>10719</v>
      </c>
      <c r="G401" s="5" t="s">
        <v>207</v>
      </c>
      <c r="H401" s="5" t="s">
        <v>137</v>
      </c>
      <c r="I401" s="5" t="s">
        <v>11411</v>
      </c>
      <c r="J401" s="5" t="s">
        <v>10718</v>
      </c>
    </row>
    <row r="402" spans="1:10" ht="25.5" x14ac:dyDescent="0.2">
      <c r="A402" s="5" t="s">
        <v>7294</v>
      </c>
      <c r="B402" s="5" t="s">
        <v>83</v>
      </c>
      <c r="C402" s="5"/>
      <c r="D402" s="5" t="s">
        <v>17924</v>
      </c>
      <c r="E402" s="5"/>
      <c r="F402" s="5" t="s">
        <v>9767</v>
      </c>
      <c r="G402" s="5" t="s">
        <v>229</v>
      </c>
      <c r="H402" s="5" t="s">
        <v>137</v>
      </c>
      <c r="I402" s="5" t="s">
        <v>361</v>
      </c>
      <c r="J402" s="5" t="s">
        <v>17923</v>
      </c>
    </row>
    <row r="403" spans="1:10" ht="25.5" x14ac:dyDescent="0.2">
      <c r="A403" s="5" t="s">
        <v>17922</v>
      </c>
      <c r="B403" s="5" t="s">
        <v>83</v>
      </c>
      <c r="C403" s="5"/>
      <c r="D403" s="5" t="s">
        <v>17921</v>
      </c>
      <c r="E403" s="5"/>
      <c r="F403" s="5" t="s">
        <v>8844</v>
      </c>
      <c r="G403" s="5" t="s">
        <v>393</v>
      </c>
      <c r="H403" s="5" t="s">
        <v>137</v>
      </c>
      <c r="I403" s="5" t="s">
        <v>17920</v>
      </c>
      <c r="J403" s="5" t="s">
        <v>10254</v>
      </c>
    </row>
    <row r="404" spans="1:10" ht="25.5" x14ac:dyDescent="0.2">
      <c r="A404" s="5" t="s">
        <v>17919</v>
      </c>
      <c r="B404" s="5" t="s">
        <v>83</v>
      </c>
      <c r="C404" s="5"/>
      <c r="D404" s="5" t="s">
        <v>17918</v>
      </c>
      <c r="E404" s="5"/>
      <c r="F404" s="5" t="s">
        <v>358</v>
      </c>
      <c r="G404" s="5" t="s">
        <v>8068</v>
      </c>
      <c r="H404" s="5" t="s">
        <v>137</v>
      </c>
      <c r="I404" s="5" t="s">
        <v>17917</v>
      </c>
      <c r="J404" s="5" t="s">
        <v>16427</v>
      </c>
    </row>
    <row r="405" spans="1:10" ht="25.5" x14ac:dyDescent="0.2">
      <c r="A405" s="5" t="s">
        <v>17916</v>
      </c>
      <c r="B405" s="5" t="s">
        <v>83</v>
      </c>
      <c r="C405" s="5"/>
      <c r="D405" s="5" t="s">
        <v>17915</v>
      </c>
      <c r="E405" s="5"/>
      <c r="F405" s="5" t="s">
        <v>15874</v>
      </c>
      <c r="G405" s="5" t="s">
        <v>122</v>
      </c>
      <c r="H405" s="5" t="s">
        <v>3</v>
      </c>
      <c r="I405" s="5"/>
      <c r="J405" s="5" t="s">
        <v>17914</v>
      </c>
    </row>
    <row r="406" spans="1:10" ht="25.5" x14ac:dyDescent="0.2">
      <c r="A406" s="5" t="s">
        <v>17913</v>
      </c>
      <c r="B406" s="5" t="s">
        <v>83</v>
      </c>
      <c r="C406" s="5"/>
      <c r="D406" s="5" t="s">
        <v>17912</v>
      </c>
      <c r="E406" s="5"/>
      <c r="F406" s="5" t="s">
        <v>17911</v>
      </c>
      <c r="G406" s="5" t="s">
        <v>224</v>
      </c>
      <c r="H406" s="5" t="s">
        <v>3</v>
      </c>
      <c r="I406" s="5"/>
      <c r="J406" s="5" t="s">
        <v>17910</v>
      </c>
    </row>
    <row r="407" spans="1:10" x14ac:dyDescent="0.2">
      <c r="A407" s="5" t="s">
        <v>17909</v>
      </c>
      <c r="B407" s="5" t="s">
        <v>83</v>
      </c>
      <c r="C407" s="5"/>
      <c r="D407" s="5" t="s">
        <v>17908</v>
      </c>
      <c r="E407" s="5"/>
      <c r="F407" s="5" t="s">
        <v>17907</v>
      </c>
      <c r="G407" s="5" t="s">
        <v>105</v>
      </c>
      <c r="H407" s="5" t="s">
        <v>3</v>
      </c>
      <c r="I407" s="5"/>
      <c r="J407" s="5" t="s">
        <v>17906</v>
      </c>
    </row>
    <row r="408" spans="1:10" ht="25.5" x14ac:dyDescent="0.2">
      <c r="A408" s="5" t="s">
        <v>17905</v>
      </c>
      <c r="B408" s="5" t="s">
        <v>83</v>
      </c>
      <c r="C408" s="5"/>
      <c r="D408" s="5" t="s">
        <v>17904</v>
      </c>
      <c r="E408" s="5" t="s">
        <v>368</v>
      </c>
      <c r="F408" s="5"/>
      <c r="G408" s="5" t="s">
        <v>382</v>
      </c>
      <c r="H408" s="5" t="s">
        <v>3</v>
      </c>
      <c r="I408" s="5"/>
      <c r="J408" s="5" t="s">
        <v>17903</v>
      </c>
    </row>
    <row r="409" spans="1:10" ht="38.25" x14ac:dyDescent="0.2">
      <c r="A409" s="5" t="s">
        <v>17902</v>
      </c>
      <c r="B409" s="5" t="s">
        <v>83</v>
      </c>
      <c r="C409" s="5"/>
      <c r="D409" s="5" t="s">
        <v>17869</v>
      </c>
      <c r="E409" s="5"/>
      <c r="F409" s="5"/>
      <c r="G409" s="5" t="s">
        <v>170</v>
      </c>
      <c r="H409" s="5" t="s">
        <v>3</v>
      </c>
      <c r="I409" s="5"/>
      <c r="J409" s="5" t="s">
        <v>17901</v>
      </c>
    </row>
    <row r="410" spans="1:10" ht="25.5" x14ac:dyDescent="0.2">
      <c r="A410" s="5" t="s">
        <v>17900</v>
      </c>
      <c r="B410" s="5" t="s">
        <v>83</v>
      </c>
      <c r="C410" s="5"/>
      <c r="D410" s="5" t="s">
        <v>17899</v>
      </c>
      <c r="E410" s="5" t="s">
        <v>150</v>
      </c>
      <c r="F410" s="5" t="s">
        <v>15874</v>
      </c>
      <c r="G410" s="5" t="s">
        <v>148</v>
      </c>
      <c r="H410" s="5" t="s">
        <v>137</v>
      </c>
      <c r="I410" s="5"/>
      <c r="J410" s="5" t="s">
        <v>17898</v>
      </c>
    </row>
    <row r="411" spans="1:10" ht="25.5" x14ac:dyDescent="0.2">
      <c r="A411" s="5" t="s">
        <v>11535</v>
      </c>
      <c r="B411" s="5" t="s">
        <v>83</v>
      </c>
      <c r="C411" s="5"/>
      <c r="D411" s="5" t="s">
        <v>17897</v>
      </c>
      <c r="E411" s="5"/>
      <c r="F411" s="5" t="s">
        <v>10313</v>
      </c>
      <c r="G411" s="5" t="s">
        <v>105</v>
      </c>
      <c r="H411" s="5" t="s">
        <v>137</v>
      </c>
      <c r="I411" s="5" t="s">
        <v>11411</v>
      </c>
      <c r="J411" s="5" t="s">
        <v>11534</v>
      </c>
    </row>
    <row r="412" spans="1:10" x14ac:dyDescent="0.2">
      <c r="A412" s="5" t="s">
        <v>15769</v>
      </c>
      <c r="B412" s="5" t="s">
        <v>83</v>
      </c>
      <c r="C412" s="5"/>
      <c r="D412" s="5" t="s">
        <v>17896</v>
      </c>
      <c r="E412" s="5"/>
      <c r="F412" s="5" t="s">
        <v>16859</v>
      </c>
      <c r="G412" s="5" t="s">
        <v>303</v>
      </c>
      <c r="H412" s="5" t="s">
        <v>3</v>
      </c>
      <c r="I412" s="5"/>
      <c r="J412" s="5" t="s">
        <v>15766</v>
      </c>
    </row>
    <row r="413" spans="1:10" ht="25.5" x14ac:dyDescent="0.2">
      <c r="A413" s="5" t="s">
        <v>11532</v>
      </c>
      <c r="B413" s="5" t="s">
        <v>83</v>
      </c>
      <c r="C413" s="5"/>
      <c r="D413" s="5" t="s">
        <v>17895</v>
      </c>
      <c r="E413" s="5" t="s">
        <v>213</v>
      </c>
      <c r="F413" s="5" t="s">
        <v>11519</v>
      </c>
      <c r="G413" s="5" t="s">
        <v>91</v>
      </c>
      <c r="H413" s="5" t="s">
        <v>137</v>
      </c>
      <c r="I413" s="5" t="s">
        <v>11411</v>
      </c>
      <c r="J413" s="5" t="s">
        <v>11529</v>
      </c>
    </row>
    <row r="414" spans="1:10" ht="25.5" x14ac:dyDescent="0.2">
      <c r="A414" s="5" t="s">
        <v>11528</v>
      </c>
      <c r="B414" s="5" t="s">
        <v>83</v>
      </c>
      <c r="C414" s="5"/>
      <c r="D414" s="5" t="s">
        <v>17894</v>
      </c>
      <c r="E414" s="5" t="s">
        <v>665</v>
      </c>
      <c r="F414" s="5"/>
      <c r="G414" s="5" t="s">
        <v>148</v>
      </c>
      <c r="H414" s="5" t="s">
        <v>137</v>
      </c>
      <c r="I414" s="5" t="s">
        <v>11411</v>
      </c>
      <c r="J414" s="5"/>
    </row>
    <row r="415" spans="1:10" ht="25.5" x14ac:dyDescent="0.2">
      <c r="A415" s="5" t="s">
        <v>17893</v>
      </c>
      <c r="B415" s="5" t="s">
        <v>83</v>
      </c>
      <c r="C415" s="5"/>
      <c r="D415" s="5" t="s">
        <v>17892</v>
      </c>
      <c r="E415" s="5"/>
      <c r="F415" s="5" t="s">
        <v>17891</v>
      </c>
      <c r="G415" s="5" t="s">
        <v>7768</v>
      </c>
      <c r="H415" s="5" t="s">
        <v>3</v>
      </c>
      <c r="I415" s="5"/>
      <c r="J415" s="5" t="s">
        <v>17890</v>
      </c>
    </row>
    <row r="416" spans="1:10" ht="25.5" x14ac:dyDescent="0.2">
      <c r="A416" s="5" t="s">
        <v>15762</v>
      </c>
      <c r="B416" s="5" t="s">
        <v>83</v>
      </c>
      <c r="C416" s="5"/>
      <c r="D416" s="5" t="s">
        <v>17889</v>
      </c>
      <c r="E416" s="5"/>
      <c r="F416" s="5"/>
      <c r="G416" s="5" t="s">
        <v>229</v>
      </c>
      <c r="H416" s="5" t="s">
        <v>3</v>
      </c>
      <c r="I416" s="5"/>
      <c r="J416" s="5" t="s">
        <v>15759</v>
      </c>
    </row>
    <row r="417" spans="1:10" ht="25.5" x14ac:dyDescent="0.2">
      <c r="A417" s="5" t="s">
        <v>17888</v>
      </c>
      <c r="B417" s="5" t="s">
        <v>83</v>
      </c>
      <c r="C417" s="5"/>
      <c r="D417" s="5" t="s">
        <v>17887</v>
      </c>
      <c r="E417" s="5"/>
      <c r="F417" s="5"/>
      <c r="G417" s="5" t="s">
        <v>114</v>
      </c>
      <c r="H417" s="5" t="s">
        <v>3</v>
      </c>
      <c r="I417" s="5"/>
      <c r="J417" s="5" t="s">
        <v>15759</v>
      </c>
    </row>
    <row r="418" spans="1:10" ht="25.5" x14ac:dyDescent="0.2">
      <c r="A418" s="5" t="s">
        <v>17886</v>
      </c>
      <c r="B418" s="5" t="s">
        <v>83</v>
      </c>
      <c r="C418" s="5"/>
      <c r="D418" s="5" t="s">
        <v>17885</v>
      </c>
      <c r="E418" s="5"/>
      <c r="F418" s="5" t="s">
        <v>17875</v>
      </c>
      <c r="G418" s="5" t="s">
        <v>118</v>
      </c>
      <c r="H418" s="5" t="s">
        <v>137</v>
      </c>
      <c r="I418" s="5" t="s">
        <v>7761</v>
      </c>
      <c r="J418" s="5" t="s">
        <v>17884</v>
      </c>
    </row>
    <row r="419" spans="1:10" ht="25.5" x14ac:dyDescent="0.2">
      <c r="A419" s="5" t="s">
        <v>17883</v>
      </c>
      <c r="B419" s="5" t="s">
        <v>83</v>
      </c>
      <c r="C419" s="5"/>
      <c r="D419" s="5" t="s">
        <v>17881</v>
      </c>
      <c r="E419" s="5" t="s">
        <v>11304</v>
      </c>
      <c r="F419" s="5"/>
      <c r="G419" s="5" t="s">
        <v>224</v>
      </c>
      <c r="H419" s="5" t="s">
        <v>137</v>
      </c>
      <c r="I419" s="5" t="s">
        <v>7761</v>
      </c>
      <c r="J419" s="5"/>
    </row>
    <row r="420" spans="1:10" ht="25.5" x14ac:dyDescent="0.2">
      <c r="A420" s="5" t="s">
        <v>17882</v>
      </c>
      <c r="B420" s="5" t="s">
        <v>83</v>
      </c>
      <c r="C420" s="5"/>
      <c r="D420" s="5" t="s">
        <v>17881</v>
      </c>
      <c r="E420" s="5" t="s">
        <v>11304</v>
      </c>
      <c r="F420" s="5" t="s">
        <v>8844</v>
      </c>
      <c r="G420" s="5" t="s">
        <v>357</v>
      </c>
      <c r="H420" s="5" t="s">
        <v>137</v>
      </c>
      <c r="I420" s="5" t="s">
        <v>7761</v>
      </c>
      <c r="J420" s="5"/>
    </row>
    <row r="421" spans="1:10" x14ac:dyDescent="0.2">
      <c r="A421" s="5" t="s">
        <v>17880</v>
      </c>
      <c r="B421" s="5" t="s">
        <v>83</v>
      </c>
      <c r="C421" s="5"/>
      <c r="D421" s="5" t="s">
        <v>17879</v>
      </c>
      <c r="E421" s="5"/>
      <c r="F421" s="5" t="s">
        <v>17875</v>
      </c>
      <c r="G421" s="5" t="s">
        <v>118</v>
      </c>
      <c r="H421" s="5" t="s">
        <v>137</v>
      </c>
      <c r="I421" s="5" t="s">
        <v>7761</v>
      </c>
      <c r="J421" s="5" t="s">
        <v>17878</v>
      </c>
    </row>
    <row r="422" spans="1:10" x14ac:dyDescent="0.2">
      <c r="A422" s="5" t="s">
        <v>17877</v>
      </c>
      <c r="B422" s="5" t="s">
        <v>83</v>
      </c>
      <c r="C422" s="5"/>
      <c r="D422" s="5" t="s">
        <v>17876</v>
      </c>
      <c r="E422" s="5"/>
      <c r="F422" s="5" t="s">
        <v>17875</v>
      </c>
      <c r="G422" s="5" t="s">
        <v>173</v>
      </c>
      <c r="H422" s="5" t="s">
        <v>137</v>
      </c>
      <c r="I422" s="5" t="s">
        <v>7761</v>
      </c>
      <c r="J422" s="5" t="s">
        <v>17874</v>
      </c>
    </row>
    <row r="423" spans="1:10" x14ac:dyDescent="0.2">
      <c r="A423" s="5" t="s">
        <v>13680</v>
      </c>
      <c r="B423" s="5" t="s">
        <v>83</v>
      </c>
      <c r="C423" s="5"/>
      <c r="D423" s="5" t="s">
        <v>6362</v>
      </c>
      <c r="E423" s="5" t="s">
        <v>17873</v>
      </c>
      <c r="F423" s="5" t="s">
        <v>17872</v>
      </c>
      <c r="G423" s="5" t="s">
        <v>1527</v>
      </c>
      <c r="H423" s="5" t="s">
        <v>3</v>
      </c>
      <c r="I423" s="5"/>
      <c r="J423" s="5" t="s">
        <v>17871</v>
      </c>
    </row>
    <row r="424" spans="1:10" ht="25.5" x14ac:dyDescent="0.2">
      <c r="A424" s="5" t="s">
        <v>10673</v>
      </c>
      <c r="B424" s="5" t="s">
        <v>83</v>
      </c>
      <c r="C424" s="5"/>
      <c r="D424" s="5" t="s">
        <v>10672</v>
      </c>
      <c r="E424" s="5"/>
      <c r="F424" s="5" t="s">
        <v>10649</v>
      </c>
      <c r="G424" s="5" t="s">
        <v>105</v>
      </c>
      <c r="H424" s="5" t="s">
        <v>137</v>
      </c>
      <c r="I424" s="5" t="s">
        <v>11411</v>
      </c>
      <c r="J424" s="5" t="s">
        <v>10671</v>
      </c>
    </row>
    <row r="425" spans="1:10" x14ac:dyDescent="0.2">
      <c r="A425" s="5" t="s">
        <v>15716</v>
      </c>
      <c r="B425" s="5" t="s">
        <v>83</v>
      </c>
      <c r="C425" s="5"/>
      <c r="D425" s="5" t="s">
        <v>17316</v>
      </c>
      <c r="E425" s="5"/>
      <c r="F425" s="5"/>
      <c r="G425" s="5" t="s">
        <v>195</v>
      </c>
      <c r="H425" s="5" t="s">
        <v>3</v>
      </c>
      <c r="I425" s="5"/>
      <c r="J425" s="5" t="s">
        <v>15714</v>
      </c>
    </row>
    <row r="426" spans="1:10" ht="25.5" x14ac:dyDescent="0.2">
      <c r="A426" s="5" t="s">
        <v>17870</v>
      </c>
      <c r="B426" s="5" t="s">
        <v>83</v>
      </c>
      <c r="C426" s="5"/>
      <c r="D426" s="5" t="s">
        <v>17869</v>
      </c>
      <c r="E426" s="5"/>
      <c r="F426" s="5"/>
      <c r="G426" s="5" t="s">
        <v>118</v>
      </c>
      <c r="H426" s="5" t="s">
        <v>3</v>
      </c>
      <c r="I426" s="5"/>
      <c r="J426" s="5" t="s">
        <v>17868</v>
      </c>
    </row>
    <row r="427" spans="1:10" ht="25.5" x14ac:dyDescent="0.2">
      <c r="A427" s="5" t="s">
        <v>17867</v>
      </c>
      <c r="B427" s="5" t="s">
        <v>83</v>
      </c>
      <c r="C427" s="5"/>
      <c r="D427" s="5" t="s">
        <v>17866</v>
      </c>
      <c r="E427" s="5"/>
      <c r="F427" s="5"/>
      <c r="G427" s="5" t="s">
        <v>105</v>
      </c>
      <c r="H427" s="5" t="s">
        <v>3</v>
      </c>
      <c r="I427" s="5"/>
      <c r="J427" s="5" t="s">
        <v>17865</v>
      </c>
    </row>
    <row r="428" spans="1:10" ht="25.5" x14ac:dyDescent="0.2">
      <c r="A428" s="5" t="s">
        <v>11462</v>
      </c>
      <c r="B428" s="5" t="s">
        <v>83</v>
      </c>
      <c r="C428" s="5"/>
      <c r="D428" s="5" t="s">
        <v>17864</v>
      </c>
      <c r="E428" s="5"/>
      <c r="F428" s="5" t="s">
        <v>7974</v>
      </c>
      <c r="G428" s="5" t="s">
        <v>118</v>
      </c>
      <c r="H428" s="5" t="s">
        <v>137</v>
      </c>
      <c r="I428" s="5" t="s">
        <v>11411</v>
      </c>
      <c r="J428" s="5" t="s">
        <v>11461</v>
      </c>
    </row>
    <row r="429" spans="1:10" ht="25.5" x14ac:dyDescent="0.2">
      <c r="A429" s="5" t="s">
        <v>17863</v>
      </c>
      <c r="B429" s="5" t="s">
        <v>83</v>
      </c>
      <c r="C429" s="5"/>
      <c r="D429" s="5" t="s">
        <v>17862</v>
      </c>
      <c r="E429" s="5" t="s">
        <v>11304</v>
      </c>
      <c r="F429" s="5" t="s">
        <v>8844</v>
      </c>
      <c r="G429" s="5" t="s">
        <v>224</v>
      </c>
      <c r="H429" s="5" t="s">
        <v>137</v>
      </c>
      <c r="I429" s="5" t="s">
        <v>11411</v>
      </c>
      <c r="J429" s="5" t="s">
        <v>17861</v>
      </c>
    </row>
    <row r="430" spans="1:10" ht="25.5" x14ac:dyDescent="0.2">
      <c r="A430" s="5" t="s">
        <v>14034</v>
      </c>
      <c r="B430" s="5" t="s">
        <v>83</v>
      </c>
      <c r="C430" s="5"/>
      <c r="D430" s="5" t="s">
        <v>17860</v>
      </c>
      <c r="E430" s="5"/>
      <c r="F430" s="5" t="s">
        <v>14029</v>
      </c>
      <c r="G430" s="5" t="s">
        <v>4028</v>
      </c>
      <c r="H430" s="5" t="s">
        <v>3</v>
      </c>
      <c r="I430" s="5"/>
      <c r="J430" s="5" t="s">
        <v>17859</v>
      </c>
    </row>
    <row r="431" spans="1:10" ht="25.5" x14ac:dyDescent="0.2">
      <c r="A431" s="5" t="s">
        <v>10651</v>
      </c>
      <c r="B431" s="5" t="s">
        <v>83</v>
      </c>
      <c r="C431" s="5"/>
      <c r="D431" s="5" t="s">
        <v>17858</v>
      </c>
      <c r="E431" s="5" t="s">
        <v>5520</v>
      </c>
      <c r="F431" s="5" t="s">
        <v>12730</v>
      </c>
      <c r="G431" s="5" t="s">
        <v>207</v>
      </c>
      <c r="H431" s="5" t="s">
        <v>137</v>
      </c>
      <c r="I431" s="5" t="s">
        <v>11411</v>
      </c>
      <c r="J431" s="5" t="s">
        <v>17857</v>
      </c>
    </row>
    <row r="432" spans="1:10" ht="25.5" x14ac:dyDescent="0.2">
      <c r="A432" s="5" t="s">
        <v>17856</v>
      </c>
      <c r="B432" s="5" t="s">
        <v>83</v>
      </c>
      <c r="C432" s="5"/>
      <c r="D432" s="5" t="s">
        <v>17855</v>
      </c>
      <c r="E432" s="5"/>
      <c r="F432" s="5" t="s">
        <v>15239</v>
      </c>
      <c r="G432" s="5" t="s">
        <v>6584</v>
      </c>
      <c r="H432" s="5" t="s">
        <v>137</v>
      </c>
      <c r="I432" s="5" t="s">
        <v>15305</v>
      </c>
      <c r="J432" s="5" t="s">
        <v>17854</v>
      </c>
    </row>
    <row r="433" spans="1:10" ht="25.5" x14ac:dyDescent="0.2">
      <c r="A433" s="5" t="s">
        <v>17853</v>
      </c>
      <c r="B433" s="5" t="s">
        <v>83</v>
      </c>
      <c r="C433" s="5"/>
      <c r="D433" s="5" t="s">
        <v>17852</v>
      </c>
      <c r="E433" s="5"/>
      <c r="F433" s="5" t="s">
        <v>15239</v>
      </c>
      <c r="G433" s="5" t="s">
        <v>382</v>
      </c>
      <c r="H433" s="5" t="s">
        <v>137</v>
      </c>
      <c r="I433" s="5" t="s">
        <v>15305</v>
      </c>
      <c r="J433" s="5" t="s">
        <v>17851</v>
      </c>
    </row>
    <row r="434" spans="1:10" ht="25.5" x14ac:dyDescent="0.2">
      <c r="A434" s="5" t="s">
        <v>15627</v>
      </c>
      <c r="B434" s="5" t="s">
        <v>83</v>
      </c>
      <c r="C434" s="5"/>
      <c r="D434" s="5" t="s">
        <v>15626</v>
      </c>
      <c r="E434" s="5"/>
      <c r="F434" s="5" t="s">
        <v>358</v>
      </c>
      <c r="G434" s="5" t="s">
        <v>7296</v>
      </c>
      <c r="H434" s="5" t="s">
        <v>3</v>
      </c>
      <c r="I434" s="5"/>
      <c r="J434" s="5" t="s">
        <v>15621</v>
      </c>
    </row>
    <row r="435" spans="1:10" ht="25.5" x14ac:dyDescent="0.2">
      <c r="A435" s="5" t="s">
        <v>15625</v>
      </c>
      <c r="B435" s="5" t="s">
        <v>83</v>
      </c>
      <c r="C435" s="5"/>
      <c r="D435" s="5" t="s">
        <v>15624</v>
      </c>
      <c r="E435" s="5"/>
      <c r="F435" s="5" t="s">
        <v>358</v>
      </c>
      <c r="G435" s="5" t="s">
        <v>7296</v>
      </c>
      <c r="H435" s="5" t="s">
        <v>3</v>
      </c>
      <c r="I435" s="5"/>
      <c r="J435" s="5" t="s">
        <v>15621</v>
      </c>
    </row>
    <row r="436" spans="1:10" ht="25.5" x14ac:dyDescent="0.2">
      <c r="A436" s="5" t="s">
        <v>17850</v>
      </c>
      <c r="B436" s="5" t="s">
        <v>83</v>
      </c>
      <c r="C436" s="5"/>
      <c r="D436" s="5" t="s">
        <v>17849</v>
      </c>
      <c r="E436" s="5" t="s">
        <v>138</v>
      </c>
      <c r="F436" s="5" t="s">
        <v>17845</v>
      </c>
      <c r="G436" s="5" t="s">
        <v>91</v>
      </c>
      <c r="H436" s="5" t="s">
        <v>137</v>
      </c>
      <c r="I436" s="5" t="s">
        <v>17844</v>
      </c>
      <c r="J436" s="5" t="s">
        <v>17848</v>
      </c>
    </row>
    <row r="437" spans="1:10" ht="25.5" x14ac:dyDescent="0.2">
      <c r="A437" s="5" t="s">
        <v>17847</v>
      </c>
      <c r="B437" s="5" t="s">
        <v>83</v>
      </c>
      <c r="C437" s="5"/>
      <c r="D437" s="5" t="s">
        <v>17846</v>
      </c>
      <c r="E437" s="5" t="s">
        <v>138</v>
      </c>
      <c r="F437" s="5" t="s">
        <v>17845</v>
      </c>
      <c r="G437" s="5" t="s">
        <v>91</v>
      </c>
      <c r="H437" s="5" t="s">
        <v>137</v>
      </c>
      <c r="I437" s="5" t="s">
        <v>17844</v>
      </c>
      <c r="J437" s="5" t="s">
        <v>17843</v>
      </c>
    </row>
    <row r="438" spans="1:10" ht="25.5" x14ac:dyDescent="0.2">
      <c r="A438" s="5" t="s">
        <v>17842</v>
      </c>
      <c r="B438" s="5" t="s">
        <v>83</v>
      </c>
      <c r="C438" s="5"/>
      <c r="D438" s="5" t="s">
        <v>17841</v>
      </c>
      <c r="E438" s="5" t="s">
        <v>368</v>
      </c>
      <c r="F438" s="5" t="s">
        <v>2215</v>
      </c>
      <c r="G438" s="5" t="s">
        <v>382</v>
      </c>
      <c r="H438" s="5" t="s">
        <v>3</v>
      </c>
      <c r="I438" s="5"/>
      <c r="J438" s="5" t="s">
        <v>17840</v>
      </c>
    </row>
    <row r="439" spans="1:10" ht="25.5" x14ac:dyDescent="0.2">
      <c r="A439" s="5" t="s">
        <v>17839</v>
      </c>
      <c r="B439" s="5" t="s">
        <v>83</v>
      </c>
      <c r="C439" s="5"/>
      <c r="D439" s="5" t="s">
        <v>2216</v>
      </c>
      <c r="E439" s="5"/>
      <c r="F439" s="5" t="s">
        <v>2215</v>
      </c>
      <c r="G439" s="5" t="s">
        <v>181</v>
      </c>
      <c r="H439" s="5" t="s">
        <v>137</v>
      </c>
      <c r="I439" s="5" t="s">
        <v>17838</v>
      </c>
      <c r="J439" s="5" t="s">
        <v>17837</v>
      </c>
    </row>
    <row r="440" spans="1:10" ht="25.5" x14ac:dyDescent="0.2">
      <c r="A440" s="5" t="s">
        <v>17836</v>
      </c>
      <c r="B440" s="5" t="s">
        <v>83</v>
      </c>
      <c r="C440" s="5"/>
      <c r="D440" s="5" t="s">
        <v>17835</v>
      </c>
      <c r="E440" s="5" t="s">
        <v>138</v>
      </c>
      <c r="F440" s="5" t="s">
        <v>2215</v>
      </c>
      <c r="G440" s="5" t="s">
        <v>91</v>
      </c>
      <c r="H440" s="5" t="s">
        <v>137</v>
      </c>
      <c r="I440" s="5" t="s">
        <v>10232</v>
      </c>
      <c r="J440" s="5" t="s">
        <v>17834</v>
      </c>
    </row>
    <row r="441" spans="1:10" ht="25.5" x14ac:dyDescent="0.2">
      <c r="A441" s="5" t="s">
        <v>17833</v>
      </c>
      <c r="B441" s="5" t="s">
        <v>83</v>
      </c>
      <c r="C441" s="5"/>
      <c r="D441" s="5" t="s">
        <v>17832</v>
      </c>
      <c r="E441" s="5" t="s">
        <v>138</v>
      </c>
      <c r="F441" s="5" t="s">
        <v>17831</v>
      </c>
      <c r="G441" s="5" t="s">
        <v>181</v>
      </c>
      <c r="H441" s="5" t="s">
        <v>137</v>
      </c>
      <c r="I441" s="5" t="s">
        <v>10232</v>
      </c>
      <c r="J441" s="5"/>
    </row>
    <row r="442" spans="1:10" ht="25.5" x14ac:dyDescent="0.2">
      <c r="A442" s="5" t="s">
        <v>17830</v>
      </c>
      <c r="B442" s="5" t="s">
        <v>83</v>
      </c>
      <c r="C442" s="5"/>
      <c r="D442" s="5" t="s">
        <v>17829</v>
      </c>
      <c r="E442" s="5" t="s">
        <v>138</v>
      </c>
      <c r="F442" s="5" t="s">
        <v>92</v>
      </c>
      <c r="G442" s="5" t="s">
        <v>181</v>
      </c>
      <c r="H442" s="5" t="s">
        <v>137</v>
      </c>
      <c r="I442" s="5"/>
      <c r="J442" s="5" t="s">
        <v>17828</v>
      </c>
    </row>
    <row r="443" spans="1:10" x14ac:dyDescent="0.2">
      <c r="A443" s="5" t="s">
        <v>17827</v>
      </c>
      <c r="B443" s="5" t="s">
        <v>83</v>
      </c>
      <c r="C443" s="5"/>
      <c r="D443" s="5" t="s">
        <v>17826</v>
      </c>
      <c r="E443" s="5" t="s">
        <v>138</v>
      </c>
      <c r="F443" s="5" t="s">
        <v>2215</v>
      </c>
      <c r="G443" s="5" t="s">
        <v>91</v>
      </c>
      <c r="H443" s="5" t="s">
        <v>137</v>
      </c>
      <c r="I443" s="5"/>
      <c r="J443" s="5"/>
    </row>
    <row r="444" spans="1:10" ht="25.5" x14ac:dyDescent="0.2">
      <c r="A444" s="5" t="s">
        <v>17825</v>
      </c>
      <c r="B444" s="5" t="s">
        <v>83</v>
      </c>
      <c r="C444" s="5"/>
      <c r="D444" s="5" t="s">
        <v>17824</v>
      </c>
      <c r="E444" s="5" t="s">
        <v>138</v>
      </c>
      <c r="F444" s="5" t="s">
        <v>2215</v>
      </c>
      <c r="G444" s="5" t="s">
        <v>91</v>
      </c>
      <c r="H444" s="5" t="s">
        <v>137</v>
      </c>
      <c r="I444" s="5" t="s">
        <v>15305</v>
      </c>
      <c r="J444" s="5" t="s">
        <v>17823</v>
      </c>
    </row>
    <row r="445" spans="1:10" ht="25.5" x14ac:dyDescent="0.2">
      <c r="A445" s="5" t="s">
        <v>17822</v>
      </c>
      <c r="B445" s="5" t="s">
        <v>83</v>
      </c>
      <c r="C445" s="5"/>
      <c r="D445" s="5" t="s">
        <v>17821</v>
      </c>
      <c r="E445" s="5" t="s">
        <v>138</v>
      </c>
      <c r="F445" s="5" t="s">
        <v>17818</v>
      </c>
      <c r="G445" s="5" t="s">
        <v>181</v>
      </c>
      <c r="H445" s="5" t="s">
        <v>137</v>
      </c>
      <c r="I445" s="5" t="s">
        <v>15305</v>
      </c>
      <c r="J445" s="5"/>
    </row>
    <row r="446" spans="1:10" ht="25.5" x14ac:dyDescent="0.2">
      <c r="A446" s="5" t="s">
        <v>17820</v>
      </c>
      <c r="B446" s="5" t="s">
        <v>83</v>
      </c>
      <c r="C446" s="5"/>
      <c r="D446" s="5" t="s">
        <v>17819</v>
      </c>
      <c r="E446" s="5" t="s">
        <v>138</v>
      </c>
      <c r="F446" s="5" t="s">
        <v>17818</v>
      </c>
      <c r="G446" s="5" t="s">
        <v>181</v>
      </c>
      <c r="H446" s="5" t="s">
        <v>137</v>
      </c>
      <c r="I446" s="5" t="s">
        <v>15305</v>
      </c>
      <c r="J446" s="5"/>
    </row>
    <row r="447" spans="1:10" ht="25.5" x14ac:dyDescent="0.2">
      <c r="A447" s="5" t="s">
        <v>17817</v>
      </c>
      <c r="B447" s="5" t="s">
        <v>83</v>
      </c>
      <c r="C447" s="5"/>
      <c r="D447" s="5" t="s">
        <v>15983</v>
      </c>
      <c r="E447" s="5" t="s">
        <v>138</v>
      </c>
      <c r="F447" s="5" t="s">
        <v>2215</v>
      </c>
      <c r="G447" s="5" t="s">
        <v>91</v>
      </c>
      <c r="H447" s="5" t="s">
        <v>137</v>
      </c>
      <c r="I447" s="5" t="s">
        <v>15305</v>
      </c>
      <c r="J447" s="5"/>
    </row>
    <row r="448" spans="1:10" ht="25.5" x14ac:dyDescent="0.2">
      <c r="A448" s="5" t="s">
        <v>15602</v>
      </c>
      <c r="B448" s="5" t="s">
        <v>83</v>
      </c>
      <c r="C448" s="5"/>
      <c r="D448" s="5" t="s">
        <v>15601</v>
      </c>
      <c r="E448" s="5" t="s">
        <v>138</v>
      </c>
      <c r="F448" s="5" t="s">
        <v>2215</v>
      </c>
      <c r="G448" s="5" t="s">
        <v>181</v>
      </c>
      <c r="H448" s="5" t="s">
        <v>137</v>
      </c>
      <c r="I448" s="5" t="s">
        <v>15599</v>
      </c>
      <c r="J448" s="5"/>
    </row>
    <row r="449" spans="1:10" ht="25.5" x14ac:dyDescent="0.2">
      <c r="A449" s="5" t="s">
        <v>17816</v>
      </c>
      <c r="B449" s="5" t="s">
        <v>83</v>
      </c>
      <c r="C449" s="5"/>
      <c r="D449" s="5" t="s">
        <v>15575</v>
      </c>
      <c r="E449" s="5"/>
      <c r="F449" s="5" t="s">
        <v>17815</v>
      </c>
      <c r="G449" s="5" t="s">
        <v>224</v>
      </c>
      <c r="H449" s="5" t="s">
        <v>137</v>
      </c>
      <c r="I449" s="5" t="s">
        <v>15385</v>
      </c>
      <c r="J449" s="5" t="s">
        <v>17814</v>
      </c>
    </row>
    <row r="450" spans="1:10" ht="25.5" x14ac:dyDescent="0.2">
      <c r="A450" s="5" t="s">
        <v>17813</v>
      </c>
      <c r="B450" s="5" t="s">
        <v>83</v>
      </c>
      <c r="C450" s="5"/>
      <c r="D450" s="5" t="s">
        <v>17812</v>
      </c>
      <c r="E450" s="5"/>
      <c r="F450" s="5" t="s">
        <v>17811</v>
      </c>
      <c r="G450" s="5" t="s">
        <v>224</v>
      </c>
      <c r="H450" s="5" t="s">
        <v>137</v>
      </c>
      <c r="I450" s="5" t="s">
        <v>15385</v>
      </c>
      <c r="J450" s="5" t="s">
        <v>17810</v>
      </c>
    </row>
    <row r="451" spans="1:10" ht="25.5" x14ac:dyDescent="0.2">
      <c r="A451" s="5" t="s">
        <v>17809</v>
      </c>
      <c r="B451" s="5" t="s">
        <v>83</v>
      </c>
      <c r="C451" s="5"/>
      <c r="D451" s="5" t="s">
        <v>17808</v>
      </c>
      <c r="E451" s="5" t="s">
        <v>6367</v>
      </c>
      <c r="F451" s="5" t="s">
        <v>7353</v>
      </c>
      <c r="G451" s="5" t="s">
        <v>105</v>
      </c>
      <c r="H451" s="5" t="s">
        <v>137</v>
      </c>
      <c r="I451" s="5" t="s">
        <v>15305</v>
      </c>
      <c r="J451" s="5" t="s">
        <v>17807</v>
      </c>
    </row>
    <row r="452" spans="1:10" x14ac:dyDescent="0.2">
      <c r="A452" s="5" t="s">
        <v>474</v>
      </c>
      <c r="B452" s="5" t="s">
        <v>83</v>
      </c>
      <c r="C452" s="5"/>
      <c r="D452" s="5" t="s">
        <v>15508</v>
      </c>
      <c r="E452" s="5"/>
      <c r="F452" s="5" t="s">
        <v>7699</v>
      </c>
      <c r="G452" s="5" t="s">
        <v>328</v>
      </c>
      <c r="H452" s="5" t="s">
        <v>3</v>
      </c>
      <c r="I452" s="5"/>
      <c r="J452" s="5" t="s">
        <v>15505</v>
      </c>
    </row>
    <row r="453" spans="1:10" x14ac:dyDescent="0.2">
      <c r="A453" s="5" t="s">
        <v>17293</v>
      </c>
      <c r="B453" s="5" t="s">
        <v>83</v>
      </c>
      <c r="C453" s="5"/>
      <c r="D453" s="5" t="s">
        <v>17292</v>
      </c>
      <c r="E453" s="5"/>
      <c r="F453" s="5" t="s">
        <v>13685</v>
      </c>
      <c r="G453" s="5" t="s">
        <v>382</v>
      </c>
      <c r="H453" s="5" t="s">
        <v>3</v>
      </c>
      <c r="I453" s="5"/>
      <c r="J453" s="5" t="s">
        <v>17291</v>
      </c>
    </row>
    <row r="454" spans="1:10" x14ac:dyDescent="0.2">
      <c r="A454" s="5" t="s">
        <v>15490</v>
      </c>
      <c r="B454" s="5" t="s">
        <v>83</v>
      </c>
      <c r="C454" s="5"/>
      <c r="D454" s="5" t="s">
        <v>15489</v>
      </c>
      <c r="E454" s="5"/>
      <c r="F454" s="5"/>
      <c r="G454" s="5" t="s">
        <v>91</v>
      </c>
      <c r="H454" s="5" t="s">
        <v>3</v>
      </c>
      <c r="I454" s="5"/>
      <c r="J454" s="5" t="s">
        <v>15487</v>
      </c>
    </row>
    <row r="455" spans="1:10" x14ac:dyDescent="0.2">
      <c r="A455" s="5" t="s">
        <v>17806</v>
      </c>
      <c r="B455" s="5" t="s">
        <v>83</v>
      </c>
      <c r="C455" s="5"/>
      <c r="D455" s="5" t="s">
        <v>17805</v>
      </c>
      <c r="E455" s="5"/>
      <c r="F455" s="5" t="s">
        <v>17055</v>
      </c>
      <c r="G455" s="5" t="s">
        <v>229</v>
      </c>
      <c r="H455" s="5" t="s">
        <v>137</v>
      </c>
      <c r="I455" s="5" t="s">
        <v>17055</v>
      </c>
      <c r="J455" s="5" t="s">
        <v>17804</v>
      </c>
    </row>
    <row r="456" spans="1:10" ht="25.5" x14ac:dyDescent="0.2">
      <c r="A456" s="5" t="s">
        <v>15482</v>
      </c>
      <c r="B456" s="5" t="s">
        <v>83</v>
      </c>
      <c r="C456" s="5"/>
      <c r="D456" s="5" t="s">
        <v>15481</v>
      </c>
      <c r="E456" s="5"/>
      <c r="F456" s="5" t="s">
        <v>11886</v>
      </c>
      <c r="G456" s="5" t="s">
        <v>199</v>
      </c>
      <c r="H456" s="5" t="s">
        <v>3</v>
      </c>
      <c r="I456" s="5"/>
      <c r="J456" s="5" t="s">
        <v>15478</v>
      </c>
    </row>
    <row r="457" spans="1:10" x14ac:dyDescent="0.2">
      <c r="A457" s="5" t="s">
        <v>17803</v>
      </c>
      <c r="B457" s="5" t="s">
        <v>83</v>
      </c>
      <c r="C457" s="5"/>
      <c r="D457" s="5" t="s">
        <v>17802</v>
      </c>
      <c r="E457" s="5"/>
      <c r="F457" s="5" t="s">
        <v>12158</v>
      </c>
      <c r="G457" s="5" t="s">
        <v>882</v>
      </c>
      <c r="H457" s="5" t="s">
        <v>137</v>
      </c>
      <c r="I457" s="5" t="s">
        <v>17055</v>
      </c>
      <c r="J457" s="5" t="s">
        <v>17799</v>
      </c>
    </row>
    <row r="458" spans="1:10" x14ac:dyDescent="0.2">
      <c r="A458" s="5" t="s">
        <v>17801</v>
      </c>
      <c r="B458" s="5" t="s">
        <v>83</v>
      </c>
      <c r="C458" s="5"/>
      <c r="D458" s="5" t="s">
        <v>17800</v>
      </c>
      <c r="E458" s="5"/>
      <c r="F458" s="5" t="s">
        <v>12158</v>
      </c>
      <c r="G458" s="5" t="s">
        <v>882</v>
      </c>
      <c r="H458" s="5" t="s">
        <v>137</v>
      </c>
      <c r="I458" s="5" t="s">
        <v>17055</v>
      </c>
      <c r="J458" s="5" t="s">
        <v>17799</v>
      </c>
    </row>
    <row r="459" spans="1:10" ht="25.5" x14ac:dyDescent="0.2">
      <c r="A459" s="5" t="s">
        <v>360</v>
      </c>
      <c r="B459" s="5" t="s">
        <v>83</v>
      </c>
      <c r="C459" s="5"/>
      <c r="D459" s="5" t="s">
        <v>17798</v>
      </c>
      <c r="E459" s="5" t="s">
        <v>11304</v>
      </c>
      <c r="F459" s="5" t="s">
        <v>8844</v>
      </c>
      <c r="G459" s="5" t="s">
        <v>357</v>
      </c>
      <c r="H459" s="5" t="s">
        <v>137</v>
      </c>
      <c r="I459" s="5" t="s">
        <v>11411</v>
      </c>
      <c r="J459" s="5"/>
    </row>
    <row r="460" spans="1:10" ht="25.5" x14ac:dyDescent="0.2">
      <c r="A460" s="5" t="s">
        <v>784</v>
      </c>
      <c r="B460" s="5" t="s">
        <v>83</v>
      </c>
      <c r="C460" s="5"/>
      <c r="D460" s="5" t="s">
        <v>17797</v>
      </c>
      <c r="E460" s="5"/>
      <c r="F460" s="5" t="s">
        <v>9101</v>
      </c>
      <c r="G460" s="5" t="s">
        <v>1527</v>
      </c>
      <c r="H460" s="5" t="s">
        <v>137</v>
      </c>
      <c r="I460" s="5" t="s">
        <v>11411</v>
      </c>
      <c r="J460" s="5"/>
    </row>
    <row r="461" spans="1:10" ht="25.5" x14ac:dyDescent="0.2">
      <c r="A461" s="5" t="s">
        <v>17796</v>
      </c>
      <c r="B461" s="5" t="s">
        <v>83</v>
      </c>
      <c r="C461" s="5"/>
      <c r="D461" s="5" t="s">
        <v>17795</v>
      </c>
      <c r="E461" s="5"/>
      <c r="F461" s="5"/>
      <c r="G461" s="5" t="s">
        <v>105</v>
      </c>
      <c r="H461" s="5" t="s">
        <v>3</v>
      </c>
      <c r="I461" s="5"/>
      <c r="J461" s="5" t="s">
        <v>17794</v>
      </c>
    </row>
    <row r="462" spans="1:10" ht="25.5" x14ac:dyDescent="0.2">
      <c r="A462" s="5" t="s">
        <v>17793</v>
      </c>
      <c r="B462" s="5" t="s">
        <v>83</v>
      </c>
      <c r="C462" s="5"/>
      <c r="D462" s="5" t="s">
        <v>17792</v>
      </c>
      <c r="E462" s="5"/>
      <c r="F462" s="5" t="s">
        <v>11622</v>
      </c>
      <c r="G462" s="5" t="s">
        <v>229</v>
      </c>
      <c r="H462" s="5" t="s">
        <v>3</v>
      </c>
      <c r="I462" s="5"/>
      <c r="J462" s="5" t="s">
        <v>17791</v>
      </c>
    </row>
    <row r="463" spans="1:10" x14ac:dyDescent="0.2">
      <c r="A463" s="5" t="s">
        <v>12050</v>
      </c>
      <c r="B463" s="5" t="s">
        <v>83</v>
      </c>
      <c r="C463" s="5"/>
      <c r="D463" s="5" t="s">
        <v>17790</v>
      </c>
      <c r="E463" s="5"/>
      <c r="F463" s="5" t="s">
        <v>11622</v>
      </c>
      <c r="G463" s="5" t="s">
        <v>393</v>
      </c>
      <c r="H463" s="5" t="s">
        <v>3</v>
      </c>
      <c r="I463" s="5"/>
      <c r="J463" s="5" t="s">
        <v>17789</v>
      </c>
    </row>
    <row r="464" spans="1:10" x14ac:dyDescent="0.2">
      <c r="A464" s="5" t="s">
        <v>17788</v>
      </c>
      <c r="B464" s="5" t="s">
        <v>83</v>
      </c>
      <c r="C464" s="5"/>
      <c r="D464" s="5" t="s">
        <v>17787</v>
      </c>
      <c r="E464" s="5"/>
      <c r="F464" s="5" t="s">
        <v>345</v>
      </c>
      <c r="G464" s="5" t="s">
        <v>328</v>
      </c>
      <c r="H464" s="5" t="s">
        <v>3</v>
      </c>
      <c r="I464" s="5"/>
      <c r="J464" s="5" t="s">
        <v>9143</v>
      </c>
    </row>
    <row r="465" spans="1:10" ht="25.5" x14ac:dyDescent="0.2">
      <c r="A465" s="5" t="s">
        <v>15430</v>
      </c>
      <c r="B465" s="5" t="s">
        <v>83</v>
      </c>
      <c r="C465" s="5"/>
      <c r="D465" s="5" t="s">
        <v>17786</v>
      </c>
      <c r="E465" s="5" t="s">
        <v>6367</v>
      </c>
      <c r="F465" s="5" t="s">
        <v>17785</v>
      </c>
      <c r="G465" s="5" t="s">
        <v>105</v>
      </c>
      <c r="H465" s="5" t="s">
        <v>3</v>
      </c>
      <c r="I465" s="5"/>
      <c r="J465" s="5" t="s">
        <v>17784</v>
      </c>
    </row>
    <row r="466" spans="1:10" ht="25.5" x14ac:dyDescent="0.2">
      <c r="A466" s="5" t="s">
        <v>17783</v>
      </c>
      <c r="B466" s="5" t="s">
        <v>83</v>
      </c>
      <c r="C466" s="5"/>
      <c r="D466" s="5" t="s">
        <v>17782</v>
      </c>
      <c r="E466" s="5" t="s">
        <v>11304</v>
      </c>
      <c r="F466" s="5" t="s">
        <v>17781</v>
      </c>
      <c r="G466" s="5" t="s">
        <v>224</v>
      </c>
      <c r="H466" s="5" t="s">
        <v>137</v>
      </c>
      <c r="I466" s="5" t="s">
        <v>11411</v>
      </c>
      <c r="J466" s="5"/>
    </row>
    <row r="467" spans="1:10" ht="25.5" x14ac:dyDescent="0.2">
      <c r="A467" s="5" t="s">
        <v>15425</v>
      </c>
      <c r="B467" s="5" t="s">
        <v>83</v>
      </c>
      <c r="C467" s="5"/>
      <c r="D467" s="5" t="s">
        <v>15424</v>
      </c>
      <c r="E467" s="5"/>
      <c r="F467" s="5" t="s">
        <v>15423</v>
      </c>
      <c r="G467" s="5" t="s">
        <v>6584</v>
      </c>
      <c r="H467" s="5" t="s">
        <v>3</v>
      </c>
      <c r="I467" s="5"/>
      <c r="J467" s="5" t="s">
        <v>15422</v>
      </c>
    </row>
    <row r="468" spans="1:10" ht="38.25" x14ac:dyDescent="0.2">
      <c r="A468" s="5" t="s">
        <v>15421</v>
      </c>
      <c r="B468" s="5" t="s">
        <v>83</v>
      </c>
      <c r="C468" s="5"/>
      <c r="D468" s="5" t="s">
        <v>15420</v>
      </c>
      <c r="E468" s="5"/>
      <c r="F468" s="5" t="s">
        <v>10313</v>
      </c>
      <c r="G468" s="5" t="s">
        <v>80</v>
      </c>
      <c r="H468" s="5" t="s">
        <v>3</v>
      </c>
      <c r="I468" s="5"/>
      <c r="J468" s="5" t="s">
        <v>15419</v>
      </c>
    </row>
    <row r="469" spans="1:10" x14ac:dyDescent="0.2">
      <c r="A469" s="5" t="s">
        <v>15418</v>
      </c>
      <c r="B469" s="5" t="s">
        <v>83</v>
      </c>
      <c r="C469" s="5"/>
      <c r="D469" s="5" t="s">
        <v>15417</v>
      </c>
      <c r="E469" s="5"/>
      <c r="F469" s="5" t="s">
        <v>15416</v>
      </c>
      <c r="G469" s="5" t="s">
        <v>276</v>
      </c>
      <c r="H469" s="5" t="s">
        <v>3</v>
      </c>
      <c r="I469" s="5"/>
      <c r="J469" s="5" t="s">
        <v>15415</v>
      </c>
    </row>
  </sheetData>
  <autoFilter ref="A3:M3" xr:uid="{B2F118FD-E5B2-4E44-9BD3-D0682A1C8D44}"/>
  <mergeCells count="1">
    <mergeCell ref="G1:I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433" r:id="rId3" name="Button 1">
              <controlPr defaultSize="0" print="0" autoFill="0" autoPict="0" macro="[0]!Return_to_menu">
                <anchor moveWithCells="1" sizeWithCells="1">
                  <from>
                    <xdr:col>9</xdr:col>
                    <xdr:colOff>114300</xdr:colOff>
                    <xdr:row>0</xdr:row>
                    <xdr:rowOff>47625</xdr:rowOff>
                  </from>
                  <to>
                    <xdr:col>9</xdr:col>
                    <xdr:colOff>1962150</xdr:colOff>
                    <xdr:row>1</xdr:row>
                    <xdr:rowOff>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7CC5-E5D5-4797-B2E1-232BB82D87A4}">
  <sheetPr codeName="Sheet31"/>
  <dimension ref="A1:Y95"/>
  <sheetViews>
    <sheetView tabSelected="1" workbookViewId="0">
      <pane ySplit="6435" topLeftCell="A28" activePane="bottomLeft"/>
      <selection activeCell="A4" sqref="A4"/>
      <selection pane="bottomLeft" activeCell="F36" sqref="F36"/>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17780</v>
      </c>
      <c r="C1" s="14"/>
      <c r="D1" s="14"/>
      <c r="E1" s="14"/>
      <c r="F1" s="13" t="s">
        <v>8892</v>
      </c>
      <c r="G1" s="16">
        <v>45538</v>
      </c>
      <c r="H1" s="16"/>
      <c r="I1" s="16"/>
      <c r="J1" s="11" t="str">
        <f ca="1">MID(CELL("filename",$A$1),FIND("]",CELL("filename",$A$1))+1,256)</f>
        <v>BW.STD.CST.OPS</v>
      </c>
    </row>
    <row r="2" spans="1:25" ht="18" x14ac:dyDescent="0.2">
      <c r="A2" s="14">
        <f ca="1">COUNTA(OFFSET(A3,1,0,2222,1))</f>
        <v>92</v>
      </c>
      <c r="B2" s="15"/>
      <c r="C2" s="14">
        <f ca="1">MAX(OFFSET(C3,1,0,2222,1))</f>
        <v>12</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ht="25.5" x14ac:dyDescent="0.2">
      <c r="A4" s="5" t="s">
        <v>8878</v>
      </c>
      <c r="B4" s="5" t="s">
        <v>8584</v>
      </c>
      <c r="C4" s="5">
        <v>0</v>
      </c>
      <c r="D4" s="5"/>
      <c r="E4" s="5"/>
      <c r="F4" s="5" t="s">
        <v>17780</v>
      </c>
      <c r="G4" s="5" t="s">
        <v>229</v>
      </c>
      <c r="H4" s="5" t="s">
        <v>3</v>
      </c>
      <c r="I4" s="5"/>
      <c r="J4" s="5" t="s">
        <v>8874</v>
      </c>
    </row>
    <row r="5" spans="1:25" x14ac:dyDescent="0.2">
      <c r="A5" s="5" t="s">
        <v>7807</v>
      </c>
      <c r="B5" s="5" t="s">
        <v>8584</v>
      </c>
      <c r="C5" s="5">
        <v>0</v>
      </c>
      <c r="D5" s="5"/>
      <c r="E5" s="5"/>
      <c r="F5" s="5" t="s">
        <v>16657</v>
      </c>
      <c r="G5" s="5" t="s">
        <v>2308</v>
      </c>
      <c r="H5" s="5" t="s">
        <v>3</v>
      </c>
      <c r="I5" s="5"/>
      <c r="J5" s="5" t="s">
        <v>17779</v>
      </c>
    </row>
    <row r="6" spans="1:25" x14ac:dyDescent="0.2">
      <c r="A6" s="5" t="s">
        <v>7539</v>
      </c>
      <c r="B6" s="5" t="s">
        <v>8584</v>
      </c>
      <c r="C6" s="5">
        <v>1</v>
      </c>
      <c r="D6" s="5"/>
      <c r="E6" s="5" t="s">
        <v>150</v>
      </c>
      <c r="F6" s="5" t="s">
        <v>212</v>
      </c>
      <c r="G6" s="5" t="s">
        <v>148</v>
      </c>
      <c r="H6" s="5" t="s">
        <v>3</v>
      </c>
      <c r="I6" s="5"/>
      <c r="J6" s="5" t="s">
        <v>17778</v>
      </c>
    </row>
    <row r="7" spans="1:25" x14ac:dyDescent="0.2">
      <c r="A7" s="5" t="s">
        <v>7525</v>
      </c>
      <c r="B7" s="5" t="s">
        <v>8584</v>
      </c>
      <c r="C7" s="5">
        <v>2</v>
      </c>
      <c r="D7" s="5"/>
      <c r="E7" s="5" t="s">
        <v>665</v>
      </c>
      <c r="F7" s="5" t="s">
        <v>13685</v>
      </c>
      <c r="G7" s="5" t="s">
        <v>148</v>
      </c>
      <c r="H7" s="5" t="s">
        <v>3</v>
      </c>
      <c r="I7" s="5"/>
      <c r="J7" s="5" t="s">
        <v>17777</v>
      </c>
    </row>
    <row r="8" spans="1:25" ht="25.5" x14ac:dyDescent="0.2">
      <c r="A8" s="5" t="s">
        <v>15477</v>
      </c>
      <c r="B8" s="5" t="s">
        <v>8584</v>
      </c>
      <c r="C8" s="5">
        <v>3</v>
      </c>
      <c r="D8" s="5"/>
      <c r="E8" s="5"/>
      <c r="F8" s="5" t="s">
        <v>15475</v>
      </c>
      <c r="G8" s="5" t="s">
        <v>3059</v>
      </c>
      <c r="H8" s="5" t="s">
        <v>3</v>
      </c>
      <c r="I8" s="5"/>
      <c r="J8" s="5" t="s">
        <v>15474</v>
      </c>
    </row>
    <row r="9" spans="1:25" x14ac:dyDescent="0.2">
      <c r="A9" s="5" t="s">
        <v>17776</v>
      </c>
      <c r="B9" s="5" t="s">
        <v>8584</v>
      </c>
      <c r="C9" s="5">
        <v>4</v>
      </c>
      <c r="D9" s="5"/>
      <c r="E9" s="5" t="s">
        <v>150</v>
      </c>
      <c r="F9" s="5" t="s">
        <v>6581</v>
      </c>
      <c r="G9" s="5" t="s">
        <v>148</v>
      </c>
      <c r="H9" s="5" t="s">
        <v>3</v>
      </c>
      <c r="I9" s="5"/>
      <c r="J9" s="5" t="s">
        <v>17775</v>
      </c>
    </row>
    <row r="10" spans="1:25" s="2" customFormat="1" x14ac:dyDescent="0.2">
      <c r="A10" s="5" t="s">
        <v>17774</v>
      </c>
      <c r="B10" s="5" t="s">
        <v>8584</v>
      </c>
      <c r="C10" s="5">
        <v>5</v>
      </c>
      <c r="D10" s="5"/>
      <c r="E10" s="5" t="s">
        <v>665</v>
      </c>
      <c r="F10" s="5" t="s">
        <v>6581</v>
      </c>
      <c r="G10" s="5" t="s">
        <v>148</v>
      </c>
      <c r="H10" s="5" t="s">
        <v>3</v>
      </c>
      <c r="I10" s="5"/>
      <c r="J10" s="5" t="s">
        <v>17773</v>
      </c>
      <c r="M10" s="1"/>
      <c r="N10"/>
      <c r="O10"/>
      <c r="P10"/>
      <c r="Q10"/>
      <c r="R10"/>
      <c r="S10"/>
      <c r="T10"/>
      <c r="U10"/>
      <c r="V10"/>
      <c r="W10"/>
      <c r="X10"/>
      <c r="Y10"/>
    </row>
    <row r="11" spans="1:25" s="2" customFormat="1" x14ac:dyDescent="0.2">
      <c r="A11" s="5" t="s">
        <v>15441</v>
      </c>
      <c r="B11" s="5" t="s">
        <v>8584</v>
      </c>
      <c r="C11" s="5">
        <v>6</v>
      </c>
      <c r="D11" s="5"/>
      <c r="E11" s="5"/>
      <c r="F11" s="5" t="s">
        <v>237</v>
      </c>
      <c r="G11" s="5" t="s">
        <v>80</v>
      </c>
      <c r="H11" s="5" t="s">
        <v>3</v>
      </c>
      <c r="I11" s="5"/>
      <c r="J11" s="5" t="s">
        <v>9296</v>
      </c>
      <c r="M11" s="1"/>
      <c r="N11"/>
      <c r="O11"/>
      <c r="P11"/>
      <c r="Q11"/>
      <c r="R11"/>
      <c r="S11"/>
      <c r="T11"/>
      <c r="U11"/>
      <c r="V11"/>
      <c r="W11"/>
      <c r="X11"/>
      <c r="Y11"/>
    </row>
    <row r="12" spans="1:25" s="2" customFormat="1" ht="25.5" x14ac:dyDescent="0.2">
      <c r="A12" s="5" t="s">
        <v>7844</v>
      </c>
      <c r="B12" s="5" t="s">
        <v>8584</v>
      </c>
      <c r="C12" s="5">
        <v>7</v>
      </c>
      <c r="D12" s="5"/>
      <c r="E12" s="5"/>
      <c r="F12" s="5" t="s">
        <v>12907</v>
      </c>
      <c r="G12" s="5" t="s">
        <v>882</v>
      </c>
      <c r="H12" s="5" t="s">
        <v>137</v>
      </c>
      <c r="I12" s="5" t="s">
        <v>7844</v>
      </c>
      <c r="J12" s="5" t="s">
        <v>7367</v>
      </c>
      <c r="M12" s="1"/>
      <c r="N12"/>
      <c r="O12"/>
      <c r="P12"/>
      <c r="Q12"/>
      <c r="R12"/>
      <c r="S12"/>
      <c r="T12"/>
      <c r="U12"/>
      <c r="V12"/>
      <c r="W12"/>
      <c r="X12"/>
      <c r="Y12"/>
    </row>
    <row r="13" spans="1:25" s="2" customFormat="1" ht="25.5" x14ac:dyDescent="0.2">
      <c r="A13" s="5" t="s">
        <v>17772</v>
      </c>
      <c r="B13" s="5" t="s">
        <v>8584</v>
      </c>
      <c r="C13" s="5">
        <v>8</v>
      </c>
      <c r="D13" s="5"/>
      <c r="E13" s="5" t="s">
        <v>299</v>
      </c>
      <c r="F13" s="5" t="s">
        <v>16129</v>
      </c>
      <c r="G13" s="5" t="s">
        <v>195</v>
      </c>
      <c r="H13" s="5" t="s">
        <v>137</v>
      </c>
      <c r="I13" s="5" t="s">
        <v>7844</v>
      </c>
      <c r="J13" s="5" t="s">
        <v>16263</v>
      </c>
      <c r="M13" s="1"/>
      <c r="N13"/>
      <c r="O13"/>
      <c r="P13"/>
      <c r="Q13"/>
      <c r="R13"/>
      <c r="S13"/>
      <c r="T13"/>
      <c r="U13"/>
      <c r="V13"/>
      <c r="W13"/>
      <c r="X13"/>
      <c r="Y13"/>
    </row>
    <row r="14" spans="1:25" s="2" customFormat="1" ht="25.5" x14ac:dyDescent="0.2">
      <c r="A14" s="5" t="s">
        <v>16265</v>
      </c>
      <c r="B14" s="5" t="s">
        <v>8584</v>
      </c>
      <c r="C14" s="5">
        <v>8</v>
      </c>
      <c r="D14" s="5"/>
      <c r="E14" s="5" t="s">
        <v>299</v>
      </c>
      <c r="F14" s="5" t="s">
        <v>16129</v>
      </c>
      <c r="G14" s="5" t="s">
        <v>195</v>
      </c>
      <c r="H14" s="5" t="s">
        <v>137</v>
      </c>
      <c r="I14" s="5" t="s">
        <v>7844</v>
      </c>
      <c r="J14" s="5" t="s">
        <v>16263</v>
      </c>
      <c r="M14" s="1"/>
      <c r="N14"/>
      <c r="O14"/>
      <c r="P14"/>
      <c r="Q14"/>
      <c r="R14"/>
      <c r="S14"/>
      <c r="T14"/>
      <c r="U14"/>
      <c r="V14"/>
      <c r="W14"/>
      <c r="X14"/>
      <c r="Y14"/>
    </row>
    <row r="15" spans="1:25" s="2" customFormat="1" ht="25.5" x14ac:dyDescent="0.2">
      <c r="A15" s="5" t="s">
        <v>17771</v>
      </c>
      <c r="B15" s="5" t="s">
        <v>8584</v>
      </c>
      <c r="C15" s="5">
        <v>9</v>
      </c>
      <c r="D15" s="5"/>
      <c r="E15" s="5" t="s">
        <v>299</v>
      </c>
      <c r="F15" s="5" t="s">
        <v>16129</v>
      </c>
      <c r="G15" s="5" t="s">
        <v>195</v>
      </c>
      <c r="H15" s="5" t="s">
        <v>137</v>
      </c>
      <c r="I15" s="5" t="s">
        <v>7844</v>
      </c>
      <c r="J15" s="5" t="s">
        <v>16266</v>
      </c>
      <c r="M15" s="1"/>
      <c r="N15"/>
      <c r="O15"/>
      <c r="P15"/>
      <c r="Q15"/>
      <c r="R15"/>
      <c r="S15"/>
      <c r="T15"/>
      <c r="U15"/>
      <c r="V15"/>
      <c r="W15"/>
      <c r="X15"/>
      <c r="Y15"/>
    </row>
    <row r="16" spans="1:25" s="2" customFormat="1" ht="25.5" x14ac:dyDescent="0.2">
      <c r="A16" s="5" t="s">
        <v>16268</v>
      </c>
      <c r="B16" s="5" t="s">
        <v>8584</v>
      </c>
      <c r="C16" s="5">
        <v>9</v>
      </c>
      <c r="D16" s="5"/>
      <c r="E16" s="5" t="s">
        <v>299</v>
      </c>
      <c r="F16" s="5" t="s">
        <v>16129</v>
      </c>
      <c r="G16" s="5" t="s">
        <v>195</v>
      </c>
      <c r="H16" s="5" t="s">
        <v>137</v>
      </c>
      <c r="I16" s="5" t="s">
        <v>7844</v>
      </c>
      <c r="J16" s="5" t="s">
        <v>16266</v>
      </c>
      <c r="M16" s="1"/>
      <c r="N16"/>
      <c r="O16"/>
      <c r="P16"/>
      <c r="Q16"/>
      <c r="R16"/>
      <c r="S16"/>
      <c r="T16"/>
      <c r="U16"/>
      <c r="V16"/>
      <c r="W16"/>
      <c r="X16"/>
      <c r="Y16"/>
    </row>
    <row r="17" spans="1:25" s="2" customFormat="1" ht="25.5" x14ac:dyDescent="0.2">
      <c r="A17" s="5" t="s">
        <v>15390</v>
      </c>
      <c r="B17" s="5" t="s">
        <v>8584</v>
      </c>
      <c r="C17" s="5">
        <v>10</v>
      </c>
      <c r="D17" s="5"/>
      <c r="E17" s="5"/>
      <c r="F17" s="5" t="s">
        <v>7357</v>
      </c>
      <c r="G17" s="5" t="s">
        <v>882</v>
      </c>
      <c r="H17" s="5" t="s">
        <v>137</v>
      </c>
      <c r="I17" s="5" t="s">
        <v>15390</v>
      </c>
      <c r="J17" s="5" t="s">
        <v>7357</v>
      </c>
      <c r="M17" s="1"/>
      <c r="N17"/>
      <c r="O17"/>
      <c r="P17"/>
      <c r="Q17"/>
      <c r="R17"/>
      <c r="S17"/>
      <c r="T17"/>
      <c r="U17"/>
      <c r="V17"/>
      <c r="W17"/>
      <c r="X17"/>
      <c r="Y17"/>
    </row>
    <row r="18" spans="1:25" s="2" customFormat="1" ht="25.5" x14ac:dyDescent="0.2">
      <c r="A18" s="5" t="s">
        <v>17770</v>
      </c>
      <c r="B18" s="5" t="s">
        <v>8584</v>
      </c>
      <c r="C18" s="5">
        <v>11</v>
      </c>
      <c r="D18" s="5"/>
      <c r="E18" s="5" t="s">
        <v>299</v>
      </c>
      <c r="F18" s="5" t="s">
        <v>15239</v>
      </c>
      <c r="G18" s="5" t="s">
        <v>195</v>
      </c>
      <c r="H18" s="5" t="s">
        <v>137</v>
      </c>
      <c r="I18" s="5" t="s">
        <v>15390</v>
      </c>
      <c r="J18" s="5" t="s">
        <v>17768</v>
      </c>
      <c r="M18" s="1"/>
      <c r="N18"/>
      <c r="O18"/>
      <c r="P18"/>
      <c r="Q18"/>
      <c r="R18"/>
      <c r="S18"/>
      <c r="T18"/>
      <c r="U18"/>
      <c r="V18"/>
      <c r="W18"/>
      <c r="X18"/>
      <c r="Y18"/>
    </row>
    <row r="19" spans="1:25" s="2" customFormat="1" ht="25.5" x14ac:dyDescent="0.2">
      <c r="A19" s="5" t="s">
        <v>17769</v>
      </c>
      <c r="B19" s="5" t="s">
        <v>8584</v>
      </c>
      <c r="C19" s="5">
        <v>11</v>
      </c>
      <c r="D19" s="5"/>
      <c r="E19" s="5" t="s">
        <v>299</v>
      </c>
      <c r="F19" s="5" t="s">
        <v>15239</v>
      </c>
      <c r="G19" s="5" t="s">
        <v>195</v>
      </c>
      <c r="H19" s="5" t="s">
        <v>137</v>
      </c>
      <c r="I19" s="5" t="s">
        <v>15390</v>
      </c>
      <c r="J19" s="5" t="s">
        <v>17768</v>
      </c>
      <c r="M19" s="1"/>
      <c r="N19"/>
      <c r="O19"/>
      <c r="P19"/>
      <c r="Q19"/>
      <c r="R19"/>
      <c r="S19"/>
      <c r="T19"/>
      <c r="U19"/>
      <c r="V19"/>
      <c r="W19"/>
      <c r="X19"/>
      <c r="Y19"/>
    </row>
    <row r="20" spans="1:25" s="2" customFormat="1" ht="25.5" x14ac:dyDescent="0.2">
      <c r="A20" s="5" t="s">
        <v>17767</v>
      </c>
      <c r="B20" s="5" t="s">
        <v>8584</v>
      </c>
      <c r="C20" s="5">
        <v>12</v>
      </c>
      <c r="D20" s="5"/>
      <c r="E20" s="5" t="s">
        <v>299</v>
      </c>
      <c r="F20" s="5" t="s">
        <v>15239</v>
      </c>
      <c r="G20" s="5" t="s">
        <v>195</v>
      </c>
      <c r="H20" s="5" t="s">
        <v>137</v>
      </c>
      <c r="I20" s="5" t="s">
        <v>15390</v>
      </c>
      <c r="J20" s="5" t="s">
        <v>17764</v>
      </c>
      <c r="M20" s="1"/>
      <c r="N20"/>
      <c r="O20"/>
      <c r="P20"/>
      <c r="Q20"/>
      <c r="R20"/>
      <c r="S20"/>
      <c r="T20"/>
      <c r="U20"/>
      <c r="V20"/>
      <c r="W20"/>
      <c r="X20"/>
      <c r="Y20"/>
    </row>
    <row r="21" spans="1:25" s="2" customFormat="1" ht="25.5" x14ac:dyDescent="0.2">
      <c r="A21" s="5" t="s">
        <v>15567</v>
      </c>
      <c r="B21" s="5" t="s">
        <v>8584</v>
      </c>
      <c r="C21" s="5">
        <v>12</v>
      </c>
      <c r="D21" s="5"/>
      <c r="E21" s="5" t="s">
        <v>299</v>
      </c>
      <c r="F21" s="5" t="s">
        <v>11284</v>
      </c>
      <c r="G21" s="5" t="s">
        <v>91</v>
      </c>
      <c r="H21" s="5" t="s">
        <v>137</v>
      </c>
      <c r="I21" s="5" t="s">
        <v>15385</v>
      </c>
      <c r="J21" s="5" t="s">
        <v>17766</v>
      </c>
      <c r="M21" s="1"/>
      <c r="N21"/>
      <c r="O21"/>
      <c r="P21"/>
      <c r="Q21"/>
      <c r="R21"/>
      <c r="S21"/>
      <c r="T21"/>
      <c r="U21"/>
      <c r="V21"/>
      <c r="W21"/>
      <c r="X21"/>
      <c r="Y21"/>
    </row>
    <row r="22" spans="1:25" s="2" customFormat="1" ht="25.5" x14ac:dyDescent="0.2">
      <c r="A22" s="5" t="s">
        <v>17765</v>
      </c>
      <c r="B22" s="5" t="s">
        <v>8584</v>
      </c>
      <c r="C22" s="5">
        <v>12</v>
      </c>
      <c r="D22" s="5"/>
      <c r="E22" s="5" t="s">
        <v>299</v>
      </c>
      <c r="F22" s="5" t="s">
        <v>15239</v>
      </c>
      <c r="G22" s="5" t="s">
        <v>195</v>
      </c>
      <c r="H22" s="5" t="s">
        <v>137</v>
      </c>
      <c r="I22" s="5" t="s">
        <v>15390</v>
      </c>
      <c r="J22" s="5" t="s">
        <v>17764</v>
      </c>
      <c r="M22" s="1"/>
      <c r="N22"/>
      <c r="O22"/>
      <c r="P22"/>
      <c r="Q22"/>
      <c r="R22"/>
      <c r="S22"/>
      <c r="T22"/>
      <c r="U22"/>
      <c r="V22"/>
      <c r="W22"/>
      <c r="X22"/>
      <c r="Y22"/>
    </row>
    <row r="23" spans="1:25" s="2" customFormat="1" x14ac:dyDescent="0.2">
      <c r="A23" s="5" t="s">
        <v>392</v>
      </c>
      <c r="B23" s="5" t="s">
        <v>83</v>
      </c>
      <c r="C23" s="5"/>
      <c r="D23" s="5" t="s">
        <v>17763</v>
      </c>
      <c r="E23" s="5"/>
      <c r="F23" s="5" t="s">
        <v>16206</v>
      </c>
      <c r="G23" s="5" t="s">
        <v>229</v>
      </c>
      <c r="H23" s="5" t="s">
        <v>3</v>
      </c>
      <c r="I23" s="5"/>
      <c r="J23" s="5" t="s">
        <v>17762</v>
      </c>
      <c r="M23" s="1"/>
      <c r="N23"/>
      <c r="O23"/>
      <c r="P23"/>
      <c r="Q23"/>
      <c r="R23"/>
      <c r="S23"/>
      <c r="T23"/>
      <c r="U23"/>
      <c r="V23"/>
      <c r="W23"/>
      <c r="X23"/>
      <c r="Y23"/>
    </row>
    <row r="24" spans="1:25" s="2" customFormat="1" x14ac:dyDescent="0.2">
      <c r="A24" s="5" t="s">
        <v>17761</v>
      </c>
      <c r="B24" s="5" t="s">
        <v>83</v>
      </c>
      <c r="C24" s="5"/>
      <c r="D24" s="5" t="s">
        <v>17760</v>
      </c>
      <c r="E24" s="5"/>
      <c r="F24" s="5" t="s">
        <v>17759</v>
      </c>
      <c r="G24" s="5" t="s">
        <v>702</v>
      </c>
      <c r="H24" s="5" t="s">
        <v>137</v>
      </c>
      <c r="I24" s="5" t="s">
        <v>17758</v>
      </c>
      <c r="J24" s="5" t="s">
        <v>17757</v>
      </c>
      <c r="M24" s="1"/>
      <c r="N24"/>
      <c r="O24"/>
      <c r="P24"/>
      <c r="Q24"/>
      <c r="R24"/>
      <c r="S24"/>
      <c r="T24"/>
      <c r="U24"/>
      <c r="V24"/>
      <c r="W24"/>
      <c r="X24"/>
      <c r="Y24"/>
    </row>
    <row r="25" spans="1:25" s="2" customFormat="1" ht="25.5" x14ac:dyDescent="0.2">
      <c r="A25" s="5" t="s">
        <v>17756</v>
      </c>
      <c r="B25" s="5" t="s">
        <v>83</v>
      </c>
      <c r="C25" s="5"/>
      <c r="D25" s="5" t="s">
        <v>17755</v>
      </c>
      <c r="E25" s="5"/>
      <c r="F25" s="5"/>
      <c r="G25" s="5" t="s">
        <v>148</v>
      </c>
      <c r="H25" s="5" t="s">
        <v>137</v>
      </c>
      <c r="I25" s="5" t="s">
        <v>15390</v>
      </c>
      <c r="J25" s="5"/>
      <c r="M25" s="1"/>
      <c r="N25"/>
      <c r="O25"/>
      <c r="P25"/>
      <c r="Q25"/>
      <c r="R25"/>
      <c r="S25"/>
      <c r="T25"/>
      <c r="U25"/>
      <c r="V25"/>
      <c r="W25"/>
      <c r="X25"/>
      <c r="Y25"/>
    </row>
    <row r="26" spans="1:25" s="2" customFormat="1" x14ac:dyDescent="0.2">
      <c r="A26" s="5" t="s">
        <v>17754</v>
      </c>
      <c r="B26" s="5" t="s">
        <v>83</v>
      </c>
      <c r="C26" s="5"/>
      <c r="D26" s="5" t="s">
        <v>17753</v>
      </c>
      <c r="E26" s="5" t="s">
        <v>150</v>
      </c>
      <c r="F26" s="5" t="s">
        <v>17752</v>
      </c>
      <c r="G26" s="5" t="s">
        <v>148</v>
      </c>
      <c r="H26" s="5" t="s">
        <v>3</v>
      </c>
      <c r="I26" s="5"/>
      <c r="J26" s="5"/>
      <c r="M26" s="1"/>
      <c r="N26"/>
      <c r="O26"/>
      <c r="P26"/>
      <c r="Q26"/>
      <c r="R26"/>
      <c r="S26"/>
      <c r="T26"/>
      <c r="U26"/>
      <c r="V26"/>
      <c r="W26"/>
      <c r="X26"/>
      <c r="Y26"/>
    </row>
    <row r="27" spans="1:25" s="2" customFormat="1" x14ac:dyDescent="0.2">
      <c r="A27" s="5" t="s">
        <v>11062</v>
      </c>
      <c r="B27" s="5" t="s">
        <v>83</v>
      </c>
      <c r="C27" s="5"/>
      <c r="D27" s="5" t="s">
        <v>9286</v>
      </c>
      <c r="E27" s="5"/>
      <c r="F27" s="5" t="s">
        <v>11795</v>
      </c>
      <c r="G27" s="5" t="s">
        <v>207</v>
      </c>
      <c r="H27" s="5" t="s">
        <v>3</v>
      </c>
      <c r="I27" s="5"/>
      <c r="J27" s="5"/>
      <c r="M27" s="1"/>
      <c r="N27"/>
      <c r="O27"/>
      <c r="P27"/>
      <c r="Q27"/>
      <c r="R27"/>
      <c r="S27"/>
      <c r="T27"/>
      <c r="U27"/>
      <c r="V27"/>
      <c r="W27"/>
      <c r="X27"/>
      <c r="Y27"/>
    </row>
    <row r="28" spans="1:25" s="2" customFormat="1" ht="25.5" x14ac:dyDescent="0.2">
      <c r="A28" s="5" t="s">
        <v>17751</v>
      </c>
      <c r="B28" s="5" t="s">
        <v>83</v>
      </c>
      <c r="C28" s="5"/>
      <c r="D28" s="5" t="s">
        <v>17750</v>
      </c>
      <c r="E28" s="5"/>
      <c r="F28" s="5" t="s">
        <v>17749</v>
      </c>
      <c r="G28" s="5" t="s">
        <v>170</v>
      </c>
      <c r="H28" s="5" t="s">
        <v>3</v>
      </c>
      <c r="I28" s="5"/>
      <c r="J28" s="5" t="s">
        <v>17748</v>
      </c>
      <c r="M28" s="1"/>
      <c r="N28"/>
      <c r="O28"/>
      <c r="P28"/>
      <c r="Q28"/>
      <c r="R28"/>
      <c r="S28"/>
      <c r="T28"/>
      <c r="U28"/>
      <c r="V28"/>
      <c r="W28"/>
      <c r="X28"/>
      <c r="Y28"/>
    </row>
    <row r="29" spans="1:25" s="2" customFormat="1" ht="25.5" x14ac:dyDescent="0.2">
      <c r="A29" s="5" t="s">
        <v>17747</v>
      </c>
      <c r="B29" s="5" t="s">
        <v>83</v>
      </c>
      <c r="C29" s="5"/>
      <c r="D29" s="5" t="s">
        <v>17746</v>
      </c>
      <c r="E29" s="5"/>
      <c r="F29" s="5" t="s">
        <v>17745</v>
      </c>
      <c r="G29" s="5" t="s">
        <v>170</v>
      </c>
      <c r="H29" s="5" t="s">
        <v>3</v>
      </c>
      <c r="I29" s="5"/>
      <c r="J29" s="5" t="s">
        <v>17745</v>
      </c>
      <c r="M29" s="1"/>
      <c r="N29"/>
      <c r="O29"/>
      <c r="P29"/>
      <c r="Q29"/>
      <c r="R29"/>
      <c r="S29"/>
      <c r="T29"/>
      <c r="U29"/>
      <c r="V29"/>
      <c r="W29"/>
      <c r="X29"/>
      <c r="Y29"/>
    </row>
    <row r="30" spans="1:25" s="2" customFormat="1" x14ac:dyDescent="0.2">
      <c r="A30" s="5" t="s">
        <v>16883</v>
      </c>
      <c r="B30" s="5" t="s">
        <v>83</v>
      </c>
      <c r="C30" s="5"/>
      <c r="D30" s="5" t="s">
        <v>17744</v>
      </c>
      <c r="E30" s="5"/>
      <c r="F30" s="5" t="s">
        <v>12907</v>
      </c>
      <c r="G30" s="5" t="s">
        <v>80</v>
      </c>
      <c r="H30" s="5" t="s">
        <v>3</v>
      </c>
      <c r="I30" s="5"/>
      <c r="J30" s="5" t="s">
        <v>17743</v>
      </c>
      <c r="M30" s="1"/>
      <c r="N30"/>
      <c r="O30"/>
      <c r="P30"/>
      <c r="Q30"/>
      <c r="R30"/>
      <c r="S30"/>
      <c r="T30"/>
      <c r="U30"/>
      <c r="V30"/>
      <c r="W30"/>
      <c r="X30"/>
      <c r="Y30"/>
    </row>
    <row r="31" spans="1:25" s="2" customFormat="1" x14ac:dyDescent="0.2">
      <c r="A31" s="5" t="s">
        <v>17742</v>
      </c>
      <c r="B31" s="5" t="s">
        <v>83</v>
      </c>
      <c r="C31" s="5"/>
      <c r="D31" s="5" t="s">
        <v>17741</v>
      </c>
      <c r="E31" s="5"/>
      <c r="F31" s="5" t="s">
        <v>16878</v>
      </c>
      <c r="G31" s="5" t="s">
        <v>2308</v>
      </c>
      <c r="H31" s="5"/>
      <c r="I31" s="5"/>
      <c r="J31" s="5" t="s">
        <v>16877</v>
      </c>
      <c r="M31" s="1"/>
      <c r="N31"/>
      <c r="O31"/>
      <c r="P31"/>
      <c r="Q31"/>
      <c r="R31"/>
      <c r="S31"/>
      <c r="T31"/>
      <c r="U31"/>
      <c r="V31"/>
      <c r="W31"/>
      <c r="X31"/>
      <c r="Y31"/>
    </row>
    <row r="32" spans="1:25" s="2" customFormat="1" ht="25.5" x14ac:dyDescent="0.2">
      <c r="A32" s="5" t="s">
        <v>16376</v>
      </c>
      <c r="B32" s="5" t="s">
        <v>83</v>
      </c>
      <c r="C32" s="5"/>
      <c r="D32" s="5" t="s">
        <v>16375</v>
      </c>
      <c r="E32" s="5" t="s">
        <v>368</v>
      </c>
      <c r="F32" s="5" t="s">
        <v>11284</v>
      </c>
      <c r="G32" s="5" t="s">
        <v>148</v>
      </c>
      <c r="H32" s="5" t="s">
        <v>137</v>
      </c>
      <c r="I32" s="5" t="s">
        <v>15385</v>
      </c>
      <c r="J32" s="5" t="s">
        <v>16374</v>
      </c>
      <c r="M32" s="1"/>
      <c r="N32"/>
      <c r="O32"/>
      <c r="P32"/>
      <c r="Q32"/>
      <c r="R32"/>
      <c r="S32"/>
      <c r="T32"/>
      <c r="U32"/>
      <c r="V32"/>
      <c r="W32"/>
      <c r="X32"/>
      <c r="Y32"/>
    </row>
    <row r="33" spans="1:25" s="2" customFormat="1" x14ac:dyDescent="0.2">
      <c r="A33" s="5" t="s">
        <v>17740</v>
      </c>
      <c r="B33" s="5" t="s">
        <v>83</v>
      </c>
      <c r="C33" s="5"/>
      <c r="D33" s="5" t="s">
        <v>17739</v>
      </c>
      <c r="E33" s="5"/>
      <c r="F33" s="5" t="s">
        <v>15655</v>
      </c>
      <c r="G33" s="5" t="s">
        <v>80</v>
      </c>
      <c r="H33" s="5" t="s">
        <v>3</v>
      </c>
      <c r="I33" s="5"/>
      <c r="J33" s="5" t="s">
        <v>17738</v>
      </c>
      <c r="M33" s="1"/>
      <c r="N33"/>
      <c r="O33"/>
      <c r="P33"/>
      <c r="Q33"/>
      <c r="R33"/>
      <c r="S33"/>
      <c r="T33"/>
      <c r="U33"/>
      <c r="V33"/>
      <c r="W33"/>
      <c r="X33"/>
      <c r="Y33"/>
    </row>
    <row r="34" spans="1:25" s="2" customFormat="1" x14ac:dyDescent="0.2">
      <c r="A34" s="5" t="s">
        <v>16881</v>
      </c>
      <c r="B34" s="5" t="s">
        <v>83</v>
      </c>
      <c r="C34" s="5"/>
      <c r="D34" s="5" t="s">
        <v>17739</v>
      </c>
      <c r="E34" s="5"/>
      <c r="F34" s="5" t="s">
        <v>15655</v>
      </c>
      <c r="G34" s="5" t="s">
        <v>80</v>
      </c>
      <c r="H34" s="5" t="s">
        <v>3</v>
      </c>
      <c r="I34" s="5"/>
      <c r="J34" s="5" t="s">
        <v>17738</v>
      </c>
      <c r="M34" s="1"/>
      <c r="N34"/>
      <c r="O34"/>
      <c r="P34"/>
      <c r="Q34"/>
      <c r="R34"/>
      <c r="S34"/>
      <c r="T34"/>
      <c r="U34"/>
      <c r="V34"/>
      <c r="W34"/>
      <c r="X34"/>
      <c r="Y34"/>
    </row>
    <row r="35" spans="1:25" s="2" customFormat="1" x14ac:dyDescent="0.2">
      <c r="A35" s="5" t="s">
        <v>16885</v>
      </c>
      <c r="B35" s="5" t="s">
        <v>83</v>
      </c>
      <c r="C35" s="5"/>
      <c r="D35" s="5" t="s">
        <v>17737</v>
      </c>
      <c r="E35" s="5"/>
      <c r="F35" s="5" t="s">
        <v>7699</v>
      </c>
      <c r="G35" s="5" t="s">
        <v>118</v>
      </c>
      <c r="H35" s="5" t="s">
        <v>3</v>
      </c>
      <c r="I35" s="5"/>
      <c r="J35" s="5" t="s">
        <v>16884</v>
      </c>
      <c r="M35" s="1"/>
      <c r="N35"/>
      <c r="O35"/>
      <c r="P35"/>
      <c r="Q35"/>
      <c r="R35"/>
      <c r="S35"/>
      <c r="T35"/>
      <c r="U35"/>
      <c r="V35"/>
      <c r="W35"/>
      <c r="X35"/>
      <c r="Y35"/>
    </row>
    <row r="36" spans="1:25" s="2" customFormat="1" x14ac:dyDescent="0.2">
      <c r="A36" s="5" t="s">
        <v>17736</v>
      </c>
      <c r="B36" s="5" t="s">
        <v>83</v>
      </c>
      <c r="C36" s="5"/>
      <c r="D36" s="5" t="s">
        <v>17735</v>
      </c>
      <c r="E36" s="5"/>
      <c r="F36" s="5" t="s">
        <v>17734</v>
      </c>
      <c r="G36" s="5" t="s">
        <v>328</v>
      </c>
      <c r="H36" s="5" t="s">
        <v>3</v>
      </c>
      <c r="I36" s="5"/>
      <c r="J36" s="5" t="s">
        <v>17733</v>
      </c>
      <c r="M36" s="1"/>
      <c r="N36"/>
      <c r="O36"/>
      <c r="P36"/>
      <c r="Q36"/>
      <c r="R36"/>
      <c r="S36"/>
      <c r="T36"/>
      <c r="U36"/>
      <c r="V36"/>
      <c r="W36"/>
      <c r="X36"/>
      <c r="Y36"/>
    </row>
    <row r="37" spans="1:25" s="2" customFormat="1" ht="25.5" x14ac:dyDescent="0.2">
      <c r="A37" s="5" t="s">
        <v>16346</v>
      </c>
      <c r="B37" s="5" t="s">
        <v>83</v>
      </c>
      <c r="C37" s="5"/>
      <c r="D37" s="5" t="s">
        <v>17732</v>
      </c>
      <c r="E37" s="5"/>
      <c r="F37" s="5" t="s">
        <v>12907</v>
      </c>
      <c r="G37" s="5" t="s">
        <v>80</v>
      </c>
      <c r="H37" s="5" t="s">
        <v>137</v>
      </c>
      <c r="I37" s="5" t="s">
        <v>7844</v>
      </c>
      <c r="J37" s="5" t="s">
        <v>17731</v>
      </c>
      <c r="M37" s="1"/>
      <c r="N37"/>
      <c r="O37"/>
      <c r="P37"/>
      <c r="Q37"/>
      <c r="R37"/>
      <c r="S37"/>
      <c r="T37"/>
      <c r="U37"/>
      <c r="V37"/>
      <c r="W37"/>
      <c r="X37"/>
      <c r="Y37"/>
    </row>
    <row r="38" spans="1:25" s="2" customFormat="1" x14ac:dyDescent="0.2">
      <c r="A38" s="5" t="s">
        <v>16325</v>
      </c>
      <c r="B38" s="5" t="s">
        <v>83</v>
      </c>
      <c r="C38" s="5"/>
      <c r="D38" s="5" t="s">
        <v>16324</v>
      </c>
      <c r="E38" s="5"/>
      <c r="F38" s="5" t="s">
        <v>16129</v>
      </c>
      <c r="G38" s="5" t="s">
        <v>118</v>
      </c>
      <c r="H38" s="5" t="s">
        <v>137</v>
      </c>
      <c r="I38" s="5"/>
      <c r="J38" s="5" t="s">
        <v>16323</v>
      </c>
      <c r="M38" s="1"/>
      <c r="N38"/>
      <c r="O38"/>
      <c r="P38"/>
      <c r="Q38"/>
      <c r="R38"/>
      <c r="S38"/>
      <c r="T38"/>
      <c r="U38"/>
      <c r="V38"/>
      <c r="W38"/>
      <c r="X38"/>
      <c r="Y38"/>
    </row>
    <row r="39" spans="1:25" s="2" customFormat="1" x14ac:dyDescent="0.2">
      <c r="A39" s="5" t="s">
        <v>16807</v>
      </c>
      <c r="B39" s="5" t="s">
        <v>83</v>
      </c>
      <c r="C39" s="5"/>
      <c r="D39" s="5" t="s">
        <v>17730</v>
      </c>
      <c r="E39" s="5"/>
      <c r="F39" s="5" t="s">
        <v>16806</v>
      </c>
      <c r="G39" s="5" t="s">
        <v>896</v>
      </c>
      <c r="H39" s="5" t="s">
        <v>137</v>
      </c>
      <c r="I39" s="5"/>
      <c r="J39" s="5" t="s">
        <v>17729</v>
      </c>
      <c r="M39" s="1"/>
      <c r="N39"/>
      <c r="O39"/>
      <c r="P39"/>
      <c r="Q39"/>
      <c r="R39"/>
      <c r="S39"/>
      <c r="T39"/>
      <c r="U39"/>
      <c r="V39"/>
      <c r="W39"/>
      <c r="X39"/>
      <c r="Y39"/>
    </row>
    <row r="40" spans="1:25" s="2" customFormat="1" ht="25.5" x14ac:dyDescent="0.2">
      <c r="A40" s="5" t="s">
        <v>16293</v>
      </c>
      <c r="B40" s="5" t="s">
        <v>83</v>
      </c>
      <c r="C40" s="5"/>
      <c r="D40" s="5" t="s">
        <v>16292</v>
      </c>
      <c r="E40" s="5"/>
      <c r="F40" s="5" t="s">
        <v>17728</v>
      </c>
      <c r="G40" s="5" t="s">
        <v>105</v>
      </c>
      <c r="H40" s="5" t="s">
        <v>137</v>
      </c>
      <c r="I40" s="5" t="s">
        <v>7844</v>
      </c>
      <c r="J40" s="5" t="s">
        <v>17727</v>
      </c>
      <c r="M40" s="1"/>
      <c r="N40"/>
      <c r="O40"/>
      <c r="P40"/>
      <c r="Q40"/>
      <c r="R40"/>
      <c r="S40"/>
      <c r="T40"/>
      <c r="U40"/>
      <c r="V40"/>
      <c r="W40"/>
      <c r="X40"/>
      <c r="Y40"/>
    </row>
    <row r="41" spans="1:25" s="2" customFormat="1" ht="25.5" x14ac:dyDescent="0.2">
      <c r="A41" s="5" t="s">
        <v>16893</v>
      </c>
      <c r="B41" s="5" t="s">
        <v>83</v>
      </c>
      <c r="C41" s="5"/>
      <c r="D41" s="5" t="s">
        <v>17726</v>
      </c>
      <c r="E41" s="5" t="s">
        <v>138</v>
      </c>
      <c r="F41" s="5" t="s">
        <v>16892</v>
      </c>
      <c r="G41" s="5" t="s">
        <v>91</v>
      </c>
      <c r="H41" s="5" t="s">
        <v>137</v>
      </c>
      <c r="I41" s="5" t="s">
        <v>7844</v>
      </c>
      <c r="J41" s="5" t="s">
        <v>17725</v>
      </c>
      <c r="M41" s="1"/>
      <c r="N41"/>
      <c r="O41"/>
      <c r="P41"/>
      <c r="Q41"/>
      <c r="R41"/>
      <c r="S41"/>
      <c r="T41"/>
      <c r="U41"/>
      <c r="V41"/>
      <c r="W41"/>
      <c r="X41"/>
      <c r="Y41"/>
    </row>
    <row r="42" spans="1:25" s="2" customFormat="1" x14ac:dyDescent="0.2">
      <c r="A42" s="5" t="s">
        <v>15456</v>
      </c>
      <c r="B42" s="5" t="s">
        <v>83</v>
      </c>
      <c r="C42" s="5"/>
      <c r="D42" s="5" t="s">
        <v>17724</v>
      </c>
      <c r="E42" s="5" t="s">
        <v>138</v>
      </c>
      <c r="F42" s="5" t="s">
        <v>15456</v>
      </c>
      <c r="G42" s="5" t="s">
        <v>91</v>
      </c>
      <c r="H42" s="5" t="s">
        <v>3</v>
      </c>
      <c r="I42" s="5"/>
      <c r="J42" s="5" t="s">
        <v>15456</v>
      </c>
      <c r="M42" s="1"/>
      <c r="N42"/>
      <c r="O42"/>
      <c r="P42"/>
      <c r="Q42"/>
      <c r="R42"/>
      <c r="S42"/>
      <c r="T42"/>
      <c r="U42"/>
      <c r="V42"/>
      <c r="W42"/>
      <c r="X42"/>
      <c r="Y42"/>
    </row>
    <row r="43" spans="1:25" s="2" customFormat="1" x14ac:dyDescent="0.2">
      <c r="A43" s="5" t="s">
        <v>17723</v>
      </c>
      <c r="B43" s="5" t="s">
        <v>83</v>
      </c>
      <c r="C43" s="5"/>
      <c r="D43" s="5" t="s">
        <v>17722</v>
      </c>
      <c r="E43" s="5"/>
      <c r="F43" s="5" t="s">
        <v>17721</v>
      </c>
      <c r="G43" s="5" t="s">
        <v>105</v>
      </c>
      <c r="H43" s="5" t="s">
        <v>3</v>
      </c>
      <c r="I43" s="5"/>
      <c r="J43" s="5" t="s">
        <v>17720</v>
      </c>
      <c r="M43" s="1"/>
      <c r="N43"/>
      <c r="O43"/>
      <c r="P43"/>
      <c r="Q43"/>
      <c r="R43"/>
      <c r="S43"/>
      <c r="T43"/>
      <c r="U43"/>
      <c r="V43"/>
      <c r="W43"/>
      <c r="X43"/>
      <c r="Y43"/>
    </row>
    <row r="44" spans="1:25" s="2" customFormat="1" x14ac:dyDescent="0.2">
      <c r="A44" s="5" t="s">
        <v>16257</v>
      </c>
      <c r="B44" s="5" t="s">
        <v>83</v>
      </c>
      <c r="C44" s="5"/>
      <c r="D44" s="5" t="s">
        <v>17719</v>
      </c>
      <c r="E44" s="5" t="s">
        <v>138</v>
      </c>
      <c r="F44" s="5" t="s">
        <v>17718</v>
      </c>
      <c r="G44" s="5" t="s">
        <v>91</v>
      </c>
      <c r="H44" s="5" t="s">
        <v>3</v>
      </c>
      <c r="I44" s="5"/>
      <c r="J44" s="5" t="s">
        <v>17717</v>
      </c>
      <c r="M44" s="1"/>
      <c r="N44"/>
      <c r="O44"/>
      <c r="P44"/>
      <c r="Q44"/>
      <c r="R44"/>
      <c r="S44"/>
      <c r="T44"/>
      <c r="U44"/>
      <c r="V44"/>
      <c r="W44"/>
      <c r="X44"/>
      <c r="Y44"/>
    </row>
    <row r="45" spans="1:25" s="2" customFormat="1" ht="25.5" x14ac:dyDescent="0.2">
      <c r="A45" s="5" t="s">
        <v>17716</v>
      </c>
      <c r="B45" s="5" t="s">
        <v>83</v>
      </c>
      <c r="C45" s="5"/>
      <c r="D45" s="5" t="s">
        <v>17715</v>
      </c>
      <c r="E45" s="5" t="s">
        <v>138</v>
      </c>
      <c r="F45" s="5" t="s">
        <v>5375</v>
      </c>
      <c r="G45" s="5" t="s">
        <v>91</v>
      </c>
      <c r="H45" s="5" t="s">
        <v>137</v>
      </c>
      <c r="I45" s="5" t="s">
        <v>15390</v>
      </c>
      <c r="J45" s="5" t="s">
        <v>17714</v>
      </c>
      <c r="M45" s="1"/>
      <c r="N45"/>
      <c r="O45"/>
      <c r="P45"/>
      <c r="Q45"/>
      <c r="R45"/>
      <c r="S45"/>
      <c r="T45"/>
      <c r="U45"/>
      <c r="V45"/>
      <c r="W45"/>
      <c r="X45"/>
      <c r="Y45"/>
    </row>
    <row r="46" spans="1:25" s="2" customFormat="1" ht="25.5" x14ac:dyDescent="0.2">
      <c r="A46" s="5" t="s">
        <v>7909</v>
      </c>
      <c r="B46" s="5" t="s">
        <v>83</v>
      </c>
      <c r="C46" s="5"/>
      <c r="D46" s="5" t="s">
        <v>17713</v>
      </c>
      <c r="E46" s="5"/>
      <c r="F46" s="5" t="s">
        <v>7577</v>
      </c>
      <c r="G46" s="5" t="s">
        <v>118</v>
      </c>
      <c r="H46" s="5" t="s">
        <v>137</v>
      </c>
      <c r="I46" s="5" t="s">
        <v>7844</v>
      </c>
      <c r="J46" s="5" t="s">
        <v>7620</v>
      </c>
      <c r="M46" s="1"/>
      <c r="N46"/>
      <c r="O46"/>
      <c r="P46"/>
      <c r="Q46"/>
      <c r="R46"/>
      <c r="S46"/>
      <c r="T46"/>
      <c r="U46"/>
      <c r="V46"/>
      <c r="W46"/>
      <c r="X46"/>
      <c r="Y46"/>
    </row>
    <row r="47" spans="1:25" s="2" customFormat="1" x14ac:dyDescent="0.2">
      <c r="A47" s="5" t="s">
        <v>17711</v>
      </c>
      <c r="B47" s="5" t="s">
        <v>83</v>
      </c>
      <c r="C47" s="5"/>
      <c r="D47" s="5" t="s">
        <v>17712</v>
      </c>
      <c r="E47" s="5" t="s">
        <v>138</v>
      </c>
      <c r="F47" s="5" t="s">
        <v>17711</v>
      </c>
      <c r="G47" s="5" t="s">
        <v>91</v>
      </c>
      <c r="H47" s="5" t="s">
        <v>3</v>
      </c>
      <c r="I47" s="5"/>
      <c r="J47" s="5" t="s">
        <v>17711</v>
      </c>
      <c r="M47" s="1"/>
      <c r="N47"/>
      <c r="O47"/>
      <c r="P47"/>
      <c r="Q47"/>
      <c r="R47"/>
      <c r="S47"/>
      <c r="T47"/>
      <c r="U47"/>
      <c r="V47"/>
      <c r="W47"/>
      <c r="X47"/>
      <c r="Y47"/>
    </row>
    <row r="48" spans="1:25" s="2" customFormat="1" ht="25.5" x14ac:dyDescent="0.2">
      <c r="A48" s="5" t="s">
        <v>17710</v>
      </c>
      <c r="B48" s="5" t="s">
        <v>83</v>
      </c>
      <c r="C48" s="5"/>
      <c r="D48" s="5" t="s">
        <v>17709</v>
      </c>
      <c r="E48" s="5" t="s">
        <v>138</v>
      </c>
      <c r="F48" s="5" t="s">
        <v>5375</v>
      </c>
      <c r="G48" s="5" t="s">
        <v>91</v>
      </c>
      <c r="H48" s="5" t="s">
        <v>137</v>
      </c>
      <c r="I48" s="5" t="s">
        <v>15390</v>
      </c>
      <c r="J48" s="5" t="s">
        <v>17708</v>
      </c>
      <c r="M48" s="1"/>
      <c r="N48"/>
      <c r="O48"/>
      <c r="P48"/>
      <c r="Q48"/>
      <c r="R48"/>
      <c r="S48"/>
      <c r="T48"/>
      <c r="U48"/>
      <c r="V48"/>
      <c r="W48"/>
      <c r="X48"/>
      <c r="Y48"/>
    </row>
    <row r="49" spans="1:25" s="2" customFormat="1" x14ac:dyDescent="0.2">
      <c r="A49" s="5" t="s">
        <v>7375</v>
      </c>
      <c r="B49" s="5" t="s">
        <v>83</v>
      </c>
      <c r="C49" s="5"/>
      <c r="D49" s="5" t="s">
        <v>17707</v>
      </c>
      <c r="E49" s="5"/>
      <c r="F49" s="5" t="s">
        <v>11538</v>
      </c>
      <c r="G49" s="5" t="s">
        <v>105</v>
      </c>
      <c r="H49" s="5" t="s">
        <v>3</v>
      </c>
      <c r="I49" s="5"/>
      <c r="J49" s="5" t="s">
        <v>17706</v>
      </c>
      <c r="M49" s="1"/>
      <c r="N49"/>
      <c r="O49"/>
      <c r="P49"/>
      <c r="Q49"/>
      <c r="R49"/>
      <c r="S49"/>
      <c r="T49"/>
      <c r="U49"/>
      <c r="V49"/>
      <c r="W49"/>
      <c r="X49"/>
      <c r="Y49"/>
    </row>
    <row r="50" spans="1:25" s="2" customFormat="1" x14ac:dyDescent="0.2">
      <c r="A50" s="5" t="s">
        <v>16196</v>
      </c>
      <c r="B50" s="5" t="s">
        <v>83</v>
      </c>
      <c r="C50" s="5"/>
      <c r="D50" s="5" t="s">
        <v>17705</v>
      </c>
      <c r="E50" s="5"/>
      <c r="F50" s="5" t="s">
        <v>17704</v>
      </c>
      <c r="G50" s="5" t="s">
        <v>393</v>
      </c>
      <c r="H50" s="5" t="s">
        <v>3</v>
      </c>
      <c r="I50" s="5"/>
      <c r="J50" s="5" t="s">
        <v>10374</v>
      </c>
      <c r="M50" s="1"/>
      <c r="N50"/>
      <c r="O50"/>
      <c r="P50"/>
      <c r="Q50"/>
      <c r="R50"/>
      <c r="S50"/>
      <c r="T50"/>
      <c r="U50"/>
      <c r="V50"/>
      <c r="W50"/>
      <c r="X50"/>
      <c r="Y50"/>
    </row>
    <row r="51" spans="1:25" s="2" customFormat="1" x14ac:dyDescent="0.2">
      <c r="A51" s="5" t="s">
        <v>10246</v>
      </c>
      <c r="B51" s="5" t="s">
        <v>83</v>
      </c>
      <c r="C51" s="5"/>
      <c r="D51" s="5" t="s">
        <v>16190</v>
      </c>
      <c r="E51" s="5"/>
      <c r="F51" s="5"/>
      <c r="G51" s="5" t="s">
        <v>6584</v>
      </c>
      <c r="H51" s="5" t="s">
        <v>3</v>
      </c>
      <c r="I51" s="5"/>
      <c r="J51" s="5" t="s">
        <v>17703</v>
      </c>
      <c r="M51" s="1"/>
      <c r="N51"/>
      <c r="O51"/>
      <c r="P51"/>
      <c r="Q51"/>
      <c r="R51"/>
      <c r="S51"/>
      <c r="T51"/>
      <c r="U51"/>
      <c r="V51"/>
      <c r="W51"/>
      <c r="X51"/>
      <c r="Y51"/>
    </row>
    <row r="52" spans="1:25" s="2" customFormat="1" x14ac:dyDescent="0.2">
      <c r="A52" s="5" t="s">
        <v>8759</v>
      </c>
      <c r="B52" s="5" t="s">
        <v>83</v>
      </c>
      <c r="C52" s="5"/>
      <c r="D52" s="5" t="s">
        <v>17702</v>
      </c>
      <c r="E52" s="5"/>
      <c r="F52" s="5" t="s">
        <v>4272</v>
      </c>
      <c r="G52" s="5" t="s">
        <v>7296</v>
      </c>
      <c r="H52" s="5" t="s">
        <v>3</v>
      </c>
      <c r="I52" s="5"/>
      <c r="J52" s="5" t="s">
        <v>17701</v>
      </c>
      <c r="M52" s="1"/>
      <c r="N52"/>
      <c r="O52"/>
      <c r="P52"/>
      <c r="Q52"/>
      <c r="R52"/>
      <c r="S52"/>
      <c r="T52"/>
      <c r="U52"/>
      <c r="V52"/>
      <c r="W52"/>
      <c r="X52"/>
      <c r="Y52"/>
    </row>
    <row r="53" spans="1:25" s="2" customFormat="1" x14ac:dyDescent="0.2">
      <c r="A53" s="5" t="s">
        <v>17700</v>
      </c>
      <c r="B53" s="5" t="s">
        <v>83</v>
      </c>
      <c r="C53" s="5"/>
      <c r="D53" s="5" t="s">
        <v>17699</v>
      </c>
      <c r="E53" s="5"/>
      <c r="F53" s="5" t="s">
        <v>17698</v>
      </c>
      <c r="G53" s="5" t="s">
        <v>393</v>
      </c>
      <c r="H53" s="5" t="s">
        <v>3</v>
      </c>
      <c r="I53" s="5"/>
      <c r="J53" s="5" t="s">
        <v>17698</v>
      </c>
      <c r="M53" s="1"/>
      <c r="N53"/>
      <c r="O53"/>
      <c r="P53"/>
      <c r="Q53"/>
      <c r="R53"/>
      <c r="S53"/>
      <c r="T53"/>
      <c r="U53"/>
      <c r="V53"/>
      <c r="W53"/>
      <c r="X53"/>
      <c r="Y53"/>
    </row>
    <row r="54" spans="1:25" s="2" customFormat="1" ht="25.5" x14ac:dyDescent="0.2">
      <c r="A54" s="5" t="s">
        <v>17697</v>
      </c>
      <c r="B54" s="5" t="s">
        <v>83</v>
      </c>
      <c r="C54" s="5"/>
      <c r="D54" s="5" t="s">
        <v>17696</v>
      </c>
      <c r="E54" s="5"/>
      <c r="F54" s="5" t="s">
        <v>17695</v>
      </c>
      <c r="G54" s="5" t="s">
        <v>283</v>
      </c>
      <c r="H54" s="5" t="s">
        <v>137</v>
      </c>
      <c r="I54" s="5" t="s">
        <v>17694</v>
      </c>
      <c r="J54" s="5" t="s">
        <v>17693</v>
      </c>
      <c r="M54" s="1"/>
      <c r="N54"/>
      <c r="O54"/>
      <c r="P54"/>
      <c r="Q54"/>
      <c r="R54"/>
      <c r="S54"/>
      <c r="T54"/>
      <c r="U54"/>
      <c r="V54"/>
      <c r="W54"/>
      <c r="X54"/>
      <c r="Y54"/>
    </row>
    <row r="55" spans="1:25" s="2" customFormat="1" ht="25.5" x14ac:dyDescent="0.2">
      <c r="A55" s="5" t="s">
        <v>10237</v>
      </c>
      <c r="B55" s="5" t="s">
        <v>83</v>
      </c>
      <c r="C55" s="5"/>
      <c r="D55" s="5" t="s">
        <v>17692</v>
      </c>
      <c r="E55" s="5"/>
      <c r="F55" s="5" t="s">
        <v>16162</v>
      </c>
      <c r="G55" s="5" t="s">
        <v>122</v>
      </c>
      <c r="H55" s="5" t="s">
        <v>137</v>
      </c>
      <c r="I55" s="5" t="s">
        <v>7844</v>
      </c>
      <c r="J55" s="5" t="s">
        <v>17691</v>
      </c>
      <c r="M55" s="1"/>
      <c r="N55"/>
      <c r="O55"/>
      <c r="P55"/>
      <c r="Q55"/>
      <c r="R55"/>
      <c r="S55"/>
      <c r="T55"/>
      <c r="U55"/>
      <c r="V55"/>
      <c r="W55"/>
      <c r="X55"/>
      <c r="Y55"/>
    </row>
    <row r="56" spans="1:25" s="2" customFormat="1" ht="25.5" x14ac:dyDescent="0.2">
      <c r="A56" s="5" t="s">
        <v>17140</v>
      </c>
      <c r="B56" s="5" t="s">
        <v>83</v>
      </c>
      <c r="C56" s="5"/>
      <c r="D56" s="5" t="s">
        <v>17690</v>
      </c>
      <c r="E56" s="5"/>
      <c r="F56" s="5" t="s">
        <v>10734</v>
      </c>
      <c r="G56" s="5" t="s">
        <v>2308</v>
      </c>
      <c r="H56" s="5" t="s">
        <v>137</v>
      </c>
      <c r="I56" s="5" t="s">
        <v>7844</v>
      </c>
      <c r="J56" s="5" t="s">
        <v>17689</v>
      </c>
      <c r="M56" s="1"/>
      <c r="N56"/>
      <c r="O56"/>
      <c r="P56"/>
      <c r="Q56"/>
      <c r="R56"/>
      <c r="S56"/>
      <c r="T56"/>
      <c r="U56"/>
      <c r="V56"/>
      <c r="W56"/>
      <c r="X56"/>
      <c r="Y56"/>
    </row>
    <row r="57" spans="1:25" s="2" customFormat="1" ht="25.5" x14ac:dyDescent="0.2">
      <c r="A57" s="5" t="s">
        <v>10233</v>
      </c>
      <c r="B57" s="5" t="s">
        <v>83</v>
      </c>
      <c r="C57" s="5"/>
      <c r="D57" s="5" t="s">
        <v>17688</v>
      </c>
      <c r="E57" s="5" t="s">
        <v>138</v>
      </c>
      <c r="F57" s="5" t="s">
        <v>17687</v>
      </c>
      <c r="G57" s="5" t="s">
        <v>91</v>
      </c>
      <c r="H57" s="5" t="s">
        <v>137</v>
      </c>
      <c r="I57" s="5" t="s">
        <v>7844</v>
      </c>
      <c r="J57" s="5" t="s">
        <v>17686</v>
      </c>
      <c r="M57" s="1"/>
      <c r="N57"/>
      <c r="O57"/>
      <c r="P57"/>
      <c r="Q57"/>
      <c r="R57"/>
      <c r="S57"/>
      <c r="T57"/>
      <c r="U57"/>
      <c r="V57"/>
      <c r="W57"/>
      <c r="X57"/>
      <c r="Y57"/>
    </row>
    <row r="58" spans="1:25" s="2" customFormat="1" ht="25.5" x14ac:dyDescent="0.2">
      <c r="A58" s="5" t="s">
        <v>17008</v>
      </c>
      <c r="B58" s="5" t="s">
        <v>83</v>
      </c>
      <c r="C58" s="5"/>
      <c r="D58" s="5" t="s">
        <v>17685</v>
      </c>
      <c r="E58" s="5" t="s">
        <v>138</v>
      </c>
      <c r="F58" s="5" t="s">
        <v>16892</v>
      </c>
      <c r="G58" s="5" t="s">
        <v>91</v>
      </c>
      <c r="H58" s="5" t="s">
        <v>137</v>
      </c>
      <c r="I58" s="5" t="s">
        <v>7844</v>
      </c>
      <c r="J58" s="5" t="s">
        <v>17684</v>
      </c>
      <c r="M58" s="1"/>
      <c r="N58"/>
      <c r="O58"/>
      <c r="P58"/>
      <c r="Q58"/>
      <c r="R58"/>
      <c r="S58"/>
      <c r="T58"/>
      <c r="U58"/>
      <c r="V58"/>
      <c r="W58"/>
      <c r="X58"/>
      <c r="Y58"/>
    </row>
    <row r="59" spans="1:25" s="2" customFormat="1" x14ac:dyDescent="0.2">
      <c r="A59" s="5" t="s">
        <v>15377</v>
      </c>
      <c r="B59" s="5" t="s">
        <v>83</v>
      </c>
      <c r="C59" s="5"/>
      <c r="D59" s="5" t="s">
        <v>17683</v>
      </c>
      <c r="E59" s="5"/>
      <c r="F59" s="5" t="s">
        <v>8808</v>
      </c>
      <c r="G59" s="5" t="s">
        <v>315</v>
      </c>
      <c r="H59" s="5" t="s">
        <v>3</v>
      </c>
      <c r="I59" s="5"/>
      <c r="J59" s="5" t="s">
        <v>16107</v>
      </c>
      <c r="M59" s="1"/>
      <c r="N59"/>
      <c r="O59"/>
      <c r="P59"/>
      <c r="Q59"/>
      <c r="R59"/>
      <c r="S59"/>
      <c r="T59"/>
      <c r="U59"/>
      <c r="V59"/>
      <c r="W59"/>
      <c r="X59"/>
      <c r="Y59"/>
    </row>
    <row r="60" spans="1:25" s="2" customFormat="1" ht="25.5" x14ac:dyDescent="0.2">
      <c r="A60" s="5" t="s">
        <v>16112</v>
      </c>
      <c r="B60" s="5" t="s">
        <v>83</v>
      </c>
      <c r="C60" s="5"/>
      <c r="D60" s="5" t="s">
        <v>15626</v>
      </c>
      <c r="E60" s="5"/>
      <c r="F60" s="5" t="s">
        <v>17682</v>
      </c>
      <c r="G60" s="5" t="s">
        <v>224</v>
      </c>
      <c r="H60" s="5" t="s">
        <v>3</v>
      </c>
      <c r="I60" s="5"/>
      <c r="J60" s="5" t="s">
        <v>17681</v>
      </c>
      <c r="M60" s="1"/>
      <c r="N60"/>
      <c r="O60"/>
      <c r="P60"/>
      <c r="Q60"/>
      <c r="R60"/>
      <c r="S60"/>
      <c r="T60"/>
      <c r="U60"/>
      <c r="V60"/>
      <c r="W60"/>
      <c r="X60"/>
      <c r="Y60"/>
    </row>
    <row r="61" spans="1:25" s="2" customFormat="1" ht="25.5" x14ac:dyDescent="0.2">
      <c r="A61" s="5" t="s">
        <v>16930</v>
      </c>
      <c r="B61" s="5" t="s">
        <v>83</v>
      </c>
      <c r="C61" s="5"/>
      <c r="D61" s="5" t="s">
        <v>17680</v>
      </c>
      <c r="E61" s="5"/>
      <c r="F61" s="5" t="s">
        <v>16924</v>
      </c>
      <c r="G61" s="5" t="s">
        <v>91</v>
      </c>
      <c r="H61" s="5" t="s">
        <v>137</v>
      </c>
      <c r="I61" s="5" t="s">
        <v>15488</v>
      </c>
      <c r="J61" s="5" t="s">
        <v>17679</v>
      </c>
      <c r="M61" s="1"/>
      <c r="N61"/>
      <c r="O61"/>
      <c r="P61"/>
      <c r="Q61"/>
      <c r="R61"/>
      <c r="S61"/>
      <c r="T61"/>
      <c r="U61"/>
      <c r="V61"/>
      <c r="W61"/>
      <c r="X61"/>
      <c r="Y61"/>
    </row>
    <row r="62" spans="1:25" s="2" customFormat="1" ht="25.5" x14ac:dyDescent="0.2">
      <c r="A62" s="5" t="s">
        <v>15784</v>
      </c>
      <c r="B62" s="5" t="s">
        <v>83</v>
      </c>
      <c r="C62" s="5"/>
      <c r="D62" s="5" t="s">
        <v>17678</v>
      </c>
      <c r="E62" s="5"/>
      <c r="F62" s="5" t="s">
        <v>16055</v>
      </c>
      <c r="G62" s="5" t="s">
        <v>122</v>
      </c>
      <c r="H62" s="5" t="s">
        <v>137</v>
      </c>
      <c r="I62" s="5" t="s">
        <v>15390</v>
      </c>
      <c r="J62" s="5" t="s">
        <v>17677</v>
      </c>
      <c r="M62" s="1"/>
      <c r="N62"/>
      <c r="O62"/>
      <c r="P62"/>
      <c r="Q62"/>
      <c r="R62"/>
      <c r="S62"/>
      <c r="T62"/>
      <c r="U62"/>
      <c r="V62"/>
      <c r="W62"/>
      <c r="X62"/>
      <c r="Y62"/>
    </row>
    <row r="63" spans="1:25" s="2" customFormat="1" ht="25.5" x14ac:dyDescent="0.2">
      <c r="A63" s="5" t="s">
        <v>17121</v>
      </c>
      <c r="B63" s="5" t="s">
        <v>83</v>
      </c>
      <c r="C63" s="5"/>
      <c r="D63" s="5" t="s">
        <v>17676</v>
      </c>
      <c r="E63" s="5"/>
      <c r="F63" s="5" t="s">
        <v>15965</v>
      </c>
      <c r="G63" s="5" t="s">
        <v>2308</v>
      </c>
      <c r="H63" s="5" t="s">
        <v>137</v>
      </c>
      <c r="I63" s="5" t="s">
        <v>15390</v>
      </c>
      <c r="J63" s="5" t="s">
        <v>17675</v>
      </c>
      <c r="M63" s="1"/>
      <c r="N63"/>
      <c r="O63"/>
      <c r="P63"/>
      <c r="Q63"/>
      <c r="R63"/>
      <c r="S63"/>
      <c r="T63"/>
      <c r="U63"/>
      <c r="V63"/>
      <c r="W63"/>
      <c r="X63"/>
      <c r="Y63"/>
    </row>
    <row r="64" spans="1:25" s="2" customFormat="1" ht="25.5" x14ac:dyDescent="0.2">
      <c r="A64" s="5" t="s">
        <v>16009</v>
      </c>
      <c r="B64" s="5" t="s">
        <v>83</v>
      </c>
      <c r="C64" s="5"/>
      <c r="D64" s="5" t="s">
        <v>17674</v>
      </c>
      <c r="E64" s="5"/>
      <c r="F64" s="5" t="s">
        <v>16957</v>
      </c>
      <c r="G64" s="5" t="s">
        <v>122</v>
      </c>
      <c r="H64" s="5" t="s">
        <v>137</v>
      </c>
      <c r="I64" s="5" t="s">
        <v>15385</v>
      </c>
      <c r="J64" s="5" t="s">
        <v>16956</v>
      </c>
      <c r="M64" s="1"/>
      <c r="N64"/>
      <c r="O64"/>
      <c r="P64"/>
      <c r="Q64"/>
      <c r="R64"/>
      <c r="S64"/>
      <c r="T64"/>
      <c r="U64"/>
      <c r="V64"/>
      <c r="W64"/>
      <c r="X64"/>
      <c r="Y64"/>
    </row>
    <row r="65" spans="1:25" s="2" customFormat="1" ht="25.5" x14ac:dyDescent="0.2">
      <c r="A65" s="5" t="s">
        <v>16953</v>
      </c>
      <c r="B65" s="5" t="s">
        <v>83</v>
      </c>
      <c r="C65" s="5"/>
      <c r="D65" s="5" t="s">
        <v>17673</v>
      </c>
      <c r="E65" s="5" t="s">
        <v>138</v>
      </c>
      <c r="F65" s="5" t="s">
        <v>11284</v>
      </c>
      <c r="G65" s="5" t="s">
        <v>91</v>
      </c>
      <c r="H65" s="5" t="s">
        <v>137</v>
      </c>
      <c r="I65" s="5" t="s">
        <v>15385</v>
      </c>
      <c r="J65" s="5" t="s">
        <v>17672</v>
      </c>
      <c r="M65" s="1"/>
      <c r="N65"/>
      <c r="O65"/>
      <c r="P65"/>
      <c r="Q65"/>
      <c r="R65"/>
      <c r="S65"/>
      <c r="T65"/>
      <c r="U65"/>
      <c r="V65"/>
      <c r="W65"/>
      <c r="X65"/>
      <c r="Y65"/>
    </row>
    <row r="66" spans="1:25" s="2" customFormat="1" ht="25.5" x14ac:dyDescent="0.2">
      <c r="A66" s="5" t="s">
        <v>7480</v>
      </c>
      <c r="B66" s="5" t="s">
        <v>83</v>
      </c>
      <c r="C66" s="5"/>
      <c r="D66" s="5" t="s">
        <v>17671</v>
      </c>
      <c r="E66" s="5" t="s">
        <v>138</v>
      </c>
      <c r="F66" s="5" t="s">
        <v>17670</v>
      </c>
      <c r="G66" s="5" t="s">
        <v>91</v>
      </c>
      <c r="H66" s="5" t="s">
        <v>137</v>
      </c>
      <c r="I66" s="5" t="s">
        <v>15390</v>
      </c>
      <c r="J66" s="5" t="s">
        <v>17669</v>
      </c>
      <c r="M66" s="1"/>
      <c r="N66"/>
      <c r="O66"/>
      <c r="P66"/>
      <c r="Q66"/>
      <c r="R66"/>
      <c r="S66"/>
      <c r="T66"/>
      <c r="U66"/>
      <c r="V66"/>
      <c r="W66"/>
      <c r="X66"/>
      <c r="Y66"/>
    </row>
    <row r="67" spans="1:25" s="2" customFormat="1" ht="25.5" x14ac:dyDescent="0.2">
      <c r="A67" s="5" t="s">
        <v>17007</v>
      </c>
      <c r="B67" s="5" t="s">
        <v>83</v>
      </c>
      <c r="C67" s="5"/>
      <c r="D67" s="5" t="s">
        <v>17668</v>
      </c>
      <c r="E67" s="5" t="s">
        <v>138</v>
      </c>
      <c r="F67" s="5" t="s">
        <v>16889</v>
      </c>
      <c r="G67" s="5" t="s">
        <v>91</v>
      </c>
      <c r="H67" s="5" t="s">
        <v>137</v>
      </c>
      <c r="I67" s="5" t="s">
        <v>15390</v>
      </c>
      <c r="J67" s="5" t="s">
        <v>17667</v>
      </c>
      <c r="M67" s="1"/>
      <c r="N67"/>
      <c r="O67"/>
      <c r="P67"/>
      <c r="Q67"/>
      <c r="R67"/>
      <c r="S67"/>
      <c r="T67"/>
      <c r="U67"/>
      <c r="V67"/>
      <c r="W67"/>
      <c r="X67"/>
      <c r="Y67"/>
    </row>
    <row r="68" spans="1:25" s="2" customFormat="1" x14ac:dyDescent="0.2">
      <c r="A68" s="5" t="s">
        <v>17666</v>
      </c>
      <c r="B68" s="5" t="s">
        <v>83</v>
      </c>
      <c r="C68" s="5"/>
      <c r="D68" s="5" t="s">
        <v>17665</v>
      </c>
      <c r="E68" s="5"/>
      <c r="F68" s="5" t="s">
        <v>17661</v>
      </c>
      <c r="G68" s="5" t="s">
        <v>6584</v>
      </c>
      <c r="H68" s="5" t="s">
        <v>3</v>
      </c>
      <c r="I68" s="5"/>
      <c r="J68" s="5" t="s">
        <v>17664</v>
      </c>
      <c r="M68" s="1"/>
      <c r="N68"/>
      <c r="O68"/>
      <c r="P68"/>
      <c r="Q68"/>
      <c r="R68"/>
      <c r="S68"/>
      <c r="T68"/>
      <c r="U68"/>
      <c r="V68"/>
      <c r="W68"/>
      <c r="X68"/>
      <c r="Y68"/>
    </row>
    <row r="69" spans="1:25" s="2" customFormat="1" x14ac:dyDescent="0.2">
      <c r="A69" s="5" t="s">
        <v>17663</v>
      </c>
      <c r="B69" s="5" t="s">
        <v>83</v>
      </c>
      <c r="C69" s="5"/>
      <c r="D69" s="5" t="s">
        <v>17662</v>
      </c>
      <c r="E69" s="5"/>
      <c r="F69" s="5" t="s">
        <v>17661</v>
      </c>
      <c r="G69" s="5" t="s">
        <v>6584</v>
      </c>
      <c r="H69" s="5" t="s">
        <v>3</v>
      </c>
      <c r="I69" s="5"/>
      <c r="J69" s="5" t="s">
        <v>17660</v>
      </c>
      <c r="M69" s="1"/>
      <c r="N69"/>
      <c r="O69"/>
      <c r="P69"/>
      <c r="Q69"/>
      <c r="R69"/>
      <c r="S69"/>
      <c r="T69"/>
      <c r="U69"/>
      <c r="V69"/>
      <c r="W69"/>
      <c r="X69"/>
      <c r="Y69"/>
    </row>
    <row r="70" spans="1:25" s="2" customFormat="1" x14ac:dyDescent="0.2">
      <c r="A70" s="5" t="s">
        <v>17659</v>
      </c>
      <c r="B70" s="5" t="s">
        <v>83</v>
      </c>
      <c r="C70" s="5"/>
      <c r="D70" s="5" t="s">
        <v>17658</v>
      </c>
      <c r="E70" s="5"/>
      <c r="F70" s="5" t="s">
        <v>9239</v>
      </c>
      <c r="G70" s="5" t="s">
        <v>229</v>
      </c>
      <c r="H70" s="5" t="s">
        <v>3</v>
      </c>
      <c r="I70" s="5"/>
      <c r="J70" s="5"/>
      <c r="M70" s="1"/>
      <c r="N70"/>
      <c r="O70"/>
      <c r="P70"/>
      <c r="Q70"/>
      <c r="R70"/>
      <c r="S70"/>
      <c r="T70"/>
      <c r="U70"/>
      <c r="V70"/>
      <c r="W70"/>
      <c r="X70"/>
      <c r="Y70"/>
    </row>
    <row r="71" spans="1:25" s="2" customFormat="1" ht="25.5" x14ac:dyDescent="0.2">
      <c r="A71" s="5" t="s">
        <v>15880</v>
      </c>
      <c r="B71" s="5" t="s">
        <v>83</v>
      </c>
      <c r="C71" s="5"/>
      <c r="D71" s="5" t="s">
        <v>15879</v>
      </c>
      <c r="E71" s="5"/>
      <c r="F71" s="5" t="s">
        <v>15878</v>
      </c>
      <c r="G71" s="5" t="s">
        <v>114</v>
      </c>
      <c r="H71" s="5" t="s">
        <v>137</v>
      </c>
      <c r="I71" s="5" t="s">
        <v>15852</v>
      </c>
      <c r="J71" s="5" t="s">
        <v>15877</v>
      </c>
      <c r="M71" s="1"/>
      <c r="N71"/>
      <c r="O71"/>
      <c r="P71"/>
      <c r="Q71"/>
      <c r="R71"/>
      <c r="S71"/>
      <c r="T71"/>
      <c r="U71"/>
      <c r="V71"/>
      <c r="W71"/>
      <c r="X71"/>
      <c r="Y71"/>
    </row>
    <row r="72" spans="1:25" s="2" customFormat="1" x14ac:dyDescent="0.2">
      <c r="A72" s="5" t="s">
        <v>15862</v>
      </c>
      <c r="B72" s="5" t="s">
        <v>83</v>
      </c>
      <c r="C72" s="5"/>
      <c r="D72" s="5" t="s">
        <v>17657</v>
      </c>
      <c r="E72" s="5"/>
      <c r="F72" s="5" t="s">
        <v>17656</v>
      </c>
      <c r="G72" s="5" t="s">
        <v>114</v>
      </c>
      <c r="H72" s="5" t="s">
        <v>137</v>
      </c>
      <c r="I72" s="5" t="s">
        <v>17655</v>
      </c>
      <c r="J72" s="5" t="s">
        <v>17654</v>
      </c>
      <c r="M72" s="1"/>
      <c r="N72"/>
      <c r="O72"/>
      <c r="P72"/>
      <c r="Q72"/>
      <c r="R72"/>
      <c r="S72"/>
      <c r="T72"/>
      <c r="U72"/>
      <c r="V72"/>
      <c r="W72"/>
      <c r="X72"/>
      <c r="Y72"/>
    </row>
    <row r="73" spans="1:25" s="2" customFormat="1" ht="25.5" x14ac:dyDescent="0.2">
      <c r="A73" s="5" t="s">
        <v>17653</v>
      </c>
      <c r="B73" s="5" t="s">
        <v>83</v>
      </c>
      <c r="C73" s="5"/>
      <c r="D73" s="5" t="s">
        <v>17652</v>
      </c>
      <c r="E73" s="5"/>
      <c r="F73" s="5" t="s">
        <v>10719</v>
      </c>
      <c r="G73" s="5" t="s">
        <v>224</v>
      </c>
      <c r="H73" s="5" t="s">
        <v>3</v>
      </c>
      <c r="I73" s="5"/>
      <c r="J73" s="5" t="s">
        <v>17651</v>
      </c>
      <c r="M73" s="1"/>
      <c r="N73"/>
      <c r="O73"/>
      <c r="P73"/>
      <c r="Q73"/>
      <c r="R73"/>
      <c r="S73"/>
      <c r="T73"/>
      <c r="U73"/>
      <c r="V73"/>
      <c r="W73"/>
      <c r="X73"/>
      <c r="Y73"/>
    </row>
    <row r="74" spans="1:25" s="2" customFormat="1" ht="25.5" x14ac:dyDescent="0.2">
      <c r="A74" s="5" t="s">
        <v>17650</v>
      </c>
      <c r="B74" s="5" t="s">
        <v>83</v>
      </c>
      <c r="C74" s="5"/>
      <c r="D74" s="5" t="s">
        <v>17649</v>
      </c>
      <c r="E74" s="5" t="s">
        <v>299</v>
      </c>
      <c r="F74" s="5" t="s">
        <v>17643</v>
      </c>
      <c r="G74" s="5" t="s">
        <v>195</v>
      </c>
      <c r="H74" s="5" t="s">
        <v>137</v>
      </c>
      <c r="I74" s="5" t="s">
        <v>15390</v>
      </c>
      <c r="J74" s="5" t="s">
        <v>17646</v>
      </c>
      <c r="M74" s="1"/>
      <c r="N74"/>
      <c r="O74"/>
      <c r="P74"/>
      <c r="Q74"/>
      <c r="R74"/>
      <c r="S74"/>
      <c r="T74"/>
      <c r="U74"/>
      <c r="V74"/>
      <c r="W74"/>
      <c r="X74"/>
      <c r="Y74"/>
    </row>
    <row r="75" spans="1:25" s="2" customFormat="1" ht="25.5" x14ac:dyDescent="0.2">
      <c r="A75" s="5" t="s">
        <v>17648</v>
      </c>
      <c r="B75" s="5" t="s">
        <v>83</v>
      </c>
      <c r="C75" s="5"/>
      <c r="D75" s="5" t="s">
        <v>17647</v>
      </c>
      <c r="E75" s="5" t="s">
        <v>299</v>
      </c>
      <c r="F75" s="5" t="s">
        <v>17643</v>
      </c>
      <c r="G75" s="5" t="s">
        <v>195</v>
      </c>
      <c r="H75" s="5" t="s">
        <v>137</v>
      </c>
      <c r="I75" s="5" t="s">
        <v>15390</v>
      </c>
      <c r="J75" s="5" t="s">
        <v>17646</v>
      </c>
      <c r="M75" s="1"/>
      <c r="N75"/>
      <c r="O75"/>
      <c r="P75"/>
      <c r="Q75"/>
      <c r="R75"/>
      <c r="S75"/>
      <c r="T75"/>
      <c r="U75"/>
      <c r="V75"/>
      <c r="W75"/>
      <c r="X75"/>
      <c r="Y75"/>
    </row>
    <row r="76" spans="1:25" s="2" customFormat="1" ht="25.5" x14ac:dyDescent="0.2">
      <c r="A76" s="5" t="s">
        <v>17645</v>
      </c>
      <c r="B76" s="5" t="s">
        <v>83</v>
      </c>
      <c r="C76" s="5"/>
      <c r="D76" s="5" t="s">
        <v>17644</v>
      </c>
      <c r="E76" s="5" t="s">
        <v>368</v>
      </c>
      <c r="F76" s="5" t="s">
        <v>17643</v>
      </c>
      <c r="G76" s="5" t="s">
        <v>702</v>
      </c>
      <c r="H76" s="5" t="s">
        <v>137</v>
      </c>
      <c r="I76" s="5" t="s">
        <v>15390</v>
      </c>
      <c r="J76" s="5" t="s">
        <v>17642</v>
      </c>
      <c r="M76" s="1"/>
      <c r="N76"/>
      <c r="O76"/>
      <c r="P76"/>
      <c r="Q76"/>
      <c r="R76"/>
      <c r="S76"/>
      <c r="T76"/>
      <c r="U76"/>
      <c r="V76"/>
      <c r="W76"/>
      <c r="X76"/>
      <c r="Y76"/>
    </row>
    <row r="77" spans="1:25" s="2" customFormat="1" ht="25.5" x14ac:dyDescent="0.2">
      <c r="A77" s="5" t="s">
        <v>17641</v>
      </c>
      <c r="B77" s="5" t="s">
        <v>83</v>
      </c>
      <c r="C77" s="5"/>
      <c r="D77" s="5" t="s">
        <v>17640</v>
      </c>
      <c r="E77" s="5" t="s">
        <v>368</v>
      </c>
      <c r="F77" s="5" t="s">
        <v>6621</v>
      </c>
      <c r="G77" s="5" t="s">
        <v>702</v>
      </c>
      <c r="H77" s="5" t="s">
        <v>137</v>
      </c>
      <c r="I77" s="5" t="s">
        <v>15390</v>
      </c>
      <c r="J77" s="5" t="s">
        <v>17639</v>
      </c>
      <c r="M77" s="1"/>
      <c r="N77"/>
      <c r="O77"/>
      <c r="P77"/>
      <c r="Q77"/>
      <c r="R77"/>
      <c r="S77"/>
      <c r="T77"/>
      <c r="U77"/>
      <c r="V77"/>
      <c r="W77"/>
      <c r="X77"/>
      <c r="Y77"/>
    </row>
    <row r="78" spans="1:25" s="2" customFormat="1" ht="25.5" x14ac:dyDescent="0.2">
      <c r="A78" s="5" t="s">
        <v>17638</v>
      </c>
      <c r="B78" s="5" t="s">
        <v>83</v>
      </c>
      <c r="C78" s="5"/>
      <c r="D78" s="5" t="s">
        <v>17637</v>
      </c>
      <c r="E78" s="5" t="s">
        <v>368</v>
      </c>
      <c r="F78" s="5" t="s">
        <v>6621</v>
      </c>
      <c r="G78" s="5" t="s">
        <v>702</v>
      </c>
      <c r="H78" s="5" t="s">
        <v>137</v>
      </c>
      <c r="I78" s="5" t="s">
        <v>15390</v>
      </c>
      <c r="J78" s="5" t="s">
        <v>17636</v>
      </c>
      <c r="M78" s="1"/>
      <c r="N78"/>
      <c r="O78"/>
      <c r="P78"/>
      <c r="Q78"/>
      <c r="R78"/>
      <c r="S78"/>
      <c r="T78"/>
      <c r="U78"/>
      <c r="V78"/>
      <c r="W78"/>
      <c r="X78"/>
      <c r="Y78"/>
    </row>
    <row r="79" spans="1:25" s="2" customFormat="1" x14ac:dyDescent="0.2">
      <c r="A79" s="5" t="s">
        <v>17634</v>
      </c>
      <c r="B79" s="5" t="s">
        <v>83</v>
      </c>
      <c r="C79" s="5"/>
      <c r="D79" s="5" t="s">
        <v>17635</v>
      </c>
      <c r="E79" s="5"/>
      <c r="F79" s="5" t="s">
        <v>17634</v>
      </c>
      <c r="G79" s="5" t="s">
        <v>105</v>
      </c>
      <c r="H79" s="5" t="s">
        <v>3</v>
      </c>
      <c r="I79" s="5"/>
      <c r="J79" s="5" t="s">
        <v>17633</v>
      </c>
      <c r="M79" s="1"/>
      <c r="N79"/>
      <c r="O79"/>
      <c r="P79"/>
      <c r="Q79"/>
      <c r="R79"/>
      <c r="S79"/>
      <c r="T79"/>
      <c r="U79"/>
      <c r="V79"/>
      <c r="W79"/>
      <c r="X79"/>
      <c r="Y79"/>
    </row>
    <row r="80" spans="1:25" s="2" customFormat="1" ht="25.5" x14ac:dyDescent="0.2">
      <c r="A80" s="5" t="s">
        <v>15688</v>
      </c>
      <c r="B80" s="5" t="s">
        <v>83</v>
      </c>
      <c r="C80" s="5"/>
      <c r="D80" s="5" t="s">
        <v>17632</v>
      </c>
      <c r="E80" s="5"/>
      <c r="F80" s="5" t="s">
        <v>7353</v>
      </c>
      <c r="G80" s="5" t="s">
        <v>80</v>
      </c>
      <c r="H80" s="5" t="s">
        <v>137</v>
      </c>
      <c r="I80" s="5" t="s">
        <v>15390</v>
      </c>
      <c r="J80" s="5" t="s">
        <v>17631</v>
      </c>
      <c r="M80" s="1"/>
      <c r="N80"/>
      <c r="O80"/>
      <c r="P80"/>
      <c r="Q80"/>
      <c r="R80"/>
      <c r="S80"/>
      <c r="T80"/>
      <c r="U80"/>
      <c r="V80"/>
      <c r="W80"/>
      <c r="X80"/>
      <c r="Y80"/>
    </row>
    <row r="81" spans="1:25" s="2" customFormat="1" ht="38.25" x14ac:dyDescent="0.2">
      <c r="A81" s="5" t="s">
        <v>15647</v>
      </c>
      <c r="B81" s="5" t="s">
        <v>83</v>
      </c>
      <c r="C81" s="5"/>
      <c r="D81" s="5" t="s">
        <v>17630</v>
      </c>
      <c r="E81" s="5"/>
      <c r="F81" s="5" t="s">
        <v>15239</v>
      </c>
      <c r="G81" s="5" t="s">
        <v>118</v>
      </c>
      <c r="H81" s="5" t="s">
        <v>137</v>
      </c>
      <c r="I81" s="5" t="s">
        <v>1658</v>
      </c>
      <c r="J81" s="5" t="s">
        <v>17629</v>
      </c>
      <c r="M81" s="1"/>
      <c r="N81"/>
      <c r="O81"/>
      <c r="P81"/>
      <c r="Q81"/>
      <c r="R81"/>
      <c r="S81"/>
      <c r="T81"/>
      <c r="U81"/>
      <c r="V81"/>
      <c r="W81"/>
      <c r="X81"/>
      <c r="Y81"/>
    </row>
    <row r="82" spans="1:25" s="2" customFormat="1" ht="25.5" x14ac:dyDescent="0.2">
      <c r="A82" s="5" t="s">
        <v>15630</v>
      </c>
      <c r="B82" s="5" t="s">
        <v>83</v>
      </c>
      <c r="C82" s="5"/>
      <c r="D82" s="5" t="s">
        <v>15629</v>
      </c>
      <c r="E82" s="5"/>
      <c r="F82" s="5" t="s">
        <v>17628</v>
      </c>
      <c r="G82" s="5" t="s">
        <v>105</v>
      </c>
      <c r="H82" s="5" t="s">
        <v>137</v>
      </c>
      <c r="I82" s="5" t="s">
        <v>15390</v>
      </c>
      <c r="J82" s="5" t="s">
        <v>17627</v>
      </c>
      <c r="M82" s="1"/>
      <c r="N82"/>
      <c r="O82"/>
      <c r="P82"/>
      <c r="Q82"/>
      <c r="R82"/>
      <c r="S82"/>
      <c r="T82"/>
      <c r="U82"/>
      <c r="V82"/>
      <c r="W82"/>
      <c r="X82"/>
      <c r="Y82"/>
    </row>
    <row r="83" spans="1:25" s="2" customFormat="1" ht="25.5" x14ac:dyDescent="0.2">
      <c r="A83" s="5" t="s">
        <v>17626</v>
      </c>
      <c r="B83" s="5" t="s">
        <v>83</v>
      </c>
      <c r="C83" s="5"/>
      <c r="D83" s="5" t="s">
        <v>17625</v>
      </c>
      <c r="E83" s="5" t="s">
        <v>299</v>
      </c>
      <c r="F83" s="5" t="s">
        <v>8174</v>
      </c>
      <c r="G83" s="5" t="s">
        <v>195</v>
      </c>
      <c r="H83" s="5" t="s">
        <v>137</v>
      </c>
      <c r="I83" s="5" t="s">
        <v>7844</v>
      </c>
      <c r="J83" s="5" t="s">
        <v>17624</v>
      </c>
      <c r="M83" s="1"/>
      <c r="N83"/>
      <c r="O83"/>
      <c r="P83"/>
      <c r="Q83"/>
      <c r="R83"/>
      <c r="S83"/>
      <c r="T83"/>
      <c r="U83"/>
      <c r="V83"/>
      <c r="W83"/>
      <c r="X83"/>
      <c r="Y83"/>
    </row>
    <row r="84" spans="1:25" s="2" customFormat="1" ht="25.5" x14ac:dyDescent="0.2">
      <c r="A84" s="5" t="s">
        <v>17623</v>
      </c>
      <c r="B84" s="5" t="s">
        <v>83</v>
      </c>
      <c r="C84" s="5"/>
      <c r="D84" s="5" t="s">
        <v>17622</v>
      </c>
      <c r="E84" s="5" t="s">
        <v>368</v>
      </c>
      <c r="F84" s="5" t="s">
        <v>17621</v>
      </c>
      <c r="G84" s="5" t="s">
        <v>702</v>
      </c>
      <c r="H84" s="5" t="s">
        <v>137</v>
      </c>
      <c r="I84" s="5" t="s">
        <v>7844</v>
      </c>
      <c r="J84" s="5" t="s">
        <v>17620</v>
      </c>
      <c r="M84" s="1"/>
      <c r="N84"/>
      <c r="O84"/>
      <c r="P84"/>
      <c r="Q84"/>
      <c r="R84"/>
      <c r="S84"/>
      <c r="T84"/>
      <c r="U84"/>
      <c r="V84"/>
      <c r="W84"/>
      <c r="X84"/>
      <c r="Y84"/>
    </row>
    <row r="85" spans="1:25" s="2" customFormat="1" ht="25.5" x14ac:dyDescent="0.2">
      <c r="A85" s="5" t="s">
        <v>17619</v>
      </c>
      <c r="B85" s="5" t="s">
        <v>83</v>
      </c>
      <c r="C85" s="5"/>
      <c r="D85" s="5" t="s">
        <v>17618</v>
      </c>
      <c r="E85" s="5" t="s">
        <v>368</v>
      </c>
      <c r="F85" s="5" t="s">
        <v>7353</v>
      </c>
      <c r="G85" s="5" t="s">
        <v>702</v>
      </c>
      <c r="H85" s="5" t="s">
        <v>137</v>
      </c>
      <c r="I85" s="5" t="s">
        <v>15390</v>
      </c>
      <c r="J85" s="5" t="s">
        <v>17617</v>
      </c>
      <c r="M85" s="1"/>
      <c r="N85"/>
      <c r="O85"/>
      <c r="P85"/>
      <c r="Q85"/>
      <c r="R85"/>
      <c r="S85"/>
      <c r="T85"/>
      <c r="U85"/>
      <c r="V85"/>
      <c r="W85"/>
      <c r="X85"/>
      <c r="Y85"/>
    </row>
    <row r="86" spans="1:25" s="2" customFormat="1" ht="25.5" x14ac:dyDescent="0.2">
      <c r="A86" s="5" t="s">
        <v>16890</v>
      </c>
      <c r="B86" s="5" t="s">
        <v>83</v>
      </c>
      <c r="C86" s="5"/>
      <c r="D86" s="5" t="s">
        <v>17616</v>
      </c>
      <c r="E86" s="5" t="s">
        <v>138</v>
      </c>
      <c r="F86" s="5" t="s">
        <v>16889</v>
      </c>
      <c r="G86" s="5" t="s">
        <v>91</v>
      </c>
      <c r="H86" s="5" t="s">
        <v>137</v>
      </c>
      <c r="I86" s="5" t="s">
        <v>15390</v>
      </c>
      <c r="J86" s="5" t="s">
        <v>17615</v>
      </c>
      <c r="M86" s="1"/>
      <c r="N86"/>
      <c r="O86"/>
      <c r="P86"/>
      <c r="Q86"/>
      <c r="R86"/>
      <c r="S86"/>
      <c r="T86"/>
      <c r="U86"/>
      <c r="V86"/>
      <c r="W86"/>
      <c r="X86"/>
      <c r="Y86"/>
    </row>
    <row r="87" spans="1:25" s="2" customFormat="1" ht="25.5" x14ac:dyDescent="0.2">
      <c r="A87" s="5" t="s">
        <v>474</v>
      </c>
      <c r="B87" s="5" t="s">
        <v>83</v>
      </c>
      <c r="C87" s="5"/>
      <c r="D87" s="5" t="s">
        <v>15508</v>
      </c>
      <c r="E87" s="5"/>
      <c r="F87" s="5" t="s">
        <v>17614</v>
      </c>
      <c r="G87" s="5" t="s">
        <v>199</v>
      </c>
      <c r="H87" s="5" t="s">
        <v>3</v>
      </c>
      <c r="I87" s="5"/>
      <c r="J87" s="5" t="s">
        <v>17613</v>
      </c>
      <c r="M87" s="1"/>
      <c r="N87"/>
      <c r="O87"/>
      <c r="P87"/>
      <c r="Q87"/>
      <c r="R87"/>
      <c r="S87"/>
      <c r="T87"/>
      <c r="U87"/>
      <c r="V87"/>
      <c r="W87"/>
      <c r="X87"/>
      <c r="Y87"/>
    </row>
    <row r="88" spans="1:25" s="2" customFormat="1" ht="25.5" x14ac:dyDescent="0.2">
      <c r="A88" s="5" t="s">
        <v>16849</v>
      </c>
      <c r="B88" s="5" t="s">
        <v>83</v>
      </c>
      <c r="C88" s="5"/>
      <c r="D88" s="5" t="s">
        <v>17612</v>
      </c>
      <c r="E88" s="5"/>
      <c r="F88" s="5" t="s">
        <v>11185</v>
      </c>
      <c r="G88" s="5" t="s">
        <v>896</v>
      </c>
      <c r="H88" s="5" t="s">
        <v>137</v>
      </c>
      <c r="I88" s="5"/>
      <c r="J88" s="5" t="s">
        <v>16848</v>
      </c>
      <c r="M88" s="1"/>
      <c r="N88"/>
      <c r="O88"/>
      <c r="P88"/>
      <c r="Q88"/>
      <c r="R88"/>
      <c r="S88"/>
      <c r="T88"/>
      <c r="U88"/>
      <c r="V88"/>
      <c r="W88"/>
      <c r="X88"/>
      <c r="Y88"/>
    </row>
    <row r="89" spans="1:25" s="2" customFormat="1" x14ac:dyDescent="0.2">
      <c r="A89" s="5" t="s">
        <v>15482</v>
      </c>
      <c r="B89" s="5" t="s">
        <v>83</v>
      </c>
      <c r="C89" s="5"/>
      <c r="D89" s="5" t="s">
        <v>15481</v>
      </c>
      <c r="E89" s="5"/>
      <c r="F89" s="5" t="s">
        <v>11886</v>
      </c>
      <c r="G89" s="5" t="s">
        <v>199</v>
      </c>
      <c r="H89" s="5" t="s">
        <v>3</v>
      </c>
      <c r="I89" s="5"/>
      <c r="J89" s="5" t="s">
        <v>17611</v>
      </c>
      <c r="M89" s="1"/>
      <c r="N89"/>
      <c r="O89"/>
      <c r="P89"/>
      <c r="Q89"/>
      <c r="R89"/>
      <c r="S89"/>
      <c r="T89"/>
      <c r="U89"/>
      <c r="V89"/>
      <c r="W89"/>
      <c r="X89"/>
      <c r="Y89"/>
    </row>
    <row r="90" spans="1:25" s="2" customFormat="1" ht="25.5" x14ac:dyDescent="0.2">
      <c r="A90" s="5" t="s">
        <v>16922</v>
      </c>
      <c r="B90" s="5" t="s">
        <v>83</v>
      </c>
      <c r="C90" s="5"/>
      <c r="D90" s="5" t="s">
        <v>17610</v>
      </c>
      <c r="E90" s="5"/>
      <c r="F90" s="5" t="s">
        <v>17609</v>
      </c>
      <c r="G90" s="5" t="s">
        <v>148</v>
      </c>
      <c r="H90" s="5" t="s">
        <v>137</v>
      </c>
      <c r="I90" s="5" t="s">
        <v>15488</v>
      </c>
      <c r="J90" s="5" t="s">
        <v>17608</v>
      </c>
      <c r="M90" s="1"/>
      <c r="N90"/>
      <c r="O90"/>
      <c r="P90"/>
      <c r="Q90"/>
      <c r="R90"/>
      <c r="S90"/>
      <c r="T90"/>
      <c r="U90"/>
      <c r="V90"/>
      <c r="W90"/>
      <c r="X90"/>
      <c r="Y90"/>
    </row>
    <row r="91" spans="1:25" s="2" customFormat="1" x14ac:dyDescent="0.2">
      <c r="A91" s="5" t="s">
        <v>17607</v>
      </c>
      <c r="B91" s="5" t="s">
        <v>83</v>
      </c>
      <c r="C91" s="5"/>
      <c r="D91" s="5" t="s">
        <v>6362</v>
      </c>
      <c r="E91" s="5"/>
      <c r="F91" s="5" t="s">
        <v>17606</v>
      </c>
      <c r="G91" s="5" t="s">
        <v>118</v>
      </c>
      <c r="H91" s="5" t="s">
        <v>3</v>
      </c>
      <c r="I91" s="5"/>
      <c r="J91" s="5" t="s">
        <v>17605</v>
      </c>
      <c r="M91" s="1"/>
      <c r="N91"/>
      <c r="O91"/>
      <c r="P91"/>
      <c r="Q91"/>
      <c r="R91"/>
      <c r="S91"/>
      <c r="T91"/>
      <c r="U91"/>
      <c r="V91"/>
      <c r="W91"/>
      <c r="X91"/>
      <c r="Y91"/>
    </row>
    <row r="92" spans="1:25" s="2" customFormat="1" x14ac:dyDescent="0.2">
      <c r="A92" s="5" t="s">
        <v>17055</v>
      </c>
      <c r="B92" s="5" t="s">
        <v>83</v>
      </c>
      <c r="C92" s="5"/>
      <c r="D92" s="5" t="s">
        <v>17604</v>
      </c>
      <c r="E92" s="5"/>
      <c r="F92" s="5" t="s">
        <v>17054</v>
      </c>
      <c r="G92" s="5" t="s">
        <v>229</v>
      </c>
      <c r="H92" s="5" t="s">
        <v>3</v>
      </c>
      <c r="I92" s="5"/>
      <c r="J92" s="5" t="s">
        <v>17053</v>
      </c>
      <c r="M92" s="1"/>
      <c r="N92"/>
      <c r="O92"/>
      <c r="P92"/>
      <c r="Q92"/>
      <c r="R92"/>
      <c r="S92"/>
      <c r="T92"/>
      <c r="U92"/>
      <c r="V92"/>
      <c r="W92"/>
      <c r="X92"/>
      <c r="Y92"/>
    </row>
    <row r="93" spans="1:25" s="2" customFormat="1" x14ac:dyDescent="0.2">
      <c r="A93" s="5" t="s">
        <v>16812</v>
      </c>
      <c r="B93" s="5" t="s">
        <v>83</v>
      </c>
      <c r="C93" s="5"/>
      <c r="D93" s="5" t="s">
        <v>17603</v>
      </c>
      <c r="E93" s="5"/>
      <c r="F93" s="5" t="s">
        <v>17602</v>
      </c>
      <c r="G93" s="5" t="s">
        <v>91</v>
      </c>
      <c r="H93" s="5" t="s">
        <v>137</v>
      </c>
      <c r="I93" s="5"/>
      <c r="J93" s="5" t="s">
        <v>17601</v>
      </c>
      <c r="M93" s="1"/>
      <c r="N93"/>
      <c r="O93"/>
      <c r="P93"/>
      <c r="Q93"/>
      <c r="R93"/>
      <c r="S93"/>
      <c r="T93"/>
      <c r="U93"/>
      <c r="V93"/>
      <c r="W93"/>
      <c r="X93"/>
      <c r="Y93"/>
    </row>
    <row r="94" spans="1:25" s="2" customFormat="1" ht="25.5" x14ac:dyDescent="0.2">
      <c r="A94" s="5" t="s">
        <v>57</v>
      </c>
      <c r="B94" s="5" t="s">
        <v>8</v>
      </c>
      <c r="C94" s="5"/>
      <c r="D94" s="5" t="s">
        <v>17600</v>
      </c>
      <c r="E94" s="5"/>
      <c r="F94" s="5"/>
      <c r="G94" s="5"/>
      <c r="H94" s="5"/>
      <c r="I94" s="5"/>
      <c r="J94" s="5"/>
      <c r="M94" s="1"/>
      <c r="N94"/>
      <c r="O94"/>
      <c r="P94"/>
      <c r="Q94"/>
      <c r="R94"/>
      <c r="S94"/>
      <c r="T94"/>
      <c r="U94"/>
      <c r="V94"/>
      <c r="W94"/>
      <c r="X94"/>
      <c r="Y94"/>
    </row>
    <row r="95" spans="1:25" s="2" customFormat="1" ht="25.5" x14ac:dyDescent="0.2">
      <c r="A95" s="5" t="s">
        <v>17599</v>
      </c>
      <c r="B95" s="5" t="s">
        <v>8</v>
      </c>
      <c r="C95" s="5"/>
      <c r="D95" s="5" t="s">
        <v>17598</v>
      </c>
      <c r="E95" s="5"/>
      <c r="F95" s="5"/>
      <c r="G95" s="5"/>
      <c r="H95" s="5"/>
      <c r="I95" s="5"/>
      <c r="J95" s="5"/>
      <c r="M95" s="1"/>
      <c r="N95"/>
      <c r="O95"/>
      <c r="P95"/>
      <c r="Q95"/>
      <c r="R95"/>
      <c r="S95"/>
      <c r="T95"/>
      <c r="U95"/>
      <c r="V95"/>
      <c r="W95"/>
      <c r="X95"/>
      <c r="Y95"/>
    </row>
  </sheetData>
  <autoFilter ref="A3:M3" xr:uid="{B2F118FD-E5B2-4E44-9BD3-D0682A1C8D44}"/>
  <mergeCells count="1">
    <mergeCell ref="G1:I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Pict="0" macro="[0]!Return_to_menu">
                <anchor moveWithCells="1" sizeWithCells="1">
                  <from>
                    <xdr:col>9</xdr:col>
                    <xdr:colOff>114300</xdr:colOff>
                    <xdr:row>0</xdr:row>
                    <xdr:rowOff>47625</xdr:rowOff>
                  </from>
                  <to>
                    <xdr:col>9</xdr:col>
                    <xdr:colOff>1962150</xdr:colOff>
                    <xdr:row>1</xdr:row>
                    <xdr:rowOff>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823B-B053-4E76-92EC-FDFE9DC9E583}">
  <sheetPr codeName="Sheet23"/>
  <dimension ref="A1:Y159"/>
  <sheetViews>
    <sheetView workbookViewId="0">
      <pane ySplit="6435" topLeftCell="A26"/>
      <selection activeCell="A4" sqref="A4"/>
      <selection pane="bottomLeft" activeCell="B9" sqref="B9"/>
    </sheetView>
  </sheetViews>
  <sheetFormatPr defaultRowHeight="12.75" x14ac:dyDescent="0.2"/>
  <cols>
    <col min="1" max="1" width="25.83203125" style="3" bestFit="1" customWidth="1"/>
    <col min="2" max="2" width="5.6640625" style="4" bestFit="1" customWidth="1"/>
    <col min="3" max="3" width="5.33203125" style="3" customWidth="1"/>
    <col min="4" max="4" width="65.5" style="3" customWidth="1"/>
    <col min="5" max="5" width="11.83203125" style="3" customWidth="1"/>
    <col min="6" max="6" width="16.5" style="3" customWidth="1"/>
    <col min="7" max="7" width="9.33203125" style="3"/>
    <col min="8" max="9" width="8.6640625" style="3" customWidth="1"/>
    <col min="10" max="10" width="33.33203125" style="3" customWidth="1"/>
    <col min="11" max="11" width="8.83203125" style="2" customWidth="1"/>
    <col min="12" max="12" width="9.6640625" style="2" bestFit="1" customWidth="1"/>
    <col min="13" max="13" width="14.33203125" style="1" customWidth="1"/>
  </cols>
  <sheetData>
    <row r="1" spans="1:25" ht="18" x14ac:dyDescent="0.2">
      <c r="A1" s="15" t="s">
        <v>8893</v>
      </c>
      <c r="B1" s="15" t="s">
        <v>8205</v>
      </c>
      <c r="C1" s="14"/>
      <c r="D1" s="14"/>
      <c r="E1" s="14"/>
      <c r="F1" s="13" t="s">
        <v>8892</v>
      </c>
      <c r="G1" s="16">
        <v>45538</v>
      </c>
      <c r="H1" s="16"/>
      <c r="I1" s="16"/>
      <c r="J1" s="11" t="str">
        <f ca="1">MID(CELL("filename",$A$1),FIND("]",CELL("filename",$A$1))+1,256)</f>
        <v>CHEM</v>
      </c>
    </row>
    <row r="2" spans="1:25" ht="18" x14ac:dyDescent="0.2">
      <c r="A2" s="14">
        <f ca="1">COUNTA(OFFSET(A3,1,0,2222,1))</f>
        <v>156</v>
      </c>
      <c r="B2" s="15"/>
      <c r="C2" s="14">
        <f ca="1">MAX(OFFSET(C3,1,0,2222,1))</f>
        <v>9999</v>
      </c>
      <c r="D2" s="14"/>
      <c r="E2" s="14"/>
      <c r="F2" s="13"/>
      <c r="G2" s="12"/>
      <c r="H2" s="12"/>
      <c r="I2" s="12"/>
      <c r="J2" s="11"/>
    </row>
    <row r="3" spans="1:25" ht="38.25" x14ac:dyDescent="0.2">
      <c r="A3" s="10" t="s">
        <v>8891</v>
      </c>
      <c r="B3" s="9" t="s">
        <v>7699</v>
      </c>
      <c r="C3" s="8" t="s">
        <v>8890</v>
      </c>
      <c r="D3" s="8" t="s">
        <v>8889</v>
      </c>
      <c r="E3" s="8" t="s">
        <v>8888</v>
      </c>
      <c r="F3" s="8" t="s">
        <v>8887</v>
      </c>
      <c r="G3" s="8" t="s">
        <v>8886</v>
      </c>
      <c r="H3" s="8" t="s">
        <v>8885</v>
      </c>
      <c r="I3" s="8" t="s">
        <v>8791</v>
      </c>
      <c r="J3" s="8" t="s">
        <v>8884</v>
      </c>
      <c r="K3" s="7" t="s">
        <v>8883</v>
      </c>
      <c r="L3" s="7" t="s">
        <v>8882</v>
      </c>
      <c r="M3" s="6" t="s">
        <v>4272</v>
      </c>
    </row>
    <row r="4" spans="1:25" x14ac:dyDescent="0.2">
      <c r="A4" s="5" t="s">
        <v>8878</v>
      </c>
      <c r="B4" s="5" t="s">
        <v>8584</v>
      </c>
      <c r="C4" s="5">
        <v>0</v>
      </c>
      <c r="D4" s="5"/>
      <c r="E4" s="5"/>
      <c r="F4" s="5" t="s">
        <v>8205</v>
      </c>
      <c r="G4" s="5" t="s">
        <v>229</v>
      </c>
      <c r="H4" s="5" t="s">
        <v>3</v>
      </c>
      <c r="I4" s="5"/>
      <c r="J4" s="5" t="s">
        <v>17597</v>
      </c>
    </row>
    <row r="5" spans="1:25" ht="38.25" x14ac:dyDescent="0.2">
      <c r="A5" s="5" t="s">
        <v>8206</v>
      </c>
      <c r="B5" s="5" t="s">
        <v>8584</v>
      </c>
      <c r="C5" s="5">
        <v>0</v>
      </c>
      <c r="D5" s="5"/>
      <c r="E5" s="5"/>
      <c r="F5" s="5" t="s">
        <v>17596</v>
      </c>
      <c r="G5" s="5" t="s">
        <v>229</v>
      </c>
      <c r="H5" s="5" t="s">
        <v>3</v>
      </c>
      <c r="I5" s="5"/>
      <c r="J5" s="5" t="s">
        <v>17595</v>
      </c>
    </row>
    <row r="6" spans="1:25" x14ac:dyDescent="0.2">
      <c r="A6" s="5" t="s">
        <v>16410</v>
      </c>
      <c r="B6" s="5" t="s">
        <v>8584</v>
      </c>
      <c r="C6" s="5">
        <v>1</v>
      </c>
      <c r="D6" s="5"/>
      <c r="E6" s="5"/>
      <c r="F6" s="5" t="s">
        <v>17594</v>
      </c>
      <c r="G6" s="5" t="s">
        <v>6530</v>
      </c>
      <c r="H6" s="5" t="s">
        <v>3</v>
      </c>
      <c r="I6" s="5"/>
      <c r="J6" s="5" t="s">
        <v>16408</v>
      </c>
    </row>
    <row r="7" spans="1:25" x14ac:dyDescent="0.2">
      <c r="A7" s="5" t="s">
        <v>17593</v>
      </c>
      <c r="B7" s="5" t="s">
        <v>8584</v>
      </c>
      <c r="C7" s="5">
        <v>2</v>
      </c>
      <c r="D7" s="5"/>
      <c r="E7" s="5"/>
      <c r="F7" s="5" t="s">
        <v>9256</v>
      </c>
      <c r="G7" s="5" t="s">
        <v>2672</v>
      </c>
      <c r="H7" s="5" t="s">
        <v>3</v>
      </c>
      <c r="I7" s="5"/>
      <c r="J7" s="5" t="s">
        <v>17592</v>
      </c>
    </row>
    <row r="8" spans="1:25" ht="25.5" x14ac:dyDescent="0.2">
      <c r="A8" s="5" t="s">
        <v>8252</v>
      </c>
      <c r="B8" s="5" t="s">
        <v>8584</v>
      </c>
      <c r="C8" s="5">
        <v>3</v>
      </c>
      <c r="D8" s="5"/>
      <c r="E8" s="5" t="s">
        <v>150</v>
      </c>
      <c r="F8" s="5" t="s">
        <v>8250</v>
      </c>
      <c r="G8" s="5" t="s">
        <v>382</v>
      </c>
      <c r="H8" s="5" t="s">
        <v>3</v>
      </c>
      <c r="I8" s="5"/>
      <c r="J8" s="5" t="s">
        <v>8249</v>
      </c>
    </row>
    <row r="9" spans="1:25" ht="25.5" x14ac:dyDescent="0.2">
      <c r="A9" s="5" t="s">
        <v>15366</v>
      </c>
      <c r="B9" s="5" t="s">
        <v>8584</v>
      </c>
      <c r="C9" s="5">
        <v>3</v>
      </c>
      <c r="D9" s="5"/>
      <c r="E9" s="5" t="s">
        <v>213</v>
      </c>
      <c r="F9" s="5" t="s">
        <v>8250</v>
      </c>
      <c r="G9" s="5" t="s">
        <v>91</v>
      </c>
      <c r="H9" s="5" t="s">
        <v>3</v>
      </c>
      <c r="I9" s="5"/>
      <c r="J9" s="5" t="s">
        <v>17591</v>
      </c>
    </row>
    <row r="10" spans="1:25" ht="25.5" x14ac:dyDescent="0.2">
      <c r="A10" s="5" t="s">
        <v>17590</v>
      </c>
      <c r="B10" s="5" t="s">
        <v>8584</v>
      </c>
      <c r="C10" s="5">
        <v>3</v>
      </c>
      <c r="D10" s="5"/>
      <c r="E10" s="5" t="s">
        <v>150</v>
      </c>
      <c r="F10" s="5" t="s">
        <v>8250</v>
      </c>
      <c r="G10" s="5" t="s">
        <v>148</v>
      </c>
      <c r="H10" s="5" t="s">
        <v>3</v>
      </c>
      <c r="I10" s="5"/>
      <c r="J10" s="5" t="s">
        <v>8249</v>
      </c>
    </row>
    <row r="11" spans="1:25" ht="25.5" x14ac:dyDescent="0.2">
      <c r="A11" s="5" t="s">
        <v>8149</v>
      </c>
      <c r="B11" s="5" t="s">
        <v>8584</v>
      </c>
      <c r="C11" s="5">
        <v>4</v>
      </c>
      <c r="D11" s="5"/>
      <c r="E11" s="5" t="s">
        <v>665</v>
      </c>
      <c r="F11" s="5" t="s">
        <v>8147</v>
      </c>
      <c r="G11" s="5" t="s">
        <v>382</v>
      </c>
      <c r="H11" s="5" t="s">
        <v>3</v>
      </c>
      <c r="I11" s="5"/>
      <c r="J11" s="5" t="s">
        <v>8146</v>
      </c>
    </row>
    <row r="12" spans="1:25" ht="25.5" x14ac:dyDescent="0.2">
      <c r="A12" s="5" t="s">
        <v>17589</v>
      </c>
      <c r="B12" s="5" t="s">
        <v>8584</v>
      </c>
      <c r="C12" s="5">
        <v>4</v>
      </c>
      <c r="D12" s="5"/>
      <c r="E12" s="5" t="s">
        <v>665</v>
      </c>
      <c r="F12" s="5" t="s">
        <v>8147</v>
      </c>
      <c r="G12" s="5" t="s">
        <v>148</v>
      </c>
      <c r="H12" s="5" t="s">
        <v>3</v>
      </c>
      <c r="I12" s="5"/>
      <c r="J12" s="5" t="s">
        <v>8146</v>
      </c>
    </row>
    <row r="13" spans="1:25" s="2" customFormat="1" x14ac:dyDescent="0.2">
      <c r="A13" s="5" t="s">
        <v>17588</v>
      </c>
      <c r="B13" s="5" t="s">
        <v>8584</v>
      </c>
      <c r="C13" s="5">
        <v>4</v>
      </c>
      <c r="D13" s="5"/>
      <c r="E13" s="5"/>
      <c r="F13" s="5"/>
      <c r="G13" s="5" t="s">
        <v>91</v>
      </c>
      <c r="H13" s="5" t="s">
        <v>3</v>
      </c>
      <c r="I13" s="5"/>
      <c r="J13" s="5"/>
      <c r="M13" s="1"/>
      <c r="N13"/>
      <c r="O13"/>
      <c r="P13"/>
      <c r="Q13"/>
      <c r="R13"/>
      <c r="S13"/>
      <c r="T13"/>
      <c r="U13"/>
      <c r="V13"/>
      <c r="W13"/>
      <c r="X13"/>
      <c r="Y13"/>
    </row>
    <row r="14" spans="1:25" s="2" customFormat="1" ht="25.5" x14ac:dyDescent="0.2">
      <c r="A14" s="5" t="s">
        <v>8159</v>
      </c>
      <c r="B14" s="5" t="s">
        <v>8584</v>
      </c>
      <c r="C14" s="5">
        <v>5</v>
      </c>
      <c r="D14" s="5"/>
      <c r="E14" s="5"/>
      <c r="F14" s="5" t="s">
        <v>17587</v>
      </c>
      <c r="G14" s="5" t="s">
        <v>328</v>
      </c>
      <c r="H14" s="5" t="s">
        <v>137</v>
      </c>
      <c r="I14" s="5" t="s">
        <v>17302</v>
      </c>
      <c r="J14" s="5" t="s">
        <v>17586</v>
      </c>
      <c r="M14" s="1"/>
      <c r="N14"/>
      <c r="O14"/>
      <c r="P14"/>
      <c r="Q14"/>
      <c r="R14"/>
      <c r="S14"/>
      <c r="T14"/>
      <c r="U14"/>
      <c r="V14"/>
      <c r="W14"/>
      <c r="X14"/>
      <c r="Y14"/>
    </row>
    <row r="15" spans="1:25" s="2" customFormat="1" ht="25.5" x14ac:dyDescent="0.2">
      <c r="A15" s="5" t="s">
        <v>17585</v>
      </c>
      <c r="B15" s="5" t="s">
        <v>8584</v>
      </c>
      <c r="C15" s="5">
        <v>6</v>
      </c>
      <c r="D15" s="5"/>
      <c r="E15" s="5"/>
      <c r="F15" s="5" t="s">
        <v>17584</v>
      </c>
      <c r="G15" s="5" t="s">
        <v>382</v>
      </c>
      <c r="H15" s="5" t="s">
        <v>137</v>
      </c>
      <c r="I15" s="5" t="s">
        <v>17302</v>
      </c>
      <c r="J15" s="5" t="s">
        <v>17583</v>
      </c>
      <c r="M15" s="1"/>
      <c r="N15"/>
      <c r="O15"/>
      <c r="P15"/>
      <c r="Q15"/>
      <c r="R15"/>
      <c r="S15"/>
      <c r="T15"/>
      <c r="U15"/>
      <c r="V15"/>
      <c r="W15"/>
      <c r="X15"/>
      <c r="Y15"/>
    </row>
    <row r="16" spans="1:25" s="2" customFormat="1" x14ac:dyDescent="0.2">
      <c r="A16" s="5" t="s">
        <v>17582</v>
      </c>
      <c r="B16" s="5" t="s">
        <v>8584</v>
      </c>
      <c r="C16" s="5">
        <v>7</v>
      </c>
      <c r="D16" s="5"/>
      <c r="E16" s="5"/>
      <c r="F16" s="5" t="s">
        <v>12277</v>
      </c>
      <c r="G16" s="5" t="s">
        <v>8068</v>
      </c>
      <c r="H16" s="5" t="s">
        <v>3</v>
      </c>
      <c r="I16" s="5"/>
      <c r="J16" s="5" t="s">
        <v>15648</v>
      </c>
      <c r="M16" s="1"/>
      <c r="N16"/>
      <c r="O16"/>
      <c r="P16"/>
      <c r="Q16"/>
      <c r="R16"/>
      <c r="S16"/>
      <c r="T16"/>
      <c r="U16"/>
      <c r="V16"/>
      <c r="W16"/>
      <c r="X16"/>
      <c r="Y16"/>
    </row>
    <row r="17" spans="1:25" s="2" customFormat="1" x14ac:dyDescent="0.2">
      <c r="A17" s="5" t="s">
        <v>17581</v>
      </c>
      <c r="B17" s="5" t="s">
        <v>8584</v>
      </c>
      <c r="C17" s="5">
        <v>8</v>
      </c>
      <c r="D17" s="5"/>
      <c r="E17" s="5"/>
      <c r="F17" s="5" t="s">
        <v>17580</v>
      </c>
      <c r="G17" s="5" t="s">
        <v>382</v>
      </c>
      <c r="H17" s="5" t="s">
        <v>3</v>
      </c>
      <c r="I17" s="5"/>
      <c r="J17" s="5" t="s">
        <v>17579</v>
      </c>
      <c r="M17" s="1"/>
      <c r="N17"/>
      <c r="O17"/>
      <c r="P17"/>
      <c r="Q17"/>
      <c r="R17"/>
      <c r="S17"/>
      <c r="T17"/>
      <c r="U17"/>
      <c r="V17"/>
      <c r="W17"/>
      <c r="X17"/>
      <c r="Y17"/>
    </row>
    <row r="18" spans="1:25" s="2" customFormat="1" x14ac:dyDescent="0.2">
      <c r="A18" s="5" t="s">
        <v>17578</v>
      </c>
      <c r="B18" s="5" t="s">
        <v>8584</v>
      </c>
      <c r="C18" s="5">
        <v>9</v>
      </c>
      <c r="D18" s="5"/>
      <c r="E18" s="5"/>
      <c r="F18" s="5" t="s">
        <v>17577</v>
      </c>
      <c r="G18" s="5" t="s">
        <v>1527</v>
      </c>
      <c r="H18" s="5" t="s">
        <v>3</v>
      </c>
      <c r="I18" s="5"/>
      <c r="J18" s="5" t="s">
        <v>17576</v>
      </c>
      <c r="M18" s="1"/>
      <c r="N18"/>
      <c r="O18"/>
      <c r="P18"/>
      <c r="Q18"/>
      <c r="R18"/>
      <c r="S18"/>
      <c r="T18"/>
      <c r="U18"/>
      <c r="V18"/>
      <c r="W18"/>
      <c r="X18"/>
      <c r="Y18"/>
    </row>
    <row r="19" spans="1:25" s="2" customFormat="1" ht="25.5" x14ac:dyDescent="0.2">
      <c r="A19" s="5" t="s">
        <v>17575</v>
      </c>
      <c r="B19" s="5" t="s">
        <v>8584</v>
      </c>
      <c r="C19" s="5">
        <v>10</v>
      </c>
      <c r="D19" s="5"/>
      <c r="E19" s="5"/>
      <c r="F19" s="5" t="s">
        <v>17573</v>
      </c>
      <c r="G19" s="5" t="s">
        <v>195</v>
      </c>
      <c r="H19" s="5" t="s">
        <v>3</v>
      </c>
      <c r="I19" s="5"/>
      <c r="J19" s="5" t="s">
        <v>17572</v>
      </c>
      <c r="M19" s="1"/>
      <c r="N19"/>
      <c r="O19"/>
      <c r="P19"/>
      <c r="Q19"/>
      <c r="R19"/>
      <c r="S19"/>
      <c r="T19"/>
      <c r="U19"/>
      <c r="V19"/>
      <c r="W19"/>
      <c r="X19"/>
      <c r="Y19"/>
    </row>
    <row r="20" spans="1:25" s="2" customFormat="1" ht="25.5" x14ac:dyDescent="0.2">
      <c r="A20" s="5" t="s">
        <v>17574</v>
      </c>
      <c r="B20" s="5" t="s">
        <v>8584</v>
      </c>
      <c r="C20" s="5">
        <v>10</v>
      </c>
      <c r="D20" s="5"/>
      <c r="E20" s="5"/>
      <c r="F20" s="5" t="s">
        <v>17573</v>
      </c>
      <c r="G20" s="5" t="s">
        <v>181</v>
      </c>
      <c r="H20" s="5" t="s">
        <v>3</v>
      </c>
      <c r="I20" s="5"/>
      <c r="J20" s="5" t="s">
        <v>17572</v>
      </c>
      <c r="M20" s="1"/>
      <c r="N20"/>
      <c r="O20"/>
      <c r="P20"/>
      <c r="Q20"/>
      <c r="R20"/>
      <c r="S20"/>
      <c r="T20"/>
      <c r="U20"/>
      <c r="V20"/>
      <c r="W20"/>
      <c r="X20"/>
      <c r="Y20"/>
    </row>
    <row r="21" spans="1:25" s="2" customFormat="1" ht="25.5" x14ac:dyDescent="0.2">
      <c r="A21" s="5" t="s">
        <v>17571</v>
      </c>
      <c r="B21" s="5" t="s">
        <v>8584</v>
      </c>
      <c r="C21" s="5">
        <v>11</v>
      </c>
      <c r="D21" s="5"/>
      <c r="E21" s="5"/>
      <c r="F21" s="5" t="s">
        <v>17569</v>
      </c>
      <c r="G21" s="5" t="s">
        <v>195</v>
      </c>
      <c r="H21" s="5" t="s">
        <v>3</v>
      </c>
      <c r="I21" s="5"/>
      <c r="J21" s="5" t="s">
        <v>17568</v>
      </c>
      <c r="M21" s="1"/>
      <c r="N21"/>
      <c r="O21"/>
      <c r="P21"/>
      <c r="Q21"/>
      <c r="R21"/>
      <c r="S21"/>
      <c r="T21"/>
      <c r="U21"/>
      <c r="V21"/>
      <c r="W21"/>
      <c r="X21"/>
      <c r="Y21"/>
    </row>
    <row r="22" spans="1:25" s="2" customFormat="1" ht="25.5" x14ac:dyDescent="0.2">
      <c r="A22" s="5" t="s">
        <v>17570</v>
      </c>
      <c r="B22" s="5" t="s">
        <v>8584</v>
      </c>
      <c r="C22" s="5">
        <v>11</v>
      </c>
      <c r="D22" s="5"/>
      <c r="E22" s="5"/>
      <c r="F22" s="5" t="s">
        <v>17569</v>
      </c>
      <c r="G22" s="5" t="s">
        <v>181</v>
      </c>
      <c r="H22" s="5" t="s">
        <v>3</v>
      </c>
      <c r="I22" s="5"/>
      <c r="J22" s="5" t="s">
        <v>17568</v>
      </c>
      <c r="M22" s="1"/>
      <c r="N22"/>
      <c r="O22"/>
      <c r="P22"/>
      <c r="Q22"/>
      <c r="R22"/>
      <c r="S22"/>
      <c r="T22"/>
      <c r="U22"/>
      <c r="V22"/>
      <c r="W22"/>
      <c r="X22"/>
      <c r="Y22"/>
    </row>
    <row r="23" spans="1:25" s="2" customFormat="1" ht="25.5" x14ac:dyDescent="0.2">
      <c r="A23" s="5" t="s">
        <v>8257</v>
      </c>
      <c r="B23" s="5" t="s">
        <v>8584</v>
      </c>
      <c r="C23" s="5">
        <v>12</v>
      </c>
      <c r="D23" s="5"/>
      <c r="E23" s="5"/>
      <c r="F23" s="5" t="s">
        <v>16454</v>
      </c>
      <c r="G23" s="5" t="s">
        <v>4</v>
      </c>
      <c r="H23" s="5" t="s">
        <v>3</v>
      </c>
      <c r="I23" s="5"/>
      <c r="J23" s="5" t="s">
        <v>16453</v>
      </c>
      <c r="M23" s="1"/>
      <c r="N23"/>
      <c r="O23"/>
      <c r="P23"/>
      <c r="Q23"/>
      <c r="R23"/>
      <c r="S23"/>
      <c r="T23"/>
      <c r="U23"/>
      <c r="V23"/>
      <c r="W23"/>
      <c r="X23"/>
      <c r="Y23"/>
    </row>
    <row r="24" spans="1:25" s="2" customFormat="1" ht="25.5" x14ac:dyDescent="0.2">
      <c r="A24" s="5" t="s">
        <v>17567</v>
      </c>
      <c r="B24" s="5" t="s">
        <v>8584</v>
      </c>
      <c r="C24" s="5">
        <v>12</v>
      </c>
      <c r="D24" s="5"/>
      <c r="E24" s="5"/>
      <c r="F24" s="5" t="s">
        <v>267</v>
      </c>
      <c r="G24" s="5" t="s">
        <v>4</v>
      </c>
      <c r="H24" s="5" t="s">
        <v>3</v>
      </c>
      <c r="I24" s="5"/>
      <c r="J24" s="5" t="s">
        <v>16453</v>
      </c>
      <c r="M24" s="1"/>
      <c r="N24"/>
      <c r="O24"/>
      <c r="P24"/>
      <c r="Q24"/>
      <c r="R24"/>
      <c r="S24"/>
      <c r="T24"/>
      <c r="U24"/>
      <c r="V24"/>
      <c r="W24"/>
      <c r="X24"/>
      <c r="Y24"/>
    </row>
    <row r="25" spans="1:25" s="2" customFormat="1" ht="25.5" x14ac:dyDescent="0.2">
      <c r="A25" s="5" t="s">
        <v>17566</v>
      </c>
      <c r="B25" s="5" t="s">
        <v>8584</v>
      </c>
      <c r="C25" s="5">
        <v>13</v>
      </c>
      <c r="D25" s="5"/>
      <c r="E25" s="5"/>
      <c r="F25" s="5" t="s">
        <v>17565</v>
      </c>
      <c r="G25" s="5" t="s">
        <v>382</v>
      </c>
      <c r="H25" s="5" t="s">
        <v>3</v>
      </c>
      <c r="I25" s="5"/>
      <c r="J25" s="5" t="s">
        <v>8217</v>
      </c>
      <c r="M25" s="1"/>
      <c r="N25"/>
      <c r="O25"/>
      <c r="P25"/>
      <c r="Q25"/>
      <c r="R25"/>
      <c r="S25"/>
      <c r="T25"/>
      <c r="U25"/>
      <c r="V25"/>
      <c r="W25"/>
      <c r="X25"/>
      <c r="Y25"/>
    </row>
    <row r="26" spans="1:25" s="2" customFormat="1" ht="25.5" x14ac:dyDescent="0.2">
      <c r="A26" s="5" t="s">
        <v>11035</v>
      </c>
      <c r="B26" s="5" t="s">
        <v>8584</v>
      </c>
      <c r="C26" s="5">
        <v>13</v>
      </c>
      <c r="D26" s="5"/>
      <c r="E26" s="5" t="s">
        <v>150</v>
      </c>
      <c r="F26" s="5" t="s">
        <v>17565</v>
      </c>
      <c r="G26" s="5" t="s">
        <v>382</v>
      </c>
      <c r="H26" s="5" t="s">
        <v>3</v>
      </c>
      <c r="I26" s="5"/>
      <c r="J26" s="5" t="s">
        <v>8217</v>
      </c>
      <c r="M26" s="1"/>
      <c r="N26"/>
      <c r="O26"/>
      <c r="P26"/>
      <c r="Q26"/>
      <c r="R26"/>
      <c r="S26"/>
      <c r="T26"/>
      <c r="U26"/>
      <c r="V26"/>
      <c r="W26"/>
      <c r="X26"/>
      <c r="Y26"/>
    </row>
    <row r="27" spans="1:25" s="2" customFormat="1" ht="25.5" x14ac:dyDescent="0.2">
      <c r="A27" s="5" t="s">
        <v>11034</v>
      </c>
      <c r="B27" s="5" t="s">
        <v>8584</v>
      </c>
      <c r="C27" s="5">
        <v>13</v>
      </c>
      <c r="D27" s="5"/>
      <c r="E27" s="5" t="s">
        <v>213</v>
      </c>
      <c r="F27" s="5" t="s">
        <v>17565</v>
      </c>
      <c r="G27" s="5" t="s">
        <v>91</v>
      </c>
      <c r="H27" s="5" t="s">
        <v>3</v>
      </c>
      <c r="I27" s="5"/>
      <c r="J27" s="5" t="s">
        <v>17564</v>
      </c>
      <c r="M27" s="1"/>
      <c r="N27"/>
      <c r="O27"/>
      <c r="P27"/>
      <c r="Q27"/>
      <c r="R27"/>
      <c r="S27"/>
      <c r="T27"/>
      <c r="U27"/>
      <c r="V27"/>
      <c r="W27"/>
      <c r="X27"/>
      <c r="Y27"/>
    </row>
    <row r="28" spans="1:25" s="2" customFormat="1" x14ac:dyDescent="0.2">
      <c r="A28" s="5" t="s">
        <v>17563</v>
      </c>
      <c r="B28" s="5" t="s">
        <v>8584</v>
      </c>
      <c r="C28" s="5">
        <v>14</v>
      </c>
      <c r="D28" s="5"/>
      <c r="E28" s="5"/>
      <c r="F28" s="5" t="s">
        <v>17561</v>
      </c>
      <c r="G28" s="5" t="s">
        <v>382</v>
      </c>
      <c r="H28" s="5" t="s">
        <v>3</v>
      </c>
      <c r="I28" s="5"/>
      <c r="J28" s="5" t="s">
        <v>17560</v>
      </c>
      <c r="M28" s="1"/>
      <c r="N28"/>
      <c r="O28"/>
      <c r="P28"/>
      <c r="Q28"/>
      <c r="R28"/>
      <c r="S28"/>
      <c r="T28"/>
      <c r="U28"/>
      <c r="V28"/>
      <c r="W28"/>
      <c r="X28"/>
      <c r="Y28"/>
    </row>
    <row r="29" spans="1:25" s="2" customFormat="1" x14ac:dyDescent="0.2">
      <c r="A29" s="5" t="s">
        <v>17562</v>
      </c>
      <c r="B29" s="5" t="s">
        <v>8584</v>
      </c>
      <c r="C29" s="5">
        <v>14</v>
      </c>
      <c r="D29" s="5"/>
      <c r="E29" s="5" t="s">
        <v>665</v>
      </c>
      <c r="F29" s="5" t="s">
        <v>17561</v>
      </c>
      <c r="G29" s="5" t="s">
        <v>382</v>
      </c>
      <c r="H29" s="5" t="s">
        <v>3</v>
      </c>
      <c r="I29" s="5"/>
      <c r="J29" s="5" t="s">
        <v>17560</v>
      </c>
      <c r="M29" s="1"/>
      <c r="N29"/>
      <c r="O29"/>
      <c r="P29"/>
      <c r="Q29"/>
      <c r="R29"/>
      <c r="S29"/>
      <c r="T29"/>
      <c r="U29"/>
      <c r="V29"/>
      <c r="W29"/>
      <c r="X29"/>
      <c r="Y29"/>
    </row>
    <row r="30" spans="1:25" s="2" customFormat="1" x14ac:dyDescent="0.2">
      <c r="A30" s="5" t="s">
        <v>17559</v>
      </c>
      <c r="B30" s="5" t="s">
        <v>8584</v>
      </c>
      <c r="C30" s="5">
        <v>14</v>
      </c>
      <c r="D30" s="5"/>
      <c r="E30" s="5"/>
      <c r="F30" s="5"/>
      <c r="G30" s="5" t="s">
        <v>91</v>
      </c>
      <c r="H30" s="5" t="s">
        <v>3</v>
      </c>
      <c r="I30" s="5"/>
      <c r="J30" s="5"/>
      <c r="M30" s="1"/>
      <c r="N30"/>
      <c r="O30"/>
      <c r="P30"/>
      <c r="Q30"/>
      <c r="R30"/>
      <c r="S30"/>
      <c r="T30"/>
      <c r="U30"/>
      <c r="V30"/>
      <c r="W30"/>
      <c r="X30"/>
      <c r="Y30"/>
    </row>
    <row r="31" spans="1:25" s="2" customFormat="1" x14ac:dyDescent="0.2">
      <c r="A31" s="5" t="s">
        <v>17558</v>
      </c>
      <c r="B31" s="5" t="s">
        <v>8584</v>
      </c>
      <c r="C31" s="5">
        <v>15</v>
      </c>
      <c r="D31" s="5"/>
      <c r="E31" s="5"/>
      <c r="F31" s="5" t="s">
        <v>8831</v>
      </c>
      <c r="G31" s="5" t="s">
        <v>896</v>
      </c>
      <c r="H31" s="5" t="s">
        <v>3</v>
      </c>
      <c r="I31" s="5"/>
      <c r="J31" s="5" t="s">
        <v>17556</v>
      </c>
      <c r="M31" s="1"/>
      <c r="N31"/>
      <c r="O31"/>
      <c r="P31"/>
      <c r="Q31"/>
      <c r="R31"/>
      <c r="S31"/>
      <c r="T31"/>
      <c r="U31"/>
      <c r="V31"/>
      <c r="W31"/>
      <c r="X31"/>
      <c r="Y31"/>
    </row>
    <row r="32" spans="1:25" s="2" customFormat="1" x14ac:dyDescent="0.2">
      <c r="A32" s="5" t="s">
        <v>17557</v>
      </c>
      <c r="B32" s="5" t="s">
        <v>8584</v>
      </c>
      <c r="C32" s="5">
        <v>15</v>
      </c>
      <c r="D32" s="5"/>
      <c r="E32" s="5"/>
      <c r="F32" s="5" t="s">
        <v>7573</v>
      </c>
      <c r="G32" s="5" t="s">
        <v>10432</v>
      </c>
      <c r="H32" s="5" t="s">
        <v>3</v>
      </c>
      <c r="I32" s="5"/>
      <c r="J32" s="5" t="s">
        <v>17556</v>
      </c>
      <c r="M32" s="1"/>
      <c r="N32"/>
      <c r="O32"/>
      <c r="P32"/>
      <c r="Q32"/>
      <c r="R32"/>
      <c r="S32"/>
      <c r="T32"/>
      <c r="U32"/>
      <c r="V32"/>
      <c r="W32"/>
      <c r="X32"/>
      <c r="Y32"/>
    </row>
    <row r="33" spans="1:25" s="2" customFormat="1" ht="38.25" x14ac:dyDescent="0.2">
      <c r="A33" s="5" t="s">
        <v>17555</v>
      </c>
      <c r="B33" s="5" t="s">
        <v>8584</v>
      </c>
      <c r="C33" s="5">
        <v>16</v>
      </c>
      <c r="D33" s="5"/>
      <c r="E33" s="5"/>
      <c r="F33" s="5" t="s">
        <v>12453</v>
      </c>
      <c r="G33" s="5" t="s">
        <v>6530</v>
      </c>
      <c r="H33" s="5" t="s">
        <v>3</v>
      </c>
      <c r="I33" s="5"/>
      <c r="J33" s="5" t="s">
        <v>17553</v>
      </c>
      <c r="M33" s="1"/>
      <c r="N33"/>
      <c r="O33"/>
      <c r="P33"/>
      <c r="Q33"/>
      <c r="R33"/>
      <c r="S33"/>
      <c r="T33"/>
      <c r="U33"/>
      <c r="V33"/>
      <c r="W33"/>
      <c r="X33"/>
      <c r="Y33"/>
    </row>
    <row r="34" spans="1:25" s="2" customFormat="1" ht="38.25" x14ac:dyDescent="0.2">
      <c r="A34" s="5" t="s">
        <v>17554</v>
      </c>
      <c r="B34" s="5" t="s">
        <v>8584</v>
      </c>
      <c r="C34" s="5">
        <v>16</v>
      </c>
      <c r="D34" s="5"/>
      <c r="E34" s="5"/>
      <c r="F34" s="5" t="s">
        <v>12453</v>
      </c>
      <c r="G34" s="5" t="s">
        <v>6530</v>
      </c>
      <c r="H34" s="5" t="s">
        <v>3</v>
      </c>
      <c r="I34" s="5"/>
      <c r="J34" s="5" t="s">
        <v>17553</v>
      </c>
      <c r="M34" s="1"/>
      <c r="N34"/>
      <c r="O34"/>
      <c r="P34"/>
      <c r="Q34"/>
      <c r="R34"/>
      <c r="S34"/>
      <c r="T34"/>
      <c r="U34"/>
      <c r="V34"/>
      <c r="W34"/>
      <c r="X34"/>
      <c r="Y34"/>
    </row>
    <row r="35" spans="1:25" s="2" customFormat="1" ht="25.5" x14ac:dyDescent="0.2">
      <c r="A35" s="5" t="s">
        <v>17552</v>
      </c>
      <c r="B35" s="5" t="s">
        <v>8584</v>
      </c>
      <c r="C35" s="5">
        <v>17</v>
      </c>
      <c r="D35" s="5"/>
      <c r="E35" s="5"/>
      <c r="F35" s="5" t="s">
        <v>17551</v>
      </c>
      <c r="G35" s="5" t="s">
        <v>105</v>
      </c>
      <c r="H35" s="5" t="s">
        <v>137</v>
      </c>
      <c r="I35" s="5" t="s">
        <v>17302</v>
      </c>
      <c r="J35" s="5" t="s">
        <v>17550</v>
      </c>
      <c r="M35" s="1"/>
      <c r="N35"/>
      <c r="O35"/>
      <c r="P35"/>
      <c r="Q35"/>
      <c r="R35"/>
      <c r="S35"/>
      <c r="T35"/>
      <c r="U35"/>
      <c r="V35"/>
      <c r="W35"/>
      <c r="X35"/>
      <c r="Y35"/>
    </row>
    <row r="36" spans="1:25" s="2" customFormat="1" ht="25.5" x14ac:dyDescent="0.2">
      <c r="A36" s="5" t="s">
        <v>11416</v>
      </c>
      <c r="B36" s="5" t="s">
        <v>8584</v>
      </c>
      <c r="C36" s="5">
        <v>18</v>
      </c>
      <c r="D36" s="5"/>
      <c r="E36" s="5"/>
      <c r="F36" s="5" t="s">
        <v>7864</v>
      </c>
      <c r="G36" s="5" t="s">
        <v>105</v>
      </c>
      <c r="H36" s="5" t="s">
        <v>3</v>
      </c>
      <c r="I36" s="5"/>
      <c r="J36" s="5" t="s">
        <v>17549</v>
      </c>
      <c r="M36" s="1"/>
      <c r="N36"/>
      <c r="O36"/>
      <c r="P36"/>
      <c r="Q36"/>
      <c r="R36"/>
      <c r="S36"/>
      <c r="T36"/>
      <c r="U36"/>
      <c r="V36"/>
      <c r="W36"/>
      <c r="X36"/>
      <c r="Y36"/>
    </row>
    <row r="37" spans="1:25" s="2" customFormat="1" x14ac:dyDescent="0.2">
      <c r="A37" s="5" t="s">
        <v>17548</v>
      </c>
      <c r="B37" s="5" t="s">
        <v>8584</v>
      </c>
      <c r="C37" s="5">
        <v>19</v>
      </c>
      <c r="D37" s="5"/>
      <c r="E37" s="5" t="s">
        <v>138</v>
      </c>
      <c r="F37" s="5" t="s">
        <v>8858</v>
      </c>
      <c r="G37" s="5" t="s">
        <v>702</v>
      </c>
      <c r="H37" s="5" t="s">
        <v>3</v>
      </c>
      <c r="I37" s="5"/>
      <c r="J37" s="5" t="s">
        <v>17547</v>
      </c>
      <c r="M37" s="1"/>
      <c r="N37"/>
      <c r="O37"/>
      <c r="P37"/>
      <c r="Q37"/>
      <c r="R37"/>
      <c r="S37"/>
      <c r="T37"/>
      <c r="U37"/>
      <c r="V37"/>
      <c r="W37"/>
      <c r="X37"/>
      <c r="Y37"/>
    </row>
    <row r="38" spans="1:25" s="2" customFormat="1" ht="25.5" x14ac:dyDescent="0.2">
      <c r="A38" s="5" t="s">
        <v>10233</v>
      </c>
      <c r="B38" s="5" t="s">
        <v>8584</v>
      </c>
      <c r="C38" s="5">
        <v>19</v>
      </c>
      <c r="D38" s="5"/>
      <c r="E38" s="5"/>
      <c r="F38" s="5"/>
      <c r="G38" s="5" t="s">
        <v>148</v>
      </c>
      <c r="H38" s="5"/>
      <c r="I38" s="5"/>
      <c r="J38" s="5" t="s">
        <v>17545</v>
      </c>
      <c r="M38" s="1"/>
      <c r="N38"/>
      <c r="O38"/>
      <c r="P38"/>
      <c r="Q38"/>
      <c r="R38"/>
      <c r="S38"/>
      <c r="T38"/>
      <c r="U38"/>
      <c r="V38"/>
      <c r="W38"/>
      <c r="X38"/>
      <c r="Y38"/>
    </row>
    <row r="39" spans="1:25" s="2" customFormat="1" ht="25.5" x14ac:dyDescent="0.2">
      <c r="A39" s="5" t="s">
        <v>17546</v>
      </c>
      <c r="B39" s="5" t="s">
        <v>8584</v>
      </c>
      <c r="C39" s="5">
        <v>19</v>
      </c>
      <c r="D39" s="5"/>
      <c r="E39" s="5"/>
      <c r="F39" s="5"/>
      <c r="G39" s="5" t="s">
        <v>148</v>
      </c>
      <c r="H39" s="5"/>
      <c r="I39" s="5"/>
      <c r="J39" s="5" t="s">
        <v>17545</v>
      </c>
      <c r="M39" s="1"/>
      <c r="N39"/>
      <c r="O39"/>
      <c r="P39"/>
      <c r="Q39"/>
      <c r="R39"/>
      <c r="S39"/>
      <c r="T39"/>
      <c r="U39"/>
      <c r="V39"/>
      <c r="W39"/>
      <c r="X39"/>
      <c r="Y39"/>
    </row>
    <row r="40" spans="1:25" s="2" customFormat="1" x14ac:dyDescent="0.2">
      <c r="A40" s="5" t="s">
        <v>9765</v>
      </c>
      <c r="B40" s="5" t="s">
        <v>8584</v>
      </c>
      <c r="C40" s="5">
        <v>20</v>
      </c>
      <c r="D40" s="5"/>
      <c r="E40" s="5"/>
      <c r="F40" s="5" t="s">
        <v>17544</v>
      </c>
      <c r="G40" s="5" t="s">
        <v>2672</v>
      </c>
      <c r="H40" s="5" t="s">
        <v>137</v>
      </c>
      <c r="I40" s="5" t="s">
        <v>17534</v>
      </c>
      <c r="J40" s="5" t="s">
        <v>17543</v>
      </c>
      <c r="M40" s="1"/>
      <c r="N40"/>
      <c r="O40"/>
      <c r="P40"/>
      <c r="Q40"/>
      <c r="R40"/>
      <c r="S40"/>
      <c r="T40"/>
      <c r="U40"/>
      <c r="V40"/>
      <c r="W40"/>
      <c r="X40"/>
      <c r="Y40"/>
    </row>
    <row r="41" spans="1:25" s="2" customFormat="1" x14ac:dyDescent="0.2">
      <c r="A41" s="5" t="s">
        <v>17542</v>
      </c>
      <c r="B41" s="5" t="s">
        <v>8584</v>
      </c>
      <c r="C41" s="5">
        <v>21</v>
      </c>
      <c r="D41" s="5"/>
      <c r="E41" s="5"/>
      <c r="F41" s="5" t="s">
        <v>17541</v>
      </c>
      <c r="G41" s="5" t="s">
        <v>122</v>
      </c>
      <c r="H41" s="5" t="s">
        <v>137</v>
      </c>
      <c r="I41" s="5" t="s">
        <v>17534</v>
      </c>
      <c r="J41" s="5" t="s">
        <v>17540</v>
      </c>
      <c r="M41" s="1"/>
      <c r="N41"/>
      <c r="O41"/>
      <c r="P41"/>
      <c r="Q41"/>
      <c r="R41"/>
      <c r="S41"/>
      <c r="T41"/>
      <c r="U41"/>
      <c r="V41"/>
      <c r="W41"/>
      <c r="X41"/>
      <c r="Y41"/>
    </row>
    <row r="42" spans="1:25" s="2" customFormat="1" x14ac:dyDescent="0.2">
      <c r="A42" s="5" t="s">
        <v>17539</v>
      </c>
      <c r="B42" s="5" t="s">
        <v>8584</v>
      </c>
      <c r="C42" s="5">
        <v>22</v>
      </c>
      <c r="D42" s="5"/>
      <c r="E42" s="5"/>
      <c r="F42" s="5" t="s">
        <v>17538</v>
      </c>
      <c r="G42" s="5" t="s">
        <v>896</v>
      </c>
      <c r="H42" s="5" t="s">
        <v>137</v>
      </c>
      <c r="I42" s="5" t="s">
        <v>17534</v>
      </c>
      <c r="J42" s="5" t="s">
        <v>17537</v>
      </c>
      <c r="M42" s="1"/>
      <c r="N42"/>
      <c r="O42"/>
      <c r="P42"/>
      <c r="Q42"/>
      <c r="R42"/>
      <c r="S42"/>
      <c r="T42"/>
      <c r="U42"/>
      <c r="V42"/>
      <c r="W42"/>
      <c r="X42"/>
      <c r="Y42"/>
    </row>
    <row r="43" spans="1:25" s="2" customFormat="1" x14ac:dyDescent="0.2">
      <c r="A43" s="5" t="s">
        <v>17536</v>
      </c>
      <c r="B43" s="5" t="s">
        <v>8584</v>
      </c>
      <c r="C43" s="5">
        <v>23</v>
      </c>
      <c r="D43" s="5"/>
      <c r="E43" s="5"/>
      <c r="F43" s="5" t="s">
        <v>17535</v>
      </c>
      <c r="G43" s="5" t="s">
        <v>276</v>
      </c>
      <c r="H43" s="5" t="s">
        <v>137</v>
      </c>
      <c r="I43" s="5" t="s">
        <v>17534</v>
      </c>
      <c r="J43" s="5" t="s">
        <v>17533</v>
      </c>
      <c r="M43" s="1"/>
      <c r="N43"/>
      <c r="O43"/>
      <c r="P43"/>
      <c r="Q43"/>
      <c r="R43"/>
      <c r="S43"/>
      <c r="T43"/>
      <c r="U43"/>
      <c r="V43"/>
      <c r="W43"/>
      <c r="X43"/>
      <c r="Y43"/>
    </row>
    <row r="44" spans="1:25" s="2" customFormat="1" ht="25.5" x14ac:dyDescent="0.2">
      <c r="A44" s="5" t="s">
        <v>17532</v>
      </c>
      <c r="B44" s="5" t="s">
        <v>8584</v>
      </c>
      <c r="C44" s="5">
        <v>24</v>
      </c>
      <c r="D44" s="5"/>
      <c r="E44" s="5"/>
      <c r="F44" s="5" t="s">
        <v>17532</v>
      </c>
      <c r="G44" s="5" t="s">
        <v>173</v>
      </c>
      <c r="H44" s="5" t="s">
        <v>137</v>
      </c>
      <c r="I44" s="5" t="s">
        <v>17302</v>
      </c>
      <c r="J44" s="5" t="s">
        <v>17531</v>
      </c>
      <c r="M44" s="1"/>
      <c r="N44"/>
      <c r="O44"/>
      <c r="P44"/>
      <c r="Q44"/>
      <c r="R44"/>
      <c r="S44"/>
      <c r="T44"/>
      <c r="U44"/>
      <c r="V44"/>
      <c r="W44"/>
      <c r="X44"/>
      <c r="Y44"/>
    </row>
    <row r="45" spans="1:25" s="2" customFormat="1" ht="38.25" x14ac:dyDescent="0.2">
      <c r="A45" s="5" t="s">
        <v>7642</v>
      </c>
      <c r="B45" s="5" t="s">
        <v>8584</v>
      </c>
      <c r="C45" s="5">
        <v>25</v>
      </c>
      <c r="D45" s="5"/>
      <c r="E45" s="5"/>
      <c r="F45" s="5" t="s">
        <v>7640</v>
      </c>
      <c r="G45" s="5" t="s">
        <v>199</v>
      </c>
      <c r="H45" s="5" t="s">
        <v>3</v>
      </c>
      <c r="I45" s="5"/>
      <c r="J45" s="5" t="s">
        <v>16218</v>
      </c>
      <c r="M45" s="1"/>
      <c r="N45"/>
      <c r="O45"/>
      <c r="P45"/>
      <c r="Q45"/>
      <c r="R45"/>
      <c r="S45"/>
      <c r="T45"/>
      <c r="U45"/>
      <c r="V45"/>
      <c r="W45"/>
      <c r="X45"/>
      <c r="Y45"/>
    </row>
    <row r="46" spans="1:25" s="2" customFormat="1" x14ac:dyDescent="0.2">
      <c r="A46" s="5" t="s">
        <v>12294</v>
      </c>
      <c r="B46" s="5" t="s">
        <v>8584</v>
      </c>
      <c r="C46" s="5">
        <v>26</v>
      </c>
      <c r="D46" s="5"/>
      <c r="E46" s="5" t="s">
        <v>150</v>
      </c>
      <c r="F46" s="5" t="s">
        <v>17529</v>
      </c>
      <c r="G46" s="5" t="s">
        <v>181</v>
      </c>
      <c r="H46" s="5" t="s">
        <v>3</v>
      </c>
      <c r="I46" s="5"/>
      <c r="J46" s="5" t="s">
        <v>17530</v>
      </c>
      <c r="M46" s="1"/>
      <c r="N46"/>
      <c r="O46"/>
      <c r="P46"/>
      <c r="Q46"/>
      <c r="R46"/>
      <c r="S46"/>
      <c r="T46"/>
      <c r="U46"/>
      <c r="V46"/>
      <c r="W46"/>
      <c r="X46"/>
      <c r="Y46"/>
    </row>
    <row r="47" spans="1:25" s="2" customFormat="1" ht="25.5" x14ac:dyDescent="0.2">
      <c r="A47" s="5" t="s">
        <v>12293</v>
      </c>
      <c r="B47" s="5" t="s">
        <v>8584</v>
      </c>
      <c r="C47" s="5">
        <v>26</v>
      </c>
      <c r="D47" s="5"/>
      <c r="E47" s="5" t="s">
        <v>213</v>
      </c>
      <c r="F47" s="5" t="s">
        <v>17529</v>
      </c>
      <c r="G47" s="5" t="s">
        <v>91</v>
      </c>
      <c r="H47" s="5" t="s">
        <v>3</v>
      </c>
      <c r="I47" s="5"/>
      <c r="J47" s="5" t="s">
        <v>17528</v>
      </c>
      <c r="M47" s="1"/>
      <c r="N47"/>
      <c r="O47"/>
      <c r="P47"/>
      <c r="Q47"/>
      <c r="R47"/>
      <c r="S47"/>
      <c r="T47"/>
      <c r="U47"/>
      <c r="V47"/>
      <c r="W47"/>
      <c r="X47"/>
      <c r="Y47"/>
    </row>
    <row r="48" spans="1:25" s="2" customFormat="1" x14ac:dyDescent="0.2">
      <c r="A48" s="5" t="s">
        <v>17527</v>
      </c>
      <c r="B48" s="5" t="s">
        <v>8584</v>
      </c>
      <c r="C48" s="5">
        <v>27</v>
      </c>
      <c r="D48" s="5"/>
      <c r="E48" s="5"/>
      <c r="F48" s="5"/>
      <c r="G48" s="5" t="s">
        <v>91</v>
      </c>
      <c r="H48" s="5" t="s">
        <v>3</v>
      </c>
      <c r="I48" s="5"/>
      <c r="J48" s="5"/>
      <c r="M48" s="1"/>
      <c r="N48"/>
      <c r="O48"/>
      <c r="P48"/>
      <c r="Q48"/>
      <c r="R48"/>
      <c r="S48"/>
      <c r="T48"/>
      <c r="U48"/>
      <c r="V48"/>
      <c r="W48"/>
      <c r="X48"/>
      <c r="Y48"/>
    </row>
    <row r="49" spans="1:25" s="2" customFormat="1" x14ac:dyDescent="0.2">
      <c r="A49" s="5" t="s">
        <v>11523</v>
      </c>
      <c r="B49" s="5" t="s">
        <v>8584</v>
      </c>
      <c r="C49" s="5">
        <v>27</v>
      </c>
      <c r="D49" s="5"/>
      <c r="E49" s="5" t="s">
        <v>665</v>
      </c>
      <c r="F49" s="5" t="s">
        <v>17526</v>
      </c>
      <c r="G49" s="5" t="s">
        <v>382</v>
      </c>
      <c r="H49" s="5" t="s">
        <v>3</v>
      </c>
      <c r="I49" s="5"/>
      <c r="J49" s="5" t="s">
        <v>17525</v>
      </c>
      <c r="M49" s="1"/>
      <c r="N49"/>
      <c r="O49"/>
      <c r="P49"/>
      <c r="Q49"/>
      <c r="R49"/>
      <c r="S49"/>
      <c r="T49"/>
      <c r="U49"/>
      <c r="V49"/>
      <c r="W49"/>
      <c r="X49"/>
      <c r="Y49"/>
    </row>
    <row r="50" spans="1:25" s="2" customFormat="1" ht="25.5" x14ac:dyDescent="0.2">
      <c r="A50" s="5" t="s">
        <v>6593</v>
      </c>
      <c r="B50" s="5" t="s">
        <v>8584</v>
      </c>
      <c r="C50" s="5">
        <v>28</v>
      </c>
      <c r="D50" s="5"/>
      <c r="E50" s="5"/>
      <c r="F50" s="5" t="s">
        <v>6591</v>
      </c>
      <c r="G50" s="5" t="s">
        <v>118</v>
      </c>
      <c r="H50" s="5" t="s">
        <v>3</v>
      </c>
      <c r="I50" s="5"/>
      <c r="J50" s="5" t="s">
        <v>6590</v>
      </c>
      <c r="M50" s="1"/>
      <c r="N50"/>
      <c r="O50"/>
      <c r="P50"/>
      <c r="Q50"/>
      <c r="R50"/>
      <c r="S50"/>
      <c r="T50"/>
      <c r="U50"/>
      <c r="V50"/>
      <c r="W50"/>
      <c r="X50"/>
      <c r="Y50"/>
    </row>
    <row r="51" spans="1:25" s="2" customFormat="1" x14ac:dyDescent="0.2">
      <c r="A51" s="5" t="s">
        <v>17524</v>
      </c>
      <c r="B51" s="5" t="s">
        <v>8584</v>
      </c>
      <c r="C51" s="5">
        <v>29</v>
      </c>
      <c r="D51" s="5"/>
      <c r="E51" s="5"/>
      <c r="F51" s="5" t="s">
        <v>17523</v>
      </c>
      <c r="G51" s="5" t="s">
        <v>315</v>
      </c>
      <c r="H51" s="5" t="s">
        <v>3</v>
      </c>
      <c r="I51" s="5"/>
      <c r="J51" s="5" t="s">
        <v>17522</v>
      </c>
      <c r="M51" s="1"/>
      <c r="N51"/>
      <c r="O51"/>
      <c r="P51"/>
      <c r="Q51"/>
      <c r="R51"/>
      <c r="S51"/>
      <c r="T51"/>
      <c r="U51"/>
      <c r="V51"/>
      <c r="W51"/>
      <c r="X51"/>
      <c r="Y51"/>
    </row>
    <row r="52" spans="1:25" s="2" customFormat="1" x14ac:dyDescent="0.2">
      <c r="A52" s="5" t="s">
        <v>17521</v>
      </c>
      <c r="B52" s="5" t="s">
        <v>8584</v>
      </c>
      <c r="C52" s="5">
        <v>30</v>
      </c>
      <c r="D52" s="5"/>
      <c r="E52" s="5"/>
      <c r="F52" s="5" t="s">
        <v>17520</v>
      </c>
      <c r="G52" s="5" t="s">
        <v>118</v>
      </c>
      <c r="H52" s="5"/>
      <c r="I52" s="5"/>
      <c r="J52" s="5" t="s">
        <v>17294</v>
      </c>
      <c r="M52" s="1"/>
      <c r="N52"/>
      <c r="O52"/>
      <c r="P52"/>
      <c r="Q52"/>
      <c r="R52"/>
      <c r="S52"/>
      <c r="T52"/>
      <c r="U52"/>
      <c r="V52"/>
      <c r="W52"/>
      <c r="X52"/>
      <c r="Y52"/>
    </row>
    <row r="53" spans="1:25" s="2" customFormat="1" x14ac:dyDescent="0.2">
      <c r="A53" s="5" t="s">
        <v>17519</v>
      </c>
      <c r="B53" s="5" t="s">
        <v>8584</v>
      </c>
      <c r="C53" s="5">
        <v>31</v>
      </c>
      <c r="D53" s="5"/>
      <c r="E53" s="5"/>
      <c r="F53" s="5" t="s">
        <v>8858</v>
      </c>
      <c r="G53" s="5" t="s">
        <v>118</v>
      </c>
      <c r="H53" s="5" t="s">
        <v>137</v>
      </c>
      <c r="I53" s="5" t="s">
        <v>9218</v>
      </c>
      <c r="J53" s="5" t="s">
        <v>17518</v>
      </c>
      <c r="M53" s="1"/>
      <c r="N53"/>
      <c r="O53"/>
      <c r="P53"/>
      <c r="Q53"/>
      <c r="R53"/>
      <c r="S53"/>
      <c r="T53"/>
      <c r="U53"/>
      <c r="V53"/>
      <c r="W53"/>
      <c r="X53"/>
      <c r="Y53"/>
    </row>
    <row r="54" spans="1:25" s="2" customFormat="1" x14ac:dyDescent="0.2">
      <c r="A54" s="5" t="s">
        <v>17517</v>
      </c>
      <c r="B54" s="5" t="s">
        <v>8584</v>
      </c>
      <c r="C54" s="5">
        <v>32</v>
      </c>
      <c r="D54" s="5"/>
      <c r="E54" s="5"/>
      <c r="F54" s="5" t="s">
        <v>9472</v>
      </c>
      <c r="G54" s="5" t="s">
        <v>80</v>
      </c>
      <c r="H54" s="5" t="s">
        <v>3</v>
      </c>
      <c r="I54" s="5"/>
      <c r="J54" s="5" t="s">
        <v>17516</v>
      </c>
      <c r="M54" s="1"/>
      <c r="N54"/>
      <c r="O54"/>
      <c r="P54"/>
      <c r="Q54"/>
      <c r="R54"/>
      <c r="S54"/>
      <c r="T54"/>
      <c r="U54"/>
      <c r="V54"/>
      <c r="W54"/>
      <c r="X54"/>
      <c r="Y54"/>
    </row>
    <row r="55" spans="1:25" s="2" customFormat="1" x14ac:dyDescent="0.2">
      <c r="A55" s="5" t="s">
        <v>16433</v>
      </c>
      <c r="B55" s="5" t="s">
        <v>8584</v>
      </c>
      <c r="C55" s="5">
        <v>33</v>
      </c>
      <c r="D55" s="5"/>
      <c r="E55" s="5"/>
      <c r="F55" s="5" t="s">
        <v>8406</v>
      </c>
      <c r="G55" s="5" t="s">
        <v>229</v>
      </c>
      <c r="H55" s="5" t="s">
        <v>3</v>
      </c>
      <c r="I55" s="5"/>
      <c r="J55" s="5"/>
      <c r="M55" s="1"/>
      <c r="N55"/>
      <c r="O55"/>
      <c r="P55"/>
      <c r="Q55"/>
      <c r="R55"/>
      <c r="S55"/>
      <c r="T55"/>
      <c r="U55"/>
      <c r="V55"/>
      <c r="W55"/>
      <c r="X55"/>
      <c r="Y55"/>
    </row>
    <row r="56" spans="1:25" s="2" customFormat="1" ht="25.5" x14ac:dyDescent="0.2">
      <c r="A56" s="5" t="s">
        <v>17515</v>
      </c>
      <c r="B56" s="5" t="s">
        <v>8584</v>
      </c>
      <c r="C56" s="5">
        <v>34</v>
      </c>
      <c r="D56" s="5"/>
      <c r="E56" s="5"/>
      <c r="F56" s="5" t="s">
        <v>17514</v>
      </c>
      <c r="G56" s="5" t="s">
        <v>224</v>
      </c>
      <c r="H56" s="5" t="s">
        <v>3</v>
      </c>
      <c r="I56" s="5"/>
      <c r="J56" s="5"/>
      <c r="M56" s="1"/>
      <c r="N56"/>
      <c r="O56"/>
      <c r="P56"/>
      <c r="Q56"/>
      <c r="R56"/>
      <c r="S56"/>
      <c r="T56"/>
      <c r="U56"/>
      <c r="V56"/>
      <c r="W56"/>
      <c r="X56"/>
      <c r="Y56"/>
    </row>
    <row r="57" spans="1:25" s="2" customFormat="1" ht="25.5" x14ac:dyDescent="0.2">
      <c r="A57" s="5" t="s">
        <v>14825</v>
      </c>
      <c r="B57" s="5" t="s">
        <v>8584</v>
      </c>
      <c r="C57" s="5">
        <v>35</v>
      </c>
      <c r="D57" s="5"/>
      <c r="E57" s="5"/>
      <c r="F57" s="5" t="s">
        <v>123</v>
      </c>
      <c r="G57" s="5" t="s">
        <v>382</v>
      </c>
      <c r="H57" s="5" t="s">
        <v>3</v>
      </c>
      <c r="I57" s="5"/>
      <c r="J57" s="5" t="s">
        <v>17513</v>
      </c>
      <c r="M57" s="1"/>
      <c r="N57"/>
      <c r="O57"/>
      <c r="P57"/>
      <c r="Q57"/>
      <c r="R57"/>
      <c r="S57"/>
      <c r="T57"/>
      <c r="U57"/>
      <c r="V57"/>
      <c r="W57"/>
      <c r="X57"/>
      <c r="Y57"/>
    </row>
    <row r="58" spans="1:25" s="2" customFormat="1" ht="25.5" x14ac:dyDescent="0.2">
      <c r="A58" s="5" t="s">
        <v>17512</v>
      </c>
      <c r="B58" s="5" t="s">
        <v>8584</v>
      </c>
      <c r="C58" s="5">
        <v>36</v>
      </c>
      <c r="D58" s="5"/>
      <c r="E58" s="5"/>
      <c r="F58" s="5"/>
      <c r="G58" s="5" t="s">
        <v>80</v>
      </c>
      <c r="H58" s="5" t="s">
        <v>3</v>
      </c>
      <c r="I58" s="5"/>
      <c r="J58" s="5" t="s">
        <v>17511</v>
      </c>
      <c r="M58" s="1"/>
      <c r="N58"/>
      <c r="O58"/>
      <c r="P58"/>
      <c r="Q58"/>
      <c r="R58"/>
      <c r="S58"/>
      <c r="T58"/>
      <c r="U58"/>
      <c r="V58"/>
      <c r="W58"/>
      <c r="X58"/>
      <c r="Y58"/>
    </row>
    <row r="59" spans="1:25" s="2" customFormat="1" ht="25.5" x14ac:dyDescent="0.2">
      <c r="A59" s="5" t="s">
        <v>16658</v>
      </c>
      <c r="B59" s="5" t="s">
        <v>8584</v>
      </c>
      <c r="C59" s="5">
        <v>37</v>
      </c>
      <c r="D59" s="5"/>
      <c r="E59" s="5"/>
      <c r="F59" s="5" t="s">
        <v>17510</v>
      </c>
      <c r="G59" s="5" t="s">
        <v>105</v>
      </c>
      <c r="H59" s="5" t="s">
        <v>3</v>
      </c>
      <c r="I59" s="5"/>
      <c r="J59" s="5" t="s">
        <v>17509</v>
      </c>
      <c r="M59" s="1"/>
      <c r="N59"/>
      <c r="O59"/>
      <c r="P59"/>
      <c r="Q59"/>
      <c r="R59"/>
      <c r="S59"/>
      <c r="T59"/>
      <c r="U59"/>
      <c r="V59"/>
      <c r="W59"/>
      <c r="X59"/>
      <c r="Y59"/>
    </row>
    <row r="60" spans="1:25" s="2" customFormat="1" ht="38.25" x14ac:dyDescent="0.2">
      <c r="A60" s="5" t="s">
        <v>17508</v>
      </c>
      <c r="B60" s="5" t="s">
        <v>8584</v>
      </c>
      <c r="C60" s="5">
        <v>38</v>
      </c>
      <c r="D60" s="5"/>
      <c r="E60" s="5"/>
      <c r="F60" s="5" t="s">
        <v>17507</v>
      </c>
      <c r="G60" s="5" t="s">
        <v>229</v>
      </c>
      <c r="H60" s="5" t="s">
        <v>3</v>
      </c>
      <c r="I60" s="5"/>
      <c r="J60" s="5" t="s">
        <v>17506</v>
      </c>
      <c r="M60" s="1"/>
      <c r="N60"/>
      <c r="O60"/>
      <c r="P60"/>
      <c r="Q60"/>
      <c r="R60"/>
      <c r="S60"/>
      <c r="T60"/>
      <c r="U60"/>
      <c r="V60"/>
      <c r="W60"/>
      <c r="X60"/>
      <c r="Y60"/>
    </row>
    <row r="61" spans="1:25" s="2" customFormat="1" ht="25.5" x14ac:dyDescent="0.2">
      <c r="A61" s="5" t="s">
        <v>16655</v>
      </c>
      <c r="B61" s="5" t="s">
        <v>8584</v>
      </c>
      <c r="C61" s="5">
        <v>39</v>
      </c>
      <c r="D61" s="5"/>
      <c r="E61" s="5" t="s">
        <v>288</v>
      </c>
      <c r="F61" s="5" t="s">
        <v>16654</v>
      </c>
      <c r="G61" s="5" t="s">
        <v>91</v>
      </c>
      <c r="H61" s="5" t="s">
        <v>137</v>
      </c>
      <c r="I61" s="5" t="s">
        <v>17501</v>
      </c>
      <c r="J61" s="5" t="s">
        <v>17505</v>
      </c>
      <c r="M61" s="1"/>
      <c r="N61"/>
      <c r="O61"/>
      <c r="P61"/>
      <c r="Q61"/>
      <c r="R61"/>
      <c r="S61"/>
      <c r="T61"/>
      <c r="U61"/>
      <c r="V61"/>
      <c r="W61"/>
      <c r="X61"/>
      <c r="Y61"/>
    </row>
    <row r="62" spans="1:25" s="2" customFormat="1" ht="25.5" x14ac:dyDescent="0.2">
      <c r="A62" s="5" t="s">
        <v>16652</v>
      </c>
      <c r="B62" s="5" t="s">
        <v>8584</v>
      </c>
      <c r="C62" s="5">
        <v>40</v>
      </c>
      <c r="D62" s="5"/>
      <c r="E62" s="5" t="s">
        <v>665</v>
      </c>
      <c r="F62" s="5" t="s">
        <v>16651</v>
      </c>
      <c r="G62" s="5" t="s">
        <v>148</v>
      </c>
      <c r="H62" s="5" t="s">
        <v>137</v>
      </c>
      <c r="I62" s="5" t="s">
        <v>17501</v>
      </c>
      <c r="J62" s="5" t="s">
        <v>17504</v>
      </c>
      <c r="M62" s="1"/>
      <c r="N62"/>
      <c r="O62"/>
      <c r="P62"/>
      <c r="Q62"/>
      <c r="R62"/>
      <c r="S62"/>
      <c r="T62"/>
      <c r="U62"/>
      <c r="V62"/>
      <c r="W62"/>
      <c r="X62"/>
      <c r="Y62"/>
    </row>
    <row r="63" spans="1:25" s="2" customFormat="1" ht="38.25" x14ac:dyDescent="0.2">
      <c r="A63" s="5" t="s">
        <v>17503</v>
      </c>
      <c r="B63" s="5" t="s">
        <v>8584</v>
      </c>
      <c r="C63" s="5">
        <v>41</v>
      </c>
      <c r="D63" s="5"/>
      <c r="E63" s="5"/>
      <c r="F63" s="5" t="s">
        <v>17502</v>
      </c>
      <c r="G63" s="5" t="s">
        <v>229</v>
      </c>
      <c r="H63" s="5" t="s">
        <v>137</v>
      </c>
      <c r="I63" s="5" t="s">
        <v>17501</v>
      </c>
      <c r="J63" s="5" t="s">
        <v>17500</v>
      </c>
      <c r="M63" s="1"/>
      <c r="N63"/>
      <c r="O63"/>
      <c r="P63"/>
      <c r="Q63"/>
      <c r="R63"/>
      <c r="S63"/>
      <c r="T63"/>
      <c r="U63"/>
      <c r="V63"/>
      <c r="W63"/>
      <c r="X63"/>
      <c r="Y63"/>
    </row>
    <row r="64" spans="1:25" s="2" customFormat="1" ht="25.5" x14ac:dyDescent="0.2">
      <c r="A64" s="5" t="s">
        <v>17499</v>
      </c>
      <c r="B64" s="5" t="s">
        <v>8584</v>
      </c>
      <c r="C64" s="5">
        <v>42</v>
      </c>
      <c r="D64" s="5"/>
      <c r="E64" s="5"/>
      <c r="F64" s="5" t="s">
        <v>17498</v>
      </c>
      <c r="G64" s="5" t="s">
        <v>105</v>
      </c>
      <c r="H64" s="5" t="s">
        <v>3</v>
      </c>
      <c r="I64" s="5"/>
      <c r="J64" s="5" t="s">
        <v>17497</v>
      </c>
      <c r="M64" s="1"/>
      <c r="N64"/>
      <c r="O64"/>
      <c r="P64"/>
      <c r="Q64"/>
      <c r="R64"/>
      <c r="S64"/>
      <c r="T64"/>
      <c r="U64"/>
      <c r="V64"/>
      <c r="W64"/>
      <c r="X64"/>
      <c r="Y64"/>
    </row>
    <row r="65" spans="1:25" s="2" customFormat="1" ht="25.5" x14ac:dyDescent="0.2">
      <c r="A65" s="5" t="s">
        <v>17496</v>
      </c>
      <c r="B65" s="5" t="s">
        <v>8584</v>
      </c>
      <c r="C65" s="5">
        <v>43</v>
      </c>
      <c r="D65" s="5"/>
      <c r="E65" s="5"/>
      <c r="F65" s="5"/>
      <c r="G65" s="5" t="s">
        <v>105</v>
      </c>
      <c r="H65" s="5" t="s">
        <v>137</v>
      </c>
      <c r="I65" s="5" t="s">
        <v>17302</v>
      </c>
      <c r="J65" s="5"/>
      <c r="M65" s="1"/>
      <c r="N65"/>
      <c r="O65"/>
      <c r="P65"/>
      <c r="Q65"/>
      <c r="R65"/>
      <c r="S65"/>
      <c r="T65"/>
      <c r="U65"/>
      <c r="V65"/>
      <c r="W65"/>
      <c r="X65"/>
      <c r="Y65"/>
    </row>
    <row r="66" spans="1:25" s="2" customFormat="1" x14ac:dyDescent="0.2">
      <c r="A66" s="5" t="s">
        <v>17495</v>
      </c>
      <c r="B66" s="5" t="s">
        <v>8584</v>
      </c>
      <c r="C66" s="5">
        <v>44</v>
      </c>
      <c r="D66" s="5"/>
      <c r="E66" s="5" t="s">
        <v>11304</v>
      </c>
      <c r="F66" s="5"/>
      <c r="G66" s="5" t="s">
        <v>229</v>
      </c>
      <c r="H66" s="5" t="s">
        <v>3</v>
      </c>
      <c r="I66" s="5"/>
      <c r="J66" s="5" t="s">
        <v>17494</v>
      </c>
      <c r="M66" s="1"/>
      <c r="N66"/>
      <c r="O66"/>
      <c r="P66"/>
      <c r="Q66"/>
      <c r="R66"/>
      <c r="S66"/>
      <c r="T66"/>
      <c r="U66"/>
      <c r="V66"/>
      <c r="W66"/>
      <c r="X66"/>
      <c r="Y66"/>
    </row>
    <row r="67" spans="1:25" s="2" customFormat="1" x14ac:dyDescent="0.2">
      <c r="A67" s="5" t="s">
        <v>17493</v>
      </c>
      <c r="B67" s="5" t="s">
        <v>8584</v>
      </c>
      <c r="C67" s="5">
        <v>45</v>
      </c>
      <c r="D67" s="5"/>
      <c r="E67" s="5" t="s">
        <v>11304</v>
      </c>
      <c r="F67" s="5"/>
      <c r="G67" s="5" t="s">
        <v>114</v>
      </c>
      <c r="H67" s="5" t="s">
        <v>3</v>
      </c>
      <c r="I67" s="5"/>
      <c r="J67" s="5" t="s">
        <v>17492</v>
      </c>
      <c r="M67" s="1"/>
      <c r="N67"/>
      <c r="O67"/>
      <c r="P67"/>
      <c r="Q67"/>
      <c r="R67"/>
      <c r="S67"/>
      <c r="T67"/>
      <c r="U67"/>
      <c r="V67"/>
      <c r="W67"/>
      <c r="X67"/>
      <c r="Y67"/>
    </row>
    <row r="68" spans="1:25" s="2" customFormat="1" ht="25.5" x14ac:dyDescent="0.2">
      <c r="A68" s="5" t="s">
        <v>17491</v>
      </c>
      <c r="B68" s="5" t="s">
        <v>8584</v>
      </c>
      <c r="C68" s="5">
        <v>46</v>
      </c>
      <c r="D68" s="5"/>
      <c r="E68" s="5" t="s">
        <v>6367</v>
      </c>
      <c r="F68" s="5" t="s">
        <v>17490</v>
      </c>
      <c r="G68" s="5" t="s">
        <v>105</v>
      </c>
      <c r="H68" s="5" t="s">
        <v>3</v>
      </c>
      <c r="I68" s="5"/>
      <c r="J68" s="5" t="s">
        <v>17489</v>
      </c>
      <c r="M68" s="1"/>
      <c r="N68"/>
      <c r="O68"/>
      <c r="P68"/>
      <c r="Q68"/>
      <c r="R68"/>
      <c r="S68"/>
      <c r="T68"/>
      <c r="U68"/>
      <c r="V68"/>
      <c r="W68"/>
      <c r="X68"/>
      <c r="Y68"/>
    </row>
    <row r="69" spans="1:25" s="2" customFormat="1" ht="25.5" x14ac:dyDescent="0.2">
      <c r="A69" s="5" t="s">
        <v>17488</v>
      </c>
      <c r="B69" s="5" t="s">
        <v>8584</v>
      </c>
      <c r="C69" s="5">
        <v>47</v>
      </c>
      <c r="D69" s="5"/>
      <c r="E69" s="5"/>
      <c r="F69" s="5"/>
      <c r="G69" s="5" t="s">
        <v>105</v>
      </c>
      <c r="H69" s="5" t="s">
        <v>3</v>
      </c>
      <c r="I69" s="5"/>
      <c r="J69" s="5" t="s">
        <v>17487</v>
      </c>
      <c r="M69" s="1"/>
      <c r="N69"/>
      <c r="O69"/>
      <c r="P69"/>
      <c r="Q69"/>
      <c r="R69"/>
      <c r="S69"/>
      <c r="T69"/>
      <c r="U69"/>
      <c r="V69"/>
      <c r="W69"/>
      <c r="X69"/>
      <c r="Y69"/>
    </row>
    <row r="70" spans="1:25" s="2" customFormat="1" x14ac:dyDescent="0.2">
      <c r="A70" s="5" t="s">
        <v>17486</v>
      </c>
      <c r="B70" s="5" t="s">
        <v>8584</v>
      </c>
      <c r="C70" s="5">
        <v>48</v>
      </c>
      <c r="D70" s="5"/>
      <c r="E70" s="5"/>
      <c r="F70" s="5"/>
      <c r="G70" s="5" t="s">
        <v>229</v>
      </c>
      <c r="H70" s="5" t="s">
        <v>3</v>
      </c>
      <c r="I70" s="5"/>
      <c r="J70" s="5" t="s">
        <v>17485</v>
      </c>
      <c r="M70" s="1"/>
      <c r="N70"/>
      <c r="O70"/>
      <c r="P70"/>
      <c r="Q70"/>
      <c r="R70"/>
      <c r="S70"/>
      <c r="T70"/>
      <c r="U70"/>
      <c r="V70"/>
      <c r="W70"/>
      <c r="X70"/>
      <c r="Y70"/>
    </row>
    <row r="71" spans="1:25" s="2" customFormat="1" x14ac:dyDescent="0.2">
      <c r="A71" s="5" t="s">
        <v>17484</v>
      </c>
      <c r="B71" s="5" t="s">
        <v>8584</v>
      </c>
      <c r="C71" s="5">
        <v>49</v>
      </c>
      <c r="D71" s="5"/>
      <c r="E71" s="5"/>
      <c r="F71" s="5"/>
      <c r="G71" s="5" t="s">
        <v>229</v>
      </c>
      <c r="H71" s="5" t="s">
        <v>3</v>
      </c>
      <c r="I71" s="5"/>
      <c r="J71" s="5" t="s">
        <v>17483</v>
      </c>
      <c r="M71" s="1"/>
      <c r="N71"/>
      <c r="O71"/>
      <c r="P71"/>
      <c r="Q71"/>
      <c r="R71"/>
      <c r="S71"/>
      <c r="T71"/>
      <c r="U71"/>
      <c r="V71"/>
      <c r="W71"/>
      <c r="X71"/>
      <c r="Y71"/>
    </row>
    <row r="72" spans="1:25" s="2" customFormat="1" x14ac:dyDescent="0.2">
      <c r="A72" s="5" t="s">
        <v>16620</v>
      </c>
      <c r="B72" s="5" t="s">
        <v>8584</v>
      </c>
      <c r="C72" s="5">
        <v>50</v>
      </c>
      <c r="D72" s="5"/>
      <c r="E72" s="5"/>
      <c r="F72" s="5"/>
      <c r="G72" s="5" t="s">
        <v>114</v>
      </c>
      <c r="H72" s="5" t="s">
        <v>3</v>
      </c>
      <c r="I72" s="5"/>
      <c r="J72" s="5" t="s">
        <v>17482</v>
      </c>
      <c r="M72" s="1"/>
      <c r="N72"/>
      <c r="O72"/>
      <c r="P72"/>
      <c r="Q72"/>
      <c r="R72"/>
      <c r="S72"/>
      <c r="T72"/>
      <c r="U72"/>
      <c r="V72"/>
      <c r="W72"/>
      <c r="X72"/>
      <c r="Y72"/>
    </row>
    <row r="73" spans="1:25" s="2" customFormat="1" ht="25.5" x14ac:dyDescent="0.2">
      <c r="A73" s="5" t="s">
        <v>16618</v>
      </c>
      <c r="B73" s="5" t="s">
        <v>8584</v>
      </c>
      <c r="C73" s="5">
        <v>51</v>
      </c>
      <c r="D73" s="5"/>
      <c r="E73" s="5"/>
      <c r="F73" s="5"/>
      <c r="G73" s="5" t="s">
        <v>328</v>
      </c>
      <c r="H73" s="5" t="s">
        <v>3</v>
      </c>
      <c r="I73" s="5"/>
      <c r="J73" s="5" t="s">
        <v>17481</v>
      </c>
      <c r="M73" s="1"/>
      <c r="N73"/>
      <c r="O73"/>
      <c r="P73"/>
      <c r="Q73"/>
      <c r="R73"/>
      <c r="S73"/>
      <c r="T73"/>
      <c r="U73"/>
      <c r="V73"/>
      <c r="W73"/>
      <c r="X73"/>
      <c r="Y73"/>
    </row>
    <row r="74" spans="1:25" s="2" customFormat="1" x14ac:dyDescent="0.2">
      <c r="A74" s="5" t="s">
        <v>17480</v>
      </c>
      <c r="B74" s="5" t="s">
        <v>8584</v>
      </c>
      <c r="C74" s="5">
        <v>52</v>
      </c>
      <c r="D74" s="5"/>
      <c r="E74" s="5"/>
      <c r="F74" s="5"/>
      <c r="G74" s="5" t="s">
        <v>229</v>
      </c>
      <c r="H74" s="5" t="s">
        <v>3</v>
      </c>
      <c r="I74" s="5"/>
      <c r="J74" s="5"/>
      <c r="M74" s="1"/>
      <c r="N74"/>
      <c r="O74"/>
      <c r="P74"/>
      <c r="Q74"/>
      <c r="R74"/>
      <c r="S74"/>
      <c r="T74"/>
      <c r="U74"/>
      <c r="V74"/>
      <c r="W74"/>
      <c r="X74"/>
      <c r="Y74"/>
    </row>
    <row r="75" spans="1:25" s="2" customFormat="1" x14ac:dyDescent="0.2">
      <c r="A75" s="5" t="s">
        <v>17479</v>
      </c>
      <c r="B75" s="5" t="s">
        <v>8584</v>
      </c>
      <c r="C75" s="5">
        <v>53</v>
      </c>
      <c r="D75" s="5"/>
      <c r="E75" s="5"/>
      <c r="F75" s="5"/>
      <c r="G75" s="5" t="s">
        <v>229</v>
      </c>
      <c r="H75" s="5" t="s">
        <v>3</v>
      </c>
      <c r="I75" s="5"/>
      <c r="J75" s="5" t="s">
        <v>17478</v>
      </c>
      <c r="M75" s="1"/>
      <c r="N75"/>
      <c r="O75"/>
      <c r="P75"/>
      <c r="Q75"/>
      <c r="R75"/>
      <c r="S75"/>
      <c r="T75"/>
      <c r="U75"/>
      <c r="V75"/>
      <c r="W75"/>
      <c r="X75"/>
      <c r="Y75"/>
    </row>
    <row r="76" spans="1:25" s="2" customFormat="1" ht="25.5" x14ac:dyDescent="0.2">
      <c r="A76" s="5" t="s">
        <v>17477</v>
      </c>
      <c r="B76" s="5" t="s">
        <v>8584</v>
      </c>
      <c r="C76" s="5">
        <v>54</v>
      </c>
      <c r="D76" s="5"/>
      <c r="E76" s="5" t="s">
        <v>288</v>
      </c>
      <c r="F76" s="5" t="s">
        <v>17476</v>
      </c>
      <c r="G76" s="5" t="s">
        <v>91</v>
      </c>
      <c r="H76" s="5" t="s">
        <v>3</v>
      </c>
      <c r="I76" s="5"/>
      <c r="J76" s="5" t="s">
        <v>17473</v>
      </c>
      <c r="M76" s="1"/>
      <c r="N76"/>
      <c r="O76"/>
      <c r="P76"/>
      <c r="Q76"/>
      <c r="R76"/>
      <c r="S76"/>
      <c r="T76"/>
      <c r="U76"/>
      <c r="V76"/>
      <c r="W76"/>
      <c r="X76"/>
      <c r="Y76"/>
    </row>
    <row r="77" spans="1:25" s="2" customFormat="1" ht="25.5" x14ac:dyDescent="0.2">
      <c r="A77" s="5" t="s">
        <v>17475</v>
      </c>
      <c r="B77" s="5" t="s">
        <v>8584</v>
      </c>
      <c r="C77" s="5">
        <v>54</v>
      </c>
      <c r="D77" s="5"/>
      <c r="E77" s="5" t="s">
        <v>213</v>
      </c>
      <c r="F77" s="5" t="s">
        <v>17474</v>
      </c>
      <c r="G77" s="5" t="s">
        <v>91</v>
      </c>
      <c r="H77" s="5" t="s">
        <v>3</v>
      </c>
      <c r="I77" s="5"/>
      <c r="J77" s="5" t="s">
        <v>17473</v>
      </c>
      <c r="M77" s="1"/>
      <c r="N77"/>
      <c r="O77"/>
      <c r="P77"/>
      <c r="Q77"/>
      <c r="R77"/>
      <c r="S77"/>
      <c r="T77"/>
      <c r="U77"/>
      <c r="V77"/>
      <c r="W77"/>
      <c r="X77"/>
      <c r="Y77"/>
    </row>
    <row r="78" spans="1:25" s="2" customFormat="1" ht="25.5" x14ac:dyDescent="0.2">
      <c r="A78" s="5" t="s">
        <v>17472</v>
      </c>
      <c r="B78" s="5" t="s">
        <v>8584</v>
      </c>
      <c r="C78" s="5">
        <v>55</v>
      </c>
      <c r="D78" s="5"/>
      <c r="E78" s="5" t="s">
        <v>665</v>
      </c>
      <c r="F78" s="5" t="s">
        <v>17471</v>
      </c>
      <c r="G78" s="5" t="s">
        <v>148</v>
      </c>
      <c r="H78" s="5" t="s">
        <v>3</v>
      </c>
      <c r="I78" s="5"/>
      <c r="J78" s="5" t="s">
        <v>17470</v>
      </c>
      <c r="M78" s="1"/>
      <c r="N78"/>
      <c r="O78"/>
      <c r="P78"/>
      <c r="Q78"/>
      <c r="R78"/>
      <c r="S78"/>
      <c r="T78"/>
      <c r="U78"/>
      <c r="V78"/>
      <c r="W78"/>
      <c r="X78"/>
      <c r="Y78"/>
    </row>
    <row r="79" spans="1:25" s="2" customFormat="1" ht="25.5" x14ac:dyDescent="0.2">
      <c r="A79" s="5" t="s">
        <v>17469</v>
      </c>
      <c r="B79" s="5" t="s">
        <v>8584</v>
      </c>
      <c r="C79" s="5">
        <v>56</v>
      </c>
      <c r="D79" s="5"/>
      <c r="E79" s="5"/>
      <c r="F79" s="5" t="s">
        <v>17054</v>
      </c>
      <c r="G79" s="5" t="s">
        <v>229</v>
      </c>
      <c r="H79" s="5" t="s">
        <v>3</v>
      </c>
      <c r="I79" s="5"/>
      <c r="J79" s="5" t="s">
        <v>17468</v>
      </c>
      <c r="M79" s="1"/>
      <c r="N79"/>
      <c r="O79"/>
      <c r="P79"/>
      <c r="Q79"/>
      <c r="R79"/>
      <c r="S79"/>
      <c r="T79"/>
      <c r="U79"/>
      <c r="V79"/>
      <c r="W79"/>
      <c r="X79"/>
      <c r="Y79"/>
    </row>
    <row r="80" spans="1:25" s="2" customFormat="1" ht="25.5" x14ac:dyDescent="0.2">
      <c r="A80" s="5" t="s">
        <v>17467</v>
      </c>
      <c r="B80" s="5" t="s">
        <v>8584</v>
      </c>
      <c r="C80" s="5">
        <v>57</v>
      </c>
      <c r="D80" s="5"/>
      <c r="E80" s="5"/>
      <c r="F80" s="5" t="s">
        <v>17466</v>
      </c>
      <c r="G80" s="5" t="s">
        <v>105</v>
      </c>
      <c r="H80" s="5" t="s">
        <v>3</v>
      </c>
      <c r="I80" s="5"/>
      <c r="J80" s="5" t="s">
        <v>17465</v>
      </c>
      <c r="M80" s="1"/>
      <c r="N80"/>
      <c r="O80"/>
      <c r="P80"/>
      <c r="Q80"/>
      <c r="R80"/>
      <c r="S80"/>
      <c r="T80"/>
      <c r="U80"/>
      <c r="V80"/>
      <c r="W80"/>
      <c r="X80"/>
      <c r="Y80"/>
    </row>
    <row r="81" spans="1:25" s="2" customFormat="1" x14ac:dyDescent="0.2">
      <c r="A81" s="5" t="s">
        <v>6507</v>
      </c>
      <c r="B81" s="5" t="s">
        <v>8880</v>
      </c>
      <c r="C81" s="5">
        <v>9999</v>
      </c>
      <c r="D81" s="5"/>
      <c r="E81" s="5"/>
      <c r="F81" s="5"/>
      <c r="G81" s="5"/>
      <c r="H81" s="5"/>
      <c r="I81" s="5"/>
      <c r="J81" s="5"/>
      <c r="M81" s="1"/>
      <c r="N81"/>
      <c r="O81"/>
      <c r="P81"/>
      <c r="Q81"/>
      <c r="R81"/>
      <c r="S81"/>
      <c r="T81"/>
      <c r="U81"/>
      <c r="V81"/>
      <c r="W81"/>
      <c r="X81"/>
      <c r="Y81"/>
    </row>
    <row r="82" spans="1:25" s="2" customFormat="1" x14ac:dyDescent="0.2">
      <c r="A82" s="5" t="s">
        <v>17464</v>
      </c>
      <c r="B82" s="5" t="s">
        <v>83</v>
      </c>
      <c r="C82" s="5"/>
      <c r="D82" s="5" t="s">
        <v>17463</v>
      </c>
      <c r="E82" s="5"/>
      <c r="F82" s="5" t="s">
        <v>17462</v>
      </c>
      <c r="G82" s="5" t="s">
        <v>224</v>
      </c>
      <c r="H82" s="5" t="s">
        <v>3</v>
      </c>
      <c r="I82" s="5"/>
      <c r="J82" s="5" t="s">
        <v>17461</v>
      </c>
      <c r="M82" s="1"/>
      <c r="N82"/>
      <c r="O82"/>
      <c r="P82"/>
      <c r="Q82"/>
      <c r="R82"/>
      <c r="S82"/>
      <c r="T82"/>
      <c r="U82"/>
      <c r="V82"/>
      <c r="W82"/>
      <c r="X82"/>
      <c r="Y82"/>
    </row>
    <row r="83" spans="1:25" s="2" customFormat="1" ht="25.5" x14ac:dyDescent="0.2">
      <c r="A83" s="5" t="s">
        <v>17460</v>
      </c>
      <c r="B83" s="5" t="s">
        <v>83</v>
      </c>
      <c r="C83" s="5"/>
      <c r="D83" s="5" t="s">
        <v>17459</v>
      </c>
      <c r="E83" s="5"/>
      <c r="F83" s="5" t="s">
        <v>17458</v>
      </c>
      <c r="G83" s="5" t="s">
        <v>7296</v>
      </c>
      <c r="H83" s="5" t="s">
        <v>3</v>
      </c>
      <c r="I83" s="5"/>
      <c r="J83" s="5" t="s">
        <v>9289</v>
      </c>
      <c r="M83" s="1"/>
      <c r="N83"/>
      <c r="O83"/>
      <c r="P83"/>
      <c r="Q83"/>
      <c r="R83"/>
      <c r="S83"/>
      <c r="T83"/>
      <c r="U83"/>
      <c r="V83"/>
      <c r="W83"/>
      <c r="X83"/>
      <c r="Y83"/>
    </row>
    <row r="84" spans="1:25" s="2" customFormat="1" ht="25.5" x14ac:dyDescent="0.2">
      <c r="A84" s="5" t="s">
        <v>11460</v>
      </c>
      <c r="B84" s="5" t="s">
        <v>83</v>
      </c>
      <c r="C84" s="5"/>
      <c r="D84" s="5" t="s">
        <v>17457</v>
      </c>
      <c r="E84" s="5"/>
      <c r="F84" s="5" t="s">
        <v>17456</v>
      </c>
      <c r="G84" s="5" t="s">
        <v>382</v>
      </c>
      <c r="H84" s="5" t="s">
        <v>137</v>
      </c>
      <c r="I84" s="5" t="s">
        <v>17302</v>
      </c>
      <c r="J84" s="5" t="s">
        <v>17455</v>
      </c>
      <c r="M84" s="1"/>
      <c r="N84"/>
      <c r="O84"/>
      <c r="P84"/>
      <c r="Q84"/>
      <c r="R84"/>
      <c r="S84"/>
      <c r="T84"/>
      <c r="U84"/>
      <c r="V84"/>
      <c r="W84"/>
      <c r="X84"/>
      <c r="Y84"/>
    </row>
    <row r="85" spans="1:25" s="2" customFormat="1" ht="25.5" x14ac:dyDescent="0.2">
      <c r="A85" s="5" t="s">
        <v>8316</v>
      </c>
      <c r="B85" s="5" t="s">
        <v>83</v>
      </c>
      <c r="C85" s="5"/>
      <c r="D85" s="5" t="s">
        <v>17454</v>
      </c>
      <c r="E85" s="5"/>
      <c r="F85" s="5" t="s">
        <v>8101</v>
      </c>
      <c r="G85" s="5" t="s">
        <v>7296</v>
      </c>
      <c r="H85" s="5" t="s">
        <v>3</v>
      </c>
      <c r="I85" s="5"/>
      <c r="J85" s="5" t="s">
        <v>8314</v>
      </c>
      <c r="M85" s="1"/>
      <c r="N85"/>
      <c r="O85"/>
      <c r="P85"/>
      <c r="Q85"/>
      <c r="R85"/>
      <c r="S85"/>
      <c r="T85"/>
      <c r="U85"/>
      <c r="V85"/>
      <c r="W85"/>
      <c r="X85"/>
      <c r="Y85"/>
    </row>
    <row r="86" spans="1:25" s="2" customFormat="1" x14ac:dyDescent="0.2">
      <c r="A86" s="5" t="s">
        <v>17453</v>
      </c>
      <c r="B86" s="5" t="s">
        <v>83</v>
      </c>
      <c r="C86" s="5"/>
      <c r="D86" s="5" t="s">
        <v>17452</v>
      </c>
      <c r="E86" s="5"/>
      <c r="F86" s="5" t="s">
        <v>17451</v>
      </c>
      <c r="G86" s="5" t="s">
        <v>122</v>
      </c>
      <c r="H86" s="5" t="s">
        <v>3</v>
      </c>
      <c r="I86" s="5"/>
      <c r="J86" s="5" t="s">
        <v>17450</v>
      </c>
      <c r="M86" s="1"/>
      <c r="N86"/>
      <c r="O86"/>
      <c r="P86"/>
      <c r="Q86"/>
      <c r="R86"/>
      <c r="S86"/>
      <c r="T86"/>
      <c r="U86"/>
      <c r="V86"/>
      <c r="W86"/>
      <c r="X86"/>
      <c r="Y86"/>
    </row>
    <row r="87" spans="1:25" s="2" customFormat="1" x14ac:dyDescent="0.2">
      <c r="A87" s="5" t="s">
        <v>17449</v>
      </c>
      <c r="B87" s="5" t="s">
        <v>83</v>
      </c>
      <c r="C87" s="5"/>
      <c r="D87" s="5" t="s">
        <v>17448</v>
      </c>
      <c r="E87" s="5"/>
      <c r="F87" s="5" t="s">
        <v>17447</v>
      </c>
      <c r="G87" s="5" t="s">
        <v>170</v>
      </c>
      <c r="H87" s="5" t="s">
        <v>3</v>
      </c>
      <c r="I87" s="5"/>
      <c r="J87" s="5" t="s">
        <v>17446</v>
      </c>
      <c r="M87" s="1"/>
      <c r="N87"/>
      <c r="O87"/>
      <c r="P87"/>
      <c r="Q87"/>
      <c r="R87"/>
      <c r="S87"/>
      <c r="T87"/>
      <c r="U87"/>
      <c r="V87"/>
      <c r="W87"/>
      <c r="X87"/>
      <c r="Y87"/>
    </row>
    <row r="88" spans="1:25" s="2" customFormat="1" ht="25.5" x14ac:dyDescent="0.2">
      <c r="A88" s="5" t="s">
        <v>17445</v>
      </c>
      <c r="B88" s="5" t="s">
        <v>83</v>
      </c>
      <c r="C88" s="5"/>
      <c r="D88" s="5" t="s">
        <v>17444</v>
      </c>
      <c r="E88" s="5"/>
      <c r="F88" s="5" t="s">
        <v>14029</v>
      </c>
      <c r="G88" s="5" t="s">
        <v>17443</v>
      </c>
      <c r="H88" s="5" t="s">
        <v>3</v>
      </c>
      <c r="I88" s="5"/>
      <c r="J88" s="5"/>
      <c r="M88" s="1"/>
      <c r="N88"/>
      <c r="O88"/>
      <c r="P88"/>
      <c r="Q88"/>
      <c r="R88"/>
      <c r="S88"/>
      <c r="T88"/>
      <c r="U88"/>
      <c r="V88"/>
      <c r="W88"/>
      <c r="X88"/>
      <c r="Y88"/>
    </row>
    <row r="89" spans="1:25" s="2" customFormat="1" ht="25.5" x14ac:dyDescent="0.2">
      <c r="A89" s="5" t="s">
        <v>17442</v>
      </c>
      <c r="B89" s="5" t="s">
        <v>83</v>
      </c>
      <c r="C89" s="5"/>
      <c r="D89" s="5" t="s">
        <v>17441</v>
      </c>
      <c r="E89" s="5"/>
      <c r="F89" s="5" t="s">
        <v>1533</v>
      </c>
      <c r="G89" s="5" t="s">
        <v>118</v>
      </c>
      <c r="H89" s="5"/>
      <c r="I89" s="5"/>
      <c r="J89" s="5" t="s">
        <v>17440</v>
      </c>
      <c r="M89" s="1"/>
      <c r="N89"/>
      <c r="O89"/>
      <c r="P89"/>
      <c r="Q89"/>
      <c r="R89"/>
      <c r="S89"/>
      <c r="T89"/>
      <c r="U89"/>
      <c r="V89"/>
      <c r="W89"/>
      <c r="X89"/>
      <c r="Y89"/>
    </row>
    <row r="90" spans="1:25" s="2" customFormat="1" ht="25.5" x14ac:dyDescent="0.2">
      <c r="A90" s="5" t="s">
        <v>8228</v>
      </c>
      <c r="B90" s="5" t="s">
        <v>83</v>
      </c>
      <c r="C90" s="5"/>
      <c r="D90" s="5" t="s">
        <v>17439</v>
      </c>
      <c r="E90" s="5"/>
      <c r="F90" s="5" t="s">
        <v>17306</v>
      </c>
      <c r="G90" s="5" t="s">
        <v>502</v>
      </c>
      <c r="H90" s="5" t="s">
        <v>137</v>
      </c>
      <c r="I90" s="5" t="s">
        <v>17302</v>
      </c>
      <c r="J90" s="5" t="s">
        <v>17305</v>
      </c>
      <c r="M90" s="1"/>
      <c r="N90"/>
      <c r="O90"/>
      <c r="P90"/>
      <c r="Q90"/>
      <c r="R90"/>
      <c r="S90"/>
      <c r="T90"/>
      <c r="U90"/>
      <c r="V90"/>
      <c r="W90"/>
      <c r="X90"/>
      <c r="Y90"/>
    </row>
    <row r="91" spans="1:25" s="2" customFormat="1" ht="25.5" x14ac:dyDescent="0.2">
      <c r="A91" s="5" t="s">
        <v>17438</v>
      </c>
      <c r="B91" s="5" t="s">
        <v>83</v>
      </c>
      <c r="C91" s="5"/>
      <c r="D91" s="5" t="s">
        <v>17437</v>
      </c>
      <c r="E91" s="5"/>
      <c r="F91" s="5" t="s">
        <v>17436</v>
      </c>
      <c r="G91" s="5" t="s">
        <v>896</v>
      </c>
      <c r="H91" s="5" t="s">
        <v>137</v>
      </c>
      <c r="I91" s="5" t="s">
        <v>17302</v>
      </c>
      <c r="J91" s="5" t="s">
        <v>17435</v>
      </c>
      <c r="M91" s="1"/>
      <c r="N91"/>
      <c r="O91"/>
      <c r="P91"/>
      <c r="Q91"/>
      <c r="R91"/>
      <c r="S91"/>
      <c r="T91"/>
      <c r="U91"/>
      <c r="V91"/>
      <c r="W91"/>
      <c r="X91"/>
      <c r="Y91"/>
    </row>
    <row r="92" spans="1:25" s="2" customFormat="1" ht="25.5" x14ac:dyDescent="0.2">
      <c r="A92" s="5" t="s">
        <v>17434</v>
      </c>
      <c r="B92" s="5" t="s">
        <v>83</v>
      </c>
      <c r="C92" s="5"/>
      <c r="D92" s="5" t="s">
        <v>17433</v>
      </c>
      <c r="E92" s="5"/>
      <c r="F92" s="5" t="s">
        <v>17432</v>
      </c>
      <c r="G92" s="5" t="s">
        <v>276</v>
      </c>
      <c r="H92" s="5" t="s">
        <v>137</v>
      </c>
      <c r="I92" s="5" t="s">
        <v>17302</v>
      </c>
      <c r="J92" s="5" t="s">
        <v>17431</v>
      </c>
      <c r="M92" s="1"/>
      <c r="N92"/>
      <c r="O92"/>
      <c r="P92"/>
      <c r="Q92"/>
      <c r="R92"/>
      <c r="S92"/>
      <c r="T92"/>
      <c r="U92"/>
      <c r="V92"/>
      <c r="W92"/>
      <c r="X92"/>
      <c r="Y92"/>
    </row>
    <row r="93" spans="1:25" s="2" customFormat="1" x14ac:dyDescent="0.2">
      <c r="A93" s="5" t="s">
        <v>16431</v>
      </c>
      <c r="B93" s="5" t="s">
        <v>83</v>
      </c>
      <c r="C93" s="5"/>
      <c r="D93" s="5" t="s">
        <v>15411</v>
      </c>
      <c r="E93" s="5"/>
      <c r="F93" s="5" t="s">
        <v>8406</v>
      </c>
      <c r="G93" s="5" t="s">
        <v>328</v>
      </c>
      <c r="H93" s="5" t="s">
        <v>3</v>
      </c>
      <c r="I93" s="5"/>
      <c r="J93" s="5" t="s">
        <v>16430</v>
      </c>
      <c r="M93" s="1"/>
      <c r="N93"/>
      <c r="O93"/>
      <c r="P93"/>
      <c r="Q93"/>
      <c r="R93"/>
      <c r="S93"/>
      <c r="T93"/>
      <c r="U93"/>
      <c r="V93"/>
      <c r="W93"/>
      <c r="X93"/>
      <c r="Y93"/>
    </row>
    <row r="94" spans="1:25" s="2" customFormat="1" ht="25.5" x14ac:dyDescent="0.2">
      <c r="A94" s="5" t="s">
        <v>17430</v>
      </c>
      <c r="B94" s="5" t="s">
        <v>83</v>
      </c>
      <c r="C94" s="5"/>
      <c r="D94" s="5" t="s">
        <v>17429</v>
      </c>
      <c r="E94" s="5"/>
      <c r="F94" s="5" t="s">
        <v>17428</v>
      </c>
      <c r="G94" s="5" t="s">
        <v>122</v>
      </c>
      <c r="H94" s="5" t="s">
        <v>3</v>
      </c>
      <c r="I94" s="5"/>
      <c r="J94" s="5" t="s">
        <v>17427</v>
      </c>
      <c r="M94" s="1"/>
      <c r="N94"/>
      <c r="O94"/>
      <c r="P94"/>
      <c r="Q94"/>
      <c r="R94"/>
      <c r="S94"/>
      <c r="T94"/>
      <c r="U94"/>
      <c r="V94"/>
      <c r="W94"/>
      <c r="X94"/>
      <c r="Y94"/>
    </row>
    <row r="95" spans="1:25" s="2" customFormat="1" ht="25.5" x14ac:dyDescent="0.2">
      <c r="A95" s="5" t="s">
        <v>17426</v>
      </c>
      <c r="B95" s="5" t="s">
        <v>83</v>
      </c>
      <c r="C95" s="5"/>
      <c r="D95" s="5" t="s">
        <v>17424</v>
      </c>
      <c r="E95" s="5"/>
      <c r="F95" s="5" t="s">
        <v>17423</v>
      </c>
      <c r="G95" s="5" t="s">
        <v>4028</v>
      </c>
      <c r="H95" s="5"/>
      <c r="I95" s="5"/>
      <c r="J95" s="5" t="s">
        <v>17422</v>
      </c>
      <c r="M95" s="1"/>
      <c r="N95"/>
      <c r="O95"/>
      <c r="P95"/>
      <c r="Q95"/>
      <c r="R95"/>
      <c r="S95"/>
      <c r="T95"/>
      <c r="U95"/>
      <c r="V95"/>
      <c r="W95"/>
      <c r="X95"/>
      <c r="Y95"/>
    </row>
    <row r="96" spans="1:25" s="2" customFormat="1" ht="25.5" x14ac:dyDescent="0.2">
      <c r="A96" s="5" t="s">
        <v>17425</v>
      </c>
      <c r="B96" s="5" t="s">
        <v>83</v>
      </c>
      <c r="C96" s="5"/>
      <c r="D96" s="5" t="s">
        <v>17424</v>
      </c>
      <c r="E96" s="5"/>
      <c r="F96" s="5" t="s">
        <v>17423</v>
      </c>
      <c r="G96" s="5" t="s">
        <v>11883</v>
      </c>
      <c r="H96" s="5"/>
      <c r="I96" s="5"/>
      <c r="J96" s="5" t="s">
        <v>17422</v>
      </c>
      <c r="M96" s="1"/>
      <c r="N96"/>
      <c r="O96"/>
      <c r="P96"/>
      <c r="Q96"/>
      <c r="R96"/>
      <c r="S96"/>
      <c r="T96"/>
      <c r="U96"/>
      <c r="V96"/>
      <c r="W96"/>
      <c r="X96"/>
      <c r="Y96"/>
    </row>
    <row r="97" spans="1:25" s="2" customFormat="1" x14ac:dyDescent="0.2">
      <c r="A97" s="5" t="s">
        <v>17421</v>
      </c>
      <c r="B97" s="5" t="s">
        <v>83</v>
      </c>
      <c r="C97" s="5"/>
      <c r="D97" s="5" t="s">
        <v>17420</v>
      </c>
      <c r="E97" s="5"/>
      <c r="F97" s="5" t="s">
        <v>17419</v>
      </c>
      <c r="G97" s="5" t="s">
        <v>4028</v>
      </c>
      <c r="H97" s="5" t="s">
        <v>3</v>
      </c>
      <c r="I97" s="5"/>
      <c r="J97" s="5" t="s">
        <v>17418</v>
      </c>
      <c r="M97" s="1"/>
      <c r="N97"/>
      <c r="O97"/>
      <c r="P97"/>
      <c r="Q97"/>
      <c r="R97"/>
      <c r="S97"/>
      <c r="T97"/>
      <c r="U97"/>
      <c r="V97"/>
      <c r="W97"/>
      <c r="X97"/>
      <c r="Y97"/>
    </row>
    <row r="98" spans="1:25" s="2" customFormat="1" x14ac:dyDescent="0.2">
      <c r="A98" s="5" t="s">
        <v>17417</v>
      </c>
      <c r="B98" s="5" t="s">
        <v>83</v>
      </c>
      <c r="C98" s="5"/>
      <c r="D98" s="5" t="s">
        <v>17416</v>
      </c>
      <c r="E98" s="5"/>
      <c r="F98" s="5" t="s">
        <v>17415</v>
      </c>
      <c r="G98" s="5" t="s">
        <v>3059</v>
      </c>
      <c r="H98" s="5" t="s">
        <v>3</v>
      </c>
      <c r="I98" s="5"/>
      <c r="J98" s="5" t="s">
        <v>17414</v>
      </c>
      <c r="M98" s="1"/>
      <c r="N98"/>
      <c r="O98"/>
      <c r="P98"/>
      <c r="Q98"/>
      <c r="R98"/>
      <c r="S98"/>
      <c r="T98"/>
      <c r="U98"/>
      <c r="V98"/>
      <c r="W98"/>
      <c r="X98"/>
      <c r="Y98"/>
    </row>
    <row r="99" spans="1:25" s="2" customFormat="1" x14ac:dyDescent="0.2">
      <c r="A99" s="5" t="s">
        <v>17413</v>
      </c>
      <c r="B99" s="5" t="s">
        <v>83</v>
      </c>
      <c r="C99" s="5"/>
      <c r="D99" s="5" t="s">
        <v>17335</v>
      </c>
      <c r="E99" s="5"/>
      <c r="F99" s="5" t="s">
        <v>17412</v>
      </c>
      <c r="G99" s="5" t="s">
        <v>80</v>
      </c>
      <c r="H99" s="5"/>
      <c r="I99" s="5"/>
      <c r="J99" s="5" t="s">
        <v>17411</v>
      </c>
      <c r="M99" s="1"/>
      <c r="N99"/>
      <c r="O99"/>
      <c r="P99"/>
      <c r="Q99"/>
      <c r="R99"/>
      <c r="S99"/>
      <c r="T99"/>
      <c r="U99"/>
      <c r="V99"/>
      <c r="W99"/>
      <c r="X99"/>
      <c r="Y99"/>
    </row>
    <row r="100" spans="1:25" s="2" customFormat="1" x14ac:dyDescent="0.2">
      <c r="A100" s="5" t="s">
        <v>17410</v>
      </c>
      <c r="B100" s="5" t="s">
        <v>83</v>
      </c>
      <c r="C100" s="5"/>
      <c r="D100" s="5" t="s">
        <v>17409</v>
      </c>
      <c r="E100" s="5"/>
      <c r="F100" s="5" t="s">
        <v>2126</v>
      </c>
      <c r="G100" s="5" t="s">
        <v>105</v>
      </c>
      <c r="H100" s="5"/>
      <c r="I100" s="5"/>
      <c r="J100" s="5" t="s">
        <v>17408</v>
      </c>
      <c r="M100" s="1"/>
      <c r="N100"/>
      <c r="O100"/>
      <c r="P100"/>
      <c r="Q100"/>
      <c r="R100"/>
      <c r="S100"/>
      <c r="T100"/>
      <c r="U100"/>
      <c r="V100"/>
      <c r="W100"/>
      <c r="X100"/>
      <c r="Y100"/>
    </row>
    <row r="101" spans="1:25" s="2" customFormat="1" ht="25.5" x14ac:dyDescent="0.2">
      <c r="A101" s="5" t="s">
        <v>17407</v>
      </c>
      <c r="B101" s="5" t="s">
        <v>83</v>
      </c>
      <c r="C101" s="5"/>
      <c r="D101" s="5" t="s">
        <v>17406</v>
      </c>
      <c r="E101" s="5"/>
      <c r="F101" s="5" t="s">
        <v>17405</v>
      </c>
      <c r="G101" s="5" t="s">
        <v>122</v>
      </c>
      <c r="H101" s="5" t="s">
        <v>3</v>
      </c>
      <c r="I101" s="5"/>
      <c r="J101" s="5" t="s">
        <v>17404</v>
      </c>
      <c r="M101" s="1"/>
      <c r="N101"/>
      <c r="O101"/>
      <c r="P101"/>
      <c r="Q101"/>
      <c r="R101"/>
      <c r="S101"/>
      <c r="T101"/>
      <c r="U101"/>
      <c r="V101"/>
      <c r="W101"/>
      <c r="X101"/>
      <c r="Y101"/>
    </row>
    <row r="102" spans="1:25" s="2" customFormat="1" x14ac:dyDescent="0.2">
      <c r="A102" s="5" t="s">
        <v>17403</v>
      </c>
      <c r="B102" s="5" t="s">
        <v>83</v>
      </c>
      <c r="C102" s="5"/>
      <c r="D102" s="5" t="s">
        <v>17402</v>
      </c>
      <c r="E102" s="5"/>
      <c r="F102" s="5" t="s">
        <v>212</v>
      </c>
      <c r="G102" s="5" t="s">
        <v>207</v>
      </c>
      <c r="H102" s="5"/>
      <c r="I102" s="5"/>
      <c r="J102" s="5" t="s">
        <v>17401</v>
      </c>
      <c r="M102" s="1"/>
      <c r="N102"/>
      <c r="O102"/>
      <c r="P102"/>
      <c r="Q102"/>
      <c r="R102"/>
      <c r="S102"/>
      <c r="T102"/>
      <c r="U102"/>
      <c r="V102"/>
      <c r="W102"/>
      <c r="X102"/>
      <c r="Y102"/>
    </row>
    <row r="103" spans="1:25" s="2" customFormat="1" ht="25.5" x14ac:dyDescent="0.2">
      <c r="A103" s="5" t="s">
        <v>17400</v>
      </c>
      <c r="B103" s="5" t="s">
        <v>83</v>
      </c>
      <c r="C103" s="5"/>
      <c r="D103" s="5" t="s">
        <v>17399</v>
      </c>
      <c r="E103" s="5"/>
      <c r="F103" s="5" t="s">
        <v>16701</v>
      </c>
      <c r="G103" s="5" t="s">
        <v>502</v>
      </c>
      <c r="H103" s="5" t="s">
        <v>137</v>
      </c>
      <c r="I103" s="5" t="s">
        <v>17394</v>
      </c>
      <c r="J103" s="5" t="s">
        <v>17398</v>
      </c>
      <c r="M103" s="1"/>
      <c r="N103"/>
      <c r="O103"/>
      <c r="P103"/>
      <c r="Q103"/>
      <c r="R103"/>
      <c r="S103"/>
      <c r="T103"/>
      <c r="U103"/>
      <c r="V103"/>
      <c r="W103"/>
      <c r="X103"/>
      <c r="Y103"/>
    </row>
    <row r="104" spans="1:25" s="2" customFormat="1" ht="25.5" x14ac:dyDescent="0.2">
      <c r="A104" s="5" t="s">
        <v>17397</v>
      </c>
      <c r="B104" s="5" t="s">
        <v>83</v>
      </c>
      <c r="C104" s="5"/>
      <c r="D104" s="5" t="s">
        <v>17396</v>
      </c>
      <c r="E104" s="5"/>
      <c r="F104" s="5" t="s">
        <v>17395</v>
      </c>
      <c r="G104" s="5" t="s">
        <v>328</v>
      </c>
      <c r="H104" s="5" t="s">
        <v>137</v>
      </c>
      <c r="I104" s="5" t="s">
        <v>17394</v>
      </c>
      <c r="J104" s="5" t="s">
        <v>17393</v>
      </c>
      <c r="M104" s="1"/>
      <c r="N104"/>
      <c r="O104"/>
      <c r="P104"/>
      <c r="Q104"/>
      <c r="R104"/>
      <c r="S104"/>
      <c r="T104"/>
      <c r="U104"/>
      <c r="V104"/>
      <c r="W104"/>
      <c r="X104"/>
      <c r="Y104"/>
    </row>
    <row r="105" spans="1:25" s="2" customFormat="1" x14ac:dyDescent="0.2">
      <c r="A105" s="5" t="s">
        <v>17392</v>
      </c>
      <c r="B105" s="5" t="s">
        <v>83</v>
      </c>
      <c r="C105" s="5"/>
      <c r="D105" s="5" t="s">
        <v>17391</v>
      </c>
      <c r="E105" s="5"/>
      <c r="F105" s="5" t="s">
        <v>15377</v>
      </c>
      <c r="G105" s="5" t="s">
        <v>114</v>
      </c>
      <c r="H105" s="5" t="s">
        <v>3</v>
      </c>
      <c r="I105" s="5"/>
      <c r="J105" s="5"/>
      <c r="M105" s="1"/>
      <c r="N105"/>
      <c r="O105"/>
      <c r="P105"/>
      <c r="Q105"/>
      <c r="R105"/>
      <c r="S105"/>
      <c r="T105"/>
      <c r="U105"/>
      <c r="V105"/>
      <c r="W105"/>
      <c r="X105"/>
      <c r="Y105"/>
    </row>
    <row r="106" spans="1:25" s="2" customFormat="1" ht="25.5" x14ac:dyDescent="0.2">
      <c r="A106" s="5" t="s">
        <v>17390</v>
      </c>
      <c r="B106" s="5" t="s">
        <v>83</v>
      </c>
      <c r="C106" s="5"/>
      <c r="D106" s="5" t="s">
        <v>17389</v>
      </c>
      <c r="E106" s="5"/>
      <c r="F106" s="5" t="s">
        <v>14877</v>
      </c>
      <c r="G106" s="5" t="s">
        <v>328</v>
      </c>
      <c r="H106" s="5" t="s">
        <v>137</v>
      </c>
      <c r="I106" s="5" t="s">
        <v>17302</v>
      </c>
      <c r="J106" s="5" t="s">
        <v>17388</v>
      </c>
      <c r="M106" s="1"/>
      <c r="N106"/>
      <c r="O106"/>
      <c r="P106"/>
      <c r="Q106"/>
      <c r="R106"/>
      <c r="S106"/>
      <c r="T106"/>
      <c r="U106"/>
      <c r="V106"/>
      <c r="W106"/>
      <c r="X106"/>
      <c r="Y106"/>
    </row>
    <row r="107" spans="1:25" s="2" customFormat="1" ht="25.5" x14ac:dyDescent="0.2">
      <c r="A107" s="5" t="s">
        <v>17387</v>
      </c>
      <c r="B107" s="5" t="s">
        <v>83</v>
      </c>
      <c r="C107" s="5"/>
      <c r="D107" s="5" t="s">
        <v>17386</v>
      </c>
      <c r="E107" s="5"/>
      <c r="F107" s="5" t="s">
        <v>17385</v>
      </c>
      <c r="G107" s="5" t="s">
        <v>173</v>
      </c>
      <c r="H107" s="5" t="s">
        <v>137</v>
      </c>
      <c r="I107" s="5" t="s">
        <v>17384</v>
      </c>
      <c r="J107" s="5" t="s">
        <v>17383</v>
      </c>
      <c r="M107" s="1"/>
      <c r="N107"/>
      <c r="O107"/>
      <c r="P107"/>
      <c r="Q107"/>
      <c r="R107"/>
      <c r="S107"/>
      <c r="T107"/>
      <c r="U107"/>
      <c r="V107"/>
      <c r="W107"/>
      <c r="X107"/>
      <c r="Y107"/>
    </row>
    <row r="108" spans="1:25" s="2" customFormat="1" ht="25.5" x14ac:dyDescent="0.2">
      <c r="A108" s="5" t="s">
        <v>8973</v>
      </c>
      <c r="B108" s="5" t="s">
        <v>83</v>
      </c>
      <c r="C108" s="5"/>
      <c r="D108" s="5" t="s">
        <v>17382</v>
      </c>
      <c r="E108" s="5" t="s">
        <v>93</v>
      </c>
      <c r="F108" s="5" t="s">
        <v>17381</v>
      </c>
      <c r="G108" s="5" t="s">
        <v>6584</v>
      </c>
      <c r="H108" s="5" t="s">
        <v>3</v>
      </c>
      <c r="I108" s="5"/>
      <c r="J108" s="5"/>
      <c r="M108" s="1"/>
      <c r="N108"/>
      <c r="O108"/>
      <c r="P108"/>
      <c r="Q108"/>
      <c r="R108"/>
      <c r="S108"/>
      <c r="T108"/>
      <c r="U108"/>
      <c r="V108"/>
      <c r="W108"/>
      <c r="X108"/>
      <c r="Y108"/>
    </row>
    <row r="109" spans="1:25" s="2" customFormat="1" x14ac:dyDescent="0.2">
      <c r="A109" s="5" t="s">
        <v>17380</v>
      </c>
      <c r="B109" s="5" t="s">
        <v>83</v>
      </c>
      <c r="C109" s="5"/>
      <c r="D109" s="5" t="s">
        <v>17379</v>
      </c>
      <c r="E109" s="5"/>
      <c r="F109" s="5" t="s">
        <v>4053</v>
      </c>
      <c r="G109" s="5" t="s">
        <v>122</v>
      </c>
      <c r="H109" s="5" t="s">
        <v>137</v>
      </c>
      <c r="I109" s="5"/>
      <c r="J109" s="5" t="s">
        <v>17378</v>
      </c>
      <c r="M109" s="1"/>
      <c r="N109"/>
      <c r="O109"/>
      <c r="P109"/>
      <c r="Q109"/>
      <c r="R109"/>
      <c r="S109"/>
      <c r="T109"/>
      <c r="U109"/>
      <c r="V109"/>
      <c r="W109"/>
      <c r="X109"/>
      <c r="Y109"/>
    </row>
    <row r="110" spans="1:25" s="2" customFormat="1" x14ac:dyDescent="0.2">
      <c r="A110" s="5" t="s">
        <v>17377</v>
      </c>
      <c r="B110" s="5" t="s">
        <v>83</v>
      </c>
      <c r="C110" s="5"/>
      <c r="D110" s="5" t="s">
        <v>15411</v>
      </c>
      <c r="E110" s="5" t="s">
        <v>93</v>
      </c>
      <c r="F110" s="5" t="s">
        <v>9148</v>
      </c>
      <c r="G110" s="5" t="s">
        <v>328</v>
      </c>
      <c r="H110" s="5" t="s">
        <v>3</v>
      </c>
      <c r="I110" s="5"/>
      <c r="J110" s="5"/>
      <c r="M110" s="1"/>
      <c r="N110"/>
      <c r="O110"/>
      <c r="P110"/>
      <c r="Q110"/>
      <c r="R110"/>
      <c r="S110"/>
      <c r="T110"/>
      <c r="U110"/>
      <c r="V110"/>
      <c r="W110"/>
      <c r="X110"/>
      <c r="Y110"/>
    </row>
    <row r="111" spans="1:25" s="2" customFormat="1" x14ac:dyDescent="0.2">
      <c r="A111" s="5" t="s">
        <v>17376</v>
      </c>
      <c r="B111" s="5" t="s">
        <v>83</v>
      </c>
      <c r="C111" s="5"/>
      <c r="D111" s="5" t="s">
        <v>15411</v>
      </c>
      <c r="E111" s="5" t="s">
        <v>93</v>
      </c>
      <c r="F111" s="5" t="s">
        <v>9148</v>
      </c>
      <c r="G111" s="5" t="s">
        <v>328</v>
      </c>
      <c r="H111" s="5"/>
      <c r="I111" s="5"/>
      <c r="J111" s="5" t="s">
        <v>17375</v>
      </c>
      <c r="M111" s="1"/>
      <c r="N111"/>
      <c r="O111"/>
      <c r="P111"/>
      <c r="Q111"/>
      <c r="R111"/>
      <c r="S111"/>
      <c r="T111"/>
      <c r="U111"/>
      <c r="V111"/>
      <c r="W111"/>
      <c r="X111"/>
      <c r="Y111"/>
    </row>
    <row r="112" spans="1:25" s="2" customFormat="1" x14ac:dyDescent="0.2">
      <c r="A112" s="5" t="s">
        <v>17374</v>
      </c>
      <c r="B112" s="5" t="s">
        <v>83</v>
      </c>
      <c r="C112" s="5"/>
      <c r="D112" s="5" t="s">
        <v>17373</v>
      </c>
      <c r="E112" s="5" t="s">
        <v>150</v>
      </c>
      <c r="F112" s="5" t="s">
        <v>7693</v>
      </c>
      <c r="G112" s="5" t="s">
        <v>148</v>
      </c>
      <c r="H112" s="5" t="s">
        <v>3</v>
      </c>
      <c r="I112" s="5"/>
      <c r="J112" s="5" t="s">
        <v>17372</v>
      </c>
      <c r="M112" s="1"/>
      <c r="N112"/>
      <c r="O112"/>
      <c r="P112"/>
      <c r="Q112"/>
      <c r="R112"/>
      <c r="S112"/>
      <c r="T112"/>
      <c r="U112"/>
      <c r="V112"/>
      <c r="W112"/>
      <c r="X112"/>
      <c r="Y112"/>
    </row>
    <row r="113" spans="1:25" s="2" customFormat="1" x14ac:dyDescent="0.2">
      <c r="A113" s="5" t="s">
        <v>17371</v>
      </c>
      <c r="B113" s="5" t="s">
        <v>83</v>
      </c>
      <c r="C113" s="5"/>
      <c r="D113" s="5" t="s">
        <v>17370</v>
      </c>
      <c r="E113" s="5" t="s">
        <v>665</v>
      </c>
      <c r="F113" s="5" t="s">
        <v>17369</v>
      </c>
      <c r="G113" s="5" t="s">
        <v>148</v>
      </c>
      <c r="H113" s="5" t="s">
        <v>3</v>
      </c>
      <c r="I113" s="5"/>
      <c r="J113" s="5" t="s">
        <v>17368</v>
      </c>
      <c r="M113" s="1"/>
      <c r="N113"/>
      <c r="O113"/>
      <c r="P113"/>
      <c r="Q113"/>
      <c r="R113"/>
      <c r="S113"/>
      <c r="T113"/>
      <c r="U113"/>
      <c r="V113"/>
      <c r="W113"/>
      <c r="X113"/>
      <c r="Y113"/>
    </row>
    <row r="114" spans="1:25" s="2" customFormat="1" ht="25.5" x14ac:dyDescent="0.2">
      <c r="A114" s="5" t="s">
        <v>17367</v>
      </c>
      <c r="B114" s="5" t="s">
        <v>83</v>
      </c>
      <c r="C114" s="5"/>
      <c r="D114" s="5" t="s">
        <v>17366</v>
      </c>
      <c r="E114" s="5" t="s">
        <v>150</v>
      </c>
      <c r="F114" s="5" t="s">
        <v>17365</v>
      </c>
      <c r="G114" s="5" t="s">
        <v>148</v>
      </c>
      <c r="H114" s="5" t="s">
        <v>3</v>
      </c>
      <c r="I114" s="5"/>
      <c r="J114" s="5" t="s">
        <v>17364</v>
      </c>
      <c r="M114" s="1"/>
      <c r="N114"/>
      <c r="O114"/>
      <c r="P114"/>
      <c r="Q114"/>
      <c r="R114"/>
      <c r="S114"/>
      <c r="T114"/>
      <c r="U114"/>
      <c r="V114"/>
      <c r="W114"/>
      <c r="X114"/>
      <c r="Y114"/>
    </row>
    <row r="115" spans="1:25" s="2" customFormat="1" x14ac:dyDescent="0.2">
      <c r="A115" s="5" t="s">
        <v>17363</v>
      </c>
      <c r="B115" s="5" t="s">
        <v>83</v>
      </c>
      <c r="C115" s="5"/>
      <c r="D115" s="5" t="s">
        <v>17362</v>
      </c>
      <c r="E115" s="5"/>
      <c r="F115" s="5"/>
      <c r="G115" s="5" t="s">
        <v>328</v>
      </c>
      <c r="H115" s="5" t="s">
        <v>3</v>
      </c>
      <c r="I115" s="5"/>
      <c r="J115" s="5"/>
      <c r="M115" s="1"/>
      <c r="N115"/>
      <c r="O115"/>
      <c r="P115"/>
      <c r="Q115"/>
      <c r="R115"/>
      <c r="S115"/>
      <c r="T115"/>
      <c r="U115"/>
      <c r="V115"/>
      <c r="W115"/>
      <c r="X115"/>
      <c r="Y115"/>
    </row>
    <row r="116" spans="1:25" s="2" customFormat="1" x14ac:dyDescent="0.2">
      <c r="A116" s="5" t="s">
        <v>7657</v>
      </c>
      <c r="B116" s="5" t="s">
        <v>83</v>
      </c>
      <c r="C116" s="5"/>
      <c r="D116" s="5" t="s">
        <v>5503</v>
      </c>
      <c r="E116" s="5"/>
      <c r="F116" s="5" t="s">
        <v>10258</v>
      </c>
      <c r="G116" s="5" t="s">
        <v>328</v>
      </c>
      <c r="H116" s="5" t="s">
        <v>3</v>
      </c>
      <c r="I116" s="5"/>
      <c r="J116" s="5"/>
      <c r="M116" s="1"/>
      <c r="N116"/>
      <c r="O116"/>
      <c r="P116"/>
      <c r="Q116"/>
      <c r="R116"/>
      <c r="S116"/>
      <c r="T116"/>
      <c r="U116"/>
      <c r="V116"/>
      <c r="W116"/>
      <c r="X116"/>
      <c r="Y116"/>
    </row>
    <row r="117" spans="1:25" s="2" customFormat="1" ht="25.5" x14ac:dyDescent="0.2">
      <c r="A117" s="5" t="s">
        <v>17361</v>
      </c>
      <c r="B117" s="5" t="s">
        <v>83</v>
      </c>
      <c r="C117" s="5"/>
      <c r="D117" s="5" t="s">
        <v>17360</v>
      </c>
      <c r="E117" s="5"/>
      <c r="F117" s="5" t="s">
        <v>9172</v>
      </c>
      <c r="G117" s="5" t="s">
        <v>173</v>
      </c>
      <c r="H117" s="5" t="s">
        <v>137</v>
      </c>
      <c r="I117" s="5" t="s">
        <v>17302</v>
      </c>
      <c r="J117" s="5"/>
      <c r="M117" s="1"/>
      <c r="N117"/>
      <c r="O117"/>
      <c r="P117"/>
      <c r="Q117"/>
      <c r="R117"/>
      <c r="S117"/>
      <c r="T117"/>
      <c r="U117"/>
      <c r="V117"/>
      <c r="W117"/>
      <c r="X117"/>
      <c r="Y117"/>
    </row>
    <row r="118" spans="1:25" s="2" customFormat="1" ht="25.5" x14ac:dyDescent="0.2">
      <c r="A118" s="5" t="s">
        <v>17359</v>
      </c>
      <c r="B118" s="5" t="s">
        <v>83</v>
      </c>
      <c r="C118" s="5"/>
      <c r="D118" s="5" t="s">
        <v>17358</v>
      </c>
      <c r="E118" s="5"/>
      <c r="F118" s="5"/>
      <c r="G118" s="5" t="s">
        <v>224</v>
      </c>
      <c r="H118" s="5" t="s">
        <v>3</v>
      </c>
      <c r="I118" s="5"/>
      <c r="J118" s="5"/>
      <c r="M118" s="1"/>
      <c r="N118"/>
      <c r="O118"/>
      <c r="P118"/>
      <c r="Q118"/>
      <c r="R118"/>
      <c r="S118"/>
      <c r="T118"/>
      <c r="U118"/>
      <c r="V118"/>
      <c r="W118"/>
      <c r="X118"/>
      <c r="Y118"/>
    </row>
    <row r="119" spans="1:25" s="2" customFormat="1" ht="25.5" x14ac:dyDescent="0.2">
      <c r="A119" s="5" t="s">
        <v>7595</v>
      </c>
      <c r="B119" s="5" t="s">
        <v>83</v>
      </c>
      <c r="C119" s="5"/>
      <c r="D119" s="5" t="s">
        <v>17357</v>
      </c>
      <c r="E119" s="5"/>
      <c r="F119" s="5" t="s">
        <v>7591</v>
      </c>
      <c r="G119" s="5" t="s">
        <v>276</v>
      </c>
      <c r="H119" s="5"/>
      <c r="I119" s="5"/>
      <c r="J119" s="5" t="s">
        <v>17356</v>
      </c>
      <c r="M119" s="1"/>
      <c r="N119"/>
      <c r="O119"/>
      <c r="P119"/>
      <c r="Q119"/>
      <c r="R119"/>
      <c r="S119"/>
      <c r="T119"/>
      <c r="U119"/>
      <c r="V119"/>
      <c r="W119"/>
      <c r="X119"/>
      <c r="Y119"/>
    </row>
    <row r="120" spans="1:25" s="2" customFormat="1" ht="25.5" x14ac:dyDescent="0.2">
      <c r="A120" s="5" t="s">
        <v>7589</v>
      </c>
      <c r="B120" s="5" t="s">
        <v>83</v>
      </c>
      <c r="C120" s="5"/>
      <c r="D120" s="5" t="s">
        <v>17355</v>
      </c>
      <c r="E120" s="5"/>
      <c r="F120" s="5" t="s">
        <v>7591</v>
      </c>
      <c r="G120" s="5" t="s">
        <v>393</v>
      </c>
      <c r="H120" s="5"/>
      <c r="I120" s="5"/>
      <c r="J120" s="5" t="s">
        <v>7586</v>
      </c>
      <c r="M120" s="1"/>
      <c r="N120"/>
      <c r="O120"/>
      <c r="P120"/>
      <c r="Q120"/>
      <c r="R120"/>
      <c r="S120"/>
      <c r="T120"/>
      <c r="U120"/>
      <c r="V120"/>
      <c r="W120"/>
      <c r="X120"/>
      <c r="Y120"/>
    </row>
    <row r="121" spans="1:25" s="2" customFormat="1" x14ac:dyDescent="0.2">
      <c r="A121" s="5" t="s">
        <v>7375</v>
      </c>
      <c r="B121" s="5" t="s">
        <v>83</v>
      </c>
      <c r="C121" s="5"/>
      <c r="D121" s="5" t="s">
        <v>17354</v>
      </c>
      <c r="E121" s="5"/>
      <c r="F121" s="5" t="s">
        <v>9245</v>
      </c>
      <c r="G121" s="5" t="s">
        <v>4</v>
      </c>
      <c r="H121" s="5" t="s">
        <v>3</v>
      </c>
      <c r="I121" s="5"/>
      <c r="J121" s="5"/>
      <c r="M121" s="1"/>
      <c r="N121"/>
      <c r="O121"/>
      <c r="P121"/>
      <c r="Q121"/>
      <c r="R121"/>
      <c r="S121"/>
      <c r="T121"/>
      <c r="U121"/>
      <c r="V121"/>
      <c r="W121"/>
      <c r="X121"/>
      <c r="Y121"/>
    </row>
    <row r="122" spans="1:25" s="2" customFormat="1" x14ac:dyDescent="0.2">
      <c r="A122" s="5" t="s">
        <v>7539</v>
      </c>
      <c r="B122" s="5" t="s">
        <v>83</v>
      </c>
      <c r="C122" s="5"/>
      <c r="D122" s="5" t="s">
        <v>17353</v>
      </c>
      <c r="E122" s="5" t="s">
        <v>150</v>
      </c>
      <c r="F122" s="5" t="s">
        <v>7523</v>
      </c>
      <c r="G122" s="5" t="s">
        <v>148</v>
      </c>
      <c r="H122" s="5" t="s">
        <v>3</v>
      </c>
      <c r="I122" s="5"/>
      <c r="J122" s="5" t="s">
        <v>17172</v>
      </c>
      <c r="M122" s="1"/>
      <c r="N122"/>
      <c r="O122"/>
      <c r="P122"/>
      <c r="Q122"/>
      <c r="R122"/>
      <c r="S122"/>
      <c r="T122"/>
      <c r="U122"/>
      <c r="V122"/>
      <c r="W122"/>
      <c r="X122"/>
      <c r="Y122"/>
    </row>
    <row r="123" spans="1:25" s="2" customFormat="1" x14ac:dyDescent="0.2">
      <c r="A123" s="5" t="s">
        <v>7525</v>
      </c>
      <c r="B123" s="5" t="s">
        <v>83</v>
      </c>
      <c r="C123" s="5"/>
      <c r="D123" s="5" t="s">
        <v>17352</v>
      </c>
      <c r="E123" s="5" t="s">
        <v>665</v>
      </c>
      <c r="F123" s="5" t="s">
        <v>7523</v>
      </c>
      <c r="G123" s="5" t="s">
        <v>181</v>
      </c>
      <c r="H123" s="5"/>
      <c r="I123" s="5"/>
      <c r="J123" s="5" t="s">
        <v>7522</v>
      </c>
      <c r="M123" s="1"/>
      <c r="N123"/>
      <c r="O123"/>
      <c r="P123"/>
      <c r="Q123"/>
      <c r="R123"/>
      <c r="S123"/>
      <c r="T123"/>
      <c r="U123"/>
      <c r="V123"/>
      <c r="W123"/>
      <c r="X123"/>
      <c r="Y123"/>
    </row>
    <row r="124" spans="1:25" s="2" customFormat="1" x14ac:dyDescent="0.2">
      <c r="A124" s="5" t="s">
        <v>15957</v>
      </c>
      <c r="B124" s="5" t="s">
        <v>83</v>
      </c>
      <c r="C124" s="5"/>
      <c r="D124" s="5">
        <v>1</v>
      </c>
      <c r="E124" s="5"/>
      <c r="F124" s="5" t="s">
        <v>7853</v>
      </c>
      <c r="G124" s="5" t="s">
        <v>382</v>
      </c>
      <c r="H124" s="5" t="s">
        <v>3</v>
      </c>
      <c r="I124" s="5"/>
      <c r="J124" s="5"/>
      <c r="M124" s="1"/>
      <c r="N124"/>
      <c r="O124"/>
      <c r="P124"/>
      <c r="Q124"/>
      <c r="R124"/>
      <c r="S124"/>
      <c r="T124"/>
      <c r="U124"/>
      <c r="V124"/>
      <c r="W124"/>
      <c r="X124"/>
      <c r="Y124"/>
    </row>
    <row r="125" spans="1:25" s="2" customFormat="1" x14ac:dyDescent="0.2">
      <c r="A125" s="5" t="s">
        <v>17351</v>
      </c>
      <c r="B125" s="5" t="s">
        <v>83</v>
      </c>
      <c r="C125" s="5"/>
      <c r="D125" s="5" t="s">
        <v>17350</v>
      </c>
      <c r="E125" s="5"/>
      <c r="F125" s="5" t="s">
        <v>12828</v>
      </c>
      <c r="G125" s="5" t="s">
        <v>6584</v>
      </c>
      <c r="H125" s="5" t="s">
        <v>3</v>
      </c>
      <c r="I125" s="5"/>
      <c r="J125" s="5" t="s">
        <v>17349</v>
      </c>
      <c r="M125" s="1"/>
      <c r="N125"/>
      <c r="O125"/>
      <c r="P125"/>
      <c r="Q125"/>
      <c r="R125"/>
      <c r="S125"/>
      <c r="T125"/>
      <c r="U125"/>
      <c r="V125"/>
      <c r="W125"/>
      <c r="X125"/>
      <c r="Y125"/>
    </row>
    <row r="126" spans="1:25" s="2" customFormat="1" ht="25.5" x14ac:dyDescent="0.2">
      <c r="A126" s="5" t="s">
        <v>17348</v>
      </c>
      <c r="B126" s="5" t="s">
        <v>83</v>
      </c>
      <c r="C126" s="5"/>
      <c r="D126" s="5" t="s">
        <v>17347</v>
      </c>
      <c r="E126" s="5"/>
      <c r="F126" s="5" t="s">
        <v>12828</v>
      </c>
      <c r="G126" s="5" t="s">
        <v>6584</v>
      </c>
      <c r="H126" s="5" t="s">
        <v>3</v>
      </c>
      <c r="I126" s="5"/>
      <c r="J126" s="5" t="s">
        <v>17346</v>
      </c>
      <c r="M126" s="1"/>
      <c r="N126"/>
      <c r="O126"/>
      <c r="P126"/>
      <c r="Q126"/>
      <c r="R126"/>
      <c r="S126"/>
      <c r="T126"/>
      <c r="U126"/>
      <c r="V126"/>
      <c r="W126"/>
      <c r="X126"/>
      <c r="Y126"/>
    </row>
    <row r="127" spans="1:25" s="2" customFormat="1" x14ac:dyDescent="0.2">
      <c r="A127" s="5" t="s">
        <v>17345</v>
      </c>
      <c r="B127" s="5" t="s">
        <v>83</v>
      </c>
      <c r="C127" s="5"/>
      <c r="D127" s="5" t="s">
        <v>17326</v>
      </c>
      <c r="E127" s="5"/>
      <c r="F127" s="5" t="s">
        <v>8479</v>
      </c>
      <c r="G127" s="5" t="s">
        <v>6584</v>
      </c>
      <c r="H127" s="5" t="s">
        <v>3</v>
      </c>
      <c r="I127" s="5"/>
      <c r="J127" s="5"/>
      <c r="M127" s="1"/>
      <c r="N127"/>
      <c r="O127"/>
      <c r="P127"/>
      <c r="Q127"/>
      <c r="R127"/>
      <c r="S127"/>
      <c r="T127"/>
      <c r="U127"/>
      <c r="V127"/>
      <c r="W127"/>
      <c r="X127"/>
      <c r="Y127"/>
    </row>
    <row r="128" spans="1:25" s="2" customFormat="1" x14ac:dyDescent="0.2">
      <c r="A128" s="5" t="s">
        <v>12833</v>
      </c>
      <c r="B128" s="5" t="s">
        <v>83</v>
      </c>
      <c r="C128" s="5"/>
      <c r="D128" s="5" t="s">
        <v>17344</v>
      </c>
      <c r="E128" s="5"/>
      <c r="F128" s="5" t="s">
        <v>12828</v>
      </c>
      <c r="G128" s="5" t="s">
        <v>105</v>
      </c>
      <c r="H128" s="5" t="s">
        <v>3</v>
      </c>
      <c r="I128" s="5"/>
      <c r="J128" s="5"/>
      <c r="M128" s="1"/>
      <c r="N128"/>
      <c r="O128"/>
      <c r="P128"/>
      <c r="Q128"/>
      <c r="R128"/>
      <c r="S128"/>
      <c r="T128"/>
      <c r="U128"/>
      <c r="V128"/>
      <c r="W128"/>
      <c r="X128"/>
      <c r="Y128"/>
    </row>
    <row r="129" spans="1:25" s="2" customFormat="1" ht="25.5" x14ac:dyDescent="0.2">
      <c r="A129" s="5" t="s">
        <v>17343</v>
      </c>
      <c r="B129" s="5" t="s">
        <v>83</v>
      </c>
      <c r="C129" s="5"/>
      <c r="D129" s="5" t="s">
        <v>17342</v>
      </c>
      <c r="E129" s="5"/>
      <c r="F129" s="5" t="s">
        <v>17338</v>
      </c>
      <c r="G129" s="5" t="s">
        <v>502</v>
      </c>
      <c r="H129" s="5" t="s">
        <v>137</v>
      </c>
      <c r="I129" s="5" t="s">
        <v>17337</v>
      </c>
      <c r="J129" s="5" t="s">
        <v>17341</v>
      </c>
      <c r="M129" s="1"/>
      <c r="N129"/>
      <c r="O129"/>
      <c r="P129"/>
      <c r="Q129"/>
      <c r="R129"/>
      <c r="S129"/>
      <c r="T129"/>
      <c r="U129"/>
      <c r="V129"/>
      <c r="W129"/>
      <c r="X129"/>
      <c r="Y129"/>
    </row>
    <row r="130" spans="1:25" s="2" customFormat="1" ht="25.5" x14ac:dyDescent="0.2">
      <c r="A130" s="5" t="s">
        <v>17340</v>
      </c>
      <c r="B130" s="5" t="s">
        <v>83</v>
      </c>
      <c r="C130" s="5"/>
      <c r="D130" s="5" t="s">
        <v>17339</v>
      </c>
      <c r="E130" s="5"/>
      <c r="F130" s="5" t="s">
        <v>17338</v>
      </c>
      <c r="G130" s="5" t="s">
        <v>328</v>
      </c>
      <c r="H130" s="5" t="s">
        <v>137</v>
      </c>
      <c r="I130" s="5" t="s">
        <v>17337</v>
      </c>
      <c r="J130" s="5" t="s">
        <v>17336</v>
      </c>
      <c r="M130" s="1"/>
      <c r="N130"/>
      <c r="O130"/>
      <c r="P130"/>
      <c r="Q130"/>
      <c r="R130"/>
      <c r="S130"/>
      <c r="T130"/>
      <c r="U130"/>
      <c r="V130"/>
      <c r="W130"/>
      <c r="X130"/>
      <c r="Y130"/>
    </row>
    <row r="131" spans="1:25" s="2" customFormat="1" x14ac:dyDescent="0.2">
      <c r="A131" s="5" t="s">
        <v>7321</v>
      </c>
      <c r="B131" s="5" t="s">
        <v>83</v>
      </c>
      <c r="C131" s="5"/>
      <c r="D131" s="5" t="s">
        <v>17335</v>
      </c>
      <c r="E131" s="5"/>
      <c r="F131" s="5" t="s">
        <v>106</v>
      </c>
      <c r="G131" s="5" t="s">
        <v>80</v>
      </c>
      <c r="H131" s="5" t="s">
        <v>3</v>
      </c>
      <c r="I131" s="5"/>
      <c r="J131" s="5" t="s">
        <v>17334</v>
      </c>
      <c r="M131" s="1"/>
      <c r="N131"/>
      <c r="O131"/>
      <c r="P131"/>
      <c r="Q131"/>
      <c r="R131"/>
      <c r="S131"/>
      <c r="T131"/>
      <c r="U131"/>
      <c r="V131"/>
      <c r="W131"/>
      <c r="X131"/>
      <c r="Y131"/>
    </row>
    <row r="132" spans="1:25" s="2" customFormat="1" x14ac:dyDescent="0.2">
      <c r="A132" s="5" t="s">
        <v>17333</v>
      </c>
      <c r="B132" s="5" t="s">
        <v>83</v>
      </c>
      <c r="C132" s="5"/>
      <c r="D132" s="5" t="s">
        <v>17332</v>
      </c>
      <c r="E132" s="5"/>
      <c r="F132" s="5" t="s">
        <v>17331</v>
      </c>
      <c r="G132" s="5" t="s">
        <v>328</v>
      </c>
      <c r="H132" s="5" t="s">
        <v>3</v>
      </c>
      <c r="I132" s="5"/>
      <c r="J132" s="5"/>
      <c r="M132" s="1"/>
      <c r="N132"/>
      <c r="O132"/>
      <c r="P132"/>
      <c r="Q132"/>
      <c r="R132"/>
      <c r="S132"/>
      <c r="T132"/>
      <c r="U132"/>
      <c r="V132"/>
      <c r="W132"/>
      <c r="X132"/>
      <c r="Y132"/>
    </row>
    <row r="133" spans="1:25" s="2" customFormat="1" x14ac:dyDescent="0.2">
      <c r="A133" s="5" t="s">
        <v>17330</v>
      </c>
      <c r="B133" s="5" t="s">
        <v>83</v>
      </c>
      <c r="C133" s="5"/>
      <c r="D133" s="5" t="s">
        <v>17329</v>
      </c>
      <c r="E133" s="5"/>
      <c r="F133" s="5" t="s">
        <v>212</v>
      </c>
      <c r="G133" s="5" t="s">
        <v>207</v>
      </c>
      <c r="H133" s="5"/>
      <c r="I133" s="5"/>
      <c r="J133" s="5" t="s">
        <v>17328</v>
      </c>
      <c r="M133" s="1"/>
      <c r="N133"/>
      <c r="O133"/>
      <c r="P133"/>
      <c r="Q133"/>
      <c r="R133"/>
      <c r="S133"/>
      <c r="T133"/>
      <c r="U133"/>
      <c r="V133"/>
      <c r="W133"/>
      <c r="X133"/>
      <c r="Y133"/>
    </row>
    <row r="134" spans="1:25" s="2" customFormat="1" x14ac:dyDescent="0.2">
      <c r="A134" s="5" t="s">
        <v>17327</v>
      </c>
      <c r="B134" s="5" t="s">
        <v>83</v>
      </c>
      <c r="C134" s="5"/>
      <c r="D134" s="5" t="s">
        <v>17326</v>
      </c>
      <c r="E134" s="5"/>
      <c r="F134" s="5" t="s">
        <v>11795</v>
      </c>
      <c r="G134" s="5" t="s">
        <v>6584</v>
      </c>
      <c r="H134" s="5" t="s">
        <v>3</v>
      </c>
      <c r="I134" s="5"/>
      <c r="J134" s="5" t="s">
        <v>17325</v>
      </c>
      <c r="M134" s="1"/>
      <c r="N134"/>
      <c r="O134"/>
      <c r="P134"/>
      <c r="Q134"/>
      <c r="R134"/>
      <c r="S134"/>
      <c r="T134"/>
      <c r="U134"/>
      <c r="V134"/>
      <c r="W134"/>
      <c r="X134"/>
      <c r="Y134"/>
    </row>
    <row r="135" spans="1:25" s="2" customFormat="1" x14ac:dyDescent="0.2">
      <c r="A135" s="5" t="s">
        <v>17324</v>
      </c>
      <c r="B135" s="5" t="s">
        <v>83</v>
      </c>
      <c r="C135" s="5"/>
      <c r="D135" s="5" t="s">
        <v>17323</v>
      </c>
      <c r="E135" s="5"/>
      <c r="F135" s="5" t="s">
        <v>7676</v>
      </c>
      <c r="G135" s="5" t="s">
        <v>170</v>
      </c>
      <c r="H135" s="5" t="s">
        <v>3</v>
      </c>
      <c r="I135" s="5"/>
      <c r="J135" s="5" t="s">
        <v>17322</v>
      </c>
      <c r="M135" s="1"/>
      <c r="N135"/>
      <c r="O135"/>
      <c r="P135"/>
      <c r="Q135"/>
      <c r="R135"/>
      <c r="S135"/>
      <c r="T135"/>
      <c r="U135"/>
      <c r="V135"/>
      <c r="W135"/>
      <c r="X135"/>
      <c r="Y135"/>
    </row>
    <row r="136" spans="1:25" s="2" customFormat="1" x14ac:dyDescent="0.2">
      <c r="A136" s="5" t="s">
        <v>13680</v>
      </c>
      <c r="B136" s="5" t="s">
        <v>83</v>
      </c>
      <c r="C136" s="5"/>
      <c r="D136" s="5" t="s">
        <v>6362</v>
      </c>
      <c r="E136" s="5"/>
      <c r="F136" s="5" t="s">
        <v>17321</v>
      </c>
      <c r="G136" s="5" t="s">
        <v>118</v>
      </c>
      <c r="H136" s="5" t="s">
        <v>3</v>
      </c>
      <c r="I136" s="5"/>
      <c r="J136" s="5" t="s">
        <v>17320</v>
      </c>
      <c r="M136" s="1"/>
      <c r="N136"/>
      <c r="O136"/>
      <c r="P136"/>
      <c r="Q136"/>
      <c r="R136"/>
      <c r="S136"/>
      <c r="T136"/>
      <c r="U136"/>
      <c r="V136"/>
      <c r="W136"/>
      <c r="X136"/>
      <c r="Y136"/>
    </row>
    <row r="137" spans="1:25" s="2" customFormat="1" x14ac:dyDescent="0.2">
      <c r="A137" s="5" t="s">
        <v>17319</v>
      </c>
      <c r="B137" s="5" t="s">
        <v>83</v>
      </c>
      <c r="C137" s="5"/>
      <c r="D137" s="5" t="s">
        <v>17318</v>
      </c>
      <c r="E137" s="5" t="s">
        <v>150</v>
      </c>
      <c r="F137" s="5" t="s">
        <v>17317</v>
      </c>
      <c r="G137" s="5" t="s">
        <v>148</v>
      </c>
      <c r="H137" s="5" t="s">
        <v>3</v>
      </c>
      <c r="I137" s="5"/>
      <c r="J137" s="5"/>
      <c r="M137" s="1"/>
      <c r="N137"/>
      <c r="O137"/>
      <c r="P137"/>
      <c r="Q137"/>
      <c r="R137"/>
      <c r="S137"/>
      <c r="T137"/>
      <c r="U137"/>
      <c r="V137"/>
      <c r="W137"/>
      <c r="X137"/>
      <c r="Y137"/>
    </row>
    <row r="138" spans="1:25" s="2" customFormat="1" x14ac:dyDescent="0.2">
      <c r="A138" s="5" t="s">
        <v>15716</v>
      </c>
      <c r="B138" s="5" t="s">
        <v>83</v>
      </c>
      <c r="C138" s="5"/>
      <c r="D138" s="5" t="s">
        <v>17316</v>
      </c>
      <c r="E138" s="5"/>
      <c r="F138" s="5"/>
      <c r="G138" s="5" t="s">
        <v>195</v>
      </c>
      <c r="H138" s="5" t="s">
        <v>3</v>
      </c>
      <c r="I138" s="5"/>
      <c r="J138" s="5" t="s">
        <v>15714</v>
      </c>
      <c r="M138" s="1"/>
      <c r="N138"/>
      <c r="O138"/>
      <c r="P138"/>
      <c r="Q138"/>
      <c r="R138"/>
      <c r="S138"/>
      <c r="T138"/>
      <c r="U138"/>
      <c r="V138"/>
      <c r="W138"/>
      <c r="X138"/>
      <c r="Y138"/>
    </row>
    <row r="139" spans="1:25" s="2" customFormat="1" x14ac:dyDescent="0.2">
      <c r="A139" s="5" t="s">
        <v>6448</v>
      </c>
      <c r="B139" s="5" t="s">
        <v>83</v>
      </c>
      <c r="C139" s="5"/>
      <c r="D139" s="5" t="s">
        <v>17315</v>
      </c>
      <c r="E139" s="5"/>
      <c r="F139" s="5" t="s">
        <v>6446</v>
      </c>
      <c r="G139" s="5" t="s">
        <v>105</v>
      </c>
      <c r="H139" s="5"/>
      <c r="I139" s="5"/>
      <c r="J139" s="5" t="s">
        <v>17314</v>
      </c>
      <c r="M139" s="1"/>
      <c r="N139"/>
      <c r="O139"/>
      <c r="P139"/>
      <c r="Q139"/>
      <c r="R139"/>
      <c r="S139"/>
      <c r="T139"/>
      <c r="U139"/>
      <c r="V139"/>
      <c r="W139"/>
      <c r="X139"/>
      <c r="Y139"/>
    </row>
    <row r="140" spans="1:25" s="2" customFormat="1" ht="25.5" x14ac:dyDescent="0.2">
      <c r="A140" s="5" t="s">
        <v>17313</v>
      </c>
      <c r="B140" s="5" t="s">
        <v>83</v>
      </c>
      <c r="C140" s="5"/>
      <c r="D140" s="5" t="s">
        <v>17312</v>
      </c>
      <c r="E140" s="5"/>
      <c r="F140" s="5" t="s">
        <v>1342</v>
      </c>
      <c r="G140" s="5" t="s">
        <v>105</v>
      </c>
      <c r="H140" s="5" t="s">
        <v>3</v>
      </c>
      <c r="I140" s="5"/>
      <c r="J140" s="5" t="s">
        <v>17311</v>
      </c>
      <c r="M140" s="1"/>
      <c r="N140"/>
      <c r="O140"/>
      <c r="P140"/>
      <c r="Q140"/>
      <c r="R140"/>
      <c r="S140"/>
      <c r="T140"/>
      <c r="U140"/>
      <c r="V140"/>
      <c r="W140"/>
      <c r="X140"/>
      <c r="Y140"/>
    </row>
    <row r="141" spans="1:25" s="2" customFormat="1" x14ac:dyDescent="0.2">
      <c r="A141" s="5" t="s">
        <v>8829</v>
      </c>
      <c r="B141" s="5" t="s">
        <v>83</v>
      </c>
      <c r="C141" s="5"/>
      <c r="D141" s="5" t="s">
        <v>17310</v>
      </c>
      <c r="E141" s="5"/>
      <c r="F141" s="5" t="s">
        <v>7823</v>
      </c>
      <c r="G141" s="5" t="s">
        <v>195</v>
      </c>
      <c r="H141" s="5" t="s">
        <v>3</v>
      </c>
      <c r="I141" s="5"/>
      <c r="J141" s="5" t="s">
        <v>8827</v>
      </c>
      <c r="M141" s="1"/>
      <c r="N141"/>
      <c r="O141"/>
      <c r="P141"/>
      <c r="Q141"/>
      <c r="R141"/>
      <c r="S141"/>
      <c r="T141"/>
      <c r="U141"/>
      <c r="V141"/>
      <c r="W141"/>
      <c r="X141"/>
      <c r="Y141"/>
    </row>
    <row r="142" spans="1:25" s="2" customFormat="1" x14ac:dyDescent="0.2">
      <c r="A142" s="5" t="s">
        <v>8837</v>
      </c>
      <c r="B142" s="5" t="s">
        <v>83</v>
      </c>
      <c r="C142" s="5"/>
      <c r="D142" s="5" t="s">
        <v>17309</v>
      </c>
      <c r="E142" s="5"/>
      <c r="F142" s="5" t="s">
        <v>8834</v>
      </c>
      <c r="G142" s="5" t="s">
        <v>2672</v>
      </c>
      <c r="H142" s="5" t="s">
        <v>3</v>
      </c>
      <c r="I142" s="5"/>
      <c r="J142" s="5" t="s">
        <v>8836</v>
      </c>
      <c r="M142" s="1"/>
      <c r="N142"/>
      <c r="O142"/>
      <c r="P142"/>
      <c r="Q142"/>
      <c r="R142"/>
      <c r="S142"/>
      <c r="T142"/>
      <c r="U142"/>
      <c r="V142"/>
      <c r="W142"/>
      <c r="X142"/>
      <c r="Y142"/>
    </row>
    <row r="143" spans="1:25" s="2" customFormat="1" ht="25.5" x14ac:dyDescent="0.2">
      <c r="A143" s="5" t="s">
        <v>17308</v>
      </c>
      <c r="B143" s="5" t="s">
        <v>83</v>
      </c>
      <c r="C143" s="5"/>
      <c r="D143" s="5" t="s">
        <v>17307</v>
      </c>
      <c r="E143" s="5"/>
      <c r="F143" s="5" t="s">
        <v>17306</v>
      </c>
      <c r="G143" s="5" t="s">
        <v>502</v>
      </c>
      <c r="H143" s="5" t="s">
        <v>137</v>
      </c>
      <c r="I143" s="5" t="s">
        <v>15</v>
      </c>
      <c r="J143" s="5" t="s">
        <v>17305</v>
      </c>
      <c r="M143" s="1"/>
      <c r="N143"/>
      <c r="O143"/>
      <c r="P143"/>
      <c r="Q143"/>
      <c r="R143"/>
      <c r="S143"/>
      <c r="T143"/>
      <c r="U143"/>
      <c r="V143"/>
      <c r="W143"/>
      <c r="X143"/>
      <c r="Y143"/>
    </row>
    <row r="144" spans="1:25" s="2" customFormat="1" ht="25.5" x14ac:dyDescent="0.2">
      <c r="A144" s="5" t="s">
        <v>8824</v>
      </c>
      <c r="B144" s="5" t="s">
        <v>83</v>
      </c>
      <c r="C144" s="5"/>
      <c r="D144" s="5" t="s">
        <v>17304</v>
      </c>
      <c r="E144" s="5"/>
      <c r="F144" s="5" t="s">
        <v>6581</v>
      </c>
      <c r="G144" s="5" t="s">
        <v>276</v>
      </c>
      <c r="H144" s="5" t="s">
        <v>3</v>
      </c>
      <c r="I144" s="5"/>
      <c r="J144" s="5" t="s">
        <v>8823</v>
      </c>
      <c r="M144" s="1"/>
      <c r="N144"/>
      <c r="O144"/>
      <c r="P144"/>
      <c r="Q144"/>
      <c r="R144"/>
      <c r="S144"/>
      <c r="T144"/>
      <c r="U144"/>
      <c r="V144"/>
      <c r="W144"/>
      <c r="X144"/>
      <c r="Y144"/>
    </row>
    <row r="145" spans="1:25" s="2" customFormat="1" ht="25.5" x14ac:dyDescent="0.2">
      <c r="A145" s="5" t="s">
        <v>1094</v>
      </c>
      <c r="B145" s="5" t="s">
        <v>83</v>
      </c>
      <c r="C145" s="5"/>
      <c r="D145" s="5" t="s">
        <v>17303</v>
      </c>
      <c r="E145" s="5"/>
      <c r="F145" s="5" t="s">
        <v>1105</v>
      </c>
      <c r="G145" s="5" t="s">
        <v>382</v>
      </c>
      <c r="H145" s="5" t="s">
        <v>137</v>
      </c>
      <c r="I145" s="5" t="s">
        <v>17302</v>
      </c>
      <c r="J145" s="5" t="s">
        <v>17301</v>
      </c>
      <c r="M145" s="1"/>
      <c r="N145"/>
      <c r="O145"/>
      <c r="P145"/>
      <c r="Q145"/>
      <c r="R145"/>
      <c r="S145"/>
      <c r="T145"/>
      <c r="U145"/>
      <c r="V145"/>
      <c r="W145"/>
      <c r="X145"/>
      <c r="Y145"/>
    </row>
    <row r="146" spans="1:25" s="2" customFormat="1" x14ac:dyDescent="0.2">
      <c r="A146" s="5" t="s">
        <v>8776</v>
      </c>
      <c r="B146" s="5" t="s">
        <v>83</v>
      </c>
      <c r="C146" s="5"/>
      <c r="D146" s="5" t="s">
        <v>17300</v>
      </c>
      <c r="E146" s="5"/>
      <c r="F146" s="5" t="s">
        <v>8156</v>
      </c>
      <c r="G146" s="5" t="s">
        <v>6584</v>
      </c>
      <c r="H146" s="5" t="s">
        <v>137</v>
      </c>
      <c r="I146" s="5" t="s">
        <v>15</v>
      </c>
      <c r="J146" s="5" t="s">
        <v>17299</v>
      </c>
      <c r="M146" s="1"/>
      <c r="N146"/>
      <c r="O146"/>
      <c r="P146"/>
      <c r="Q146"/>
      <c r="R146"/>
      <c r="S146"/>
      <c r="T146"/>
      <c r="U146"/>
      <c r="V146"/>
      <c r="W146"/>
      <c r="X146"/>
      <c r="Y146"/>
    </row>
    <row r="147" spans="1:25" s="2" customFormat="1" x14ac:dyDescent="0.2">
      <c r="A147" s="5" t="s">
        <v>8775</v>
      </c>
      <c r="B147" s="5" t="s">
        <v>83</v>
      </c>
      <c r="C147" s="5"/>
      <c r="D147" s="5" t="s">
        <v>17298</v>
      </c>
      <c r="E147" s="5"/>
      <c r="F147" s="5" t="s">
        <v>8156</v>
      </c>
      <c r="G147" s="5" t="s">
        <v>896</v>
      </c>
      <c r="H147" s="5" t="s">
        <v>137</v>
      </c>
      <c r="I147" s="5" t="s">
        <v>15</v>
      </c>
      <c r="J147" s="5" t="s">
        <v>17297</v>
      </c>
      <c r="M147" s="1"/>
      <c r="N147"/>
      <c r="O147"/>
      <c r="P147"/>
      <c r="Q147"/>
      <c r="R147"/>
      <c r="S147"/>
      <c r="T147"/>
      <c r="U147"/>
      <c r="V147"/>
      <c r="W147"/>
      <c r="X147"/>
      <c r="Y147"/>
    </row>
    <row r="148" spans="1:25" s="2" customFormat="1" x14ac:dyDescent="0.2">
      <c r="A148" s="5" t="s">
        <v>1529</v>
      </c>
      <c r="B148" s="5" t="s">
        <v>83</v>
      </c>
      <c r="C148" s="5"/>
      <c r="D148" s="5" t="s">
        <v>17296</v>
      </c>
      <c r="E148" s="5"/>
      <c r="F148" s="5" t="s">
        <v>17295</v>
      </c>
      <c r="G148" s="5" t="s">
        <v>118</v>
      </c>
      <c r="H148" s="5" t="s">
        <v>3</v>
      </c>
      <c r="I148" s="5"/>
      <c r="J148" s="5" t="s">
        <v>17294</v>
      </c>
      <c r="M148" s="1"/>
      <c r="N148"/>
      <c r="O148"/>
      <c r="P148"/>
      <c r="Q148"/>
      <c r="R148"/>
      <c r="S148"/>
      <c r="T148"/>
      <c r="U148"/>
      <c r="V148"/>
      <c r="W148"/>
      <c r="X148"/>
      <c r="Y148"/>
    </row>
    <row r="149" spans="1:25" s="2" customFormat="1" x14ac:dyDescent="0.2">
      <c r="A149" s="5" t="s">
        <v>17293</v>
      </c>
      <c r="B149" s="5" t="s">
        <v>83</v>
      </c>
      <c r="C149" s="5"/>
      <c r="D149" s="5" t="s">
        <v>17292</v>
      </c>
      <c r="E149" s="5"/>
      <c r="F149" s="5" t="s">
        <v>13685</v>
      </c>
      <c r="G149" s="5" t="s">
        <v>382</v>
      </c>
      <c r="H149" s="5" t="s">
        <v>3</v>
      </c>
      <c r="I149" s="5"/>
      <c r="J149" s="5" t="s">
        <v>17291</v>
      </c>
      <c r="M149" s="1"/>
      <c r="N149"/>
      <c r="O149"/>
      <c r="P149"/>
      <c r="Q149"/>
      <c r="R149"/>
      <c r="S149"/>
      <c r="T149"/>
      <c r="U149"/>
      <c r="V149"/>
      <c r="W149"/>
      <c r="X149"/>
      <c r="Y149"/>
    </row>
    <row r="150" spans="1:25" s="2" customFormat="1" ht="25.5" x14ac:dyDescent="0.2">
      <c r="A150" s="5" t="s">
        <v>17290</v>
      </c>
      <c r="B150" s="5" t="s">
        <v>83</v>
      </c>
      <c r="C150" s="5"/>
      <c r="D150" s="5" t="s">
        <v>17289</v>
      </c>
      <c r="E150" s="5"/>
      <c r="F150" s="5" t="s">
        <v>17288</v>
      </c>
      <c r="G150" s="5" t="s">
        <v>105</v>
      </c>
      <c r="H150" s="5" t="s">
        <v>3</v>
      </c>
      <c r="I150" s="5"/>
      <c r="J150" s="5" t="s">
        <v>17287</v>
      </c>
      <c r="M150" s="1"/>
      <c r="N150"/>
      <c r="O150"/>
      <c r="P150"/>
      <c r="Q150"/>
      <c r="R150"/>
      <c r="S150"/>
      <c r="T150"/>
      <c r="U150"/>
      <c r="V150"/>
      <c r="W150"/>
      <c r="X150"/>
      <c r="Y150"/>
    </row>
    <row r="151" spans="1:25" s="2" customFormat="1" x14ac:dyDescent="0.2">
      <c r="A151" s="5" t="s">
        <v>17286</v>
      </c>
      <c r="B151" s="5" t="s">
        <v>83</v>
      </c>
      <c r="C151" s="5"/>
      <c r="D151" s="5" t="s">
        <v>17285</v>
      </c>
      <c r="E151" s="5"/>
      <c r="F151" s="5" t="s">
        <v>8208</v>
      </c>
      <c r="G151" s="5" t="s">
        <v>229</v>
      </c>
      <c r="H151" s="5" t="s">
        <v>3</v>
      </c>
      <c r="I151" s="5"/>
      <c r="J151" s="5" t="s">
        <v>8207</v>
      </c>
      <c r="M151" s="1"/>
      <c r="N151"/>
      <c r="O151"/>
      <c r="P151"/>
      <c r="Q151"/>
      <c r="R151"/>
      <c r="S151"/>
      <c r="T151"/>
      <c r="U151"/>
      <c r="V151"/>
      <c r="W151"/>
      <c r="X151"/>
      <c r="Y151"/>
    </row>
    <row r="152" spans="1:25" ht="25.5" x14ac:dyDescent="0.2">
      <c r="A152" s="5" t="s">
        <v>17284</v>
      </c>
      <c r="B152" s="5" t="s">
        <v>83</v>
      </c>
      <c r="C152" s="5"/>
      <c r="D152" s="5" t="s">
        <v>17283</v>
      </c>
      <c r="E152" s="5"/>
      <c r="F152" s="5" t="s">
        <v>17282</v>
      </c>
      <c r="G152" s="5" t="s">
        <v>224</v>
      </c>
      <c r="H152" s="5"/>
      <c r="I152" s="5"/>
      <c r="J152" s="5" t="s">
        <v>17281</v>
      </c>
    </row>
    <row r="153" spans="1:25" ht="25.5" x14ac:dyDescent="0.2">
      <c r="A153" s="5" t="s">
        <v>17280</v>
      </c>
      <c r="B153" s="5" t="s">
        <v>83</v>
      </c>
      <c r="C153" s="5"/>
      <c r="D153" s="5" t="s">
        <v>17279</v>
      </c>
      <c r="E153" s="5"/>
      <c r="F153" s="5" t="s">
        <v>17278</v>
      </c>
      <c r="G153" s="5" t="s">
        <v>224</v>
      </c>
      <c r="H153" s="5"/>
      <c r="I153" s="5"/>
      <c r="J153" s="5" t="s">
        <v>17277</v>
      </c>
    </row>
    <row r="154" spans="1:25" ht="25.5" x14ac:dyDescent="0.2">
      <c r="A154" s="5" t="s">
        <v>17276</v>
      </c>
      <c r="B154" s="5" t="s">
        <v>83</v>
      </c>
      <c r="C154" s="5"/>
      <c r="D154" s="5" t="s">
        <v>17275</v>
      </c>
      <c r="E154" s="5"/>
      <c r="F154" s="5" t="s">
        <v>17274</v>
      </c>
      <c r="G154" s="5" t="s">
        <v>6584</v>
      </c>
      <c r="H154" s="5" t="s">
        <v>137</v>
      </c>
      <c r="I154" s="5" t="s">
        <v>17273</v>
      </c>
      <c r="J154" s="5" t="s">
        <v>17272</v>
      </c>
    </row>
    <row r="155" spans="1:25" x14ac:dyDescent="0.2">
      <c r="A155" s="5" t="s">
        <v>9148</v>
      </c>
      <c r="B155" s="5" t="s">
        <v>83</v>
      </c>
      <c r="C155" s="5"/>
      <c r="D155" s="5" t="s">
        <v>15411</v>
      </c>
      <c r="E155" s="5" t="s">
        <v>93</v>
      </c>
      <c r="F155" s="5" t="s">
        <v>9148</v>
      </c>
      <c r="G155" s="5" t="s">
        <v>328</v>
      </c>
      <c r="H155" s="5" t="s">
        <v>3</v>
      </c>
      <c r="I155" s="5"/>
      <c r="J155" s="5"/>
    </row>
    <row r="156" spans="1:25" x14ac:dyDescent="0.2">
      <c r="A156" s="5" t="s">
        <v>17271</v>
      </c>
      <c r="B156" s="5" t="s">
        <v>83</v>
      </c>
      <c r="C156" s="5"/>
      <c r="D156" s="5" t="s">
        <v>17270</v>
      </c>
      <c r="E156" s="5"/>
      <c r="F156" s="5" t="s">
        <v>17269</v>
      </c>
      <c r="G156" s="5" t="s">
        <v>896</v>
      </c>
      <c r="H156" s="5" t="s">
        <v>3</v>
      </c>
      <c r="I156" s="5"/>
      <c r="J156" s="5"/>
    </row>
    <row r="157" spans="1:25" ht="38.25" x14ac:dyDescent="0.2">
      <c r="A157" s="5" t="s">
        <v>60</v>
      </c>
      <c r="B157" s="5" t="s">
        <v>8</v>
      </c>
      <c r="C157" s="5"/>
      <c r="D157" s="5" t="s">
        <v>17268</v>
      </c>
      <c r="E157" s="5"/>
      <c r="F157" s="5"/>
      <c r="G157" s="5"/>
      <c r="H157" s="5"/>
      <c r="I157" s="5"/>
      <c r="J157" s="5" t="s">
        <v>17267</v>
      </c>
    </row>
    <row r="158" spans="1:25" ht="25.5" x14ac:dyDescent="0.2">
      <c r="A158" s="5" t="s">
        <v>17266</v>
      </c>
      <c r="B158" s="5" t="s">
        <v>8</v>
      </c>
      <c r="C158" s="5"/>
      <c r="D158" s="5" t="s">
        <v>17265</v>
      </c>
      <c r="E158" s="5"/>
      <c r="F158" s="5"/>
      <c r="G158" s="5"/>
      <c r="H158" s="5"/>
      <c r="I158" s="5"/>
      <c r="J158" s="5" t="s">
        <v>17262</v>
      </c>
    </row>
    <row r="159" spans="1:25" ht="25.5" x14ac:dyDescent="0.2">
      <c r="A159" s="5" t="s">
        <v>17264</v>
      </c>
      <c r="B159" s="5" t="s">
        <v>8</v>
      </c>
      <c r="C159" s="5"/>
      <c r="D159" s="5" t="s">
        <v>17263</v>
      </c>
      <c r="E159" s="5"/>
      <c r="F159" s="5"/>
      <c r="G159" s="5"/>
      <c r="H159" s="5"/>
      <c r="I159" s="5"/>
      <c r="J159" s="5" t="s">
        <v>17262</v>
      </c>
    </row>
  </sheetData>
  <autoFilter ref="A3:M3" xr:uid="{B2F118FD-E5B2-4E44-9BD3-D0682A1C8D44}"/>
  <mergeCells count="1">
    <mergeCell ref="G1:I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Return_to_menu">
                <anchor moveWithCells="1" sizeWithCells="1">
                  <from>
                    <xdr:col>9</xdr:col>
                    <xdr:colOff>114300</xdr:colOff>
                    <xdr:row>0</xdr:row>
                    <xdr:rowOff>47625</xdr:rowOff>
                  </from>
                  <to>
                    <xdr:col>9</xdr:col>
                    <xdr:colOff>1962150</xdr:colOff>
                    <xdr:row>1</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49c754-93a5-4331-82c4-9bc4db3f6089" xsi:nil="true"/>
    <lcf76f155ced4ddcb4097134ff3c332f xmlns="7b4c069e-f37c-4bbf-a04e-099c9b6e9e3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EE8C3C540DFA48815095D9BC6DB7C5" ma:contentTypeVersion="13" ma:contentTypeDescription="Create a new document." ma:contentTypeScope="" ma:versionID="f0d40c9067f1b8cc3244cd99d7cfc1b6">
  <xsd:schema xmlns:xsd="http://www.w3.org/2001/XMLSchema" xmlns:xs="http://www.w3.org/2001/XMLSchema" xmlns:p="http://schemas.microsoft.com/office/2006/metadata/properties" xmlns:ns2="7b4c069e-f37c-4bbf-a04e-099c9b6e9e3b" xmlns:ns3="1549c754-93a5-4331-82c4-9bc4db3f6089" targetNamespace="http://schemas.microsoft.com/office/2006/metadata/properties" ma:root="true" ma:fieldsID="140ddfbb567c8e3cd5338cb24358c507" ns2:_="" ns3:_="">
    <xsd:import namespace="7b4c069e-f37c-4bbf-a04e-099c9b6e9e3b"/>
    <xsd:import namespace="1549c754-93a5-4331-82c4-9bc4db3f60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069e-f37c-4bbf-a04e-099c9b6e9e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4ffd9f3-9891-4186-a590-f9b07fd9bc8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49c754-93a5-4331-82c4-9bc4db3f608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4d79dd4-956c-4dad-a0c9-9c816e0f7cc5}" ma:internalName="TaxCatchAll" ma:showField="CatchAllData" ma:web="febe6f16-87ee-4faf-9a9b-126d9292be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CEB055-68BD-4D3D-AADB-6437A62BF93B}">
  <ds:schemaRefs>
    <ds:schemaRef ds:uri="http://schemas.microsoft.com/office/2006/metadata/properties"/>
    <ds:schemaRef ds:uri="http://schemas.microsoft.com/office/infopath/2007/PartnerControls"/>
    <ds:schemaRef ds:uri="1549c754-93a5-4331-82c4-9bc4db3f6089"/>
    <ds:schemaRef ds:uri="7b4c069e-f37c-4bbf-a04e-099c9b6e9e3b"/>
  </ds:schemaRefs>
</ds:datastoreItem>
</file>

<file path=customXml/itemProps2.xml><?xml version="1.0" encoding="utf-8"?>
<ds:datastoreItem xmlns:ds="http://schemas.openxmlformats.org/officeDocument/2006/customXml" ds:itemID="{2C5AFE1E-7BE4-499B-B888-DF12644E5D0B}">
  <ds:schemaRefs>
    <ds:schemaRef ds:uri="http://schemas.microsoft.com/sharepoint/v3/contenttype/forms"/>
  </ds:schemaRefs>
</ds:datastoreItem>
</file>

<file path=customXml/itemProps3.xml><?xml version="1.0" encoding="utf-8"?>
<ds:datastoreItem xmlns:ds="http://schemas.openxmlformats.org/officeDocument/2006/customXml" ds:itemID="{245BF832-D6EB-43EA-ABC2-34A57F0340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069e-f37c-4bbf-a04e-099c9b6e9e3b"/>
    <ds:schemaRef ds:uri="1549c754-93a5-4331-82c4-9bc4db3f60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MTANK</vt:lpstr>
      <vt:lpstr>DIPTABLE</vt:lpstr>
      <vt:lpstr>BARREL.GROUP</vt:lpstr>
      <vt:lpstr>MBLEND</vt:lpstr>
      <vt:lpstr>MBATCH</vt:lpstr>
      <vt:lpstr>WINE.STATUS</vt:lpstr>
      <vt:lpstr>BWALLOC</vt:lpstr>
      <vt:lpstr>SUMCOMP.TANK</vt:lpstr>
      <vt:lpstr>GRAPERECPT</vt:lpstr>
      <vt:lpstr>MGROWER</vt:lpstr>
      <vt:lpstr>VINTINTAKE</vt:lpstr>
      <vt:lpstr>MBLOCKS</vt:lpstr>
      <vt:lpstr>WINE.DB</vt:lpstr>
      <vt:lpstr>BLEND.PROP</vt:lpstr>
      <vt:lpstr>OPSMOVE</vt:lpstr>
      <vt:lpstr>CHIT</vt:lpstr>
      <vt:lpstr>BW.STD.CST.OPS</vt:lpstr>
      <vt:lpstr>CHEM</vt:lpstr>
    </vt:vector>
  </TitlesOfParts>
  <Company>Treasury Wine Estates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Pietsch, Brian</dc:creator>
  <cp:lastModifiedBy>Roberts, James</cp:lastModifiedBy>
  <dcterms:created xsi:type="dcterms:W3CDTF">2024-09-03T02:12:46Z</dcterms:created>
  <dcterms:modified xsi:type="dcterms:W3CDTF">2026-04-01T01:17:50Z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0x01010075EE8C3C540DFA48815095D9BC6DB7C5</vt:lpwstr>
  </property>
  <property fmtid="{D5CDD505-2E9C-101B-9397-08002B2CF9AE}" pid="3" name="MediaServiceImageTags">
    <vt:lpwstr/>
  </property>
</Properties>
</file>